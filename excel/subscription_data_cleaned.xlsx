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Data Analytics Projects\Subscription Analysis\Excel\"/>
    </mc:Choice>
  </mc:AlternateContent>
  <xr:revisionPtr revIDLastSave="0" documentId="13_ncr:1_{A68B2FD0-B3BD-4805-8FC8-2A9F0C2FE20C}" xr6:coauthVersionLast="47" xr6:coauthVersionMax="47" xr10:uidLastSave="{00000000-0000-0000-0000-000000000000}"/>
  <bookViews>
    <workbookView xWindow="-108" yWindow="-108" windowWidth="23256" windowHeight="12576" activeTab="4" xr2:uid="{AAA08C48-0354-4DF1-B54F-990D46B96618}"/>
  </bookViews>
  <sheets>
    <sheet name="customers_clean" sheetId="2" r:id="rId1"/>
    <sheet name="product_plans" sheetId="3" r:id="rId2"/>
    <sheet name="subscriptions_clean" sheetId="4" r:id="rId3"/>
    <sheet name="payments_clean" sheetId="5" r:id="rId4"/>
    <sheet name="marketing_events_clean" sheetId="6" r:id="rId5"/>
  </sheets>
  <definedNames>
    <definedName name="ExternalData_1" localSheetId="0" hidden="1">customers_clean!$A$1:$F$1201</definedName>
    <definedName name="ExternalData_1" localSheetId="4" hidden="1">marketing_events_clean!$A$1:$D$1801</definedName>
    <definedName name="ExternalData_1" localSheetId="3" hidden="1">payments_clean!$A$1:$D$3501</definedName>
    <definedName name="ExternalData_1" localSheetId="1" hidden="1">product_plans!$A$1:$D$11</definedName>
    <definedName name="ExternalData_1" localSheetId="2" hidden="1">subscriptions_clean!$A$1:$F$1501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G3" i="5"/>
  <c r="G4" i="5"/>
  <c r="G5" i="5"/>
  <c r="G6" i="5"/>
  <c r="G7" i="5"/>
  <c r="G8" i="5"/>
  <c r="G9" i="5"/>
  <c r="G10" i="5"/>
  <c r="I10" i="5" s="1"/>
  <c r="G11" i="5"/>
  <c r="G12" i="5"/>
  <c r="G13" i="5"/>
  <c r="G14" i="5"/>
  <c r="G15" i="5"/>
  <c r="G16" i="5"/>
  <c r="G17" i="5"/>
  <c r="G18" i="5"/>
  <c r="I18" i="5" s="1"/>
  <c r="G19" i="5"/>
  <c r="G20" i="5"/>
  <c r="G21" i="5"/>
  <c r="G22" i="5"/>
  <c r="G23" i="5"/>
  <c r="G24" i="5"/>
  <c r="G25" i="5"/>
  <c r="G26" i="5"/>
  <c r="I26" i="5" s="1"/>
  <c r="G27" i="5"/>
  <c r="G28" i="5"/>
  <c r="G29" i="5"/>
  <c r="G30" i="5"/>
  <c r="G31" i="5"/>
  <c r="G32" i="5"/>
  <c r="G33" i="5"/>
  <c r="G34" i="5"/>
  <c r="I34" i="5" s="1"/>
  <c r="G35" i="5"/>
  <c r="G36" i="5"/>
  <c r="G37" i="5"/>
  <c r="G38" i="5"/>
  <c r="G39" i="5"/>
  <c r="G40" i="5"/>
  <c r="G41" i="5"/>
  <c r="G42" i="5"/>
  <c r="I42" i="5" s="1"/>
  <c r="G43" i="5"/>
  <c r="G44" i="5"/>
  <c r="G45" i="5"/>
  <c r="G46" i="5"/>
  <c r="G47" i="5"/>
  <c r="G48" i="5"/>
  <c r="G49" i="5"/>
  <c r="G50" i="5"/>
  <c r="I50" i="5" s="1"/>
  <c r="G51" i="5"/>
  <c r="G52" i="5"/>
  <c r="G53" i="5"/>
  <c r="G54" i="5"/>
  <c r="G55" i="5"/>
  <c r="G56" i="5"/>
  <c r="G57" i="5"/>
  <c r="G58" i="5"/>
  <c r="I58" i="5" s="1"/>
  <c r="G59" i="5"/>
  <c r="G60" i="5"/>
  <c r="G61" i="5"/>
  <c r="G62" i="5"/>
  <c r="G63" i="5"/>
  <c r="G64" i="5"/>
  <c r="G65" i="5"/>
  <c r="G66" i="5"/>
  <c r="I66" i="5" s="1"/>
  <c r="G67" i="5"/>
  <c r="G68" i="5"/>
  <c r="G69" i="5"/>
  <c r="G70" i="5"/>
  <c r="G71" i="5"/>
  <c r="G72" i="5"/>
  <c r="G73" i="5"/>
  <c r="G74" i="5"/>
  <c r="I74" i="5" s="1"/>
  <c r="G75" i="5"/>
  <c r="G76" i="5"/>
  <c r="G77" i="5"/>
  <c r="G78" i="5"/>
  <c r="G79" i="5"/>
  <c r="G80" i="5"/>
  <c r="G81" i="5"/>
  <c r="G82" i="5"/>
  <c r="I82" i="5" s="1"/>
  <c r="G83" i="5"/>
  <c r="G84" i="5"/>
  <c r="G85" i="5"/>
  <c r="G86" i="5"/>
  <c r="G87" i="5"/>
  <c r="G88" i="5"/>
  <c r="G89" i="5"/>
  <c r="G90" i="5"/>
  <c r="I90" i="5" s="1"/>
  <c r="G91" i="5"/>
  <c r="G92" i="5"/>
  <c r="G93" i="5"/>
  <c r="G94" i="5"/>
  <c r="G95" i="5"/>
  <c r="G96" i="5"/>
  <c r="G97" i="5"/>
  <c r="G98" i="5"/>
  <c r="I98" i="5" s="1"/>
  <c r="G99" i="5"/>
  <c r="G100" i="5"/>
  <c r="G101" i="5"/>
  <c r="G102" i="5"/>
  <c r="G103" i="5"/>
  <c r="G104" i="5"/>
  <c r="G105" i="5"/>
  <c r="G106" i="5"/>
  <c r="I106" i="5" s="1"/>
  <c r="G107" i="5"/>
  <c r="G108" i="5"/>
  <c r="G109" i="5"/>
  <c r="G110" i="5"/>
  <c r="G111" i="5"/>
  <c r="G112" i="5"/>
  <c r="G113" i="5"/>
  <c r="G114" i="5"/>
  <c r="I114" i="5" s="1"/>
  <c r="G115" i="5"/>
  <c r="G116" i="5"/>
  <c r="G117" i="5"/>
  <c r="G118" i="5"/>
  <c r="G119" i="5"/>
  <c r="G120" i="5"/>
  <c r="G121" i="5"/>
  <c r="G122" i="5"/>
  <c r="I122" i="5" s="1"/>
  <c r="G123" i="5"/>
  <c r="G124" i="5"/>
  <c r="G125" i="5"/>
  <c r="G126" i="5"/>
  <c r="G127" i="5"/>
  <c r="G128" i="5"/>
  <c r="G129" i="5"/>
  <c r="G130" i="5"/>
  <c r="I130" i="5" s="1"/>
  <c r="G131" i="5"/>
  <c r="G132" i="5"/>
  <c r="G133" i="5"/>
  <c r="G134" i="5"/>
  <c r="G135" i="5"/>
  <c r="G136" i="5"/>
  <c r="G137" i="5"/>
  <c r="G138" i="5"/>
  <c r="I138" i="5" s="1"/>
  <c r="G139" i="5"/>
  <c r="G140" i="5"/>
  <c r="G141" i="5"/>
  <c r="G142" i="5"/>
  <c r="G143" i="5"/>
  <c r="G144" i="5"/>
  <c r="G145" i="5"/>
  <c r="G146" i="5"/>
  <c r="I146" i="5" s="1"/>
  <c r="G147" i="5"/>
  <c r="G148" i="5"/>
  <c r="G149" i="5"/>
  <c r="G150" i="5"/>
  <c r="G151" i="5"/>
  <c r="G152" i="5"/>
  <c r="G153" i="5"/>
  <c r="G154" i="5"/>
  <c r="I154" i="5" s="1"/>
  <c r="G155" i="5"/>
  <c r="G156" i="5"/>
  <c r="G157" i="5"/>
  <c r="G158" i="5"/>
  <c r="G159" i="5"/>
  <c r="G160" i="5"/>
  <c r="G161" i="5"/>
  <c r="G162" i="5"/>
  <c r="I162" i="5" s="1"/>
  <c r="G163" i="5"/>
  <c r="G164" i="5"/>
  <c r="G165" i="5"/>
  <c r="G166" i="5"/>
  <c r="G167" i="5"/>
  <c r="G168" i="5"/>
  <c r="G169" i="5"/>
  <c r="G170" i="5"/>
  <c r="I170" i="5" s="1"/>
  <c r="G171" i="5"/>
  <c r="G172" i="5"/>
  <c r="G173" i="5"/>
  <c r="G174" i="5"/>
  <c r="G175" i="5"/>
  <c r="G176" i="5"/>
  <c r="G177" i="5"/>
  <c r="G178" i="5"/>
  <c r="I178" i="5" s="1"/>
  <c r="G179" i="5"/>
  <c r="G180" i="5"/>
  <c r="G181" i="5"/>
  <c r="G182" i="5"/>
  <c r="G183" i="5"/>
  <c r="G184" i="5"/>
  <c r="G185" i="5"/>
  <c r="G186" i="5"/>
  <c r="I186" i="5" s="1"/>
  <c r="G187" i="5"/>
  <c r="G188" i="5"/>
  <c r="G189" i="5"/>
  <c r="G190" i="5"/>
  <c r="G191" i="5"/>
  <c r="G192" i="5"/>
  <c r="G193" i="5"/>
  <c r="G194" i="5"/>
  <c r="I194" i="5" s="1"/>
  <c r="G195" i="5"/>
  <c r="G196" i="5"/>
  <c r="G197" i="5"/>
  <c r="G198" i="5"/>
  <c r="G199" i="5"/>
  <c r="G200" i="5"/>
  <c r="G201" i="5"/>
  <c r="G202" i="5"/>
  <c r="I202" i="5" s="1"/>
  <c r="G203" i="5"/>
  <c r="G204" i="5"/>
  <c r="G205" i="5"/>
  <c r="G206" i="5"/>
  <c r="G207" i="5"/>
  <c r="G208" i="5"/>
  <c r="G209" i="5"/>
  <c r="G210" i="5"/>
  <c r="I210" i="5" s="1"/>
  <c r="G211" i="5"/>
  <c r="G212" i="5"/>
  <c r="G213" i="5"/>
  <c r="G214" i="5"/>
  <c r="G215" i="5"/>
  <c r="G216" i="5"/>
  <c r="G217" i="5"/>
  <c r="G218" i="5"/>
  <c r="I218" i="5" s="1"/>
  <c r="G219" i="5"/>
  <c r="G220" i="5"/>
  <c r="G221" i="5"/>
  <c r="G222" i="5"/>
  <c r="G223" i="5"/>
  <c r="G224" i="5"/>
  <c r="G225" i="5"/>
  <c r="G226" i="5"/>
  <c r="I226" i="5" s="1"/>
  <c r="G227" i="5"/>
  <c r="G228" i="5"/>
  <c r="G229" i="5"/>
  <c r="G230" i="5"/>
  <c r="G231" i="5"/>
  <c r="G232" i="5"/>
  <c r="G233" i="5"/>
  <c r="G234" i="5"/>
  <c r="I234" i="5" s="1"/>
  <c r="G235" i="5"/>
  <c r="G236" i="5"/>
  <c r="G237" i="5"/>
  <c r="G238" i="5"/>
  <c r="G239" i="5"/>
  <c r="G240" i="5"/>
  <c r="G241" i="5"/>
  <c r="G242" i="5"/>
  <c r="I242" i="5" s="1"/>
  <c r="G243" i="5"/>
  <c r="G244" i="5"/>
  <c r="G245" i="5"/>
  <c r="G246" i="5"/>
  <c r="G247" i="5"/>
  <c r="G248" i="5"/>
  <c r="G249" i="5"/>
  <c r="G250" i="5"/>
  <c r="I250" i="5" s="1"/>
  <c r="G251" i="5"/>
  <c r="G252" i="5"/>
  <c r="G253" i="5"/>
  <c r="G254" i="5"/>
  <c r="G255" i="5"/>
  <c r="G256" i="5"/>
  <c r="G257" i="5"/>
  <c r="G258" i="5"/>
  <c r="I258" i="5" s="1"/>
  <c r="G259" i="5"/>
  <c r="G260" i="5"/>
  <c r="G261" i="5"/>
  <c r="G262" i="5"/>
  <c r="G263" i="5"/>
  <c r="G264" i="5"/>
  <c r="G265" i="5"/>
  <c r="G266" i="5"/>
  <c r="I266" i="5" s="1"/>
  <c r="G267" i="5"/>
  <c r="G268" i="5"/>
  <c r="G269" i="5"/>
  <c r="G270" i="5"/>
  <c r="G271" i="5"/>
  <c r="G272" i="5"/>
  <c r="G273" i="5"/>
  <c r="G274" i="5"/>
  <c r="I274" i="5" s="1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I290" i="5" s="1"/>
  <c r="G291" i="5"/>
  <c r="G292" i="5"/>
  <c r="G293" i="5"/>
  <c r="G294" i="5"/>
  <c r="G295" i="5"/>
  <c r="G296" i="5"/>
  <c r="G297" i="5"/>
  <c r="G298" i="5"/>
  <c r="I298" i="5" s="1"/>
  <c r="G299" i="5"/>
  <c r="G300" i="5"/>
  <c r="G301" i="5"/>
  <c r="G302" i="5"/>
  <c r="G303" i="5"/>
  <c r="G304" i="5"/>
  <c r="G305" i="5"/>
  <c r="G306" i="5"/>
  <c r="I306" i="5" s="1"/>
  <c r="G307" i="5"/>
  <c r="G308" i="5"/>
  <c r="G309" i="5"/>
  <c r="G310" i="5"/>
  <c r="G311" i="5"/>
  <c r="G312" i="5"/>
  <c r="G313" i="5"/>
  <c r="G314" i="5"/>
  <c r="I314" i="5" s="1"/>
  <c r="G315" i="5"/>
  <c r="G316" i="5"/>
  <c r="G317" i="5"/>
  <c r="G318" i="5"/>
  <c r="G319" i="5"/>
  <c r="G320" i="5"/>
  <c r="G321" i="5"/>
  <c r="G322" i="5"/>
  <c r="I322" i="5" s="1"/>
  <c r="G323" i="5"/>
  <c r="G324" i="5"/>
  <c r="G325" i="5"/>
  <c r="G326" i="5"/>
  <c r="G327" i="5"/>
  <c r="G328" i="5"/>
  <c r="G329" i="5"/>
  <c r="G330" i="5"/>
  <c r="I330" i="5" s="1"/>
  <c r="G331" i="5"/>
  <c r="G332" i="5"/>
  <c r="G333" i="5"/>
  <c r="G334" i="5"/>
  <c r="G335" i="5"/>
  <c r="G336" i="5"/>
  <c r="G337" i="5"/>
  <c r="G338" i="5"/>
  <c r="I338" i="5" s="1"/>
  <c r="G339" i="5"/>
  <c r="G340" i="5"/>
  <c r="G341" i="5"/>
  <c r="G342" i="5"/>
  <c r="G343" i="5"/>
  <c r="G344" i="5"/>
  <c r="G345" i="5"/>
  <c r="G346" i="5"/>
  <c r="I346" i="5" s="1"/>
  <c r="G347" i="5"/>
  <c r="G348" i="5"/>
  <c r="G349" i="5"/>
  <c r="G350" i="5"/>
  <c r="G351" i="5"/>
  <c r="G352" i="5"/>
  <c r="G353" i="5"/>
  <c r="G354" i="5"/>
  <c r="I354" i="5" s="1"/>
  <c r="G355" i="5"/>
  <c r="G356" i="5"/>
  <c r="G357" i="5"/>
  <c r="G358" i="5"/>
  <c r="G359" i="5"/>
  <c r="G360" i="5"/>
  <c r="G361" i="5"/>
  <c r="G362" i="5"/>
  <c r="I362" i="5" s="1"/>
  <c r="G363" i="5"/>
  <c r="G364" i="5"/>
  <c r="G365" i="5"/>
  <c r="G366" i="5"/>
  <c r="G367" i="5"/>
  <c r="G368" i="5"/>
  <c r="G369" i="5"/>
  <c r="G370" i="5"/>
  <c r="I370" i="5" s="1"/>
  <c r="G371" i="5"/>
  <c r="G372" i="5"/>
  <c r="G373" i="5"/>
  <c r="G374" i="5"/>
  <c r="G375" i="5"/>
  <c r="G376" i="5"/>
  <c r="G377" i="5"/>
  <c r="G378" i="5"/>
  <c r="I378" i="5" s="1"/>
  <c r="G379" i="5"/>
  <c r="G380" i="5"/>
  <c r="G381" i="5"/>
  <c r="G382" i="5"/>
  <c r="G383" i="5"/>
  <c r="G384" i="5"/>
  <c r="G385" i="5"/>
  <c r="G386" i="5"/>
  <c r="I386" i="5" s="1"/>
  <c r="G387" i="5"/>
  <c r="G388" i="5"/>
  <c r="G389" i="5"/>
  <c r="G390" i="5"/>
  <c r="G391" i="5"/>
  <c r="G392" i="5"/>
  <c r="G393" i="5"/>
  <c r="G394" i="5"/>
  <c r="I394" i="5" s="1"/>
  <c r="G395" i="5"/>
  <c r="G396" i="5"/>
  <c r="G397" i="5"/>
  <c r="G398" i="5"/>
  <c r="G399" i="5"/>
  <c r="G400" i="5"/>
  <c r="G401" i="5"/>
  <c r="G402" i="5"/>
  <c r="I402" i="5" s="1"/>
  <c r="G403" i="5"/>
  <c r="G404" i="5"/>
  <c r="G405" i="5"/>
  <c r="G406" i="5"/>
  <c r="G407" i="5"/>
  <c r="G408" i="5"/>
  <c r="G409" i="5"/>
  <c r="G410" i="5"/>
  <c r="I410" i="5" s="1"/>
  <c r="G411" i="5"/>
  <c r="G412" i="5"/>
  <c r="G413" i="5"/>
  <c r="G414" i="5"/>
  <c r="G415" i="5"/>
  <c r="G416" i="5"/>
  <c r="G417" i="5"/>
  <c r="G418" i="5"/>
  <c r="I418" i="5" s="1"/>
  <c r="G419" i="5"/>
  <c r="G420" i="5"/>
  <c r="G421" i="5"/>
  <c r="G422" i="5"/>
  <c r="G423" i="5"/>
  <c r="G424" i="5"/>
  <c r="G425" i="5"/>
  <c r="G426" i="5"/>
  <c r="I426" i="5" s="1"/>
  <c r="G427" i="5"/>
  <c r="G428" i="5"/>
  <c r="G429" i="5"/>
  <c r="G430" i="5"/>
  <c r="G431" i="5"/>
  <c r="G432" i="5"/>
  <c r="G433" i="5"/>
  <c r="G434" i="5"/>
  <c r="I434" i="5" s="1"/>
  <c r="G435" i="5"/>
  <c r="G436" i="5"/>
  <c r="G437" i="5"/>
  <c r="G438" i="5"/>
  <c r="G439" i="5"/>
  <c r="G440" i="5"/>
  <c r="G441" i="5"/>
  <c r="G442" i="5"/>
  <c r="I442" i="5" s="1"/>
  <c r="G443" i="5"/>
  <c r="G444" i="5"/>
  <c r="G445" i="5"/>
  <c r="G446" i="5"/>
  <c r="G447" i="5"/>
  <c r="G448" i="5"/>
  <c r="G449" i="5"/>
  <c r="G450" i="5"/>
  <c r="I450" i="5" s="1"/>
  <c r="G451" i="5"/>
  <c r="G452" i="5"/>
  <c r="G453" i="5"/>
  <c r="G454" i="5"/>
  <c r="G455" i="5"/>
  <c r="G456" i="5"/>
  <c r="G457" i="5"/>
  <c r="G458" i="5"/>
  <c r="I458" i="5" s="1"/>
  <c r="G459" i="5"/>
  <c r="G460" i="5"/>
  <c r="G461" i="5"/>
  <c r="G462" i="5"/>
  <c r="G463" i="5"/>
  <c r="G464" i="5"/>
  <c r="G465" i="5"/>
  <c r="G466" i="5"/>
  <c r="I466" i="5" s="1"/>
  <c r="G467" i="5"/>
  <c r="G468" i="5"/>
  <c r="G469" i="5"/>
  <c r="G470" i="5"/>
  <c r="G471" i="5"/>
  <c r="G472" i="5"/>
  <c r="G473" i="5"/>
  <c r="G474" i="5"/>
  <c r="I474" i="5" s="1"/>
  <c r="G475" i="5"/>
  <c r="G476" i="5"/>
  <c r="G477" i="5"/>
  <c r="G478" i="5"/>
  <c r="G479" i="5"/>
  <c r="G480" i="5"/>
  <c r="G481" i="5"/>
  <c r="G482" i="5"/>
  <c r="I482" i="5" s="1"/>
  <c r="G483" i="5"/>
  <c r="G484" i="5"/>
  <c r="G485" i="5"/>
  <c r="G486" i="5"/>
  <c r="G487" i="5"/>
  <c r="G488" i="5"/>
  <c r="G489" i="5"/>
  <c r="G490" i="5"/>
  <c r="I490" i="5" s="1"/>
  <c r="G491" i="5"/>
  <c r="G492" i="5"/>
  <c r="G493" i="5"/>
  <c r="G494" i="5"/>
  <c r="G495" i="5"/>
  <c r="G496" i="5"/>
  <c r="G497" i="5"/>
  <c r="G498" i="5"/>
  <c r="I498" i="5" s="1"/>
  <c r="G499" i="5"/>
  <c r="G500" i="5"/>
  <c r="G501" i="5"/>
  <c r="G502" i="5"/>
  <c r="G503" i="5"/>
  <c r="G504" i="5"/>
  <c r="G505" i="5"/>
  <c r="G506" i="5"/>
  <c r="I506" i="5" s="1"/>
  <c r="G507" i="5"/>
  <c r="G508" i="5"/>
  <c r="G509" i="5"/>
  <c r="G510" i="5"/>
  <c r="G511" i="5"/>
  <c r="G512" i="5"/>
  <c r="G513" i="5"/>
  <c r="G514" i="5"/>
  <c r="I514" i="5" s="1"/>
  <c r="G515" i="5"/>
  <c r="G516" i="5"/>
  <c r="G517" i="5"/>
  <c r="G518" i="5"/>
  <c r="G519" i="5"/>
  <c r="G520" i="5"/>
  <c r="G521" i="5"/>
  <c r="G522" i="5"/>
  <c r="I522" i="5" s="1"/>
  <c r="G523" i="5"/>
  <c r="G524" i="5"/>
  <c r="G525" i="5"/>
  <c r="G526" i="5"/>
  <c r="G527" i="5"/>
  <c r="G528" i="5"/>
  <c r="G529" i="5"/>
  <c r="G530" i="5"/>
  <c r="I530" i="5" s="1"/>
  <c r="G531" i="5"/>
  <c r="G532" i="5"/>
  <c r="G533" i="5"/>
  <c r="G534" i="5"/>
  <c r="G535" i="5"/>
  <c r="G536" i="5"/>
  <c r="G537" i="5"/>
  <c r="G538" i="5"/>
  <c r="I538" i="5" s="1"/>
  <c r="G539" i="5"/>
  <c r="G540" i="5"/>
  <c r="G541" i="5"/>
  <c r="G542" i="5"/>
  <c r="G543" i="5"/>
  <c r="G544" i="5"/>
  <c r="G545" i="5"/>
  <c r="G546" i="5"/>
  <c r="I546" i="5" s="1"/>
  <c r="G547" i="5"/>
  <c r="G548" i="5"/>
  <c r="G549" i="5"/>
  <c r="G550" i="5"/>
  <c r="G551" i="5"/>
  <c r="G552" i="5"/>
  <c r="G553" i="5"/>
  <c r="G554" i="5"/>
  <c r="I554" i="5" s="1"/>
  <c r="G555" i="5"/>
  <c r="G556" i="5"/>
  <c r="G557" i="5"/>
  <c r="G558" i="5"/>
  <c r="G559" i="5"/>
  <c r="G560" i="5"/>
  <c r="G561" i="5"/>
  <c r="G562" i="5"/>
  <c r="I562" i="5" s="1"/>
  <c r="G563" i="5"/>
  <c r="G564" i="5"/>
  <c r="G565" i="5"/>
  <c r="G566" i="5"/>
  <c r="G567" i="5"/>
  <c r="G568" i="5"/>
  <c r="G569" i="5"/>
  <c r="G570" i="5"/>
  <c r="I570" i="5" s="1"/>
  <c r="G571" i="5"/>
  <c r="G572" i="5"/>
  <c r="G573" i="5"/>
  <c r="G574" i="5"/>
  <c r="G575" i="5"/>
  <c r="G576" i="5"/>
  <c r="G577" i="5"/>
  <c r="G578" i="5"/>
  <c r="I578" i="5" s="1"/>
  <c r="G579" i="5"/>
  <c r="G580" i="5"/>
  <c r="G581" i="5"/>
  <c r="G582" i="5"/>
  <c r="G583" i="5"/>
  <c r="G584" i="5"/>
  <c r="G585" i="5"/>
  <c r="G586" i="5"/>
  <c r="I586" i="5" s="1"/>
  <c r="G587" i="5"/>
  <c r="G588" i="5"/>
  <c r="G589" i="5"/>
  <c r="G590" i="5"/>
  <c r="G591" i="5"/>
  <c r="G592" i="5"/>
  <c r="G593" i="5"/>
  <c r="G594" i="5"/>
  <c r="I594" i="5" s="1"/>
  <c r="G595" i="5"/>
  <c r="G596" i="5"/>
  <c r="G597" i="5"/>
  <c r="G598" i="5"/>
  <c r="G599" i="5"/>
  <c r="G600" i="5"/>
  <c r="G601" i="5"/>
  <c r="G602" i="5"/>
  <c r="I602" i="5" s="1"/>
  <c r="G603" i="5"/>
  <c r="G604" i="5"/>
  <c r="G605" i="5"/>
  <c r="G606" i="5"/>
  <c r="G607" i="5"/>
  <c r="G608" i="5"/>
  <c r="G609" i="5"/>
  <c r="G610" i="5"/>
  <c r="I610" i="5" s="1"/>
  <c r="G611" i="5"/>
  <c r="G612" i="5"/>
  <c r="G613" i="5"/>
  <c r="G614" i="5"/>
  <c r="G615" i="5"/>
  <c r="G616" i="5"/>
  <c r="G617" i="5"/>
  <c r="G618" i="5"/>
  <c r="I618" i="5" s="1"/>
  <c r="G619" i="5"/>
  <c r="G620" i="5"/>
  <c r="G621" i="5"/>
  <c r="G622" i="5"/>
  <c r="G623" i="5"/>
  <c r="G624" i="5"/>
  <c r="G625" i="5"/>
  <c r="G626" i="5"/>
  <c r="I626" i="5" s="1"/>
  <c r="G627" i="5"/>
  <c r="G628" i="5"/>
  <c r="G629" i="5"/>
  <c r="G630" i="5"/>
  <c r="G631" i="5"/>
  <c r="G632" i="5"/>
  <c r="G633" i="5"/>
  <c r="G634" i="5"/>
  <c r="I634" i="5" s="1"/>
  <c r="G635" i="5"/>
  <c r="G636" i="5"/>
  <c r="G637" i="5"/>
  <c r="G638" i="5"/>
  <c r="G639" i="5"/>
  <c r="G640" i="5"/>
  <c r="G641" i="5"/>
  <c r="G642" i="5"/>
  <c r="I642" i="5" s="1"/>
  <c r="G643" i="5"/>
  <c r="G644" i="5"/>
  <c r="G645" i="5"/>
  <c r="G646" i="5"/>
  <c r="G647" i="5"/>
  <c r="G648" i="5"/>
  <c r="G649" i="5"/>
  <c r="G650" i="5"/>
  <c r="I650" i="5" s="1"/>
  <c r="G651" i="5"/>
  <c r="G652" i="5"/>
  <c r="G653" i="5"/>
  <c r="G654" i="5"/>
  <c r="G655" i="5"/>
  <c r="G656" i="5"/>
  <c r="G657" i="5"/>
  <c r="G658" i="5"/>
  <c r="I658" i="5" s="1"/>
  <c r="G659" i="5"/>
  <c r="G660" i="5"/>
  <c r="G661" i="5"/>
  <c r="G662" i="5"/>
  <c r="G663" i="5"/>
  <c r="G664" i="5"/>
  <c r="G665" i="5"/>
  <c r="G666" i="5"/>
  <c r="I666" i="5" s="1"/>
  <c r="G667" i="5"/>
  <c r="G668" i="5"/>
  <c r="G669" i="5"/>
  <c r="G670" i="5"/>
  <c r="G671" i="5"/>
  <c r="G672" i="5"/>
  <c r="G673" i="5"/>
  <c r="G674" i="5"/>
  <c r="I674" i="5" s="1"/>
  <c r="G675" i="5"/>
  <c r="G676" i="5"/>
  <c r="G677" i="5"/>
  <c r="G678" i="5"/>
  <c r="G679" i="5"/>
  <c r="G680" i="5"/>
  <c r="G681" i="5"/>
  <c r="G682" i="5"/>
  <c r="I682" i="5" s="1"/>
  <c r="G683" i="5"/>
  <c r="G684" i="5"/>
  <c r="G685" i="5"/>
  <c r="G686" i="5"/>
  <c r="G687" i="5"/>
  <c r="G688" i="5"/>
  <c r="G689" i="5"/>
  <c r="G690" i="5"/>
  <c r="I690" i="5" s="1"/>
  <c r="G691" i="5"/>
  <c r="G692" i="5"/>
  <c r="G693" i="5"/>
  <c r="G694" i="5"/>
  <c r="G695" i="5"/>
  <c r="G696" i="5"/>
  <c r="G697" i="5"/>
  <c r="G698" i="5"/>
  <c r="I698" i="5" s="1"/>
  <c r="G699" i="5"/>
  <c r="G700" i="5"/>
  <c r="G701" i="5"/>
  <c r="G702" i="5"/>
  <c r="G703" i="5"/>
  <c r="G704" i="5"/>
  <c r="G705" i="5"/>
  <c r="G706" i="5"/>
  <c r="I706" i="5" s="1"/>
  <c r="G707" i="5"/>
  <c r="G708" i="5"/>
  <c r="G709" i="5"/>
  <c r="G710" i="5"/>
  <c r="G711" i="5"/>
  <c r="G712" i="5"/>
  <c r="G713" i="5"/>
  <c r="G714" i="5"/>
  <c r="I714" i="5" s="1"/>
  <c r="G715" i="5"/>
  <c r="G716" i="5"/>
  <c r="G717" i="5"/>
  <c r="G718" i="5"/>
  <c r="G719" i="5"/>
  <c r="G720" i="5"/>
  <c r="G721" i="5"/>
  <c r="G722" i="5"/>
  <c r="I722" i="5" s="1"/>
  <c r="G723" i="5"/>
  <c r="G724" i="5"/>
  <c r="G725" i="5"/>
  <c r="G726" i="5"/>
  <c r="G727" i="5"/>
  <c r="G728" i="5"/>
  <c r="G729" i="5"/>
  <c r="G730" i="5"/>
  <c r="I730" i="5" s="1"/>
  <c r="G731" i="5"/>
  <c r="G732" i="5"/>
  <c r="G733" i="5"/>
  <c r="G734" i="5"/>
  <c r="G735" i="5"/>
  <c r="G736" i="5"/>
  <c r="G737" i="5"/>
  <c r="G738" i="5"/>
  <c r="I738" i="5" s="1"/>
  <c r="G739" i="5"/>
  <c r="G740" i="5"/>
  <c r="G741" i="5"/>
  <c r="G742" i="5"/>
  <c r="G743" i="5"/>
  <c r="G744" i="5"/>
  <c r="G745" i="5"/>
  <c r="G746" i="5"/>
  <c r="I746" i="5" s="1"/>
  <c r="G747" i="5"/>
  <c r="G748" i="5"/>
  <c r="G749" i="5"/>
  <c r="G750" i="5"/>
  <c r="G751" i="5"/>
  <c r="G752" i="5"/>
  <c r="G753" i="5"/>
  <c r="G754" i="5"/>
  <c r="I754" i="5" s="1"/>
  <c r="G755" i="5"/>
  <c r="G756" i="5"/>
  <c r="G757" i="5"/>
  <c r="G758" i="5"/>
  <c r="G759" i="5"/>
  <c r="G760" i="5"/>
  <c r="G761" i="5"/>
  <c r="G762" i="5"/>
  <c r="I762" i="5" s="1"/>
  <c r="G763" i="5"/>
  <c r="G764" i="5"/>
  <c r="G765" i="5"/>
  <c r="G766" i="5"/>
  <c r="G767" i="5"/>
  <c r="G768" i="5"/>
  <c r="G769" i="5"/>
  <c r="G770" i="5"/>
  <c r="I770" i="5" s="1"/>
  <c r="G771" i="5"/>
  <c r="G772" i="5"/>
  <c r="G773" i="5"/>
  <c r="G774" i="5"/>
  <c r="G775" i="5"/>
  <c r="G776" i="5"/>
  <c r="G777" i="5"/>
  <c r="G778" i="5"/>
  <c r="I778" i="5" s="1"/>
  <c r="G779" i="5"/>
  <c r="G780" i="5"/>
  <c r="G781" i="5"/>
  <c r="G782" i="5"/>
  <c r="G783" i="5"/>
  <c r="G784" i="5"/>
  <c r="G785" i="5"/>
  <c r="G786" i="5"/>
  <c r="I786" i="5" s="1"/>
  <c r="G787" i="5"/>
  <c r="G788" i="5"/>
  <c r="G789" i="5"/>
  <c r="G790" i="5"/>
  <c r="G791" i="5"/>
  <c r="G792" i="5"/>
  <c r="G793" i="5"/>
  <c r="G794" i="5"/>
  <c r="I794" i="5" s="1"/>
  <c r="G795" i="5"/>
  <c r="G796" i="5"/>
  <c r="G797" i="5"/>
  <c r="G798" i="5"/>
  <c r="G799" i="5"/>
  <c r="G800" i="5"/>
  <c r="G801" i="5"/>
  <c r="G802" i="5"/>
  <c r="I802" i="5" s="1"/>
  <c r="G803" i="5"/>
  <c r="G804" i="5"/>
  <c r="G805" i="5"/>
  <c r="G806" i="5"/>
  <c r="G807" i="5"/>
  <c r="G808" i="5"/>
  <c r="G809" i="5"/>
  <c r="G810" i="5"/>
  <c r="I810" i="5" s="1"/>
  <c r="G811" i="5"/>
  <c r="G812" i="5"/>
  <c r="G813" i="5"/>
  <c r="G814" i="5"/>
  <c r="G815" i="5"/>
  <c r="G816" i="5"/>
  <c r="G817" i="5"/>
  <c r="G818" i="5"/>
  <c r="I818" i="5" s="1"/>
  <c r="G819" i="5"/>
  <c r="G820" i="5"/>
  <c r="G821" i="5"/>
  <c r="G822" i="5"/>
  <c r="G823" i="5"/>
  <c r="G824" i="5"/>
  <c r="G825" i="5"/>
  <c r="G826" i="5"/>
  <c r="I826" i="5" s="1"/>
  <c r="G827" i="5"/>
  <c r="G828" i="5"/>
  <c r="G829" i="5"/>
  <c r="G830" i="5"/>
  <c r="G831" i="5"/>
  <c r="G832" i="5"/>
  <c r="G833" i="5"/>
  <c r="G834" i="5"/>
  <c r="I834" i="5" s="1"/>
  <c r="G835" i="5"/>
  <c r="G836" i="5"/>
  <c r="G837" i="5"/>
  <c r="G838" i="5"/>
  <c r="G839" i="5"/>
  <c r="G840" i="5"/>
  <c r="G841" i="5"/>
  <c r="G842" i="5"/>
  <c r="I842" i="5" s="1"/>
  <c r="G843" i="5"/>
  <c r="G844" i="5"/>
  <c r="G845" i="5"/>
  <c r="G846" i="5"/>
  <c r="G847" i="5"/>
  <c r="G848" i="5"/>
  <c r="G849" i="5"/>
  <c r="G850" i="5"/>
  <c r="I850" i="5" s="1"/>
  <c r="G851" i="5"/>
  <c r="G852" i="5"/>
  <c r="G853" i="5"/>
  <c r="G854" i="5"/>
  <c r="G855" i="5"/>
  <c r="G856" i="5"/>
  <c r="G857" i="5"/>
  <c r="G858" i="5"/>
  <c r="I858" i="5" s="1"/>
  <c r="G859" i="5"/>
  <c r="G860" i="5"/>
  <c r="G861" i="5"/>
  <c r="G862" i="5"/>
  <c r="G863" i="5"/>
  <c r="G864" i="5"/>
  <c r="G865" i="5"/>
  <c r="G866" i="5"/>
  <c r="I866" i="5" s="1"/>
  <c r="G867" i="5"/>
  <c r="G868" i="5"/>
  <c r="G869" i="5"/>
  <c r="G870" i="5"/>
  <c r="G871" i="5"/>
  <c r="G872" i="5"/>
  <c r="G873" i="5"/>
  <c r="G874" i="5"/>
  <c r="I874" i="5" s="1"/>
  <c r="G875" i="5"/>
  <c r="G876" i="5"/>
  <c r="G877" i="5"/>
  <c r="G878" i="5"/>
  <c r="G879" i="5"/>
  <c r="G880" i="5"/>
  <c r="G881" i="5"/>
  <c r="G882" i="5"/>
  <c r="I882" i="5" s="1"/>
  <c r="G883" i="5"/>
  <c r="G884" i="5"/>
  <c r="G885" i="5"/>
  <c r="G886" i="5"/>
  <c r="G887" i="5"/>
  <c r="G888" i="5"/>
  <c r="G889" i="5"/>
  <c r="G890" i="5"/>
  <c r="I890" i="5" s="1"/>
  <c r="G891" i="5"/>
  <c r="G892" i="5"/>
  <c r="G893" i="5"/>
  <c r="G894" i="5"/>
  <c r="G895" i="5"/>
  <c r="G896" i="5"/>
  <c r="G897" i="5"/>
  <c r="G898" i="5"/>
  <c r="I898" i="5" s="1"/>
  <c r="G899" i="5"/>
  <c r="G900" i="5"/>
  <c r="G901" i="5"/>
  <c r="G902" i="5"/>
  <c r="G903" i="5"/>
  <c r="G904" i="5"/>
  <c r="G905" i="5"/>
  <c r="G906" i="5"/>
  <c r="I906" i="5" s="1"/>
  <c r="G907" i="5"/>
  <c r="G908" i="5"/>
  <c r="G909" i="5"/>
  <c r="G910" i="5"/>
  <c r="G911" i="5"/>
  <c r="G912" i="5"/>
  <c r="G913" i="5"/>
  <c r="G914" i="5"/>
  <c r="I914" i="5" s="1"/>
  <c r="G915" i="5"/>
  <c r="G916" i="5"/>
  <c r="G917" i="5"/>
  <c r="G918" i="5"/>
  <c r="G919" i="5"/>
  <c r="G920" i="5"/>
  <c r="G921" i="5"/>
  <c r="G922" i="5"/>
  <c r="I922" i="5" s="1"/>
  <c r="G923" i="5"/>
  <c r="G924" i="5"/>
  <c r="G925" i="5"/>
  <c r="G926" i="5"/>
  <c r="G927" i="5"/>
  <c r="G928" i="5"/>
  <c r="G929" i="5"/>
  <c r="G930" i="5"/>
  <c r="I930" i="5" s="1"/>
  <c r="G931" i="5"/>
  <c r="G932" i="5"/>
  <c r="G933" i="5"/>
  <c r="G934" i="5"/>
  <c r="G935" i="5"/>
  <c r="G936" i="5"/>
  <c r="G937" i="5"/>
  <c r="G938" i="5"/>
  <c r="I938" i="5" s="1"/>
  <c r="G939" i="5"/>
  <c r="G940" i="5"/>
  <c r="G941" i="5"/>
  <c r="G942" i="5"/>
  <c r="G943" i="5"/>
  <c r="G944" i="5"/>
  <c r="G945" i="5"/>
  <c r="G946" i="5"/>
  <c r="I946" i="5" s="1"/>
  <c r="G947" i="5"/>
  <c r="G948" i="5"/>
  <c r="G949" i="5"/>
  <c r="G950" i="5"/>
  <c r="G951" i="5"/>
  <c r="G952" i="5"/>
  <c r="G953" i="5"/>
  <c r="G954" i="5"/>
  <c r="I954" i="5" s="1"/>
  <c r="G955" i="5"/>
  <c r="G956" i="5"/>
  <c r="G957" i="5"/>
  <c r="G958" i="5"/>
  <c r="G959" i="5"/>
  <c r="G960" i="5"/>
  <c r="G961" i="5"/>
  <c r="G962" i="5"/>
  <c r="I962" i="5" s="1"/>
  <c r="G963" i="5"/>
  <c r="G964" i="5"/>
  <c r="G965" i="5"/>
  <c r="G966" i="5"/>
  <c r="G967" i="5"/>
  <c r="G968" i="5"/>
  <c r="G969" i="5"/>
  <c r="G970" i="5"/>
  <c r="I970" i="5" s="1"/>
  <c r="G971" i="5"/>
  <c r="G972" i="5"/>
  <c r="G973" i="5"/>
  <c r="G974" i="5"/>
  <c r="G975" i="5"/>
  <c r="G976" i="5"/>
  <c r="G977" i="5"/>
  <c r="G978" i="5"/>
  <c r="I978" i="5" s="1"/>
  <c r="G979" i="5"/>
  <c r="G980" i="5"/>
  <c r="G981" i="5"/>
  <c r="G982" i="5"/>
  <c r="G983" i="5"/>
  <c r="G984" i="5"/>
  <c r="G985" i="5"/>
  <c r="G986" i="5"/>
  <c r="I986" i="5" s="1"/>
  <c r="G987" i="5"/>
  <c r="G988" i="5"/>
  <c r="G989" i="5"/>
  <c r="G990" i="5"/>
  <c r="G991" i="5"/>
  <c r="G992" i="5"/>
  <c r="G993" i="5"/>
  <c r="G994" i="5"/>
  <c r="I994" i="5" s="1"/>
  <c r="G995" i="5"/>
  <c r="G996" i="5"/>
  <c r="G997" i="5"/>
  <c r="G998" i="5"/>
  <c r="G999" i="5"/>
  <c r="G1000" i="5"/>
  <c r="G1001" i="5"/>
  <c r="G1002" i="5"/>
  <c r="I1002" i="5" s="1"/>
  <c r="G1003" i="5"/>
  <c r="G1004" i="5"/>
  <c r="G1005" i="5"/>
  <c r="G1006" i="5"/>
  <c r="G1007" i="5"/>
  <c r="G1008" i="5"/>
  <c r="G1009" i="5"/>
  <c r="G1010" i="5"/>
  <c r="I1010" i="5" s="1"/>
  <c r="G1011" i="5"/>
  <c r="G1012" i="5"/>
  <c r="G1013" i="5"/>
  <c r="G1014" i="5"/>
  <c r="G1015" i="5"/>
  <c r="G1016" i="5"/>
  <c r="G1017" i="5"/>
  <c r="G1018" i="5"/>
  <c r="I1018" i="5" s="1"/>
  <c r="G1019" i="5"/>
  <c r="G1020" i="5"/>
  <c r="G1021" i="5"/>
  <c r="G1022" i="5"/>
  <c r="G1023" i="5"/>
  <c r="G1024" i="5"/>
  <c r="G1025" i="5"/>
  <c r="G1026" i="5"/>
  <c r="I1026" i="5" s="1"/>
  <c r="G1027" i="5"/>
  <c r="G1028" i="5"/>
  <c r="G1029" i="5"/>
  <c r="G1030" i="5"/>
  <c r="G1031" i="5"/>
  <c r="G1032" i="5"/>
  <c r="G1033" i="5"/>
  <c r="G1034" i="5"/>
  <c r="I1034" i="5" s="1"/>
  <c r="G1035" i="5"/>
  <c r="G1036" i="5"/>
  <c r="G1037" i="5"/>
  <c r="G1038" i="5"/>
  <c r="G1039" i="5"/>
  <c r="G1040" i="5"/>
  <c r="G1041" i="5"/>
  <c r="G1042" i="5"/>
  <c r="I1042" i="5" s="1"/>
  <c r="G1043" i="5"/>
  <c r="G1044" i="5"/>
  <c r="G1045" i="5"/>
  <c r="G1046" i="5"/>
  <c r="G1047" i="5"/>
  <c r="G1048" i="5"/>
  <c r="G1049" i="5"/>
  <c r="G1050" i="5"/>
  <c r="I1050" i="5" s="1"/>
  <c r="G1051" i="5"/>
  <c r="G1052" i="5"/>
  <c r="G1053" i="5"/>
  <c r="G1054" i="5"/>
  <c r="G1055" i="5"/>
  <c r="G1056" i="5"/>
  <c r="G1057" i="5"/>
  <c r="G1058" i="5"/>
  <c r="I1058" i="5" s="1"/>
  <c r="G1059" i="5"/>
  <c r="G1060" i="5"/>
  <c r="G1061" i="5"/>
  <c r="G1062" i="5"/>
  <c r="G1063" i="5"/>
  <c r="G1064" i="5"/>
  <c r="G1065" i="5"/>
  <c r="G1066" i="5"/>
  <c r="I1066" i="5" s="1"/>
  <c r="G1067" i="5"/>
  <c r="G1068" i="5"/>
  <c r="G1069" i="5"/>
  <c r="G1070" i="5"/>
  <c r="G1071" i="5"/>
  <c r="G1072" i="5"/>
  <c r="G1073" i="5"/>
  <c r="G1074" i="5"/>
  <c r="I1074" i="5" s="1"/>
  <c r="G1075" i="5"/>
  <c r="G1076" i="5"/>
  <c r="G1077" i="5"/>
  <c r="G1078" i="5"/>
  <c r="G1079" i="5"/>
  <c r="G1080" i="5"/>
  <c r="G1081" i="5"/>
  <c r="G1082" i="5"/>
  <c r="I1082" i="5" s="1"/>
  <c r="G1083" i="5"/>
  <c r="G1084" i="5"/>
  <c r="G1085" i="5"/>
  <c r="G1086" i="5"/>
  <c r="G1087" i="5"/>
  <c r="G1088" i="5"/>
  <c r="G1089" i="5"/>
  <c r="G1090" i="5"/>
  <c r="I1090" i="5" s="1"/>
  <c r="G1091" i="5"/>
  <c r="G1092" i="5"/>
  <c r="G1093" i="5"/>
  <c r="G1094" i="5"/>
  <c r="G1095" i="5"/>
  <c r="G1096" i="5"/>
  <c r="G1097" i="5"/>
  <c r="G1098" i="5"/>
  <c r="I1098" i="5" s="1"/>
  <c r="G1099" i="5"/>
  <c r="G1100" i="5"/>
  <c r="G1101" i="5"/>
  <c r="G1102" i="5"/>
  <c r="G1103" i="5"/>
  <c r="G1104" i="5"/>
  <c r="G1105" i="5"/>
  <c r="G1106" i="5"/>
  <c r="I1106" i="5" s="1"/>
  <c r="G1107" i="5"/>
  <c r="G1108" i="5"/>
  <c r="G1109" i="5"/>
  <c r="G1110" i="5"/>
  <c r="G1111" i="5"/>
  <c r="G1112" i="5"/>
  <c r="G1113" i="5"/>
  <c r="G1114" i="5"/>
  <c r="I1114" i="5" s="1"/>
  <c r="G1115" i="5"/>
  <c r="G1116" i="5"/>
  <c r="G1117" i="5"/>
  <c r="G1118" i="5"/>
  <c r="G1119" i="5"/>
  <c r="G1120" i="5"/>
  <c r="G1121" i="5"/>
  <c r="G1122" i="5"/>
  <c r="I1122" i="5" s="1"/>
  <c r="G1123" i="5"/>
  <c r="G1124" i="5"/>
  <c r="G1125" i="5"/>
  <c r="G1126" i="5"/>
  <c r="G1127" i="5"/>
  <c r="G1128" i="5"/>
  <c r="G1129" i="5"/>
  <c r="G1130" i="5"/>
  <c r="I1130" i="5" s="1"/>
  <c r="G1131" i="5"/>
  <c r="G1132" i="5"/>
  <c r="G1133" i="5"/>
  <c r="G1134" i="5"/>
  <c r="G1135" i="5"/>
  <c r="G1136" i="5"/>
  <c r="G1137" i="5"/>
  <c r="G1138" i="5"/>
  <c r="I1138" i="5" s="1"/>
  <c r="G1139" i="5"/>
  <c r="G1140" i="5"/>
  <c r="G1141" i="5"/>
  <c r="G1142" i="5"/>
  <c r="G1143" i="5"/>
  <c r="G1144" i="5"/>
  <c r="G1145" i="5"/>
  <c r="G1146" i="5"/>
  <c r="I1146" i="5" s="1"/>
  <c r="G1147" i="5"/>
  <c r="G1148" i="5"/>
  <c r="G1149" i="5"/>
  <c r="G1150" i="5"/>
  <c r="G1151" i="5"/>
  <c r="G1152" i="5"/>
  <c r="G1153" i="5"/>
  <c r="G1154" i="5"/>
  <c r="I1154" i="5" s="1"/>
  <c r="G1155" i="5"/>
  <c r="G1156" i="5"/>
  <c r="G1157" i="5"/>
  <c r="G1158" i="5"/>
  <c r="G1159" i="5"/>
  <c r="G1160" i="5"/>
  <c r="G1161" i="5"/>
  <c r="G1162" i="5"/>
  <c r="I1162" i="5" s="1"/>
  <c r="G1163" i="5"/>
  <c r="G1164" i="5"/>
  <c r="G1165" i="5"/>
  <c r="G1166" i="5"/>
  <c r="G1167" i="5"/>
  <c r="G1168" i="5"/>
  <c r="G1169" i="5"/>
  <c r="G1170" i="5"/>
  <c r="I1170" i="5" s="1"/>
  <c r="G1171" i="5"/>
  <c r="G1172" i="5"/>
  <c r="G1173" i="5"/>
  <c r="G1174" i="5"/>
  <c r="G1175" i="5"/>
  <c r="G1176" i="5"/>
  <c r="G1177" i="5"/>
  <c r="G1178" i="5"/>
  <c r="I1178" i="5" s="1"/>
  <c r="G1179" i="5"/>
  <c r="G1180" i="5"/>
  <c r="G1181" i="5"/>
  <c r="G1182" i="5"/>
  <c r="G1183" i="5"/>
  <c r="G1184" i="5"/>
  <c r="G1185" i="5"/>
  <c r="G1186" i="5"/>
  <c r="I1186" i="5" s="1"/>
  <c r="G1187" i="5"/>
  <c r="G1188" i="5"/>
  <c r="G1189" i="5"/>
  <c r="G1190" i="5"/>
  <c r="G1191" i="5"/>
  <c r="G1192" i="5"/>
  <c r="G1193" i="5"/>
  <c r="G1194" i="5"/>
  <c r="I1194" i="5" s="1"/>
  <c r="G1195" i="5"/>
  <c r="G1196" i="5"/>
  <c r="G1197" i="5"/>
  <c r="G1198" i="5"/>
  <c r="G1199" i="5"/>
  <c r="G1200" i="5"/>
  <c r="G1201" i="5"/>
  <c r="G1202" i="5"/>
  <c r="I1202" i="5" s="1"/>
  <c r="G1203" i="5"/>
  <c r="G1204" i="5"/>
  <c r="G1205" i="5"/>
  <c r="G1206" i="5"/>
  <c r="G1207" i="5"/>
  <c r="G1208" i="5"/>
  <c r="G1209" i="5"/>
  <c r="G1210" i="5"/>
  <c r="I1210" i="5" s="1"/>
  <c r="G1211" i="5"/>
  <c r="G1212" i="5"/>
  <c r="G1213" i="5"/>
  <c r="G1214" i="5"/>
  <c r="G1215" i="5"/>
  <c r="G1216" i="5"/>
  <c r="G1217" i="5"/>
  <c r="G1218" i="5"/>
  <c r="I1218" i="5" s="1"/>
  <c r="G1219" i="5"/>
  <c r="G1220" i="5"/>
  <c r="G1221" i="5"/>
  <c r="G1222" i="5"/>
  <c r="G1223" i="5"/>
  <c r="G1224" i="5"/>
  <c r="G1225" i="5"/>
  <c r="G1226" i="5"/>
  <c r="I1226" i="5" s="1"/>
  <c r="G1227" i="5"/>
  <c r="G1228" i="5"/>
  <c r="G1229" i="5"/>
  <c r="G1230" i="5"/>
  <c r="G1231" i="5"/>
  <c r="G1232" i="5"/>
  <c r="G1233" i="5"/>
  <c r="G1234" i="5"/>
  <c r="I1234" i="5" s="1"/>
  <c r="G1235" i="5"/>
  <c r="G1236" i="5"/>
  <c r="G1237" i="5"/>
  <c r="G1238" i="5"/>
  <c r="G1239" i="5"/>
  <c r="G1240" i="5"/>
  <c r="G1241" i="5"/>
  <c r="G1242" i="5"/>
  <c r="I1242" i="5" s="1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I1258" i="5" s="1"/>
  <c r="G1259" i="5"/>
  <c r="G1260" i="5"/>
  <c r="G1261" i="5"/>
  <c r="G1262" i="5"/>
  <c r="G1263" i="5"/>
  <c r="G1264" i="5"/>
  <c r="G1265" i="5"/>
  <c r="G1266" i="5"/>
  <c r="I1266" i="5" s="1"/>
  <c r="G1267" i="5"/>
  <c r="G1268" i="5"/>
  <c r="G1269" i="5"/>
  <c r="G1270" i="5"/>
  <c r="G1271" i="5"/>
  <c r="G1272" i="5"/>
  <c r="G1273" i="5"/>
  <c r="G1274" i="5"/>
  <c r="I1274" i="5" s="1"/>
  <c r="G1275" i="5"/>
  <c r="G1276" i="5"/>
  <c r="G1277" i="5"/>
  <c r="G1278" i="5"/>
  <c r="G1279" i="5"/>
  <c r="G1280" i="5"/>
  <c r="G1281" i="5"/>
  <c r="G1282" i="5"/>
  <c r="I1282" i="5" s="1"/>
  <c r="G1283" i="5"/>
  <c r="G1284" i="5"/>
  <c r="G1285" i="5"/>
  <c r="G1286" i="5"/>
  <c r="G1287" i="5"/>
  <c r="G1288" i="5"/>
  <c r="G1289" i="5"/>
  <c r="G1290" i="5"/>
  <c r="I1290" i="5" s="1"/>
  <c r="G1291" i="5"/>
  <c r="G1292" i="5"/>
  <c r="G1293" i="5"/>
  <c r="G1294" i="5"/>
  <c r="G1295" i="5"/>
  <c r="G1296" i="5"/>
  <c r="G1297" i="5"/>
  <c r="G1298" i="5"/>
  <c r="I1298" i="5" s="1"/>
  <c r="G1299" i="5"/>
  <c r="G1300" i="5"/>
  <c r="G1301" i="5"/>
  <c r="G1302" i="5"/>
  <c r="G1303" i="5"/>
  <c r="G1304" i="5"/>
  <c r="G1305" i="5"/>
  <c r="G1306" i="5"/>
  <c r="I1306" i="5" s="1"/>
  <c r="G1307" i="5"/>
  <c r="G1308" i="5"/>
  <c r="G1309" i="5"/>
  <c r="G1310" i="5"/>
  <c r="G1311" i="5"/>
  <c r="G1312" i="5"/>
  <c r="G1313" i="5"/>
  <c r="G1314" i="5"/>
  <c r="I1314" i="5" s="1"/>
  <c r="G1315" i="5"/>
  <c r="G1316" i="5"/>
  <c r="G1317" i="5"/>
  <c r="G1318" i="5"/>
  <c r="G1319" i="5"/>
  <c r="G1320" i="5"/>
  <c r="G1321" i="5"/>
  <c r="G1322" i="5"/>
  <c r="I1322" i="5" s="1"/>
  <c r="G1323" i="5"/>
  <c r="G1324" i="5"/>
  <c r="G1325" i="5"/>
  <c r="G1326" i="5"/>
  <c r="G1327" i="5"/>
  <c r="G1328" i="5"/>
  <c r="G1329" i="5"/>
  <c r="G1330" i="5"/>
  <c r="I1330" i="5" s="1"/>
  <c r="G1331" i="5"/>
  <c r="G1332" i="5"/>
  <c r="G1333" i="5"/>
  <c r="G1334" i="5"/>
  <c r="G1335" i="5"/>
  <c r="G1336" i="5"/>
  <c r="G1337" i="5"/>
  <c r="G1338" i="5"/>
  <c r="I1338" i="5" s="1"/>
  <c r="G1339" i="5"/>
  <c r="G1340" i="5"/>
  <c r="G1341" i="5"/>
  <c r="G1342" i="5"/>
  <c r="G1343" i="5"/>
  <c r="G1344" i="5"/>
  <c r="G1345" i="5"/>
  <c r="G1346" i="5"/>
  <c r="I1346" i="5" s="1"/>
  <c r="G1347" i="5"/>
  <c r="G1348" i="5"/>
  <c r="G1349" i="5"/>
  <c r="G1350" i="5"/>
  <c r="G1351" i="5"/>
  <c r="G1352" i="5"/>
  <c r="G1353" i="5"/>
  <c r="G1354" i="5"/>
  <c r="I1354" i="5" s="1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I1370" i="5" s="1"/>
  <c r="G1371" i="5"/>
  <c r="G1372" i="5"/>
  <c r="G1373" i="5"/>
  <c r="G1374" i="5"/>
  <c r="G1375" i="5"/>
  <c r="G1376" i="5"/>
  <c r="G1377" i="5"/>
  <c r="G1378" i="5"/>
  <c r="I1378" i="5" s="1"/>
  <c r="G1379" i="5"/>
  <c r="G1380" i="5"/>
  <c r="G1381" i="5"/>
  <c r="G1382" i="5"/>
  <c r="G1383" i="5"/>
  <c r="G1384" i="5"/>
  <c r="G1385" i="5"/>
  <c r="G1386" i="5"/>
  <c r="I1386" i="5" s="1"/>
  <c r="G1387" i="5"/>
  <c r="G1388" i="5"/>
  <c r="G1389" i="5"/>
  <c r="G1390" i="5"/>
  <c r="G1391" i="5"/>
  <c r="G1392" i="5"/>
  <c r="G1393" i="5"/>
  <c r="G1394" i="5"/>
  <c r="I1394" i="5" s="1"/>
  <c r="G1395" i="5"/>
  <c r="G1396" i="5"/>
  <c r="G1397" i="5"/>
  <c r="G1398" i="5"/>
  <c r="G1399" i="5"/>
  <c r="G1400" i="5"/>
  <c r="G1401" i="5"/>
  <c r="G1402" i="5"/>
  <c r="I1402" i="5" s="1"/>
  <c r="G1403" i="5"/>
  <c r="G1404" i="5"/>
  <c r="G1405" i="5"/>
  <c r="G1406" i="5"/>
  <c r="G1407" i="5"/>
  <c r="G1408" i="5"/>
  <c r="G1409" i="5"/>
  <c r="G1410" i="5"/>
  <c r="I1410" i="5" s="1"/>
  <c r="G1411" i="5"/>
  <c r="G1412" i="5"/>
  <c r="G1413" i="5"/>
  <c r="G1414" i="5"/>
  <c r="G1415" i="5"/>
  <c r="G1416" i="5"/>
  <c r="G1417" i="5"/>
  <c r="G1418" i="5"/>
  <c r="I1418" i="5" s="1"/>
  <c r="G1419" i="5"/>
  <c r="G1420" i="5"/>
  <c r="G1421" i="5"/>
  <c r="G1422" i="5"/>
  <c r="G1423" i="5"/>
  <c r="G1424" i="5"/>
  <c r="G1425" i="5"/>
  <c r="G1426" i="5"/>
  <c r="I1426" i="5" s="1"/>
  <c r="G1427" i="5"/>
  <c r="G1428" i="5"/>
  <c r="G1429" i="5"/>
  <c r="G1430" i="5"/>
  <c r="G1431" i="5"/>
  <c r="G1432" i="5"/>
  <c r="G1433" i="5"/>
  <c r="G1434" i="5"/>
  <c r="I1434" i="5" s="1"/>
  <c r="G1435" i="5"/>
  <c r="G1436" i="5"/>
  <c r="G1437" i="5"/>
  <c r="G1438" i="5"/>
  <c r="G1439" i="5"/>
  <c r="G1440" i="5"/>
  <c r="G1441" i="5"/>
  <c r="G1442" i="5"/>
  <c r="I1442" i="5" s="1"/>
  <c r="G1443" i="5"/>
  <c r="G1444" i="5"/>
  <c r="G1445" i="5"/>
  <c r="G1446" i="5"/>
  <c r="G1447" i="5"/>
  <c r="G1448" i="5"/>
  <c r="G1449" i="5"/>
  <c r="G1450" i="5"/>
  <c r="I1450" i="5" s="1"/>
  <c r="G1451" i="5"/>
  <c r="G1452" i="5"/>
  <c r="G1453" i="5"/>
  <c r="G1454" i="5"/>
  <c r="G1455" i="5"/>
  <c r="G1456" i="5"/>
  <c r="G1457" i="5"/>
  <c r="G1458" i="5"/>
  <c r="I1458" i="5" s="1"/>
  <c r="G1459" i="5"/>
  <c r="G1460" i="5"/>
  <c r="G1461" i="5"/>
  <c r="G1462" i="5"/>
  <c r="G1463" i="5"/>
  <c r="G1464" i="5"/>
  <c r="G1465" i="5"/>
  <c r="G1466" i="5"/>
  <c r="I1466" i="5" s="1"/>
  <c r="G1467" i="5"/>
  <c r="G1468" i="5"/>
  <c r="G1469" i="5"/>
  <c r="G1470" i="5"/>
  <c r="G1471" i="5"/>
  <c r="G1472" i="5"/>
  <c r="G1473" i="5"/>
  <c r="G1474" i="5"/>
  <c r="I1474" i="5" s="1"/>
  <c r="G1475" i="5"/>
  <c r="G1476" i="5"/>
  <c r="G1477" i="5"/>
  <c r="G1478" i="5"/>
  <c r="G1479" i="5"/>
  <c r="G1480" i="5"/>
  <c r="G1481" i="5"/>
  <c r="G1482" i="5"/>
  <c r="I1482" i="5" s="1"/>
  <c r="G1483" i="5"/>
  <c r="G1484" i="5"/>
  <c r="G1485" i="5"/>
  <c r="G1486" i="5"/>
  <c r="G1487" i="5"/>
  <c r="G1488" i="5"/>
  <c r="G1489" i="5"/>
  <c r="G1490" i="5"/>
  <c r="I1490" i="5" s="1"/>
  <c r="G1491" i="5"/>
  <c r="G1492" i="5"/>
  <c r="G1493" i="5"/>
  <c r="G1494" i="5"/>
  <c r="G1495" i="5"/>
  <c r="G1496" i="5"/>
  <c r="G1497" i="5"/>
  <c r="G1498" i="5"/>
  <c r="I1498" i="5" s="1"/>
  <c r="G1499" i="5"/>
  <c r="G1500" i="5"/>
  <c r="G1501" i="5"/>
  <c r="G1502" i="5"/>
  <c r="G1503" i="5"/>
  <c r="G1504" i="5"/>
  <c r="G1505" i="5"/>
  <c r="G1506" i="5"/>
  <c r="I1506" i="5" s="1"/>
  <c r="G1507" i="5"/>
  <c r="G1508" i="5"/>
  <c r="G1509" i="5"/>
  <c r="G1510" i="5"/>
  <c r="G1511" i="5"/>
  <c r="G1512" i="5"/>
  <c r="G1513" i="5"/>
  <c r="G1514" i="5"/>
  <c r="I1514" i="5" s="1"/>
  <c r="G1515" i="5"/>
  <c r="G1516" i="5"/>
  <c r="G1517" i="5"/>
  <c r="G1518" i="5"/>
  <c r="G1519" i="5"/>
  <c r="G1520" i="5"/>
  <c r="G1521" i="5"/>
  <c r="G1522" i="5"/>
  <c r="I1522" i="5" s="1"/>
  <c r="G1523" i="5"/>
  <c r="G1524" i="5"/>
  <c r="G1525" i="5"/>
  <c r="G1526" i="5"/>
  <c r="G1527" i="5"/>
  <c r="G1528" i="5"/>
  <c r="G1529" i="5"/>
  <c r="G1530" i="5"/>
  <c r="I1530" i="5" s="1"/>
  <c r="G1531" i="5"/>
  <c r="G1532" i="5"/>
  <c r="G1533" i="5"/>
  <c r="G1534" i="5"/>
  <c r="G1535" i="5"/>
  <c r="G1536" i="5"/>
  <c r="G1537" i="5"/>
  <c r="G1538" i="5"/>
  <c r="I1538" i="5" s="1"/>
  <c r="G1539" i="5"/>
  <c r="G1540" i="5"/>
  <c r="G1541" i="5"/>
  <c r="G1542" i="5"/>
  <c r="G1543" i="5"/>
  <c r="G1544" i="5"/>
  <c r="G1545" i="5"/>
  <c r="G1546" i="5"/>
  <c r="I1546" i="5" s="1"/>
  <c r="G1547" i="5"/>
  <c r="G1548" i="5"/>
  <c r="G1549" i="5"/>
  <c r="G1550" i="5"/>
  <c r="G1551" i="5"/>
  <c r="G1552" i="5"/>
  <c r="G1553" i="5"/>
  <c r="G1554" i="5"/>
  <c r="I1554" i="5" s="1"/>
  <c r="G1555" i="5"/>
  <c r="G1556" i="5"/>
  <c r="G1557" i="5"/>
  <c r="G1558" i="5"/>
  <c r="G1559" i="5"/>
  <c r="G1560" i="5"/>
  <c r="G1561" i="5"/>
  <c r="G1562" i="5"/>
  <c r="I1562" i="5" s="1"/>
  <c r="G1563" i="5"/>
  <c r="G1564" i="5"/>
  <c r="G1565" i="5"/>
  <c r="G1566" i="5"/>
  <c r="G1567" i="5"/>
  <c r="G1568" i="5"/>
  <c r="G1569" i="5"/>
  <c r="G1570" i="5"/>
  <c r="I1570" i="5" s="1"/>
  <c r="G1571" i="5"/>
  <c r="G1572" i="5"/>
  <c r="G1573" i="5"/>
  <c r="G1574" i="5"/>
  <c r="G1575" i="5"/>
  <c r="G1576" i="5"/>
  <c r="G1577" i="5"/>
  <c r="G1578" i="5"/>
  <c r="I1578" i="5" s="1"/>
  <c r="G1579" i="5"/>
  <c r="G1580" i="5"/>
  <c r="G1581" i="5"/>
  <c r="G1582" i="5"/>
  <c r="G1583" i="5"/>
  <c r="G1584" i="5"/>
  <c r="G1585" i="5"/>
  <c r="G1586" i="5"/>
  <c r="I1586" i="5" s="1"/>
  <c r="G1587" i="5"/>
  <c r="G1588" i="5"/>
  <c r="G1589" i="5"/>
  <c r="G1590" i="5"/>
  <c r="G1591" i="5"/>
  <c r="G1592" i="5"/>
  <c r="G1593" i="5"/>
  <c r="G1594" i="5"/>
  <c r="I1594" i="5" s="1"/>
  <c r="G1595" i="5"/>
  <c r="G1596" i="5"/>
  <c r="G1597" i="5"/>
  <c r="G1598" i="5"/>
  <c r="G1599" i="5"/>
  <c r="G1600" i="5"/>
  <c r="G1601" i="5"/>
  <c r="G1602" i="5"/>
  <c r="I1602" i="5" s="1"/>
  <c r="G1603" i="5"/>
  <c r="G1604" i="5"/>
  <c r="G1605" i="5"/>
  <c r="G1606" i="5"/>
  <c r="G1607" i="5"/>
  <c r="G1608" i="5"/>
  <c r="G1609" i="5"/>
  <c r="G1610" i="5"/>
  <c r="I1610" i="5" s="1"/>
  <c r="G1611" i="5"/>
  <c r="G1612" i="5"/>
  <c r="G1613" i="5"/>
  <c r="G1614" i="5"/>
  <c r="G1615" i="5"/>
  <c r="G1616" i="5"/>
  <c r="G1617" i="5"/>
  <c r="G1618" i="5"/>
  <c r="I1618" i="5" s="1"/>
  <c r="G1619" i="5"/>
  <c r="G1620" i="5"/>
  <c r="G1621" i="5"/>
  <c r="G1622" i="5"/>
  <c r="G1623" i="5"/>
  <c r="G1624" i="5"/>
  <c r="G1625" i="5"/>
  <c r="G1626" i="5"/>
  <c r="I1626" i="5" s="1"/>
  <c r="G1627" i="5"/>
  <c r="G1628" i="5"/>
  <c r="G1629" i="5"/>
  <c r="G1630" i="5"/>
  <c r="G1631" i="5"/>
  <c r="G1632" i="5"/>
  <c r="G1633" i="5"/>
  <c r="G1634" i="5"/>
  <c r="I1634" i="5" s="1"/>
  <c r="G1635" i="5"/>
  <c r="G1636" i="5"/>
  <c r="G1637" i="5"/>
  <c r="G1638" i="5"/>
  <c r="G1639" i="5"/>
  <c r="G1640" i="5"/>
  <c r="G1641" i="5"/>
  <c r="G1642" i="5"/>
  <c r="I1642" i="5" s="1"/>
  <c r="G1643" i="5"/>
  <c r="G1644" i="5"/>
  <c r="G1645" i="5"/>
  <c r="G1646" i="5"/>
  <c r="G1647" i="5"/>
  <c r="G1648" i="5"/>
  <c r="G1649" i="5"/>
  <c r="G1650" i="5"/>
  <c r="I1650" i="5" s="1"/>
  <c r="G1651" i="5"/>
  <c r="G1652" i="5"/>
  <c r="G1653" i="5"/>
  <c r="G1654" i="5"/>
  <c r="G1655" i="5"/>
  <c r="G1656" i="5"/>
  <c r="G1657" i="5"/>
  <c r="G1658" i="5"/>
  <c r="I1658" i="5" s="1"/>
  <c r="G1659" i="5"/>
  <c r="G1660" i="5"/>
  <c r="G1661" i="5"/>
  <c r="G1662" i="5"/>
  <c r="G1663" i="5"/>
  <c r="G1664" i="5"/>
  <c r="G1665" i="5"/>
  <c r="G1666" i="5"/>
  <c r="I1666" i="5" s="1"/>
  <c r="G1667" i="5"/>
  <c r="G1668" i="5"/>
  <c r="G1669" i="5"/>
  <c r="G1670" i="5"/>
  <c r="G1671" i="5"/>
  <c r="G1672" i="5"/>
  <c r="G1673" i="5"/>
  <c r="G1674" i="5"/>
  <c r="I1674" i="5" s="1"/>
  <c r="G1675" i="5"/>
  <c r="G1676" i="5"/>
  <c r="G1677" i="5"/>
  <c r="G1678" i="5"/>
  <c r="G1679" i="5"/>
  <c r="G1680" i="5"/>
  <c r="G1681" i="5"/>
  <c r="G1682" i="5"/>
  <c r="I1682" i="5" s="1"/>
  <c r="G1683" i="5"/>
  <c r="G1684" i="5"/>
  <c r="G1685" i="5"/>
  <c r="G1686" i="5"/>
  <c r="G1687" i="5"/>
  <c r="G1688" i="5"/>
  <c r="G1689" i="5"/>
  <c r="G1690" i="5"/>
  <c r="I1690" i="5" s="1"/>
  <c r="G1691" i="5"/>
  <c r="G1692" i="5"/>
  <c r="G1693" i="5"/>
  <c r="G1694" i="5"/>
  <c r="G1695" i="5"/>
  <c r="G1696" i="5"/>
  <c r="G1697" i="5"/>
  <c r="G1698" i="5"/>
  <c r="I1698" i="5" s="1"/>
  <c r="G1699" i="5"/>
  <c r="G1700" i="5"/>
  <c r="G1701" i="5"/>
  <c r="G1702" i="5"/>
  <c r="G1703" i="5"/>
  <c r="G1704" i="5"/>
  <c r="G1705" i="5"/>
  <c r="G1706" i="5"/>
  <c r="I1706" i="5" s="1"/>
  <c r="G1707" i="5"/>
  <c r="G1708" i="5"/>
  <c r="G1709" i="5"/>
  <c r="G1710" i="5"/>
  <c r="G1711" i="5"/>
  <c r="G1712" i="5"/>
  <c r="G1713" i="5"/>
  <c r="G1714" i="5"/>
  <c r="I1714" i="5" s="1"/>
  <c r="G1715" i="5"/>
  <c r="G1716" i="5"/>
  <c r="G1717" i="5"/>
  <c r="G1718" i="5"/>
  <c r="G1719" i="5"/>
  <c r="G1720" i="5"/>
  <c r="G1721" i="5"/>
  <c r="G1722" i="5"/>
  <c r="I1722" i="5" s="1"/>
  <c r="G1723" i="5"/>
  <c r="G1724" i="5"/>
  <c r="G1725" i="5"/>
  <c r="G1726" i="5"/>
  <c r="G1727" i="5"/>
  <c r="G1728" i="5"/>
  <c r="G1729" i="5"/>
  <c r="G1730" i="5"/>
  <c r="I1730" i="5" s="1"/>
  <c r="G1731" i="5"/>
  <c r="G1732" i="5"/>
  <c r="G1733" i="5"/>
  <c r="G1734" i="5"/>
  <c r="G1735" i="5"/>
  <c r="G1736" i="5"/>
  <c r="G1737" i="5"/>
  <c r="G1738" i="5"/>
  <c r="I1738" i="5" s="1"/>
  <c r="G1739" i="5"/>
  <c r="G1740" i="5"/>
  <c r="G1741" i="5"/>
  <c r="G1742" i="5"/>
  <c r="G1743" i="5"/>
  <c r="G1744" i="5"/>
  <c r="G1745" i="5"/>
  <c r="G1746" i="5"/>
  <c r="I1746" i="5" s="1"/>
  <c r="G1747" i="5"/>
  <c r="G1748" i="5"/>
  <c r="G1749" i="5"/>
  <c r="G1750" i="5"/>
  <c r="G1751" i="5"/>
  <c r="G1752" i="5"/>
  <c r="G1753" i="5"/>
  <c r="G1754" i="5"/>
  <c r="I1754" i="5" s="1"/>
  <c r="G1755" i="5"/>
  <c r="G1756" i="5"/>
  <c r="G1757" i="5"/>
  <c r="G1758" i="5"/>
  <c r="G1759" i="5"/>
  <c r="G1760" i="5"/>
  <c r="G1761" i="5"/>
  <c r="G1762" i="5"/>
  <c r="I1762" i="5" s="1"/>
  <c r="G1763" i="5"/>
  <c r="G1764" i="5"/>
  <c r="G1765" i="5"/>
  <c r="G1766" i="5"/>
  <c r="G1767" i="5"/>
  <c r="G1768" i="5"/>
  <c r="G1769" i="5"/>
  <c r="G1770" i="5"/>
  <c r="I1770" i="5" s="1"/>
  <c r="G1771" i="5"/>
  <c r="G1772" i="5"/>
  <c r="G1773" i="5"/>
  <c r="G1774" i="5"/>
  <c r="G1775" i="5"/>
  <c r="G1776" i="5"/>
  <c r="G1777" i="5"/>
  <c r="G1778" i="5"/>
  <c r="I1778" i="5" s="1"/>
  <c r="G1779" i="5"/>
  <c r="G1780" i="5"/>
  <c r="G1781" i="5"/>
  <c r="G1782" i="5"/>
  <c r="G1783" i="5"/>
  <c r="G1784" i="5"/>
  <c r="G1785" i="5"/>
  <c r="G1786" i="5"/>
  <c r="I1786" i="5" s="1"/>
  <c r="G1787" i="5"/>
  <c r="G1788" i="5"/>
  <c r="G1789" i="5"/>
  <c r="G1790" i="5"/>
  <c r="G1791" i="5"/>
  <c r="G1792" i="5"/>
  <c r="G1793" i="5"/>
  <c r="G1794" i="5"/>
  <c r="I1794" i="5" s="1"/>
  <c r="G1795" i="5"/>
  <c r="G1796" i="5"/>
  <c r="G1797" i="5"/>
  <c r="G1798" i="5"/>
  <c r="G1799" i="5"/>
  <c r="G1800" i="5"/>
  <c r="G1801" i="5"/>
  <c r="G1802" i="5"/>
  <c r="I1802" i="5" s="1"/>
  <c r="G1803" i="5"/>
  <c r="G1804" i="5"/>
  <c r="G1805" i="5"/>
  <c r="G1806" i="5"/>
  <c r="G1807" i="5"/>
  <c r="G1808" i="5"/>
  <c r="G1809" i="5"/>
  <c r="G1810" i="5"/>
  <c r="I1810" i="5" s="1"/>
  <c r="G1811" i="5"/>
  <c r="G1812" i="5"/>
  <c r="G1813" i="5"/>
  <c r="G1814" i="5"/>
  <c r="G1815" i="5"/>
  <c r="G1816" i="5"/>
  <c r="G1817" i="5"/>
  <c r="G1818" i="5"/>
  <c r="I1818" i="5" s="1"/>
  <c r="G1819" i="5"/>
  <c r="G1820" i="5"/>
  <c r="G1821" i="5"/>
  <c r="G1822" i="5"/>
  <c r="G1823" i="5"/>
  <c r="G1824" i="5"/>
  <c r="G1825" i="5"/>
  <c r="G1826" i="5"/>
  <c r="I1826" i="5" s="1"/>
  <c r="G1827" i="5"/>
  <c r="G1828" i="5"/>
  <c r="G1829" i="5"/>
  <c r="G1830" i="5"/>
  <c r="G1831" i="5"/>
  <c r="G1832" i="5"/>
  <c r="G1833" i="5"/>
  <c r="G1834" i="5"/>
  <c r="I1834" i="5" s="1"/>
  <c r="G1835" i="5"/>
  <c r="G1836" i="5"/>
  <c r="G1837" i="5"/>
  <c r="G1838" i="5"/>
  <c r="G1839" i="5"/>
  <c r="G1840" i="5"/>
  <c r="G1841" i="5"/>
  <c r="G1842" i="5"/>
  <c r="I1842" i="5" s="1"/>
  <c r="G1843" i="5"/>
  <c r="G1844" i="5"/>
  <c r="G1845" i="5"/>
  <c r="G1846" i="5"/>
  <c r="G1847" i="5"/>
  <c r="G1848" i="5"/>
  <c r="G1849" i="5"/>
  <c r="G1850" i="5"/>
  <c r="I1850" i="5" s="1"/>
  <c r="G1851" i="5"/>
  <c r="G1852" i="5"/>
  <c r="G1853" i="5"/>
  <c r="G1854" i="5"/>
  <c r="G1855" i="5"/>
  <c r="G1856" i="5"/>
  <c r="G1857" i="5"/>
  <c r="G1858" i="5"/>
  <c r="I1858" i="5" s="1"/>
  <c r="G1859" i="5"/>
  <c r="G1860" i="5"/>
  <c r="G1861" i="5"/>
  <c r="G1862" i="5"/>
  <c r="G1863" i="5"/>
  <c r="G1864" i="5"/>
  <c r="G1865" i="5"/>
  <c r="G1866" i="5"/>
  <c r="I1866" i="5" s="1"/>
  <c r="G1867" i="5"/>
  <c r="G1868" i="5"/>
  <c r="G1869" i="5"/>
  <c r="G1870" i="5"/>
  <c r="G1871" i="5"/>
  <c r="G1872" i="5"/>
  <c r="G1873" i="5"/>
  <c r="G1874" i="5"/>
  <c r="I1874" i="5" s="1"/>
  <c r="G1875" i="5"/>
  <c r="G1876" i="5"/>
  <c r="G1877" i="5"/>
  <c r="G1878" i="5"/>
  <c r="G1879" i="5"/>
  <c r="G1880" i="5"/>
  <c r="G1881" i="5"/>
  <c r="G1882" i="5"/>
  <c r="I1882" i="5" s="1"/>
  <c r="G1883" i="5"/>
  <c r="G1884" i="5"/>
  <c r="G1885" i="5"/>
  <c r="G1886" i="5"/>
  <c r="G1887" i="5"/>
  <c r="G1888" i="5"/>
  <c r="G1889" i="5"/>
  <c r="G1890" i="5"/>
  <c r="I1890" i="5" s="1"/>
  <c r="G1891" i="5"/>
  <c r="G1892" i="5"/>
  <c r="G1893" i="5"/>
  <c r="G1894" i="5"/>
  <c r="G1895" i="5"/>
  <c r="G1896" i="5"/>
  <c r="G1897" i="5"/>
  <c r="G1898" i="5"/>
  <c r="I1898" i="5" s="1"/>
  <c r="G1899" i="5"/>
  <c r="G1900" i="5"/>
  <c r="G1901" i="5"/>
  <c r="G1902" i="5"/>
  <c r="G1903" i="5"/>
  <c r="G1904" i="5"/>
  <c r="G1905" i="5"/>
  <c r="G1906" i="5"/>
  <c r="I1906" i="5" s="1"/>
  <c r="G1907" i="5"/>
  <c r="G1908" i="5"/>
  <c r="G1909" i="5"/>
  <c r="G1910" i="5"/>
  <c r="G1911" i="5"/>
  <c r="G1912" i="5"/>
  <c r="G1913" i="5"/>
  <c r="G1914" i="5"/>
  <c r="I1914" i="5" s="1"/>
  <c r="G1915" i="5"/>
  <c r="G1916" i="5"/>
  <c r="G1917" i="5"/>
  <c r="G1918" i="5"/>
  <c r="G1919" i="5"/>
  <c r="G1920" i="5"/>
  <c r="G1921" i="5"/>
  <c r="G1922" i="5"/>
  <c r="I1922" i="5" s="1"/>
  <c r="G1923" i="5"/>
  <c r="G1924" i="5"/>
  <c r="G1925" i="5"/>
  <c r="G1926" i="5"/>
  <c r="G1927" i="5"/>
  <c r="G1928" i="5"/>
  <c r="G1929" i="5"/>
  <c r="G1930" i="5"/>
  <c r="I1930" i="5" s="1"/>
  <c r="G1931" i="5"/>
  <c r="G1932" i="5"/>
  <c r="G1933" i="5"/>
  <c r="G1934" i="5"/>
  <c r="G1935" i="5"/>
  <c r="G1936" i="5"/>
  <c r="G1937" i="5"/>
  <c r="G1938" i="5"/>
  <c r="I1938" i="5" s="1"/>
  <c r="G1939" i="5"/>
  <c r="G1940" i="5"/>
  <c r="G1941" i="5"/>
  <c r="G1942" i="5"/>
  <c r="G1943" i="5"/>
  <c r="G1944" i="5"/>
  <c r="G1945" i="5"/>
  <c r="G1946" i="5"/>
  <c r="I1946" i="5" s="1"/>
  <c r="G1947" i="5"/>
  <c r="G1948" i="5"/>
  <c r="G1949" i="5"/>
  <c r="G1950" i="5"/>
  <c r="G1951" i="5"/>
  <c r="G1952" i="5"/>
  <c r="G1953" i="5"/>
  <c r="G1954" i="5"/>
  <c r="I1954" i="5" s="1"/>
  <c r="G1955" i="5"/>
  <c r="G1956" i="5"/>
  <c r="G1957" i="5"/>
  <c r="G1958" i="5"/>
  <c r="G1959" i="5"/>
  <c r="G1960" i="5"/>
  <c r="G1961" i="5"/>
  <c r="G1962" i="5"/>
  <c r="I1962" i="5" s="1"/>
  <c r="G1963" i="5"/>
  <c r="G1964" i="5"/>
  <c r="G1965" i="5"/>
  <c r="G1966" i="5"/>
  <c r="G1967" i="5"/>
  <c r="G1968" i="5"/>
  <c r="G1969" i="5"/>
  <c r="G1970" i="5"/>
  <c r="I1970" i="5" s="1"/>
  <c r="G1971" i="5"/>
  <c r="G1972" i="5"/>
  <c r="G1973" i="5"/>
  <c r="G1974" i="5"/>
  <c r="G1975" i="5"/>
  <c r="G1976" i="5"/>
  <c r="G1977" i="5"/>
  <c r="G1978" i="5"/>
  <c r="I1978" i="5" s="1"/>
  <c r="G1979" i="5"/>
  <c r="G1980" i="5"/>
  <c r="G1981" i="5"/>
  <c r="G1982" i="5"/>
  <c r="G1983" i="5"/>
  <c r="G1984" i="5"/>
  <c r="G1985" i="5"/>
  <c r="G1986" i="5"/>
  <c r="I1986" i="5" s="1"/>
  <c r="G1987" i="5"/>
  <c r="G1988" i="5"/>
  <c r="G1989" i="5"/>
  <c r="G1990" i="5"/>
  <c r="G1991" i="5"/>
  <c r="G1992" i="5"/>
  <c r="G1993" i="5"/>
  <c r="G1994" i="5"/>
  <c r="I1994" i="5" s="1"/>
  <c r="G1995" i="5"/>
  <c r="G1996" i="5"/>
  <c r="G1997" i="5"/>
  <c r="G1998" i="5"/>
  <c r="G1999" i="5"/>
  <c r="G2000" i="5"/>
  <c r="G2001" i="5"/>
  <c r="G2002" i="5"/>
  <c r="I2002" i="5" s="1"/>
  <c r="G2003" i="5"/>
  <c r="G2004" i="5"/>
  <c r="G2005" i="5"/>
  <c r="G2006" i="5"/>
  <c r="G2007" i="5"/>
  <c r="G2008" i="5"/>
  <c r="G2009" i="5"/>
  <c r="G2010" i="5"/>
  <c r="I2010" i="5" s="1"/>
  <c r="G2011" i="5"/>
  <c r="G2012" i="5"/>
  <c r="G2013" i="5"/>
  <c r="G2014" i="5"/>
  <c r="G2015" i="5"/>
  <c r="G2016" i="5"/>
  <c r="G2017" i="5"/>
  <c r="G2018" i="5"/>
  <c r="I2018" i="5" s="1"/>
  <c r="G2019" i="5"/>
  <c r="G2020" i="5"/>
  <c r="G2021" i="5"/>
  <c r="G2022" i="5"/>
  <c r="G2023" i="5"/>
  <c r="G2024" i="5"/>
  <c r="G2025" i="5"/>
  <c r="G2026" i="5"/>
  <c r="I2026" i="5" s="1"/>
  <c r="G2027" i="5"/>
  <c r="G2028" i="5"/>
  <c r="G2029" i="5"/>
  <c r="G2030" i="5"/>
  <c r="G2031" i="5"/>
  <c r="G2032" i="5"/>
  <c r="G2033" i="5"/>
  <c r="G2034" i="5"/>
  <c r="I2034" i="5" s="1"/>
  <c r="G2035" i="5"/>
  <c r="G2036" i="5"/>
  <c r="G2037" i="5"/>
  <c r="G2038" i="5"/>
  <c r="G2039" i="5"/>
  <c r="G2040" i="5"/>
  <c r="G2041" i="5"/>
  <c r="G2042" i="5"/>
  <c r="I2042" i="5" s="1"/>
  <c r="G2043" i="5"/>
  <c r="G2044" i="5"/>
  <c r="G2045" i="5"/>
  <c r="G2046" i="5"/>
  <c r="G2047" i="5"/>
  <c r="G2048" i="5"/>
  <c r="G2049" i="5"/>
  <c r="G2050" i="5"/>
  <c r="I2050" i="5" s="1"/>
  <c r="G2051" i="5"/>
  <c r="G2052" i="5"/>
  <c r="G2053" i="5"/>
  <c r="G2054" i="5"/>
  <c r="G2055" i="5"/>
  <c r="G2056" i="5"/>
  <c r="G2057" i="5"/>
  <c r="G2058" i="5"/>
  <c r="I2058" i="5" s="1"/>
  <c r="G2059" i="5"/>
  <c r="G2060" i="5"/>
  <c r="G2061" i="5"/>
  <c r="G2062" i="5"/>
  <c r="G2063" i="5"/>
  <c r="G2064" i="5"/>
  <c r="G2065" i="5"/>
  <c r="G2066" i="5"/>
  <c r="I2066" i="5" s="1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I2082" i="5" s="1"/>
  <c r="G2083" i="5"/>
  <c r="G2084" i="5"/>
  <c r="G2085" i="5"/>
  <c r="G2086" i="5"/>
  <c r="G2087" i="5"/>
  <c r="G2088" i="5"/>
  <c r="G2089" i="5"/>
  <c r="G2090" i="5"/>
  <c r="I2090" i="5" s="1"/>
  <c r="G2091" i="5"/>
  <c r="G2092" i="5"/>
  <c r="G2093" i="5"/>
  <c r="G2094" i="5"/>
  <c r="G2095" i="5"/>
  <c r="G2096" i="5"/>
  <c r="G2097" i="5"/>
  <c r="G2098" i="5"/>
  <c r="I2098" i="5" s="1"/>
  <c r="G2099" i="5"/>
  <c r="G2100" i="5"/>
  <c r="G2101" i="5"/>
  <c r="G2102" i="5"/>
  <c r="G2103" i="5"/>
  <c r="G2104" i="5"/>
  <c r="G2105" i="5"/>
  <c r="G2106" i="5"/>
  <c r="I2106" i="5" s="1"/>
  <c r="G2107" i="5"/>
  <c r="G2108" i="5"/>
  <c r="G2109" i="5"/>
  <c r="G2110" i="5"/>
  <c r="G2111" i="5"/>
  <c r="G2112" i="5"/>
  <c r="G2113" i="5"/>
  <c r="G2114" i="5"/>
  <c r="I2114" i="5" s="1"/>
  <c r="G2115" i="5"/>
  <c r="G2116" i="5"/>
  <c r="G2117" i="5"/>
  <c r="G2118" i="5"/>
  <c r="G2119" i="5"/>
  <c r="G2120" i="5"/>
  <c r="G2121" i="5"/>
  <c r="G2122" i="5"/>
  <c r="I2122" i="5" s="1"/>
  <c r="G2123" i="5"/>
  <c r="G2124" i="5"/>
  <c r="G2125" i="5"/>
  <c r="G2126" i="5"/>
  <c r="G2127" i="5"/>
  <c r="G2128" i="5"/>
  <c r="G2129" i="5"/>
  <c r="G2130" i="5"/>
  <c r="I2130" i="5" s="1"/>
  <c r="G2131" i="5"/>
  <c r="G2132" i="5"/>
  <c r="G2133" i="5"/>
  <c r="G2134" i="5"/>
  <c r="G2135" i="5"/>
  <c r="G2136" i="5"/>
  <c r="G2137" i="5"/>
  <c r="G2138" i="5"/>
  <c r="I2138" i="5" s="1"/>
  <c r="G2139" i="5"/>
  <c r="G2140" i="5"/>
  <c r="G2141" i="5"/>
  <c r="G2142" i="5"/>
  <c r="G2143" i="5"/>
  <c r="G2144" i="5"/>
  <c r="G2145" i="5"/>
  <c r="G2146" i="5"/>
  <c r="I2146" i="5" s="1"/>
  <c r="G2147" i="5"/>
  <c r="G2148" i="5"/>
  <c r="G2149" i="5"/>
  <c r="G2150" i="5"/>
  <c r="G2151" i="5"/>
  <c r="G2152" i="5"/>
  <c r="G2153" i="5"/>
  <c r="G2154" i="5"/>
  <c r="I2154" i="5" s="1"/>
  <c r="G2155" i="5"/>
  <c r="G2156" i="5"/>
  <c r="G2157" i="5"/>
  <c r="G2158" i="5"/>
  <c r="G2159" i="5"/>
  <c r="G2160" i="5"/>
  <c r="G2161" i="5"/>
  <c r="G2162" i="5"/>
  <c r="I2162" i="5" s="1"/>
  <c r="G2163" i="5"/>
  <c r="G2164" i="5"/>
  <c r="G2165" i="5"/>
  <c r="G2166" i="5"/>
  <c r="G2167" i="5"/>
  <c r="G2168" i="5"/>
  <c r="G2169" i="5"/>
  <c r="G2170" i="5"/>
  <c r="I2170" i="5" s="1"/>
  <c r="G2171" i="5"/>
  <c r="G2172" i="5"/>
  <c r="G2173" i="5"/>
  <c r="G2174" i="5"/>
  <c r="G2175" i="5"/>
  <c r="G2176" i="5"/>
  <c r="G2177" i="5"/>
  <c r="G2178" i="5"/>
  <c r="I2178" i="5" s="1"/>
  <c r="G2179" i="5"/>
  <c r="G2180" i="5"/>
  <c r="G2181" i="5"/>
  <c r="G2182" i="5"/>
  <c r="G2183" i="5"/>
  <c r="G2184" i="5"/>
  <c r="G2185" i="5"/>
  <c r="G2186" i="5"/>
  <c r="I2186" i="5" s="1"/>
  <c r="G2187" i="5"/>
  <c r="G2188" i="5"/>
  <c r="G2189" i="5"/>
  <c r="G2190" i="5"/>
  <c r="G2191" i="5"/>
  <c r="G2192" i="5"/>
  <c r="G2193" i="5"/>
  <c r="G2194" i="5"/>
  <c r="I2194" i="5" s="1"/>
  <c r="G2195" i="5"/>
  <c r="G2196" i="5"/>
  <c r="G2197" i="5"/>
  <c r="G2198" i="5"/>
  <c r="G2199" i="5"/>
  <c r="G2200" i="5"/>
  <c r="G2201" i="5"/>
  <c r="G2202" i="5"/>
  <c r="I2202" i="5" s="1"/>
  <c r="G2203" i="5"/>
  <c r="G2204" i="5"/>
  <c r="G2205" i="5"/>
  <c r="G2206" i="5"/>
  <c r="G2207" i="5"/>
  <c r="G2208" i="5"/>
  <c r="G2209" i="5"/>
  <c r="G2210" i="5"/>
  <c r="I2210" i="5" s="1"/>
  <c r="G2211" i="5"/>
  <c r="G2212" i="5"/>
  <c r="G2213" i="5"/>
  <c r="G2214" i="5"/>
  <c r="G2215" i="5"/>
  <c r="G2216" i="5"/>
  <c r="G2217" i="5"/>
  <c r="G2218" i="5"/>
  <c r="I2218" i="5" s="1"/>
  <c r="G2219" i="5"/>
  <c r="G2220" i="5"/>
  <c r="G2221" i="5"/>
  <c r="G2222" i="5"/>
  <c r="G2223" i="5"/>
  <c r="G2224" i="5"/>
  <c r="G2225" i="5"/>
  <c r="G2226" i="5"/>
  <c r="I2226" i="5" s="1"/>
  <c r="G2227" i="5"/>
  <c r="G2228" i="5"/>
  <c r="G2229" i="5"/>
  <c r="G2230" i="5"/>
  <c r="G2231" i="5"/>
  <c r="G2232" i="5"/>
  <c r="G2233" i="5"/>
  <c r="G2234" i="5"/>
  <c r="I2234" i="5" s="1"/>
  <c r="G2235" i="5"/>
  <c r="G2236" i="5"/>
  <c r="G2237" i="5"/>
  <c r="G2238" i="5"/>
  <c r="G2239" i="5"/>
  <c r="G2240" i="5"/>
  <c r="G2241" i="5"/>
  <c r="G2242" i="5"/>
  <c r="I2242" i="5" s="1"/>
  <c r="G2243" i="5"/>
  <c r="G2244" i="5"/>
  <c r="G2245" i="5"/>
  <c r="G2246" i="5"/>
  <c r="G2247" i="5"/>
  <c r="G2248" i="5"/>
  <c r="G2249" i="5"/>
  <c r="G2250" i="5"/>
  <c r="I2250" i="5" s="1"/>
  <c r="G2251" i="5"/>
  <c r="G2252" i="5"/>
  <c r="G2253" i="5"/>
  <c r="G2254" i="5"/>
  <c r="G2255" i="5"/>
  <c r="G2256" i="5"/>
  <c r="G2257" i="5"/>
  <c r="G2258" i="5"/>
  <c r="I2258" i="5" s="1"/>
  <c r="G2259" i="5"/>
  <c r="G2260" i="5"/>
  <c r="G2261" i="5"/>
  <c r="G2262" i="5"/>
  <c r="G2263" i="5"/>
  <c r="G2264" i="5"/>
  <c r="G2265" i="5"/>
  <c r="G2266" i="5"/>
  <c r="I2266" i="5" s="1"/>
  <c r="G2267" i="5"/>
  <c r="G2268" i="5"/>
  <c r="G2269" i="5"/>
  <c r="G2270" i="5"/>
  <c r="G2271" i="5"/>
  <c r="G2272" i="5"/>
  <c r="G2273" i="5"/>
  <c r="G2274" i="5"/>
  <c r="I2274" i="5" s="1"/>
  <c r="G2275" i="5"/>
  <c r="G2276" i="5"/>
  <c r="G2277" i="5"/>
  <c r="G2278" i="5"/>
  <c r="G2279" i="5"/>
  <c r="G2280" i="5"/>
  <c r="G2281" i="5"/>
  <c r="G2282" i="5"/>
  <c r="I2282" i="5" s="1"/>
  <c r="G2283" i="5"/>
  <c r="G2284" i="5"/>
  <c r="G2285" i="5"/>
  <c r="G2286" i="5"/>
  <c r="G2287" i="5"/>
  <c r="G2288" i="5"/>
  <c r="G2289" i="5"/>
  <c r="G2290" i="5"/>
  <c r="I2290" i="5" s="1"/>
  <c r="G2291" i="5"/>
  <c r="G2292" i="5"/>
  <c r="G2293" i="5"/>
  <c r="G2294" i="5"/>
  <c r="G2295" i="5"/>
  <c r="G2296" i="5"/>
  <c r="G2297" i="5"/>
  <c r="G2298" i="5"/>
  <c r="I2298" i="5" s="1"/>
  <c r="G2299" i="5"/>
  <c r="G2300" i="5"/>
  <c r="G2301" i="5"/>
  <c r="G2302" i="5"/>
  <c r="G2303" i="5"/>
  <c r="G2304" i="5"/>
  <c r="G2305" i="5"/>
  <c r="G2306" i="5"/>
  <c r="I2306" i="5" s="1"/>
  <c r="G2307" i="5"/>
  <c r="G2308" i="5"/>
  <c r="G2309" i="5"/>
  <c r="G2310" i="5"/>
  <c r="G2311" i="5"/>
  <c r="G2312" i="5"/>
  <c r="G2313" i="5"/>
  <c r="G2314" i="5"/>
  <c r="I2314" i="5" s="1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I2330" i="5" s="1"/>
  <c r="G2331" i="5"/>
  <c r="G2332" i="5"/>
  <c r="G2333" i="5"/>
  <c r="G2334" i="5"/>
  <c r="G2335" i="5"/>
  <c r="G2336" i="5"/>
  <c r="G2337" i="5"/>
  <c r="G2338" i="5"/>
  <c r="I2338" i="5" s="1"/>
  <c r="G2339" i="5"/>
  <c r="G2340" i="5"/>
  <c r="G2341" i="5"/>
  <c r="G2342" i="5"/>
  <c r="G2343" i="5"/>
  <c r="G2344" i="5"/>
  <c r="G2345" i="5"/>
  <c r="G2346" i="5"/>
  <c r="I2346" i="5" s="1"/>
  <c r="G2347" i="5"/>
  <c r="G2348" i="5"/>
  <c r="G2349" i="5"/>
  <c r="G2350" i="5"/>
  <c r="G2351" i="5"/>
  <c r="G2352" i="5"/>
  <c r="G2353" i="5"/>
  <c r="G2354" i="5"/>
  <c r="I2354" i="5" s="1"/>
  <c r="G2355" i="5"/>
  <c r="G2356" i="5"/>
  <c r="G2357" i="5"/>
  <c r="G2358" i="5"/>
  <c r="G2359" i="5"/>
  <c r="G2360" i="5"/>
  <c r="G2361" i="5"/>
  <c r="G2362" i="5"/>
  <c r="I2362" i="5" s="1"/>
  <c r="G2363" i="5"/>
  <c r="G2364" i="5"/>
  <c r="G2365" i="5"/>
  <c r="G2366" i="5"/>
  <c r="G2367" i="5"/>
  <c r="G2368" i="5"/>
  <c r="G2369" i="5"/>
  <c r="G2370" i="5"/>
  <c r="I2370" i="5" s="1"/>
  <c r="G2371" i="5"/>
  <c r="G2372" i="5"/>
  <c r="G2373" i="5"/>
  <c r="G2374" i="5"/>
  <c r="G2375" i="5"/>
  <c r="G2376" i="5"/>
  <c r="G2377" i="5"/>
  <c r="G2378" i="5"/>
  <c r="I2378" i="5" s="1"/>
  <c r="G2379" i="5"/>
  <c r="G2380" i="5"/>
  <c r="G2381" i="5"/>
  <c r="G2382" i="5"/>
  <c r="G2383" i="5"/>
  <c r="G2384" i="5"/>
  <c r="G2385" i="5"/>
  <c r="G2386" i="5"/>
  <c r="I2386" i="5" s="1"/>
  <c r="G2387" i="5"/>
  <c r="G2388" i="5"/>
  <c r="G2389" i="5"/>
  <c r="G2390" i="5"/>
  <c r="G2391" i="5"/>
  <c r="G2392" i="5"/>
  <c r="G2393" i="5"/>
  <c r="G2394" i="5"/>
  <c r="I2394" i="5" s="1"/>
  <c r="G2395" i="5"/>
  <c r="G2396" i="5"/>
  <c r="G2397" i="5"/>
  <c r="G2398" i="5"/>
  <c r="G2399" i="5"/>
  <c r="G2400" i="5"/>
  <c r="G2401" i="5"/>
  <c r="G2402" i="5"/>
  <c r="I2402" i="5" s="1"/>
  <c r="G2403" i="5"/>
  <c r="G2404" i="5"/>
  <c r="G2405" i="5"/>
  <c r="G2406" i="5"/>
  <c r="G2407" i="5"/>
  <c r="G2408" i="5"/>
  <c r="G2409" i="5"/>
  <c r="G2410" i="5"/>
  <c r="I2410" i="5" s="1"/>
  <c r="G2411" i="5"/>
  <c r="G2412" i="5"/>
  <c r="G2413" i="5"/>
  <c r="G2414" i="5"/>
  <c r="G2415" i="5"/>
  <c r="G2416" i="5"/>
  <c r="G2417" i="5"/>
  <c r="G2418" i="5"/>
  <c r="I2418" i="5" s="1"/>
  <c r="G2419" i="5"/>
  <c r="G2420" i="5"/>
  <c r="G2421" i="5"/>
  <c r="G2422" i="5"/>
  <c r="G2423" i="5"/>
  <c r="G2424" i="5"/>
  <c r="G2425" i="5"/>
  <c r="G2426" i="5"/>
  <c r="I2426" i="5" s="1"/>
  <c r="G2427" i="5"/>
  <c r="G2428" i="5"/>
  <c r="G2429" i="5"/>
  <c r="G2430" i="5"/>
  <c r="G2431" i="5"/>
  <c r="G2432" i="5"/>
  <c r="G2433" i="5"/>
  <c r="G2434" i="5"/>
  <c r="I2434" i="5" s="1"/>
  <c r="G2435" i="5"/>
  <c r="G2436" i="5"/>
  <c r="G2437" i="5"/>
  <c r="G2438" i="5"/>
  <c r="G2439" i="5"/>
  <c r="G2440" i="5"/>
  <c r="G2441" i="5"/>
  <c r="G2442" i="5"/>
  <c r="I2442" i="5" s="1"/>
  <c r="G2443" i="5"/>
  <c r="G2444" i="5"/>
  <c r="G2445" i="5"/>
  <c r="G2446" i="5"/>
  <c r="G2447" i="5"/>
  <c r="G2448" i="5"/>
  <c r="G2449" i="5"/>
  <c r="G2450" i="5"/>
  <c r="I2450" i="5" s="1"/>
  <c r="G2451" i="5"/>
  <c r="G2452" i="5"/>
  <c r="G2453" i="5"/>
  <c r="G2454" i="5"/>
  <c r="G2455" i="5"/>
  <c r="G2456" i="5"/>
  <c r="G2457" i="5"/>
  <c r="G2458" i="5"/>
  <c r="I2458" i="5" s="1"/>
  <c r="G2459" i="5"/>
  <c r="G2460" i="5"/>
  <c r="G2461" i="5"/>
  <c r="G2462" i="5"/>
  <c r="G2463" i="5"/>
  <c r="G2464" i="5"/>
  <c r="G2465" i="5"/>
  <c r="G2466" i="5"/>
  <c r="I2466" i="5" s="1"/>
  <c r="G2467" i="5"/>
  <c r="G2468" i="5"/>
  <c r="G2469" i="5"/>
  <c r="G2470" i="5"/>
  <c r="G2471" i="5"/>
  <c r="G2472" i="5"/>
  <c r="G2473" i="5"/>
  <c r="G2474" i="5"/>
  <c r="I2474" i="5" s="1"/>
  <c r="G2475" i="5"/>
  <c r="G2476" i="5"/>
  <c r="G2477" i="5"/>
  <c r="G2478" i="5"/>
  <c r="G2479" i="5"/>
  <c r="G2480" i="5"/>
  <c r="G2481" i="5"/>
  <c r="G2482" i="5"/>
  <c r="I2482" i="5" s="1"/>
  <c r="G2483" i="5"/>
  <c r="G2484" i="5"/>
  <c r="G2485" i="5"/>
  <c r="G2486" i="5"/>
  <c r="G2487" i="5"/>
  <c r="G2488" i="5"/>
  <c r="G2489" i="5"/>
  <c r="G2490" i="5"/>
  <c r="I2490" i="5" s="1"/>
  <c r="G2491" i="5"/>
  <c r="G2492" i="5"/>
  <c r="G2493" i="5"/>
  <c r="G2494" i="5"/>
  <c r="G2495" i="5"/>
  <c r="G2496" i="5"/>
  <c r="G2497" i="5"/>
  <c r="G2498" i="5"/>
  <c r="I2498" i="5" s="1"/>
  <c r="G2499" i="5"/>
  <c r="G2500" i="5"/>
  <c r="G2501" i="5"/>
  <c r="G2502" i="5"/>
  <c r="G2503" i="5"/>
  <c r="G2504" i="5"/>
  <c r="G2505" i="5"/>
  <c r="G2506" i="5"/>
  <c r="I2506" i="5" s="1"/>
  <c r="G2507" i="5"/>
  <c r="G2508" i="5"/>
  <c r="G2509" i="5"/>
  <c r="G2510" i="5"/>
  <c r="G2511" i="5"/>
  <c r="G2512" i="5"/>
  <c r="G2513" i="5"/>
  <c r="G2514" i="5"/>
  <c r="I2514" i="5" s="1"/>
  <c r="G2515" i="5"/>
  <c r="G2516" i="5"/>
  <c r="G2517" i="5"/>
  <c r="G2518" i="5"/>
  <c r="G2519" i="5"/>
  <c r="G2520" i="5"/>
  <c r="G2521" i="5"/>
  <c r="G2522" i="5"/>
  <c r="I2522" i="5" s="1"/>
  <c r="G2523" i="5"/>
  <c r="G2524" i="5"/>
  <c r="G2525" i="5"/>
  <c r="G2526" i="5"/>
  <c r="G2527" i="5"/>
  <c r="G2528" i="5"/>
  <c r="G2529" i="5"/>
  <c r="G2530" i="5"/>
  <c r="I2530" i="5" s="1"/>
  <c r="G2531" i="5"/>
  <c r="G2532" i="5"/>
  <c r="G2533" i="5"/>
  <c r="G2534" i="5"/>
  <c r="G2535" i="5"/>
  <c r="G2536" i="5"/>
  <c r="G2537" i="5"/>
  <c r="G2538" i="5"/>
  <c r="I2538" i="5" s="1"/>
  <c r="G2539" i="5"/>
  <c r="G2540" i="5"/>
  <c r="G2541" i="5"/>
  <c r="G2542" i="5"/>
  <c r="G2543" i="5"/>
  <c r="G2544" i="5"/>
  <c r="G2545" i="5"/>
  <c r="G2546" i="5"/>
  <c r="I2546" i="5" s="1"/>
  <c r="G2547" i="5"/>
  <c r="G2548" i="5"/>
  <c r="G2549" i="5"/>
  <c r="G2550" i="5"/>
  <c r="G2551" i="5"/>
  <c r="G2552" i="5"/>
  <c r="G2553" i="5"/>
  <c r="G2554" i="5"/>
  <c r="I2554" i="5" s="1"/>
  <c r="G2555" i="5"/>
  <c r="G2556" i="5"/>
  <c r="G2557" i="5"/>
  <c r="G2558" i="5"/>
  <c r="G2559" i="5"/>
  <c r="G2560" i="5"/>
  <c r="G2561" i="5"/>
  <c r="G2562" i="5"/>
  <c r="I2562" i="5" s="1"/>
  <c r="G2563" i="5"/>
  <c r="G2564" i="5"/>
  <c r="G2565" i="5"/>
  <c r="G2566" i="5"/>
  <c r="G2567" i="5"/>
  <c r="G2568" i="5"/>
  <c r="G2569" i="5"/>
  <c r="G2570" i="5"/>
  <c r="I2570" i="5" s="1"/>
  <c r="G2571" i="5"/>
  <c r="G2572" i="5"/>
  <c r="G2573" i="5"/>
  <c r="G2574" i="5"/>
  <c r="G2575" i="5"/>
  <c r="G2576" i="5"/>
  <c r="G2577" i="5"/>
  <c r="G2578" i="5"/>
  <c r="I2578" i="5" s="1"/>
  <c r="G2579" i="5"/>
  <c r="G2580" i="5"/>
  <c r="G2581" i="5"/>
  <c r="G2582" i="5"/>
  <c r="G2583" i="5"/>
  <c r="G2584" i="5"/>
  <c r="G2585" i="5"/>
  <c r="G2586" i="5"/>
  <c r="I2586" i="5" s="1"/>
  <c r="G2587" i="5"/>
  <c r="G2588" i="5"/>
  <c r="G2589" i="5"/>
  <c r="G2590" i="5"/>
  <c r="G2591" i="5"/>
  <c r="G2592" i="5"/>
  <c r="G2593" i="5"/>
  <c r="G2594" i="5"/>
  <c r="I2594" i="5" s="1"/>
  <c r="G2595" i="5"/>
  <c r="G2596" i="5"/>
  <c r="G2597" i="5"/>
  <c r="G2598" i="5"/>
  <c r="G2599" i="5"/>
  <c r="G2600" i="5"/>
  <c r="G2601" i="5"/>
  <c r="G2602" i="5"/>
  <c r="I2602" i="5" s="1"/>
  <c r="G2603" i="5"/>
  <c r="G2604" i="5"/>
  <c r="G2605" i="5"/>
  <c r="G2606" i="5"/>
  <c r="G2607" i="5"/>
  <c r="G2608" i="5"/>
  <c r="G2609" i="5"/>
  <c r="G2610" i="5"/>
  <c r="I2610" i="5" s="1"/>
  <c r="G2611" i="5"/>
  <c r="G2612" i="5"/>
  <c r="G2613" i="5"/>
  <c r="G2614" i="5"/>
  <c r="G2615" i="5"/>
  <c r="G2616" i="5"/>
  <c r="G2617" i="5"/>
  <c r="G2618" i="5"/>
  <c r="I2618" i="5" s="1"/>
  <c r="G2619" i="5"/>
  <c r="G2620" i="5"/>
  <c r="G2621" i="5"/>
  <c r="G2622" i="5"/>
  <c r="G2623" i="5"/>
  <c r="G2624" i="5"/>
  <c r="G2625" i="5"/>
  <c r="G2626" i="5"/>
  <c r="I2626" i="5" s="1"/>
  <c r="G2627" i="5"/>
  <c r="G2628" i="5"/>
  <c r="G2629" i="5"/>
  <c r="G2630" i="5"/>
  <c r="G2631" i="5"/>
  <c r="G2632" i="5"/>
  <c r="G2633" i="5"/>
  <c r="G2634" i="5"/>
  <c r="I2634" i="5" s="1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I2650" i="5" s="1"/>
  <c r="G2651" i="5"/>
  <c r="G2652" i="5"/>
  <c r="G2653" i="5"/>
  <c r="G2654" i="5"/>
  <c r="G2655" i="5"/>
  <c r="G2656" i="5"/>
  <c r="G2657" i="5"/>
  <c r="G2658" i="5"/>
  <c r="I2658" i="5" s="1"/>
  <c r="G2659" i="5"/>
  <c r="G2660" i="5"/>
  <c r="G2661" i="5"/>
  <c r="G2662" i="5"/>
  <c r="G2663" i="5"/>
  <c r="G2664" i="5"/>
  <c r="G2665" i="5"/>
  <c r="G2666" i="5"/>
  <c r="I2666" i="5" s="1"/>
  <c r="G2667" i="5"/>
  <c r="G2668" i="5"/>
  <c r="G2669" i="5"/>
  <c r="G2670" i="5"/>
  <c r="G2671" i="5"/>
  <c r="G2672" i="5"/>
  <c r="G2673" i="5"/>
  <c r="G2674" i="5"/>
  <c r="I2674" i="5" s="1"/>
  <c r="G2675" i="5"/>
  <c r="G2676" i="5"/>
  <c r="G2677" i="5"/>
  <c r="G2678" i="5"/>
  <c r="G2679" i="5"/>
  <c r="G2680" i="5"/>
  <c r="G2681" i="5"/>
  <c r="G2682" i="5"/>
  <c r="I2682" i="5" s="1"/>
  <c r="G2683" i="5"/>
  <c r="G2684" i="5"/>
  <c r="G2685" i="5"/>
  <c r="G2686" i="5"/>
  <c r="G2687" i="5"/>
  <c r="G2688" i="5"/>
  <c r="G2689" i="5"/>
  <c r="G2690" i="5"/>
  <c r="I2690" i="5" s="1"/>
  <c r="G2691" i="5"/>
  <c r="G2692" i="5"/>
  <c r="G2693" i="5"/>
  <c r="G2694" i="5"/>
  <c r="G2695" i="5"/>
  <c r="G2696" i="5"/>
  <c r="G2697" i="5"/>
  <c r="G2698" i="5"/>
  <c r="I2698" i="5" s="1"/>
  <c r="G2699" i="5"/>
  <c r="G2700" i="5"/>
  <c r="G2701" i="5"/>
  <c r="G2702" i="5"/>
  <c r="G2703" i="5"/>
  <c r="G2704" i="5"/>
  <c r="G2705" i="5"/>
  <c r="G2706" i="5"/>
  <c r="I2706" i="5" s="1"/>
  <c r="G2707" i="5"/>
  <c r="G2708" i="5"/>
  <c r="G2709" i="5"/>
  <c r="G2710" i="5"/>
  <c r="G2711" i="5"/>
  <c r="G2712" i="5"/>
  <c r="G2713" i="5"/>
  <c r="G2714" i="5"/>
  <c r="I2714" i="5" s="1"/>
  <c r="G2715" i="5"/>
  <c r="G2716" i="5"/>
  <c r="G2717" i="5"/>
  <c r="G2718" i="5"/>
  <c r="G2719" i="5"/>
  <c r="G2720" i="5"/>
  <c r="G2721" i="5"/>
  <c r="G2722" i="5"/>
  <c r="I2722" i="5" s="1"/>
  <c r="G2723" i="5"/>
  <c r="G2724" i="5"/>
  <c r="G2725" i="5"/>
  <c r="G2726" i="5"/>
  <c r="G2727" i="5"/>
  <c r="G2728" i="5"/>
  <c r="G2729" i="5"/>
  <c r="G2730" i="5"/>
  <c r="I2730" i="5" s="1"/>
  <c r="G2731" i="5"/>
  <c r="G2732" i="5"/>
  <c r="G2733" i="5"/>
  <c r="G2734" i="5"/>
  <c r="G2735" i="5"/>
  <c r="G2736" i="5"/>
  <c r="G2737" i="5"/>
  <c r="G2738" i="5"/>
  <c r="I2738" i="5" s="1"/>
  <c r="G2739" i="5"/>
  <c r="G2740" i="5"/>
  <c r="G2741" i="5"/>
  <c r="G2742" i="5"/>
  <c r="G2743" i="5"/>
  <c r="G2744" i="5"/>
  <c r="G2745" i="5"/>
  <c r="G2746" i="5"/>
  <c r="I2746" i="5" s="1"/>
  <c r="G2747" i="5"/>
  <c r="G2748" i="5"/>
  <c r="G2749" i="5"/>
  <c r="G2750" i="5"/>
  <c r="G2751" i="5"/>
  <c r="G2752" i="5"/>
  <c r="G2753" i="5"/>
  <c r="G2754" i="5"/>
  <c r="I2754" i="5" s="1"/>
  <c r="G2755" i="5"/>
  <c r="G2756" i="5"/>
  <c r="G2757" i="5"/>
  <c r="G2758" i="5"/>
  <c r="G2759" i="5"/>
  <c r="G2760" i="5"/>
  <c r="G2761" i="5"/>
  <c r="G2762" i="5"/>
  <c r="I2762" i="5" s="1"/>
  <c r="G2763" i="5"/>
  <c r="G2764" i="5"/>
  <c r="G2765" i="5"/>
  <c r="G2766" i="5"/>
  <c r="G2767" i="5"/>
  <c r="G2768" i="5"/>
  <c r="G2769" i="5"/>
  <c r="G2770" i="5"/>
  <c r="I2770" i="5" s="1"/>
  <c r="G2771" i="5"/>
  <c r="G2772" i="5"/>
  <c r="G2773" i="5"/>
  <c r="G2774" i="5"/>
  <c r="G2775" i="5"/>
  <c r="G2776" i="5"/>
  <c r="G2777" i="5"/>
  <c r="G2778" i="5"/>
  <c r="I2778" i="5" s="1"/>
  <c r="G2779" i="5"/>
  <c r="G2780" i="5"/>
  <c r="G2781" i="5"/>
  <c r="G2782" i="5"/>
  <c r="G2783" i="5"/>
  <c r="G2784" i="5"/>
  <c r="G2785" i="5"/>
  <c r="G2786" i="5"/>
  <c r="I2786" i="5" s="1"/>
  <c r="G2787" i="5"/>
  <c r="G2788" i="5"/>
  <c r="G2789" i="5"/>
  <c r="G2790" i="5"/>
  <c r="G2791" i="5"/>
  <c r="G2792" i="5"/>
  <c r="G2793" i="5"/>
  <c r="G2794" i="5"/>
  <c r="I2794" i="5" s="1"/>
  <c r="G2795" i="5"/>
  <c r="G2796" i="5"/>
  <c r="G2797" i="5"/>
  <c r="G2798" i="5"/>
  <c r="G2799" i="5"/>
  <c r="G2800" i="5"/>
  <c r="G2801" i="5"/>
  <c r="G2802" i="5"/>
  <c r="I2802" i="5" s="1"/>
  <c r="G2803" i="5"/>
  <c r="G2804" i="5"/>
  <c r="G2805" i="5"/>
  <c r="G2806" i="5"/>
  <c r="G2807" i="5"/>
  <c r="G2808" i="5"/>
  <c r="G2809" i="5"/>
  <c r="G2810" i="5"/>
  <c r="I2810" i="5" s="1"/>
  <c r="G2811" i="5"/>
  <c r="G2812" i="5"/>
  <c r="G2813" i="5"/>
  <c r="G2814" i="5"/>
  <c r="G2815" i="5"/>
  <c r="G2816" i="5"/>
  <c r="G2817" i="5"/>
  <c r="G2818" i="5"/>
  <c r="I2818" i="5" s="1"/>
  <c r="G2819" i="5"/>
  <c r="G2820" i="5"/>
  <c r="G2821" i="5"/>
  <c r="G2822" i="5"/>
  <c r="G2823" i="5"/>
  <c r="G2824" i="5"/>
  <c r="G2825" i="5"/>
  <c r="G2826" i="5"/>
  <c r="I2826" i="5" s="1"/>
  <c r="G2827" i="5"/>
  <c r="G2828" i="5"/>
  <c r="G2829" i="5"/>
  <c r="G2830" i="5"/>
  <c r="G2831" i="5"/>
  <c r="G2832" i="5"/>
  <c r="G2833" i="5"/>
  <c r="G2834" i="5"/>
  <c r="I2834" i="5" s="1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I2850" i="5" s="1"/>
  <c r="G2851" i="5"/>
  <c r="G2852" i="5"/>
  <c r="G2853" i="5"/>
  <c r="G2854" i="5"/>
  <c r="G2855" i="5"/>
  <c r="G2856" i="5"/>
  <c r="G2857" i="5"/>
  <c r="G2858" i="5"/>
  <c r="I2858" i="5" s="1"/>
  <c r="G2859" i="5"/>
  <c r="G2860" i="5"/>
  <c r="G2861" i="5"/>
  <c r="G2862" i="5"/>
  <c r="G2863" i="5"/>
  <c r="G2864" i="5"/>
  <c r="G2865" i="5"/>
  <c r="G2866" i="5"/>
  <c r="I2866" i="5" s="1"/>
  <c r="G2867" i="5"/>
  <c r="G2868" i="5"/>
  <c r="G2869" i="5"/>
  <c r="G2870" i="5"/>
  <c r="G2871" i="5"/>
  <c r="G2872" i="5"/>
  <c r="G2873" i="5"/>
  <c r="G2874" i="5"/>
  <c r="I2874" i="5" s="1"/>
  <c r="G2875" i="5"/>
  <c r="G2876" i="5"/>
  <c r="G2877" i="5"/>
  <c r="G2878" i="5"/>
  <c r="G2879" i="5"/>
  <c r="G2880" i="5"/>
  <c r="G2881" i="5"/>
  <c r="G2882" i="5"/>
  <c r="I2882" i="5" s="1"/>
  <c r="G2883" i="5"/>
  <c r="G2884" i="5"/>
  <c r="G2885" i="5"/>
  <c r="G2886" i="5"/>
  <c r="G2887" i="5"/>
  <c r="G2888" i="5"/>
  <c r="G2889" i="5"/>
  <c r="G2890" i="5"/>
  <c r="I2890" i="5" s="1"/>
  <c r="G2891" i="5"/>
  <c r="G2892" i="5"/>
  <c r="G2893" i="5"/>
  <c r="G2894" i="5"/>
  <c r="G2895" i="5"/>
  <c r="G2896" i="5"/>
  <c r="G2897" i="5"/>
  <c r="G2898" i="5"/>
  <c r="I2898" i="5" s="1"/>
  <c r="G2899" i="5"/>
  <c r="G2900" i="5"/>
  <c r="G2901" i="5"/>
  <c r="G2902" i="5"/>
  <c r="G2903" i="5"/>
  <c r="G2904" i="5"/>
  <c r="G2905" i="5"/>
  <c r="G2906" i="5"/>
  <c r="I2906" i="5" s="1"/>
  <c r="G2907" i="5"/>
  <c r="G2908" i="5"/>
  <c r="G2909" i="5"/>
  <c r="G2910" i="5"/>
  <c r="G2911" i="5"/>
  <c r="G2912" i="5"/>
  <c r="G2913" i="5"/>
  <c r="G2914" i="5"/>
  <c r="I2914" i="5" s="1"/>
  <c r="G2915" i="5"/>
  <c r="G2916" i="5"/>
  <c r="G2917" i="5"/>
  <c r="G2918" i="5"/>
  <c r="G2919" i="5"/>
  <c r="G2920" i="5"/>
  <c r="G2921" i="5"/>
  <c r="G2922" i="5"/>
  <c r="I2922" i="5" s="1"/>
  <c r="G2923" i="5"/>
  <c r="G2924" i="5"/>
  <c r="G2925" i="5"/>
  <c r="G2926" i="5"/>
  <c r="G2927" i="5"/>
  <c r="G2928" i="5"/>
  <c r="G2929" i="5"/>
  <c r="G2930" i="5"/>
  <c r="I2930" i="5" s="1"/>
  <c r="G2931" i="5"/>
  <c r="G2932" i="5"/>
  <c r="G2933" i="5"/>
  <c r="G2934" i="5"/>
  <c r="G2935" i="5"/>
  <c r="G2936" i="5"/>
  <c r="G2937" i="5"/>
  <c r="G2938" i="5"/>
  <c r="I2938" i="5" s="1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I2954" i="5" s="1"/>
  <c r="G2955" i="5"/>
  <c r="G2956" i="5"/>
  <c r="G2957" i="5"/>
  <c r="G2958" i="5"/>
  <c r="G2959" i="5"/>
  <c r="G2960" i="5"/>
  <c r="G2961" i="5"/>
  <c r="G2962" i="5"/>
  <c r="I2962" i="5" s="1"/>
  <c r="G2963" i="5"/>
  <c r="G2964" i="5"/>
  <c r="G2965" i="5"/>
  <c r="G2966" i="5"/>
  <c r="G2967" i="5"/>
  <c r="G2968" i="5"/>
  <c r="G2969" i="5"/>
  <c r="G2970" i="5"/>
  <c r="I2970" i="5" s="1"/>
  <c r="G2971" i="5"/>
  <c r="G2972" i="5"/>
  <c r="G2973" i="5"/>
  <c r="G2974" i="5"/>
  <c r="G2975" i="5"/>
  <c r="G2976" i="5"/>
  <c r="G2977" i="5"/>
  <c r="G2978" i="5"/>
  <c r="I2978" i="5" s="1"/>
  <c r="G2979" i="5"/>
  <c r="G2980" i="5"/>
  <c r="G2981" i="5"/>
  <c r="G2982" i="5"/>
  <c r="G2983" i="5"/>
  <c r="G2984" i="5"/>
  <c r="G2985" i="5"/>
  <c r="G2986" i="5"/>
  <c r="I2986" i="5" s="1"/>
  <c r="G2987" i="5"/>
  <c r="G2988" i="5"/>
  <c r="G2989" i="5"/>
  <c r="G2990" i="5"/>
  <c r="G2991" i="5"/>
  <c r="G2992" i="5"/>
  <c r="G2993" i="5"/>
  <c r="G2994" i="5"/>
  <c r="I2994" i="5" s="1"/>
  <c r="G2995" i="5"/>
  <c r="G2996" i="5"/>
  <c r="G2997" i="5"/>
  <c r="G2998" i="5"/>
  <c r="G2999" i="5"/>
  <c r="G3000" i="5"/>
  <c r="G3001" i="5"/>
  <c r="G3002" i="5"/>
  <c r="I3002" i="5" s="1"/>
  <c r="G3003" i="5"/>
  <c r="G3004" i="5"/>
  <c r="G3005" i="5"/>
  <c r="G3006" i="5"/>
  <c r="G3007" i="5"/>
  <c r="G3008" i="5"/>
  <c r="G3009" i="5"/>
  <c r="G3010" i="5"/>
  <c r="I3010" i="5" s="1"/>
  <c r="G3011" i="5"/>
  <c r="G3012" i="5"/>
  <c r="G3013" i="5"/>
  <c r="G3014" i="5"/>
  <c r="G3015" i="5"/>
  <c r="G3016" i="5"/>
  <c r="G3017" i="5"/>
  <c r="G3018" i="5"/>
  <c r="I3018" i="5" s="1"/>
  <c r="G3019" i="5"/>
  <c r="G3020" i="5"/>
  <c r="G3021" i="5"/>
  <c r="G3022" i="5"/>
  <c r="G3023" i="5"/>
  <c r="G3024" i="5"/>
  <c r="G3025" i="5"/>
  <c r="G3026" i="5"/>
  <c r="I3026" i="5" s="1"/>
  <c r="G3027" i="5"/>
  <c r="G3028" i="5"/>
  <c r="G3029" i="5"/>
  <c r="G3030" i="5"/>
  <c r="G3031" i="5"/>
  <c r="G3032" i="5"/>
  <c r="G3033" i="5"/>
  <c r="G3034" i="5"/>
  <c r="I3034" i="5" s="1"/>
  <c r="G3035" i="5"/>
  <c r="G3036" i="5"/>
  <c r="G3037" i="5"/>
  <c r="G3038" i="5"/>
  <c r="G3039" i="5"/>
  <c r="G3040" i="5"/>
  <c r="G3041" i="5"/>
  <c r="G3042" i="5"/>
  <c r="I3042" i="5" s="1"/>
  <c r="G3043" i="5"/>
  <c r="G3044" i="5"/>
  <c r="G3045" i="5"/>
  <c r="G3046" i="5"/>
  <c r="G3047" i="5"/>
  <c r="G3048" i="5"/>
  <c r="G3049" i="5"/>
  <c r="G3050" i="5"/>
  <c r="I3050" i="5" s="1"/>
  <c r="G3051" i="5"/>
  <c r="G3052" i="5"/>
  <c r="G3053" i="5"/>
  <c r="G3054" i="5"/>
  <c r="G3055" i="5"/>
  <c r="G3056" i="5"/>
  <c r="G3057" i="5"/>
  <c r="G3058" i="5"/>
  <c r="I3058" i="5" s="1"/>
  <c r="G3059" i="5"/>
  <c r="G3060" i="5"/>
  <c r="G3061" i="5"/>
  <c r="G3062" i="5"/>
  <c r="G3063" i="5"/>
  <c r="G3064" i="5"/>
  <c r="G3065" i="5"/>
  <c r="G3066" i="5"/>
  <c r="I3066" i="5" s="1"/>
  <c r="G3067" i="5"/>
  <c r="G3068" i="5"/>
  <c r="G3069" i="5"/>
  <c r="G3070" i="5"/>
  <c r="G3071" i="5"/>
  <c r="G3072" i="5"/>
  <c r="G3073" i="5"/>
  <c r="G3074" i="5"/>
  <c r="I3074" i="5" s="1"/>
  <c r="G3075" i="5"/>
  <c r="G3076" i="5"/>
  <c r="G3077" i="5"/>
  <c r="G3078" i="5"/>
  <c r="G3079" i="5"/>
  <c r="G3080" i="5"/>
  <c r="G3081" i="5"/>
  <c r="G3082" i="5"/>
  <c r="I3082" i="5" s="1"/>
  <c r="G3083" i="5"/>
  <c r="G3084" i="5"/>
  <c r="G3085" i="5"/>
  <c r="G3086" i="5"/>
  <c r="G3087" i="5"/>
  <c r="G3088" i="5"/>
  <c r="G3089" i="5"/>
  <c r="G3090" i="5"/>
  <c r="I3090" i="5" s="1"/>
  <c r="G3091" i="5"/>
  <c r="G3092" i="5"/>
  <c r="G3093" i="5"/>
  <c r="G3094" i="5"/>
  <c r="G3095" i="5"/>
  <c r="G3096" i="5"/>
  <c r="G3097" i="5"/>
  <c r="G3098" i="5"/>
  <c r="I3098" i="5" s="1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I3114" i="5" s="1"/>
  <c r="G3115" i="5"/>
  <c r="G3116" i="5"/>
  <c r="G3117" i="5"/>
  <c r="G3118" i="5"/>
  <c r="G3119" i="5"/>
  <c r="G3120" i="5"/>
  <c r="G3121" i="5"/>
  <c r="G3122" i="5"/>
  <c r="I3122" i="5" s="1"/>
  <c r="G3123" i="5"/>
  <c r="G3124" i="5"/>
  <c r="G3125" i="5"/>
  <c r="G3126" i="5"/>
  <c r="G3127" i="5"/>
  <c r="G3128" i="5"/>
  <c r="G3129" i="5"/>
  <c r="G3130" i="5"/>
  <c r="I3130" i="5" s="1"/>
  <c r="G3131" i="5"/>
  <c r="G3132" i="5"/>
  <c r="G3133" i="5"/>
  <c r="G3134" i="5"/>
  <c r="G3135" i="5"/>
  <c r="G3136" i="5"/>
  <c r="G3137" i="5"/>
  <c r="G3138" i="5"/>
  <c r="I3138" i="5" s="1"/>
  <c r="G3139" i="5"/>
  <c r="G3140" i="5"/>
  <c r="G3141" i="5"/>
  <c r="G3142" i="5"/>
  <c r="G3143" i="5"/>
  <c r="G3144" i="5"/>
  <c r="G3145" i="5"/>
  <c r="G3146" i="5"/>
  <c r="I3146" i="5" s="1"/>
  <c r="G3147" i="5"/>
  <c r="G3148" i="5"/>
  <c r="G3149" i="5"/>
  <c r="G3150" i="5"/>
  <c r="G3151" i="5"/>
  <c r="G3152" i="5"/>
  <c r="I3152" i="5" s="1"/>
  <c r="G3153" i="5"/>
  <c r="G3154" i="5"/>
  <c r="I3154" i="5" s="1"/>
  <c r="G3155" i="5"/>
  <c r="G3156" i="5"/>
  <c r="G3157" i="5"/>
  <c r="G3158" i="5"/>
  <c r="G3159" i="5"/>
  <c r="G3160" i="5"/>
  <c r="G3161" i="5"/>
  <c r="G3162" i="5"/>
  <c r="I3162" i="5" s="1"/>
  <c r="G3163" i="5"/>
  <c r="G3164" i="5"/>
  <c r="G3165" i="5"/>
  <c r="G3166" i="5"/>
  <c r="G3167" i="5"/>
  <c r="G3168" i="5"/>
  <c r="G3169" i="5"/>
  <c r="G3170" i="5"/>
  <c r="I3170" i="5" s="1"/>
  <c r="G3171" i="5"/>
  <c r="G3172" i="5"/>
  <c r="G3173" i="5"/>
  <c r="G3174" i="5"/>
  <c r="G3175" i="5"/>
  <c r="G3176" i="5"/>
  <c r="G3177" i="5"/>
  <c r="G3178" i="5"/>
  <c r="I3178" i="5" s="1"/>
  <c r="G3179" i="5"/>
  <c r="G3180" i="5"/>
  <c r="G3181" i="5"/>
  <c r="G3182" i="5"/>
  <c r="G3183" i="5"/>
  <c r="G3184" i="5"/>
  <c r="G3185" i="5"/>
  <c r="G3186" i="5"/>
  <c r="I3186" i="5" s="1"/>
  <c r="G3187" i="5"/>
  <c r="G3188" i="5"/>
  <c r="G3189" i="5"/>
  <c r="G3190" i="5"/>
  <c r="G3191" i="5"/>
  <c r="G3192" i="5"/>
  <c r="G3193" i="5"/>
  <c r="G3194" i="5"/>
  <c r="I3194" i="5" s="1"/>
  <c r="G3195" i="5"/>
  <c r="G3196" i="5"/>
  <c r="G3197" i="5"/>
  <c r="G3198" i="5"/>
  <c r="G3199" i="5"/>
  <c r="G3200" i="5"/>
  <c r="G3201" i="5"/>
  <c r="G3202" i="5"/>
  <c r="I3202" i="5" s="1"/>
  <c r="G3203" i="5"/>
  <c r="G3204" i="5"/>
  <c r="G3205" i="5"/>
  <c r="G3206" i="5"/>
  <c r="G3207" i="5"/>
  <c r="G3208" i="5"/>
  <c r="I3208" i="5" s="1"/>
  <c r="G3209" i="5"/>
  <c r="G3210" i="5"/>
  <c r="I3210" i="5" s="1"/>
  <c r="G3211" i="5"/>
  <c r="G3212" i="5"/>
  <c r="G3213" i="5"/>
  <c r="G3214" i="5"/>
  <c r="G3215" i="5"/>
  <c r="G3216" i="5"/>
  <c r="G3217" i="5"/>
  <c r="G3218" i="5"/>
  <c r="I3218" i="5" s="1"/>
  <c r="G3219" i="5"/>
  <c r="G3220" i="5"/>
  <c r="G3221" i="5"/>
  <c r="G3222" i="5"/>
  <c r="G3223" i="5"/>
  <c r="G3224" i="5"/>
  <c r="G3225" i="5"/>
  <c r="G3226" i="5"/>
  <c r="I3226" i="5" s="1"/>
  <c r="G3227" i="5"/>
  <c r="G3228" i="5"/>
  <c r="G3229" i="5"/>
  <c r="G3230" i="5"/>
  <c r="G3231" i="5"/>
  <c r="G3232" i="5"/>
  <c r="G3233" i="5"/>
  <c r="G3234" i="5"/>
  <c r="I3234" i="5" s="1"/>
  <c r="G3235" i="5"/>
  <c r="G3236" i="5"/>
  <c r="G3237" i="5"/>
  <c r="G3238" i="5"/>
  <c r="G3239" i="5"/>
  <c r="G3240" i="5"/>
  <c r="G3241" i="5"/>
  <c r="G3242" i="5"/>
  <c r="I3242" i="5" s="1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I3258" i="5" s="1"/>
  <c r="G3259" i="5"/>
  <c r="G3260" i="5"/>
  <c r="G3261" i="5"/>
  <c r="G3262" i="5"/>
  <c r="G3263" i="5"/>
  <c r="G3264" i="5"/>
  <c r="G3265" i="5"/>
  <c r="G3266" i="5"/>
  <c r="I3266" i="5" s="1"/>
  <c r="G3267" i="5"/>
  <c r="G3268" i="5"/>
  <c r="G3269" i="5"/>
  <c r="G3270" i="5"/>
  <c r="G3271" i="5"/>
  <c r="G3272" i="5"/>
  <c r="G3273" i="5"/>
  <c r="G3274" i="5"/>
  <c r="I3274" i="5" s="1"/>
  <c r="G3275" i="5"/>
  <c r="G3276" i="5"/>
  <c r="G3277" i="5"/>
  <c r="G3278" i="5"/>
  <c r="G3279" i="5"/>
  <c r="G3280" i="5"/>
  <c r="I3280" i="5" s="1"/>
  <c r="G3281" i="5"/>
  <c r="G3282" i="5"/>
  <c r="I3282" i="5" s="1"/>
  <c r="G3283" i="5"/>
  <c r="G3284" i="5"/>
  <c r="G3285" i="5"/>
  <c r="G3286" i="5"/>
  <c r="G3287" i="5"/>
  <c r="G3288" i="5"/>
  <c r="G3289" i="5"/>
  <c r="G3290" i="5"/>
  <c r="I3290" i="5" s="1"/>
  <c r="G3291" i="5"/>
  <c r="G3292" i="5"/>
  <c r="G3293" i="5"/>
  <c r="G3294" i="5"/>
  <c r="G3295" i="5"/>
  <c r="G3296" i="5"/>
  <c r="I3296" i="5" s="1"/>
  <c r="G3297" i="5"/>
  <c r="G3298" i="5"/>
  <c r="I3298" i="5" s="1"/>
  <c r="G3299" i="5"/>
  <c r="G3300" i="5"/>
  <c r="G3301" i="5"/>
  <c r="G3302" i="5"/>
  <c r="G3303" i="5"/>
  <c r="G3304" i="5"/>
  <c r="G3305" i="5"/>
  <c r="G3306" i="5"/>
  <c r="I3306" i="5" s="1"/>
  <c r="G3307" i="5"/>
  <c r="G3308" i="5"/>
  <c r="G3309" i="5"/>
  <c r="G3310" i="5"/>
  <c r="G3311" i="5"/>
  <c r="G3312" i="5"/>
  <c r="G3313" i="5"/>
  <c r="G3314" i="5"/>
  <c r="I3314" i="5" s="1"/>
  <c r="G3315" i="5"/>
  <c r="G3316" i="5"/>
  <c r="G3317" i="5"/>
  <c r="G3318" i="5"/>
  <c r="G3319" i="5"/>
  <c r="G3320" i="5"/>
  <c r="G3321" i="5"/>
  <c r="G3322" i="5"/>
  <c r="I3322" i="5" s="1"/>
  <c r="G3323" i="5"/>
  <c r="G3324" i="5"/>
  <c r="G3325" i="5"/>
  <c r="G3326" i="5"/>
  <c r="G3327" i="5"/>
  <c r="G3328" i="5"/>
  <c r="G3329" i="5"/>
  <c r="G3330" i="5"/>
  <c r="I3330" i="5" s="1"/>
  <c r="G3331" i="5"/>
  <c r="G3332" i="5"/>
  <c r="G3333" i="5"/>
  <c r="G3334" i="5"/>
  <c r="G3335" i="5"/>
  <c r="G3336" i="5"/>
  <c r="I3336" i="5" s="1"/>
  <c r="G3337" i="5"/>
  <c r="G3338" i="5"/>
  <c r="I3338" i="5" s="1"/>
  <c r="G3339" i="5"/>
  <c r="G3340" i="5"/>
  <c r="G3341" i="5"/>
  <c r="G3342" i="5"/>
  <c r="G3343" i="5"/>
  <c r="G3344" i="5"/>
  <c r="G3345" i="5"/>
  <c r="G3346" i="5"/>
  <c r="I3346" i="5" s="1"/>
  <c r="G3347" i="5"/>
  <c r="G3348" i="5"/>
  <c r="G3349" i="5"/>
  <c r="G3350" i="5"/>
  <c r="G3351" i="5"/>
  <c r="G3352" i="5"/>
  <c r="G3353" i="5"/>
  <c r="G3354" i="5"/>
  <c r="I3354" i="5" s="1"/>
  <c r="G3355" i="5"/>
  <c r="G3356" i="5"/>
  <c r="G3357" i="5"/>
  <c r="G3358" i="5"/>
  <c r="G3359" i="5"/>
  <c r="G3360" i="5"/>
  <c r="G3361" i="5"/>
  <c r="G3362" i="5"/>
  <c r="I3362" i="5" s="1"/>
  <c r="G3363" i="5"/>
  <c r="G3364" i="5"/>
  <c r="G3365" i="5"/>
  <c r="G3366" i="5"/>
  <c r="G3367" i="5"/>
  <c r="G3368" i="5"/>
  <c r="G3369" i="5"/>
  <c r="G3370" i="5"/>
  <c r="I3370" i="5" s="1"/>
  <c r="G3371" i="5"/>
  <c r="G3372" i="5"/>
  <c r="G3373" i="5"/>
  <c r="G3374" i="5"/>
  <c r="G3375" i="5"/>
  <c r="G3376" i="5"/>
  <c r="G3377" i="5"/>
  <c r="G3378" i="5"/>
  <c r="I3378" i="5" s="1"/>
  <c r="G3379" i="5"/>
  <c r="G3380" i="5"/>
  <c r="G3381" i="5"/>
  <c r="G3382" i="5"/>
  <c r="G3383" i="5"/>
  <c r="G3384" i="5"/>
  <c r="I3384" i="5" s="1"/>
  <c r="G3385" i="5"/>
  <c r="G3386" i="5"/>
  <c r="I3386" i="5" s="1"/>
  <c r="G3387" i="5"/>
  <c r="G3388" i="5"/>
  <c r="G3389" i="5"/>
  <c r="G3390" i="5"/>
  <c r="G3391" i="5"/>
  <c r="G3392" i="5"/>
  <c r="I3392" i="5" s="1"/>
  <c r="G3393" i="5"/>
  <c r="G3394" i="5"/>
  <c r="I3394" i="5" s="1"/>
  <c r="G3395" i="5"/>
  <c r="G3396" i="5"/>
  <c r="G3397" i="5"/>
  <c r="G3398" i="5"/>
  <c r="G3399" i="5"/>
  <c r="G3400" i="5"/>
  <c r="G3401" i="5"/>
  <c r="G3402" i="5"/>
  <c r="I3402" i="5" s="1"/>
  <c r="G3403" i="5"/>
  <c r="G3404" i="5"/>
  <c r="G3405" i="5"/>
  <c r="G3406" i="5"/>
  <c r="G3407" i="5"/>
  <c r="G3408" i="5"/>
  <c r="G3409" i="5"/>
  <c r="G3410" i="5"/>
  <c r="I3410" i="5" s="1"/>
  <c r="G3411" i="5"/>
  <c r="G3412" i="5"/>
  <c r="G3413" i="5"/>
  <c r="G3414" i="5"/>
  <c r="G3415" i="5"/>
  <c r="G3416" i="5"/>
  <c r="G3417" i="5"/>
  <c r="G3418" i="5"/>
  <c r="I3418" i="5" s="1"/>
  <c r="G3419" i="5"/>
  <c r="G3420" i="5"/>
  <c r="G3421" i="5"/>
  <c r="G3422" i="5"/>
  <c r="G3423" i="5"/>
  <c r="G3424" i="5"/>
  <c r="G3425" i="5"/>
  <c r="G3426" i="5"/>
  <c r="I3426" i="5" s="1"/>
  <c r="G3427" i="5"/>
  <c r="G3428" i="5"/>
  <c r="G3429" i="5"/>
  <c r="G3430" i="5"/>
  <c r="G3431" i="5"/>
  <c r="G3432" i="5"/>
  <c r="G3433" i="5"/>
  <c r="G3434" i="5"/>
  <c r="I3434" i="5" s="1"/>
  <c r="G3435" i="5"/>
  <c r="G3436" i="5"/>
  <c r="G3437" i="5"/>
  <c r="G3438" i="5"/>
  <c r="G3439" i="5"/>
  <c r="G3440" i="5"/>
  <c r="G3441" i="5"/>
  <c r="G3442" i="5"/>
  <c r="I3442" i="5" s="1"/>
  <c r="G3443" i="5"/>
  <c r="G3444" i="5"/>
  <c r="G3445" i="5"/>
  <c r="G3446" i="5"/>
  <c r="G3447" i="5"/>
  <c r="G3448" i="5"/>
  <c r="G3449" i="5"/>
  <c r="G3450" i="5"/>
  <c r="I3450" i="5" s="1"/>
  <c r="G3451" i="5"/>
  <c r="G3452" i="5"/>
  <c r="G3453" i="5"/>
  <c r="G3454" i="5"/>
  <c r="G3455" i="5"/>
  <c r="G3456" i="5"/>
  <c r="G3457" i="5"/>
  <c r="G3458" i="5"/>
  <c r="I3458" i="5" s="1"/>
  <c r="G3459" i="5"/>
  <c r="G3460" i="5"/>
  <c r="G3461" i="5"/>
  <c r="G3462" i="5"/>
  <c r="G3463" i="5"/>
  <c r="G3464" i="5"/>
  <c r="I3464" i="5" s="1"/>
  <c r="G3465" i="5"/>
  <c r="G3466" i="5"/>
  <c r="I3466" i="5" s="1"/>
  <c r="G3467" i="5"/>
  <c r="G3468" i="5"/>
  <c r="G3469" i="5"/>
  <c r="G3470" i="5"/>
  <c r="G3471" i="5"/>
  <c r="G3472" i="5"/>
  <c r="G3473" i="5"/>
  <c r="G3474" i="5"/>
  <c r="I3474" i="5" s="1"/>
  <c r="G3475" i="5"/>
  <c r="G3476" i="5"/>
  <c r="G3477" i="5"/>
  <c r="G3478" i="5"/>
  <c r="G3479" i="5"/>
  <c r="G3480" i="5"/>
  <c r="I3480" i="5" s="1"/>
  <c r="G3481" i="5"/>
  <c r="G3482" i="5"/>
  <c r="I3482" i="5" s="1"/>
  <c r="G3483" i="5"/>
  <c r="G3484" i="5"/>
  <c r="G3485" i="5"/>
  <c r="G3486" i="5"/>
  <c r="G3487" i="5"/>
  <c r="G3488" i="5"/>
  <c r="G3489" i="5"/>
  <c r="G3490" i="5"/>
  <c r="I3490" i="5" s="1"/>
  <c r="G3491" i="5"/>
  <c r="G3492" i="5"/>
  <c r="G3493" i="5"/>
  <c r="G3494" i="5"/>
  <c r="G3495" i="5"/>
  <c r="G3496" i="5"/>
  <c r="G3497" i="5"/>
  <c r="G3498" i="5"/>
  <c r="I3498" i="5" s="1"/>
  <c r="G3499" i="5"/>
  <c r="G3500" i="5"/>
  <c r="G3501" i="5"/>
  <c r="G2" i="5"/>
  <c r="I41" i="5"/>
  <c r="I57" i="5"/>
  <c r="I65" i="5"/>
  <c r="I73" i="5"/>
  <c r="I81" i="5"/>
  <c r="I89" i="5"/>
  <c r="I97" i="5"/>
  <c r="I105" i="5"/>
  <c r="I113" i="5"/>
  <c r="I121" i="5"/>
  <c r="I129" i="5"/>
  <c r="I137" i="5"/>
  <c r="I145" i="5"/>
  <c r="I153" i="5"/>
  <c r="I161" i="5"/>
  <c r="I169" i="5"/>
  <c r="I177" i="5"/>
  <c r="I185" i="5"/>
  <c r="I193" i="5"/>
  <c r="I201" i="5"/>
  <c r="I209" i="5"/>
  <c r="I225" i="5"/>
  <c r="I233" i="5"/>
  <c r="I241" i="5"/>
  <c r="I249" i="5"/>
  <c r="I257" i="5"/>
  <c r="I265" i="5"/>
  <c r="I273" i="5"/>
  <c r="I281" i="5"/>
  <c r="I289" i="5"/>
  <c r="I297" i="5"/>
  <c r="I305" i="5"/>
  <c r="I313" i="5"/>
  <c r="I321" i="5"/>
  <c r="I329" i="5"/>
  <c r="I337" i="5"/>
  <c r="I345" i="5"/>
  <c r="I353" i="5"/>
  <c r="I361" i="5"/>
  <c r="I369" i="5"/>
  <c r="I385" i="5"/>
  <c r="I393" i="5"/>
  <c r="I401" i="5"/>
  <c r="I409" i="5"/>
  <c r="I417" i="5"/>
  <c r="I425" i="5"/>
  <c r="I433" i="5"/>
  <c r="I441" i="5"/>
  <c r="I449" i="5"/>
  <c r="I457" i="5"/>
  <c r="I465" i="5"/>
  <c r="I473" i="5"/>
  <c r="I481" i="5"/>
  <c r="I489" i="5"/>
  <c r="I497" i="5"/>
  <c r="I505" i="5"/>
  <c r="I513" i="5"/>
  <c r="I521" i="5"/>
  <c r="I529" i="5"/>
  <c r="I537" i="5"/>
  <c r="I545" i="5"/>
  <c r="I561" i="5"/>
  <c r="I569" i="5"/>
  <c r="I577" i="5"/>
  <c r="I585" i="5"/>
  <c r="I593" i="5"/>
  <c r="I601" i="5"/>
  <c r="I609" i="5"/>
  <c r="I617" i="5"/>
  <c r="I625" i="5"/>
  <c r="I633" i="5"/>
  <c r="I641" i="5"/>
  <c r="I649" i="5"/>
  <c r="I657" i="5"/>
  <c r="I665" i="5"/>
  <c r="I673" i="5"/>
  <c r="I681" i="5"/>
  <c r="I689" i="5"/>
  <c r="I697" i="5"/>
  <c r="I705" i="5"/>
  <c r="I713" i="5"/>
  <c r="I721" i="5"/>
  <c r="I729" i="5"/>
  <c r="I745" i="5"/>
  <c r="I753" i="5"/>
  <c r="I761" i="5"/>
  <c r="I769" i="5"/>
  <c r="I777" i="5"/>
  <c r="I785" i="5"/>
  <c r="I793" i="5"/>
  <c r="I801" i="5"/>
  <c r="I809" i="5"/>
  <c r="I817" i="5"/>
  <c r="I825" i="5"/>
  <c r="I833" i="5"/>
  <c r="I841" i="5"/>
  <c r="I849" i="5"/>
  <c r="I857" i="5"/>
  <c r="I865" i="5"/>
  <c r="I873" i="5"/>
  <c r="I881" i="5"/>
  <c r="I889" i="5"/>
  <c r="I905" i="5"/>
  <c r="I913" i="5"/>
  <c r="I921" i="5"/>
  <c r="I929" i="5"/>
  <c r="I937" i="5"/>
  <c r="I945" i="5"/>
  <c r="I953" i="5"/>
  <c r="I961" i="5"/>
  <c r="I969" i="5"/>
  <c r="I977" i="5"/>
  <c r="I985" i="5"/>
  <c r="I993" i="5"/>
  <c r="I1001" i="5"/>
  <c r="I1009" i="5"/>
  <c r="I1017" i="5"/>
  <c r="I1025" i="5"/>
  <c r="I1033" i="5"/>
  <c r="I1041" i="5"/>
  <c r="I1049" i="5"/>
  <c r="I1057" i="5"/>
  <c r="I1065" i="5"/>
  <c r="I1081" i="5"/>
  <c r="I1089" i="5"/>
  <c r="I1097" i="5"/>
  <c r="I1105" i="5"/>
  <c r="I1113" i="5"/>
  <c r="I1121" i="5"/>
  <c r="I1129" i="5"/>
  <c r="I1137" i="5"/>
  <c r="I1145" i="5"/>
  <c r="I1153" i="5"/>
  <c r="I1161" i="5"/>
  <c r="I1169" i="5"/>
  <c r="I1177" i="5"/>
  <c r="I1185" i="5"/>
  <c r="I1193" i="5"/>
  <c r="I1201" i="5"/>
  <c r="I1209" i="5"/>
  <c r="I1217" i="5"/>
  <c r="I1225" i="5"/>
  <c r="I1233" i="5"/>
  <c r="I1241" i="5"/>
  <c r="I1249" i="5"/>
  <c r="I1265" i="5"/>
  <c r="I1273" i="5"/>
  <c r="I1281" i="5"/>
  <c r="I1289" i="5"/>
  <c r="I1297" i="5"/>
  <c r="I1305" i="5"/>
  <c r="I1313" i="5"/>
  <c r="I1321" i="5"/>
  <c r="I1329" i="5"/>
  <c r="I1337" i="5"/>
  <c r="I1345" i="5"/>
  <c r="I1353" i="5"/>
  <c r="I1361" i="5"/>
  <c r="I1369" i="5"/>
  <c r="I1377" i="5"/>
  <c r="I1385" i="5"/>
  <c r="I1393" i="5"/>
  <c r="I1401" i="5"/>
  <c r="I1409" i="5"/>
  <c r="I1425" i="5"/>
  <c r="I1433" i="5"/>
  <c r="I1441" i="5"/>
  <c r="I1449" i="5"/>
  <c r="I1457" i="5"/>
  <c r="I1465" i="5"/>
  <c r="I1473" i="5"/>
  <c r="I1481" i="5"/>
  <c r="I1489" i="5"/>
  <c r="I1497" i="5"/>
  <c r="I1505" i="5"/>
  <c r="I1513" i="5"/>
  <c r="I1521" i="5"/>
  <c r="I1529" i="5"/>
  <c r="I1537" i="5"/>
  <c r="I1545" i="5"/>
  <c r="I1553" i="5"/>
  <c r="I1561" i="5"/>
  <c r="I1569" i="5"/>
  <c r="I1577" i="5"/>
  <c r="I1585" i="5"/>
  <c r="I1601" i="5"/>
  <c r="I1609" i="5"/>
  <c r="I1617" i="5"/>
  <c r="I1625" i="5"/>
  <c r="I1633" i="5"/>
  <c r="I1641" i="5"/>
  <c r="I1649" i="5"/>
  <c r="I1657" i="5"/>
  <c r="I1665" i="5"/>
  <c r="I1673" i="5"/>
  <c r="I1681" i="5"/>
  <c r="I1689" i="5"/>
  <c r="I1697" i="5"/>
  <c r="I1705" i="5"/>
  <c r="I1713" i="5"/>
  <c r="I1721" i="5"/>
  <c r="I1729" i="5"/>
  <c r="I1737" i="5"/>
  <c r="I1745" i="5"/>
  <c r="I1753" i="5"/>
  <c r="I1761" i="5"/>
  <c r="I1769" i="5"/>
  <c r="I1785" i="5"/>
  <c r="I1793" i="5"/>
  <c r="I1801" i="5"/>
  <c r="I1809" i="5"/>
  <c r="I1817" i="5"/>
  <c r="I1825" i="5"/>
  <c r="I1833" i="5"/>
  <c r="I1841" i="5"/>
  <c r="I1849" i="5"/>
  <c r="I1857" i="5"/>
  <c r="I1865" i="5"/>
  <c r="I1873" i="5"/>
  <c r="I1881" i="5"/>
  <c r="I1889" i="5"/>
  <c r="I1897" i="5"/>
  <c r="I1905" i="5"/>
  <c r="I1913" i="5"/>
  <c r="I1921" i="5"/>
  <c r="I1929" i="5"/>
  <c r="I1945" i="5"/>
  <c r="I1953" i="5"/>
  <c r="I1961" i="5"/>
  <c r="I1969" i="5"/>
  <c r="I1977" i="5"/>
  <c r="I1985" i="5"/>
  <c r="I1993" i="5"/>
  <c r="I2001" i="5"/>
  <c r="I2009" i="5"/>
  <c r="I2017" i="5"/>
  <c r="I2025" i="5"/>
  <c r="I2033" i="5"/>
  <c r="I2041" i="5"/>
  <c r="I2049" i="5"/>
  <c r="I2057" i="5"/>
  <c r="I2065" i="5"/>
  <c r="I2073" i="5"/>
  <c r="I2081" i="5"/>
  <c r="I2089" i="5"/>
  <c r="I2097" i="5"/>
  <c r="I2105" i="5"/>
  <c r="I2121" i="5"/>
  <c r="I2129" i="5"/>
  <c r="I2137" i="5"/>
  <c r="I2145" i="5"/>
  <c r="I2153" i="5"/>
  <c r="I2161" i="5"/>
  <c r="I2169" i="5"/>
  <c r="I2177" i="5"/>
  <c r="I2185" i="5"/>
  <c r="I2193" i="5"/>
  <c r="I2201" i="5"/>
  <c r="I2209" i="5"/>
  <c r="I2217" i="5"/>
  <c r="I2225" i="5"/>
  <c r="I2233" i="5"/>
  <c r="I2241" i="5"/>
  <c r="I2249" i="5"/>
  <c r="I2257" i="5"/>
  <c r="I2265" i="5"/>
  <c r="I2273" i="5"/>
  <c r="I2281" i="5"/>
  <c r="I2289" i="5"/>
  <c r="I2305" i="5"/>
  <c r="I2313" i="5"/>
  <c r="I2321" i="5"/>
  <c r="I2329" i="5"/>
  <c r="I2337" i="5"/>
  <c r="I2345" i="5"/>
  <c r="I2353" i="5"/>
  <c r="I2361" i="5"/>
  <c r="I2369" i="5"/>
  <c r="I2377" i="5"/>
  <c r="I2384" i="5"/>
  <c r="I2385" i="5"/>
  <c r="I2393" i="5"/>
  <c r="I2401" i="5"/>
  <c r="I2409" i="5"/>
  <c r="I2417" i="5"/>
  <c r="I2424" i="5"/>
  <c r="I2425" i="5"/>
  <c r="I2433" i="5"/>
  <c r="I2441" i="5"/>
  <c r="I2448" i="5"/>
  <c r="I2449" i="5"/>
  <c r="I2456" i="5"/>
  <c r="I2465" i="5"/>
  <c r="I2473" i="5"/>
  <c r="I2481" i="5"/>
  <c r="I2488" i="5"/>
  <c r="I2489" i="5"/>
  <c r="I2497" i="5"/>
  <c r="I2505" i="5"/>
  <c r="I2512" i="5"/>
  <c r="I2513" i="5"/>
  <c r="I2520" i="5"/>
  <c r="I2521" i="5"/>
  <c r="I2529" i="5"/>
  <c r="I2537" i="5"/>
  <c r="I2545" i="5"/>
  <c r="I2552" i="5"/>
  <c r="I2553" i="5"/>
  <c r="I2561" i="5"/>
  <c r="I2569" i="5"/>
  <c r="I2576" i="5"/>
  <c r="I2577" i="5"/>
  <c r="I2584" i="5"/>
  <c r="I2585" i="5"/>
  <c r="I2593" i="5"/>
  <c r="I2601" i="5"/>
  <c r="I2609" i="5"/>
  <c r="I2616" i="5"/>
  <c r="I2617" i="5"/>
  <c r="I2625" i="5"/>
  <c r="I2640" i="5"/>
  <c r="I2641" i="5"/>
  <c r="I2648" i="5"/>
  <c r="I2649" i="5"/>
  <c r="I2657" i="5"/>
  <c r="I2665" i="5"/>
  <c r="I2673" i="5"/>
  <c r="I2680" i="5"/>
  <c r="I2681" i="5"/>
  <c r="I2689" i="5"/>
  <c r="I2697" i="5"/>
  <c r="I2704" i="5"/>
  <c r="I2705" i="5"/>
  <c r="I2712" i="5"/>
  <c r="I2713" i="5"/>
  <c r="I2721" i="5"/>
  <c r="I2729" i="5"/>
  <c r="I2737" i="5"/>
  <c r="I2744" i="5"/>
  <c r="I2745" i="5"/>
  <c r="I2753" i="5"/>
  <c r="I2760" i="5"/>
  <c r="I2761" i="5"/>
  <c r="I2768" i="5"/>
  <c r="I2769" i="5"/>
  <c r="I2776" i="5"/>
  <c r="I2777" i="5"/>
  <c r="I2785" i="5"/>
  <c r="I2787" i="5"/>
  <c r="I2793" i="5"/>
  <c r="I2801" i="5"/>
  <c r="I2808" i="5"/>
  <c r="I2809" i="5"/>
  <c r="I2819" i="5"/>
  <c r="I2824" i="5"/>
  <c r="I2825" i="5"/>
  <c r="I2832" i="5"/>
  <c r="I2833" i="5"/>
  <c r="I2840" i="5"/>
  <c r="I2841" i="5"/>
  <c r="I2848" i="5"/>
  <c r="I2849" i="5"/>
  <c r="I2851" i="5"/>
  <c r="I2857" i="5"/>
  <c r="I2865" i="5"/>
  <c r="I2872" i="5"/>
  <c r="I2873" i="5"/>
  <c r="I2881" i="5"/>
  <c r="I2883" i="5"/>
  <c r="I2888" i="5"/>
  <c r="I2889" i="5"/>
  <c r="I2896" i="5"/>
  <c r="I2897" i="5"/>
  <c r="I2904" i="5"/>
  <c r="I2905" i="5"/>
  <c r="I2912" i="5"/>
  <c r="I2913" i="5"/>
  <c r="I2915" i="5"/>
  <c r="I2921" i="5"/>
  <c r="I2929" i="5"/>
  <c r="I2936" i="5"/>
  <c r="I2937" i="5"/>
  <c r="I2939" i="5"/>
  <c r="I2945" i="5"/>
  <c r="I2947" i="5"/>
  <c r="I2952" i="5"/>
  <c r="I2953" i="5"/>
  <c r="I2960" i="5"/>
  <c r="I2961" i="5"/>
  <c r="I2968" i="5"/>
  <c r="I2969" i="5"/>
  <c r="I2976" i="5"/>
  <c r="I2979" i="5"/>
  <c r="I2985" i="5"/>
  <c r="I2993" i="5"/>
  <c r="I2995" i="5"/>
  <c r="I3000" i="5"/>
  <c r="I3001" i="5"/>
  <c r="I3009" i="5"/>
  <c r="I3011" i="5"/>
  <c r="I3016" i="5"/>
  <c r="I3017" i="5"/>
  <c r="I3024" i="5"/>
  <c r="I3025" i="5"/>
  <c r="I3032" i="5"/>
  <c r="I3033" i="5"/>
  <c r="I3040" i="5"/>
  <c r="I3041" i="5"/>
  <c r="I3043" i="5"/>
  <c r="I3049" i="5"/>
  <c r="I3051" i="5"/>
  <c r="I3057" i="5"/>
  <c r="I3064" i="5"/>
  <c r="I3065" i="5"/>
  <c r="I3073" i="5"/>
  <c r="I3075" i="5"/>
  <c r="I3080" i="5"/>
  <c r="I3081" i="5"/>
  <c r="I3088" i="5"/>
  <c r="I3089" i="5"/>
  <c r="I3096" i="5"/>
  <c r="I3097" i="5"/>
  <c r="I3099" i="5"/>
  <c r="I3104" i="5"/>
  <c r="I3105" i="5"/>
  <c r="I3107" i="5"/>
  <c r="I3113" i="5"/>
  <c r="I3121" i="5"/>
  <c r="I3128" i="5"/>
  <c r="I3129" i="5"/>
  <c r="I3137" i="5"/>
  <c r="I3139" i="5"/>
  <c r="I3144" i="5"/>
  <c r="I3145" i="5"/>
  <c r="I3155" i="5"/>
  <c r="I3160" i="5"/>
  <c r="I3161" i="5"/>
  <c r="I3168" i="5"/>
  <c r="I3169" i="5"/>
  <c r="I3171" i="5"/>
  <c r="I3177" i="5"/>
  <c r="I3185" i="5"/>
  <c r="I3192" i="5"/>
  <c r="I3193" i="5"/>
  <c r="I3195" i="5"/>
  <c r="I3201" i="5"/>
  <c r="I3209" i="5"/>
  <c r="I3216" i="5"/>
  <c r="I3217" i="5"/>
  <c r="I3224" i="5"/>
  <c r="I3225" i="5"/>
  <c r="I3227" i="5"/>
  <c r="I3232" i="5"/>
  <c r="I3233" i="5"/>
  <c r="I3240" i="5"/>
  <c r="I3241" i="5"/>
  <c r="I3249" i="5"/>
  <c r="I3256" i="5"/>
  <c r="I3257" i="5"/>
  <c r="I3259" i="5"/>
  <c r="I3264" i="5"/>
  <c r="I3265" i="5"/>
  <c r="I3272" i="5"/>
  <c r="I3273" i="5"/>
  <c r="I3281" i="5"/>
  <c r="I3288" i="5"/>
  <c r="I3289" i="5"/>
  <c r="I3291" i="5"/>
  <c r="I3297" i="5"/>
  <c r="I3304" i="5"/>
  <c r="I3305" i="5"/>
  <c r="I3312" i="5"/>
  <c r="I3313" i="5"/>
  <c r="I3320" i="5"/>
  <c r="I3321" i="5"/>
  <c r="I3323" i="5"/>
  <c r="I3328" i="5"/>
  <c r="I3329" i="5"/>
  <c r="I3344" i="5"/>
  <c r="I3345" i="5"/>
  <c r="I3352" i="5"/>
  <c r="I3353" i="5"/>
  <c r="I3355" i="5"/>
  <c r="I3360" i="5"/>
  <c r="I3361" i="5"/>
  <c r="I3369" i="5"/>
  <c r="I3377" i="5"/>
  <c r="I3385" i="5"/>
  <c r="I3387" i="5"/>
  <c r="I3393" i="5"/>
  <c r="I3400" i="5"/>
  <c r="I3401" i="5"/>
  <c r="I3408" i="5"/>
  <c r="I3409" i="5"/>
  <c r="I3416" i="5"/>
  <c r="I3417" i="5"/>
  <c r="I3419" i="5"/>
  <c r="I3424" i="5"/>
  <c r="I3425" i="5"/>
  <c r="I3433" i="5"/>
  <c r="I3440" i="5"/>
  <c r="I3441" i="5"/>
  <c r="I3448" i="5"/>
  <c r="I3449" i="5"/>
  <c r="I3451" i="5"/>
  <c r="I3456" i="5"/>
  <c r="I3457" i="5"/>
  <c r="I3465" i="5"/>
  <c r="I3467" i="5"/>
  <c r="I3472" i="5"/>
  <c r="I3473" i="5"/>
  <c r="I3481" i="5"/>
  <c r="I3488" i="5"/>
  <c r="I3489" i="5"/>
  <c r="I3496" i="5"/>
  <c r="I9" i="5"/>
  <c r="I17" i="5"/>
  <c r="I25" i="5"/>
  <c r="I33" i="5"/>
  <c r="I49" i="5"/>
  <c r="I217" i="5"/>
  <c r="I377" i="5"/>
  <c r="I553" i="5"/>
  <c r="I737" i="5"/>
  <c r="I897" i="5"/>
  <c r="I1073" i="5"/>
  <c r="I1257" i="5"/>
  <c r="I1417" i="5"/>
  <c r="I1593" i="5"/>
  <c r="I1777" i="5"/>
  <c r="I1937" i="5"/>
  <c r="I2113" i="5"/>
  <c r="I2297" i="5"/>
  <c r="I2457" i="5"/>
  <c r="I2633" i="5"/>
  <c r="I2817" i="5"/>
  <c r="I2977" i="5"/>
  <c r="I3153" i="5"/>
  <c r="I3337" i="5"/>
  <c r="I3497" i="5"/>
  <c r="I3462" i="5"/>
  <c r="I3478" i="5"/>
  <c r="I8" i="5"/>
  <c r="I16" i="5"/>
  <c r="I24" i="5"/>
  <c r="I32" i="5"/>
  <c r="I40" i="5"/>
  <c r="I48" i="5"/>
  <c r="I56" i="5"/>
  <c r="I64" i="5"/>
  <c r="I72" i="5"/>
  <c r="I80" i="5"/>
  <c r="I88" i="5"/>
  <c r="I96" i="5"/>
  <c r="I104" i="5"/>
  <c r="I112" i="5"/>
  <c r="I120" i="5"/>
  <c r="I128" i="5"/>
  <c r="I136" i="5"/>
  <c r="I144" i="5"/>
  <c r="I152" i="5"/>
  <c r="I160" i="5"/>
  <c r="I168" i="5"/>
  <c r="I184" i="5"/>
  <c r="I192" i="5"/>
  <c r="I200" i="5"/>
  <c r="I208" i="5"/>
  <c r="I216" i="5"/>
  <c r="I224" i="5"/>
  <c r="I232" i="5"/>
  <c r="I240" i="5"/>
  <c r="I248" i="5"/>
  <c r="I256" i="5"/>
  <c r="I264" i="5"/>
  <c r="I272" i="5"/>
  <c r="I280" i="5"/>
  <c r="I288" i="5"/>
  <c r="I296" i="5"/>
  <c r="I304" i="5"/>
  <c r="I312" i="5"/>
  <c r="I320" i="5"/>
  <c r="I328" i="5"/>
  <c r="I336" i="5"/>
  <c r="I344" i="5"/>
  <c r="I352" i="5"/>
  <c r="I360" i="5"/>
  <c r="I368" i="5"/>
  <c r="I376" i="5"/>
  <c r="I384" i="5"/>
  <c r="I392" i="5"/>
  <c r="I400" i="5"/>
  <c r="I408" i="5"/>
  <c r="I416" i="5"/>
  <c r="I424" i="5"/>
  <c r="I432" i="5"/>
  <c r="I440" i="5"/>
  <c r="I448" i="5"/>
  <c r="I456" i="5"/>
  <c r="I464" i="5"/>
  <c r="I472" i="5"/>
  <c r="I480" i="5"/>
  <c r="I488" i="5"/>
  <c r="I496" i="5"/>
  <c r="I504" i="5"/>
  <c r="I512" i="5"/>
  <c r="I520" i="5"/>
  <c r="I528" i="5"/>
  <c r="I536" i="5"/>
  <c r="I544" i="5"/>
  <c r="I552" i="5"/>
  <c r="I560" i="5"/>
  <c r="I568" i="5"/>
  <c r="I576" i="5"/>
  <c r="I584" i="5"/>
  <c r="I592" i="5"/>
  <c r="I600" i="5"/>
  <c r="I608" i="5"/>
  <c r="I616" i="5"/>
  <c r="I624" i="5"/>
  <c r="I632" i="5"/>
  <c r="I640" i="5"/>
  <c r="I648" i="5"/>
  <c r="I656" i="5"/>
  <c r="I664" i="5"/>
  <c r="I672" i="5"/>
  <c r="I680" i="5"/>
  <c r="I688" i="5"/>
  <c r="I696" i="5"/>
  <c r="I704" i="5"/>
  <c r="I712" i="5"/>
  <c r="I720" i="5"/>
  <c r="I728" i="5"/>
  <c r="I736" i="5"/>
  <c r="I744" i="5"/>
  <c r="I752" i="5"/>
  <c r="I760" i="5"/>
  <c r="I768" i="5"/>
  <c r="I776" i="5"/>
  <c r="I784" i="5"/>
  <c r="I792" i="5"/>
  <c r="I800" i="5"/>
  <c r="I808" i="5"/>
  <c r="I816" i="5"/>
  <c r="I824" i="5"/>
  <c r="I832" i="5"/>
  <c r="I840" i="5"/>
  <c r="I848" i="5"/>
  <c r="I856" i="5"/>
  <c r="I864" i="5"/>
  <c r="I872" i="5"/>
  <c r="I880" i="5"/>
  <c r="I888" i="5"/>
  <c r="I896" i="5"/>
  <c r="I904" i="5"/>
  <c r="I912" i="5"/>
  <c r="I920" i="5"/>
  <c r="I928" i="5"/>
  <c r="I936" i="5"/>
  <c r="I944" i="5"/>
  <c r="I952" i="5"/>
  <c r="I960" i="5"/>
  <c r="I968" i="5"/>
  <c r="I976" i="5"/>
  <c r="I984" i="5"/>
  <c r="I992" i="5"/>
  <c r="I1000" i="5"/>
  <c r="I1008" i="5"/>
  <c r="I1016" i="5"/>
  <c r="I1024" i="5"/>
  <c r="I1032" i="5"/>
  <c r="I1040" i="5"/>
  <c r="I1048" i="5"/>
  <c r="I1056" i="5"/>
  <c r="I1064" i="5"/>
  <c r="I1072" i="5"/>
  <c r="I1080" i="5"/>
  <c r="I1088" i="5"/>
  <c r="I1096" i="5"/>
  <c r="I1104" i="5"/>
  <c r="I1112" i="5"/>
  <c r="I1120" i="5"/>
  <c r="I1128" i="5"/>
  <c r="I1136" i="5"/>
  <c r="I1144" i="5"/>
  <c r="I1152" i="5"/>
  <c r="I1160" i="5"/>
  <c r="I1168" i="5"/>
  <c r="I1176" i="5"/>
  <c r="I1184" i="5"/>
  <c r="I1192" i="5"/>
  <c r="I1200" i="5"/>
  <c r="I1208" i="5"/>
  <c r="I1216" i="5"/>
  <c r="I1224" i="5"/>
  <c r="I1232" i="5"/>
  <c r="I1240" i="5"/>
  <c r="I1248" i="5"/>
  <c r="I1256" i="5"/>
  <c r="I1264" i="5"/>
  <c r="I1272" i="5"/>
  <c r="I1280" i="5"/>
  <c r="I1288" i="5"/>
  <c r="I1296" i="5"/>
  <c r="I1304" i="5"/>
  <c r="I1312" i="5"/>
  <c r="I1320" i="5"/>
  <c r="I1328" i="5"/>
  <c r="I1336" i="5"/>
  <c r="I1344" i="5"/>
  <c r="I1352" i="5"/>
  <c r="I1360" i="5"/>
  <c r="I1368" i="5"/>
  <c r="I1376" i="5"/>
  <c r="I1384" i="5"/>
  <c r="I1392" i="5"/>
  <c r="I1400" i="5"/>
  <c r="I1408" i="5"/>
  <c r="I1416" i="5"/>
  <c r="I1424" i="5"/>
  <c r="I1432" i="5"/>
  <c r="I1440" i="5"/>
  <c r="I1448" i="5"/>
  <c r="I1456" i="5"/>
  <c r="I1464" i="5"/>
  <c r="I1472" i="5"/>
  <c r="I1480" i="5"/>
  <c r="I1488" i="5"/>
  <c r="I1496" i="5"/>
  <c r="I1504" i="5"/>
  <c r="I1512" i="5"/>
  <c r="I1520" i="5"/>
  <c r="I1528" i="5"/>
  <c r="I1536" i="5"/>
  <c r="I1544" i="5"/>
  <c r="I1552" i="5"/>
  <c r="I1560" i="5"/>
  <c r="I1568" i="5"/>
  <c r="I1576" i="5"/>
  <c r="I1584" i="5"/>
  <c r="I1592" i="5"/>
  <c r="I1600" i="5"/>
  <c r="I1608" i="5"/>
  <c r="I1616" i="5"/>
  <c r="I1624" i="5"/>
  <c r="I1632" i="5"/>
  <c r="I1640" i="5"/>
  <c r="I1648" i="5"/>
  <c r="I1656" i="5"/>
  <c r="I1664" i="5"/>
  <c r="I1672" i="5"/>
  <c r="I1680" i="5"/>
  <c r="I1688" i="5"/>
  <c r="I1696" i="5"/>
  <c r="I1704" i="5"/>
  <c r="I1712" i="5"/>
  <c r="I1720" i="5"/>
  <c r="I1728" i="5"/>
  <c r="I1736" i="5"/>
  <c r="I1744" i="5"/>
  <c r="I1752" i="5"/>
  <c r="I1760" i="5"/>
  <c r="I1768" i="5"/>
  <c r="I1776" i="5"/>
  <c r="I1784" i="5"/>
  <c r="I1792" i="5"/>
  <c r="I1800" i="5"/>
  <c r="I1808" i="5"/>
  <c r="I1816" i="5"/>
  <c r="I1824" i="5"/>
  <c r="I1832" i="5"/>
  <c r="I1840" i="5"/>
  <c r="I1848" i="5"/>
  <c r="I1856" i="5"/>
  <c r="I1864" i="5"/>
  <c r="I1872" i="5"/>
  <c r="I1880" i="5"/>
  <c r="I1888" i="5"/>
  <c r="I1896" i="5"/>
  <c r="I1904" i="5"/>
  <c r="I1912" i="5"/>
  <c r="I1920" i="5"/>
  <c r="I1928" i="5"/>
  <c r="I1936" i="5"/>
  <c r="I1944" i="5"/>
  <c r="I1952" i="5"/>
  <c r="I1960" i="5"/>
  <c r="I1968" i="5"/>
  <c r="I1976" i="5"/>
  <c r="I1984" i="5"/>
  <c r="I1992" i="5"/>
  <c r="I2000" i="5"/>
  <c r="I2008" i="5"/>
  <c r="I2016" i="5"/>
  <c r="I2024" i="5"/>
  <c r="I2032" i="5"/>
  <c r="I2040" i="5"/>
  <c r="I2048" i="5"/>
  <c r="I2056" i="5"/>
  <c r="I2064" i="5"/>
  <c r="I2072" i="5"/>
  <c r="I2080" i="5"/>
  <c r="I2088" i="5"/>
  <c r="I2096" i="5"/>
  <c r="I2104" i="5"/>
  <c r="I2112" i="5"/>
  <c r="I2120" i="5"/>
  <c r="I2128" i="5"/>
  <c r="I2136" i="5"/>
  <c r="I2144" i="5"/>
  <c r="I2152" i="5"/>
  <c r="I2160" i="5"/>
  <c r="I2168" i="5"/>
  <c r="I2176" i="5"/>
  <c r="I2184" i="5"/>
  <c r="I2192" i="5"/>
  <c r="I2200" i="5"/>
  <c r="I2208" i="5"/>
  <c r="I2216" i="5"/>
  <c r="I2224" i="5"/>
  <c r="I2232" i="5"/>
  <c r="I2240" i="5"/>
  <c r="I2248" i="5"/>
  <c r="I2256" i="5"/>
  <c r="I2264" i="5"/>
  <c r="I2272" i="5"/>
  <c r="I2280" i="5"/>
  <c r="I2288" i="5"/>
  <c r="I2296" i="5"/>
  <c r="I2304" i="5"/>
  <c r="I2312" i="5"/>
  <c r="I2320" i="5"/>
  <c r="I2328" i="5"/>
  <c r="I2336" i="5"/>
  <c r="I2344" i="5"/>
  <c r="I2352" i="5"/>
  <c r="I2360" i="5"/>
  <c r="I2368" i="5"/>
  <c r="I2376" i="5"/>
  <c r="I2392" i="5"/>
  <c r="I2400" i="5"/>
  <c r="I2408" i="5"/>
  <c r="I2416" i="5"/>
  <c r="I2432" i="5"/>
  <c r="I2440" i="5"/>
  <c r="I2464" i="5"/>
  <c r="I2472" i="5"/>
  <c r="I2480" i="5"/>
  <c r="I2496" i="5"/>
  <c r="I2504" i="5"/>
  <c r="I2528" i="5"/>
  <c r="I2536" i="5"/>
  <c r="I2544" i="5"/>
  <c r="I2560" i="5"/>
  <c r="I2568" i="5"/>
  <c r="I2592" i="5"/>
  <c r="I2600" i="5"/>
  <c r="I2608" i="5"/>
  <c r="I2624" i="5"/>
  <c r="I2632" i="5"/>
  <c r="I2656" i="5"/>
  <c r="I2664" i="5"/>
  <c r="I2672" i="5"/>
  <c r="I2688" i="5"/>
  <c r="I2696" i="5"/>
  <c r="I2720" i="5"/>
  <c r="I2728" i="5"/>
  <c r="I2736" i="5"/>
  <c r="I2752" i="5"/>
  <c r="I2784" i="5"/>
  <c r="I2792" i="5"/>
  <c r="I2800" i="5"/>
  <c r="I2816" i="5"/>
  <c r="I2856" i="5"/>
  <c r="I2864" i="5"/>
  <c r="I2880" i="5"/>
  <c r="I2920" i="5"/>
  <c r="I2928" i="5"/>
  <c r="I2944" i="5"/>
  <c r="I2984" i="5"/>
  <c r="I2992" i="5"/>
  <c r="I3008" i="5"/>
  <c r="I3048" i="5"/>
  <c r="I3056" i="5"/>
  <c r="I3072" i="5"/>
  <c r="I3112" i="5"/>
  <c r="I3120" i="5"/>
  <c r="I3136" i="5"/>
  <c r="I3176" i="5"/>
  <c r="I3184" i="5"/>
  <c r="I3200" i="5"/>
  <c r="I3248" i="5"/>
  <c r="I3368" i="5"/>
  <c r="I3376" i="5"/>
  <c r="I3432" i="5"/>
  <c r="F3" i="5"/>
  <c r="F4" i="5"/>
  <c r="F5" i="5"/>
  <c r="F6" i="5"/>
  <c r="F7" i="5"/>
  <c r="F8" i="5"/>
  <c r="F9" i="5"/>
  <c r="F10" i="5"/>
  <c r="H10" i="5" s="1"/>
  <c r="F11" i="5"/>
  <c r="F12" i="5"/>
  <c r="F13" i="5"/>
  <c r="F14" i="5"/>
  <c r="F15" i="5"/>
  <c r="F16" i="5"/>
  <c r="F17" i="5"/>
  <c r="F18" i="5"/>
  <c r="H18" i="5" s="1"/>
  <c r="F19" i="5"/>
  <c r="F20" i="5"/>
  <c r="F21" i="5"/>
  <c r="F22" i="5"/>
  <c r="F23" i="5"/>
  <c r="F24" i="5"/>
  <c r="F25" i="5"/>
  <c r="F26" i="5"/>
  <c r="H26" i="5" s="1"/>
  <c r="F27" i="5"/>
  <c r="F28" i="5"/>
  <c r="F29" i="5"/>
  <c r="F30" i="5"/>
  <c r="F31" i="5"/>
  <c r="F32" i="5"/>
  <c r="F33" i="5"/>
  <c r="F34" i="5"/>
  <c r="H34" i="5" s="1"/>
  <c r="F35" i="5"/>
  <c r="F36" i="5"/>
  <c r="F37" i="5"/>
  <c r="F38" i="5"/>
  <c r="F39" i="5"/>
  <c r="F40" i="5"/>
  <c r="F41" i="5"/>
  <c r="F42" i="5"/>
  <c r="H42" i="5" s="1"/>
  <c r="F43" i="5"/>
  <c r="F44" i="5"/>
  <c r="F45" i="5"/>
  <c r="F46" i="5"/>
  <c r="F47" i="5"/>
  <c r="F48" i="5"/>
  <c r="F49" i="5"/>
  <c r="F50" i="5"/>
  <c r="H50" i="5" s="1"/>
  <c r="F51" i="5"/>
  <c r="F52" i="5"/>
  <c r="F53" i="5"/>
  <c r="F54" i="5"/>
  <c r="F55" i="5"/>
  <c r="F56" i="5"/>
  <c r="F57" i="5"/>
  <c r="F58" i="5"/>
  <c r="H58" i="5" s="1"/>
  <c r="F59" i="5"/>
  <c r="F60" i="5"/>
  <c r="F61" i="5"/>
  <c r="F62" i="5"/>
  <c r="F63" i="5"/>
  <c r="F64" i="5"/>
  <c r="F65" i="5"/>
  <c r="F66" i="5"/>
  <c r="H66" i="5" s="1"/>
  <c r="F67" i="5"/>
  <c r="F68" i="5"/>
  <c r="F69" i="5"/>
  <c r="F70" i="5"/>
  <c r="F71" i="5"/>
  <c r="F72" i="5"/>
  <c r="F73" i="5"/>
  <c r="F74" i="5"/>
  <c r="H74" i="5" s="1"/>
  <c r="F75" i="5"/>
  <c r="F76" i="5"/>
  <c r="F77" i="5"/>
  <c r="F78" i="5"/>
  <c r="F79" i="5"/>
  <c r="F80" i="5"/>
  <c r="F81" i="5"/>
  <c r="F82" i="5"/>
  <c r="H82" i="5" s="1"/>
  <c r="F83" i="5"/>
  <c r="F84" i="5"/>
  <c r="F85" i="5"/>
  <c r="F86" i="5"/>
  <c r="F87" i="5"/>
  <c r="F88" i="5"/>
  <c r="F89" i="5"/>
  <c r="F90" i="5"/>
  <c r="H90" i="5" s="1"/>
  <c r="F91" i="5"/>
  <c r="F92" i="5"/>
  <c r="F93" i="5"/>
  <c r="F94" i="5"/>
  <c r="F95" i="5"/>
  <c r="F96" i="5"/>
  <c r="F97" i="5"/>
  <c r="F98" i="5"/>
  <c r="H98" i="5" s="1"/>
  <c r="F99" i="5"/>
  <c r="F100" i="5"/>
  <c r="F101" i="5"/>
  <c r="F102" i="5"/>
  <c r="F103" i="5"/>
  <c r="F104" i="5"/>
  <c r="F105" i="5"/>
  <c r="F106" i="5"/>
  <c r="H106" i="5" s="1"/>
  <c r="F107" i="5"/>
  <c r="F108" i="5"/>
  <c r="F109" i="5"/>
  <c r="F110" i="5"/>
  <c r="F111" i="5"/>
  <c r="F112" i="5"/>
  <c r="F113" i="5"/>
  <c r="F114" i="5"/>
  <c r="H114" i="5" s="1"/>
  <c r="F115" i="5"/>
  <c r="F116" i="5"/>
  <c r="F117" i="5"/>
  <c r="F118" i="5"/>
  <c r="F119" i="5"/>
  <c r="F120" i="5"/>
  <c r="F121" i="5"/>
  <c r="F122" i="5"/>
  <c r="H122" i="5" s="1"/>
  <c r="F123" i="5"/>
  <c r="F124" i="5"/>
  <c r="F125" i="5"/>
  <c r="F126" i="5"/>
  <c r="F127" i="5"/>
  <c r="F128" i="5"/>
  <c r="F129" i="5"/>
  <c r="F130" i="5"/>
  <c r="H130" i="5" s="1"/>
  <c r="F131" i="5"/>
  <c r="F132" i="5"/>
  <c r="F133" i="5"/>
  <c r="F134" i="5"/>
  <c r="F135" i="5"/>
  <c r="F136" i="5"/>
  <c r="F137" i="5"/>
  <c r="F138" i="5"/>
  <c r="H138" i="5" s="1"/>
  <c r="F139" i="5"/>
  <c r="F140" i="5"/>
  <c r="F141" i="5"/>
  <c r="F142" i="5"/>
  <c r="F143" i="5"/>
  <c r="F144" i="5"/>
  <c r="F145" i="5"/>
  <c r="F146" i="5"/>
  <c r="H146" i="5" s="1"/>
  <c r="F147" i="5"/>
  <c r="F148" i="5"/>
  <c r="F149" i="5"/>
  <c r="F150" i="5"/>
  <c r="F151" i="5"/>
  <c r="F152" i="5"/>
  <c r="F153" i="5"/>
  <c r="F154" i="5"/>
  <c r="H154" i="5" s="1"/>
  <c r="F155" i="5"/>
  <c r="F156" i="5"/>
  <c r="F157" i="5"/>
  <c r="F158" i="5"/>
  <c r="F159" i="5"/>
  <c r="F160" i="5"/>
  <c r="F161" i="5"/>
  <c r="F162" i="5"/>
  <c r="H162" i="5" s="1"/>
  <c r="F163" i="5"/>
  <c r="F164" i="5"/>
  <c r="F165" i="5"/>
  <c r="F166" i="5"/>
  <c r="F167" i="5"/>
  <c r="F168" i="5"/>
  <c r="F169" i="5"/>
  <c r="F170" i="5"/>
  <c r="H170" i="5" s="1"/>
  <c r="F171" i="5"/>
  <c r="F172" i="5"/>
  <c r="F173" i="5"/>
  <c r="F174" i="5"/>
  <c r="F175" i="5"/>
  <c r="F176" i="5"/>
  <c r="F177" i="5"/>
  <c r="F178" i="5"/>
  <c r="H178" i="5" s="1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H194" i="5" s="1"/>
  <c r="F195" i="5"/>
  <c r="F196" i="5"/>
  <c r="F197" i="5"/>
  <c r="F198" i="5"/>
  <c r="F199" i="5"/>
  <c r="F200" i="5"/>
  <c r="F201" i="5"/>
  <c r="F202" i="5"/>
  <c r="H202" i="5" s="1"/>
  <c r="F203" i="5"/>
  <c r="F204" i="5"/>
  <c r="F205" i="5"/>
  <c r="F206" i="5"/>
  <c r="F207" i="5"/>
  <c r="F208" i="5"/>
  <c r="F209" i="5"/>
  <c r="F210" i="5"/>
  <c r="H210" i="5" s="1"/>
  <c r="F211" i="5"/>
  <c r="F212" i="5"/>
  <c r="F213" i="5"/>
  <c r="F214" i="5"/>
  <c r="F215" i="5"/>
  <c r="F216" i="5"/>
  <c r="F217" i="5"/>
  <c r="F218" i="5"/>
  <c r="H218" i="5" s="1"/>
  <c r="F219" i="5"/>
  <c r="F220" i="5"/>
  <c r="F221" i="5"/>
  <c r="F222" i="5"/>
  <c r="F223" i="5"/>
  <c r="F224" i="5"/>
  <c r="F225" i="5"/>
  <c r="F226" i="5"/>
  <c r="H226" i="5" s="1"/>
  <c r="F227" i="5"/>
  <c r="F228" i="5"/>
  <c r="F229" i="5"/>
  <c r="F230" i="5"/>
  <c r="F231" i="5"/>
  <c r="F232" i="5"/>
  <c r="F233" i="5"/>
  <c r="F234" i="5"/>
  <c r="H234" i="5" s="1"/>
  <c r="F235" i="5"/>
  <c r="F236" i="5"/>
  <c r="F237" i="5"/>
  <c r="F238" i="5"/>
  <c r="F239" i="5"/>
  <c r="F240" i="5"/>
  <c r="F241" i="5"/>
  <c r="F242" i="5"/>
  <c r="H242" i="5" s="1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H258" i="5" s="1"/>
  <c r="F259" i="5"/>
  <c r="F260" i="5"/>
  <c r="F261" i="5"/>
  <c r="F262" i="5"/>
  <c r="F263" i="5"/>
  <c r="F264" i="5"/>
  <c r="F265" i="5"/>
  <c r="F266" i="5"/>
  <c r="H266" i="5" s="1"/>
  <c r="F267" i="5"/>
  <c r="F268" i="5"/>
  <c r="F269" i="5"/>
  <c r="F270" i="5"/>
  <c r="F271" i="5"/>
  <c r="F272" i="5"/>
  <c r="F273" i="5"/>
  <c r="F274" i="5"/>
  <c r="H274" i="5" s="1"/>
  <c r="F275" i="5"/>
  <c r="F276" i="5"/>
  <c r="F277" i="5"/>
  <c r="F278" i="5"/>
  <c r="F279" i="5"/>
  <c r="F280" i="5"/>
  <c r="F281" i="5"/>
  <c r="F282" i="5"/>
  <c r="H282" i="5" s="1"/>
  <c r="F283" i="5"/>
  <c r="F284" i="5"/>
  <c r="F285" i="5"/>
  <c r="F286" i="5"/>
  <c r="F287" i="5"/>
  <c r="F288" i="5"/>
  <c r="F289" i="5"/>
  <c r="F290" i="5"/>
  <c r="H290" i="5" s="1"/>
  <c r="F291" i="5"/>
  <c r="F292" i="5"/>
  <c r="F293" i="5"/>
  <c r="F294" i="5"/>
  <c r="F295" i="5"/>
  <c r="F296" i="5"/>
  <c r="F297" i="5"/>
  <c r="F298" i="5"/>
  <c r="H298" i="5" s="1"/>
  <c r="F299" i="5"/>
  <c r="F300" i="5"/>
  <c r="F301" i="5"/>
  <c r="F302" i="5"/>
  <c r="F303" i="5"/>
  <c r="F304" i="5"/>
  <c r="F305" i="5"/>
  <c r="F306" i="5"/>
  <c r="H306" i="5" s="1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H322" i="5" s="1"/>
  <c r="F323" i="5"/>
  <c r="F324" i="5"/>
  <c r="F325" i="5"/>
  <c r="F326" i="5"/>
  <c r="F327" i="5"/>
  <c r="F328" i="5"/>
  <c r="F329" i="5"/>
  <c r="F330" i="5"/>
  <c r="H330" i="5" s="1"/>
  <c r="F331" i="5"/>
  <c r="F332" i="5"/>
  <c r="F333" i="5"/>
  <c r="F334" i="5"/>
  <c r="F335" i="5"/>
  <c r="F336" i="5"/>
  <c r="F337" i="5"/>
  <c r="F338" i="5"/>
  <c r="H338" i="5" s="1"/>
  <c r="F339" i="5"/>
  <c r="F340" i="5"/>
  <c r="F341" i="5"/>
  <c r="F342" i="5"/>
  <c r="F343" i="5"/>
  <c r="F344" i="5"/>
  <c r="F345" i="5"/>
  <c r="F346" i="5"/>
  <c r="H346" i="5" s="1"/>
  <c r="F347" i="5"/>
  <c r="F348" i="5"/>
  <c r="F349" i="5"/>
  <c r="F350" i="5"/>
  <c r="F351" i="5"/>
  <c r="F352" i="5"/>
  <c r="F353" i="5"/>
  <c r="F354" i="5"/>
  <c r="H354" i="5" s="1"/>
  <c r="F355" i="5"/>
  <c r="F356" i="5"/>
  <c r="F357" i="5"/>
  <c r="F358" i="5"/>
  <c r="F359" i="5"/>
  <c r="F360" i="5"/>
  <c r="F361" i="5"/>
  <c r="F362" i="5"/>
  <c r="H362" i="5" s="1"/>
  <c r="F363" i="5"/>
  <c r="F364" i="5"/>
  <c r="F365" i="5"/>
  <c r="F366" i="5"/>
  <c r="F367" i="5"/>
  <c r="F368" i="5"/>
  <c r="F369" i="5"/>
  <c r="F370" i="5"/>
  <c r="H370" i="5" s="1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H386" i="5" s="1"/>
  <c r="F387" i="5"/>
  <c r="F388" i="5"/>
  <c r="F389" i="5"/>
  <c r="F390" i="5"/>
  <c r="F391" i="5"/>
  <c r="F392" i="5"/>
  <c r="F393" i="5"/>
  <c r="F394" i="5"/>
  <c r="H394" i="5" s="1"/>
  <c r="F395" i="5"/>
  <c r="F396" i="5"/>
  <c r="F397" i="5"/>
  <c r="F398" i="5"/>
  <c r="F399" i="5"/>
  <c r="F400" i="5"/>
  <c r="F401" i="5"/>
  <c r="F402" i="5"/>
  <c r="H402" i="5" s="1"/>
  <c r="F403" i="5"/>
  <c r="F404" i="5"/>
  <c r="F405" i="5"/>
  <c r="F406" i="5"/>
  <c r="F407" i="5"/>
  <c r="F408" i="5"/>
  <c r="F409" i="5"/>
  <c r="F410" i="5"/>
  <c r="H410" i="5" s="1"/>
  <c r="F411" i="5"/>
  <c r="F412" i="5"/>
  <c r="F413" i="5"/>
  <c r="F414" i="5"/>
  <c r="F415" i="5"/>
  <c r="F416" i="5"/>
  <c r="F417" i="5"/>
  <c r="F418" i="5"/>
  <c r="H418" i="5" s="1"/>
  <c r="F419" i="5"/>
  <c r="F420" i="5"/>
  <c r="F421" i="5"/>
  <c r="F422" i="5"/>
  <c r="F423" i="5"/>
  <c r="F424" i="5"/>
  <c r="F425" i="5"/>
  <c r="F426" i="5"/>
  <c r="H426" i="5" s="1"/>
  <c r="F427" i="5"/>
  <c r="F428" i="5"/>
  <c r="F429" i="5"/>
  <c r="F430" i="5"/>
  <c r="F431" i="5"/>
  <c r="F432" i="5"/>
  <c r="F433" i="5"/>
  <c r="F434" i="5"/>
  <c r="H434" i="5" s="1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H450" i="5" s="1"/>
  <c r="F451" i="5"/>
  <c r="F452" i="5"/>
  <c r="F453" i="5"/>
  <c r="F454" i="5"/>
  <c r="F455" i="5"/>
  <c r="F456" i="5"/>
  <c r="F457" i="5"/>
  <c r="F458" i="5"/>
  <c r="H458" i="5" s="1"/>
  <c r="F459" i="5"/>
  <c r="F460" i="5"/>
  <c r="F461" i="5"/>
  <c r="F462" i="5"/>
  <c r="F463" i="5"/>
  <c r="F464" i="5"/>
  <c r="F465" i="5"/>
  <c r="F466" i="5"/>
  <c r="H466" i="5" s="1"/>
  <c r="F467" i="5"/>
  <c r="F468" i="5"/>
  <c r="F469" i="5"/>
  <c r="F470" i="5"/>
  <c r="F471" i="5"/>
  <c r="F472" i="5"/>
  <c r="F473" i="5"/>
  <c r="F474" i="5"/>
  <c r="H474" i="5" s="1"/>
  <c r="F475" i="5"/>
  <c r="F476" i="5"/>
  <c r="F477" i="5"/>
  <c r="F478" i="5"/>
  <c r="F479" i="5"/>
  <c r="F480" i="5"/>
  <c r="F481" i="5"/>
  <c r="F482" i="5"/>
  <c r="H482" i="5" s="1"/>
  <c r="F483" i="5"/>
  <c r="F484" i="5"/>
  <c r="F485" i="5"/>
  <c r="F486" i="5"/>
  <c r="F487" i="5"/>
  <c r="F488" i="5"/>
  <c r="F489" i="5"/>
  <c r="F490" i="5"/>
  <c r="H490" i="5" s="1"/>
  <c r="F491" i="5"/>
  <c r="F492" i="5"/>
  <c r="F493" i="5"/>
  <c r="F494" i="5"/>
  <c r="F495" i="5"/>
  <c r="F496" i="5"/>
  <c r="F497" i="5"/>
  <c r="F498" i="5"/>
  <c r="H498" i="5" s="1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H514" i="5" s="1"/>
  <c r="F515" i="5"/>
  <c r="F516" i="5"/>
  <c r="F517" i="5"/>
  <c r="F518" i="5"/>
  <c r="F519" i="5"/>
  <c r="F520" i="5"/>
  <c r="F521" i="5"/>
  <c r="F522" i="5"/>
  <c r="H522" i="5" s="1"/>
  <c r="F523" i="5"/>
  <c r="F524" i="5"/>
  <c r="F525" i="5"/>
  <c r="F526" i="5"/>
  <c r="F527" i="5"/>
  <c r="F528" i="5"/>
  <c r="F529" i="5"/>
  <c r="F530" i="5"/>
  <c r="H530" i="5" s="1"/>
  <c r="F531" i="5"/>
  <c r="F532" i="5"/>
  <c r="F533" i="5"/>
  <c r="F534" i="5"/>
  <c r="F535" i="5"/>
  <c r="F536" i="5"/>
  <c r="F537" i="5"/>
  <c r="F538" i="5"/>
  <c r="H538" i="5" s="1"/>
  <c r="F539" i="5"/>
  <c r="F540" i="5"/>
  <c r="F541" i="5"/>
  <c r="F542" i="5"/>
  <c r="F543" i="5"/>
  <c r="F544" i="5"/>
  <c r="F545" i="5"/>
  <c r="F546" i="5"/>
  <c r="H546" i="5" s="1"/>
  <c r="F547" i="5"/>
  <c r="F548" i="5"/>
  <c r="F549" i="5"/>
  <c r="F550" i="5"/>
  <c r="F551" i="5"/>
  <c r="F552" i="5"/>
  <c r="F553" i="5"/>
  <c r="F554" i="5"/>
  <c r="H554" i="5" s="1"/>
  <c r="F555" i="5"/>
  <c r="F556" i="5"/>
  <c r="F557" i="5"/>
  <c r="F558" i="5"/>
  <c r="F559" i="5"/>
  <c r="F560" i="5"/>
  <c r="F561" i="5"/>
  <c r="F562" i="5"/>
  <c r="H562" i="5" s="1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H578" i="5" s="1"/>
  <c r="F579" i="5"/>
  <c r="F580" i="5"/>
  <c r="F581" i="5"/>
  <c r="F582" i="5"/>
  <c r="F583" i="5"/>
  <c r="F584" i="5"/>
  <c r="F585" i="5"/>
  <c r="F586" i="5"/>
  <c r="H586" i="5" s="1"/>
  <c r="F587" i="5"/>
  <c r="F588" i="5"/>
  <c r="F589" i="5"/>
  <c r="F590" i="5"/>
  <c r="F591" i="5"/>
  <c r="F592" i="5"/>
  <c r="F593" i="5"/>
  <c r="F594" i="5"/>
  <c r="H594" i="5" s="1"/>
  <c r="F595" i="5"/>
  <c r="F596" i="5"/>
  <c r="F597" i="5"/>
  <c r="F598" i="5"/>
  <c r="F599" i="5"/>
  <c r="F600" i="5"/>
  <c r="F601" i="5"/>
  <c r="F602" i="5"/>
  <c r="H602" i="5" s="1"/>
  <c r="F603" i="5"/>
  <c r="F604" i="5"/>
  <c r="F605" i="5"/>
  <c r="F606" i="5"/>
  <c r="F607" i="5"/>
  <c r="F608" i="5"/>
  <c r="F609" i="5"/>
  <c r="F610" i="5"/>
  <c r="H610" i="5" s="1"/>
  <c r="F611" i="5"/>
  <c r="F612" i="5"/>
  <c r="F613" i="5"/>
  <c r="F614" i="5"/>
  <c r="F615" i="5"/>
  <c r="F616" i="5"/>
  <c r="F617" i="5"/>
  <c r="F618" i="5"/>
  <c r="H618" i="5" s="1"/>
  <c r="F619" i="5"/>
  <c r="F620" i="5"/>
  <c r="F621" i="5"/>
  <c r="F622" i="5"/>
  <c r="F623" i="5"/>
  <c r="F624" i="5"/>
  <c r="F625" i="5"/>
  <c r="F626" i="5"/>
  <c r="H626" i="5" s="1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H642" i="5" s="1"/>
  <c r="F643" i="5"/>
  <c r="F644" i="5"/>
  <c r="F645" i="5"/>
  <c r="F646" i="5"/>
  <c r="F647" i="5"/>
  <c r="F648" i="5"/>
  <c r="F649" i="5"/>
  <c r="F650" i="5"/>
  <c r="H650" i="5" s="1"/>
  <c r="F651" i="5"/>
  <c r="F652" i="5"/>
  <c r="F653" i="5"/>
  <c r="F654" i="5"/>
  <c r="F655" i="5"/>
  <c r="F656" i="5"/>
  <c r="F657" i="5"/>
  <c r="F658" i="5"/>
  <c r="H658" i="5" s="1"/>
  <c r="F659" i="5"/>
  <c r="F660" i="5"/>
  <c r="F661" i="5"/>
  <c r="F662" i="5"/>
  <c r="F663" i="5"/>
  <c r="F664" i="5"/>
  <c r="F665" i="5"/>
  <c r="F666" i="5"/>
  <c r="H666" i="5" s="1"/>
  <c r="F667" i="5"/>
  <c r="F668" i="5"/>
  <c r="F669" i="5"/>
  <c r="F670" i="5"/>
  <c r="F671" i="5"/>
  <c r="F672" i="5"/>
  <c r="F673" i="5"/>
  <c r="F674" i="5"/>
  <c r="H674" i="5" s="1"/>
  <c r="F675" i="5"/>
  <c r="F676" i="5"/>
  <c r="F677" i="5"/>
  <c r="F678" i="5"/>
  <c r="F679" i="5"/>
  <c r="F680" i="5"/>
  <c r="F681" i="5"/>
  <c r="F682" i="5"/>
  <c r="H682" i="5" s="1"/>
  <c r="F683" i="5"/>
  <c r="F684" i="5"/>
  <c r="F685" i="5"/>
  <c r="F686" i="5"/>
  <c r="F687" i="5"/>
  <c r="F688" i="5"/>
  <c r="F689" i="5"/>
  <c r="F690" i="5"/>
  <c r="H690" i="5" s="1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H706" i="5" s="1"/>
  <c r="F707" i="5"/>
  <c r="F708" i="5"/>
  <c r="F709" i="5"/>
  <c r="F710" i="5"/>
  <c r="F711" i="5"/>
  <c r="F712" i="5"/>
  <c r="F713" i="5"/>
  <c r="F714" i="5"/>
  <c r="H714" i="5" s="1"/>
  <c r="F715" i="5"/>
  <c r="F716" i="5"/>
  <c r="F717" i="5"/>
  <c r="F718" i="5"/>
  <c r="F719" i="5"/>
  <c r="F720" i="5"/>
  <c r="F721" i="5"/>
  <c r="F722" i="5"/>
  <c r="H722" i="5" s="1"/>
  <c r="F723" i="5"/>
  <c r="F724" i="5"/>
  <c r="F725" i="5"/>
  <c r="F726" i="5"/>
  <c r="F727" i="5"/>
  <c r="F728" i="5"/>
  <c r="F729" i="5"/>
  <c r="F730" i="5"/>
  <c r="H730" i="5" s="1"/>
  <c r="F731" i="5"/>
  <c r="F732" i="5"/>
  <c r="F733" i="5"/>
  <c r="F734" i="5"/>
  <c r="F735" i="5"/>
  <c r="F736" i="5"/>
  <c r="F737" i="5"/>
  <c r="F738" i="5"/>
  <c r="H738" i="5" s="1"/>
  <c r="F739" i="5"/>
  <c r="F740" i="5"/>
  <c r="F741" i="5"/>
  <c r="F742" i="5"/>
  <c r="F743" i="5"/>
  <c r="F744" i="5"/>
  <c r="F745" i="5"/>
  <c r="F746" i="5"/>
  <c r="H746" i="5" s="1"/>
  <c r="F747" i="5"/>
  <c r="F748" i="5"/>
  <c r="F749" i="5"/>
  <c r="F750" i="5"/>
  <c r="F751" i="5"/>
  <c r="F752" i="5"/>
  <c r="F753" i="5"/>
  <c r="F754" i="5"/>
  <c r="H754" i="5" s="1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H770" i="5" s="1"/>
  <c r="F771" i="5"/>
  <c r="F772" i="5"/>
  <c r="F773" i="5"/>
  <c r="F774" i="5"/>
  <c r="F775" i="5"/>
  <c r="F776" i="5"/>
  <c r="F777" i="5"/>
  <c r="F778" i="5"/>
  <c r="H778" i="5" s="1"/>
  <c r="F779" i="5"/>
  <c r="F780" i="5"/>
  <c r="F781" i="5"/>
  <c r="F782" i="5"/>
  <c r="F783" i="5"/>
  <c r="F784" i="5"/>
  <c r="F785" i="5"/>
  <c r="F786" i="5"/>
  <c r="H786" i="5" s="1"/>
  <c r="F787" i="5"/>
  <c r="F788" i="5"/>
  <c r="F789" i="5"/>
  <c r="F790" i="5"/>
  <c r="F791" i="5"/>
  <c r="F792" i="5"/>
  <c r="F793" i="5"/>
  <c r="F794" i="5"/>
  <c r="H794" i="5" s="1"/>
  <c r="F795" i="5"/>
  <c r="F796" i="5"/>
  <c r="F797" i="5"/>
  <c r="F798" i="5"/>
  <c r="F799" i="5"/>
  <c r="F800" i="5"/>
  <c r="F801" i="5"/>
  <c r="F802" i="5"/>
  <c r="H802" i="5" s="1"/>
  <c r="F803" i="5"/>
  <c r="F804" i="5"/>
  <c r="F805" i="5"/>
  <c r="F806" i="5"/>
  <c r="F807" i="5"/>
  <c r="F808" i="5"/>
  <c r="F809" i="5"/>
  <c r="F810" i="5"/>
  <c r="H810" i="5" s="1"/>
  <c r="F811" i="5"/>
  <c r="F812" i="5"/>
  <c r="F813" i="5"/>
  <c r="F814" i="5"/>
  <c r="F815" i="5"/>
  <c r="F816" i="5"/>
  <c r="F817" i="5"/>
  <c r="F818" i="5"/>
  <c r="H818" i="5" s="1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H834" i="5" s="1"/>
  <c r="F835" i="5"/>
  <c r="F836" i="5"/>
  <c r="F837" i="5"/>
  <c r="F838" i="5"/>
  <c r="F839" i="5"/>
  <c r="F840" i="5"/>
  <c r="F841" i="5"/>
  <c r="F842" i="5"/>
  <c r="H842" i="5" s="1"/>
  <c r="F843" i="5"/>
  <c r="F844" i="5"/>
  <c r="F845" i="5"/>
  <c r="F846" i="5"/>
  <c r="F847" i="5"/>
  <c r="F848" i="5"/>
  <c r="F849" i="5"/>
  <c r="F850" i="5"/>
  <c r="H850" i="5" s="1"/>
  <c r="F851" i="5"/>
  <c r="F852" i="5"/>
  <c r="F853" i="5"/>
  <c r="F854" i="5"/>
  <c r="F855" i="5"/>
  <c r="F856" i="5"/>
  <c r="F857" i="5"/>
  <c r="F858" i="5"/>
  <c r="H858" i="5" s="1"/>
  <c r="F859" i="5"/>
  <c r="F860" i="5"/>
  <c r="F861" i="5"/>
  <c r="F862" i="5"/>
  <c r="F863" i="5"/>
  <c r="F864" i="5"/>
  <c r="F865" i="5"/>
  <c r="F866" i="5"/>
  <c r="H866" i="5" s="1"/>
  <c r="F867" i="5"/>
  <c r="F868" i="5"/>
  <c r="F869" i="5"/>
  <c r="F870" i="5"/>
  <c r="F871" i="5"/>
  <c r="F872" i="5"/>
  <c r="F873" i="5"/>
  <c r="F874" i="5"/>
  <c r="H874" i="5" s="1"/>
  <c r="F875" i="5"/>
  <c r="F876" i="5"/>
  <c r="F877" i="5"/>
  <c r="F878" i="5"/>
  <c r="F879" i="5"/>
  <c r="F880" i="5"/>
  <c r="F881" i="5"/>
  <c r="F882" i="5"/>
  <c r="H882" i="5" s="1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H898" i="5" s="1"/>
  <c r="F899" i="5"/>
  <c r="F900" i="5"/>
  <c r="F901" i="5"/>
  <c r="F902" i="5"/>
  <c r="F903" i="5"/>
  <c r="F904" i="5"/>
  <c r="F905" i="5"/>
  <c r="F906" i="5"/>
  <c r="H906" i="5" s="1"/>
  <c r="F907" i="5"/>
  <c r="F908" i="5"/>
  <c r="F909" i="5"/>
  <c r="F910" i="5"/>
  <c r="F911" i="5"/>
  <c r="F912" i="5"/>
  <c r="F913" i="5"/>
  <c r="F914" i="5"/>
  <c r="H914" i="5" s="1"/>
  <c r="F915" i="5"/>
  <c r="F916" i="5"/>
  <c r="F917" i="5"/>
  <c r="F918" i="5"/>
  <c r="F919" i="5"/>
  <c r="F920" i="5"/>
  <c r="F921" i="5"/>
  <c r="F922" i="5"/>
  <c r="H922" i="5" s="1"/>
  <c r="F923" i="5"/>
  <c r="F924" i="5"/>
  <c r="F925" i="5"/>
  <c r="F926" i="5"/>
  <c r="F927" i="5"/>
  <c r="F928" i="5"/>
  <c r="F929" i="5"/>
  <c r="F930" i="5"/>
  <c r="H930" i="5" s="1"/>
  <c r="F931" i="5"/>
  <c r="F932" i="5"/>
  <c r="F933" i="5"/>
  <c r="F934" i="5"/>
  <c r="F935" i="5"/>
  <c r="F936" i="5"/>
  <c r="F937" i="5"/>
  <c r="F938" i="5"/>
  <c r="H938" i="5" s="1"/>
  <c r="F939" i="5"/>
  <c r="F940" i="5"/>
  <c r="F941" i="5"/>
  <c r="F942" i="5"/>
  <c r="F943" i="5"/>
  <c r="F944" i="5"/>
  <c r="F945" i="5"/>
  <c r="F946" i="5"/>
  <c r="H946" i="5" s="1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H962" i="5" s="1"/>
  <c r="F963" i="5"/>
  <c r="F964" i="5"/>
  <c r="F965" i="5"/>
  <c r="F966" i="5"/>
  <c r="F967" i="5"/>
  <c r="F968" i="5"/>
  <c r="F969" i="5"/>
  <c r="F970" i="5"/>
  <c r="H970" i="5" s="1"/>
  <c r="F971" i="5"/>
  <c r="F972" i="5"/>
  <c r="F973" i="5"/>
  <c r="F974" i="5"/>
  <c r="F975" i="5"/>
  <c r="F976" i="5"/>
  <c r="F977" i="5"/>
  <c r="F978" i="5"/>
  <c r="H978" i="5" s="1"/>
  <c r="F979" i="5"/>
  <c r="F980" i="5"/>
  <c r="F981" i="5"/>
  <c r="F982" i="5"/>
  <c r="F983" i="5"/>
  <c r="F984" i="5"/>
  <c r="F985" i="5"/>
  <c r="F986" i="5"/>
  <c r="H986" i="5" s="1"/>
  <c r="F987" i="5"/>
  <c r="F988" i="5"/>
  <c r="F989" i="5"/>
  <c r="F990" i="5"/>
  <c r="F991" i="5"/>
  <c r="F992" i="5"/>
  <c r="F993" i="5"/>
  <c r="F994" i="5"/>
  <c r="H994" i="5" s="1"/>
  <c r="F995" i="5"/>
  <c r="F996" i="5"/>
  <c r="F997" i="5"/>
  <c r="F998" i="5"/>
  <c r="F999" i="5"/>
  <c r="F1000" i="5"/>
  <c r="F1001" i="5"/>
  <c r="F1002" i="5"/>
  <c r="H1002" i="5" s="1"/>
  <c r="F1003" i="5"/>
  <c r="F1004" i="5"/>
  <c r="F1005" i="5"/>
  <c r="F1006" i="5"/>
  <c r="F1007" i="5"/>
  <c r="F1008" i="5"/>
  <c r="F1009" i="5"/>
  <c r="F1010" i="5"/>
  <c r="H1010" i="5" s="1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H1026" i="5" s="1"/>
  <c r="F1027" i="5"/>
  <c r="F1028" i="5"/>
  <c r="F1029" i="5"/>
  <c r="F1030" i="5"/>
  <c r="F1031" i="5"/>
  <c r="F1032" i="5"/>
  <c r="F1033" i="5"/>
  <c r="F1034" i="5"/>
  <c r="H1034" i="5" s="1"/>
  <c r="F1035" i="5"/>
  <c r="F1036" i="5"/>
  <c r="F1037" i="5"/>
  <c r="F1038" i="5"/>
  <c r="F1039" i="5"/>
  <c r="F1040" i="5"/>
  <c r="F1041" i="5"/>
  <c r="F1042" i="5"/>
  <c r="H1042" i="5" s="1"/>
  <c r="F1043" i="5"/>
  <c r="F1044" i="5"/>
  <c r="F1045" i="5"/>
  <c r="F1046" i="5"/>
  <c r="F1047" i="5"/>
  <c r="F1048" i="5"/>
  <c r="F1049" i="5"/>
  <c r="F1050" i="5"/>
  <c r="H1050" i="5" s="1"/>
  <c r="F1051" i="5"/>
  <c r="F1052" i="5"/>
  <c r="F1053" i="5"/>
  <c r="F1054" i="5"/>
  <c r="F1055" i="5"/>
  <c r="F1056" i="5"/>
  <c r="F1057" i="5"/>
  <c r="F1058" i="5"/>
  <c r="H1058" i="5" s="1"/>
  <c r="F1059" i="5"/>
  <c r="F1060" i="5"/>
  <c r="F1061" i="5"/>
  <c r="F1062" i="5"/>
  <c r="F1063" i="5"/>
  <c r="F1064" i="5"/>
  <c r="F1065" i="5"/>
  <c r="F1066" i="5"/>
  <c r="H1066" i="5" s="1"/>
  <c r="F1067" i="5"/>
  <c r="F1068" i="5"/>
  <c r="F1069" i="5"/>
  <c r="F1070" i="5"/>
  <c r="F1071" i="5"/>
  <c r="F1072" i="5"/>
  <c r="F1073" i="5"/>
  <c r="F1074" i="5"/>
  <c r="H1074" i="5" s="1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H1090" i="5" s="1"/>
  <c r="F1091" i="5"/>
  <c r="F1092" i="5"/>
  <c r="F1093" i="5"/>
  <c r="F1094" i="5"/>
  <c r="F1095" i="5"/>
  <c r="F1096" i="5"/>
  <c r="F1097" i="5"/>
  <c r="F1098" i="5"/>
  <c r="H1098" i="5" s="1"/>
  <c r="F1099" i="5"/>
  <c r="F1100" i="5"/>
  <c r="F1101" i="5"/>
  <c r="F1102" i="5"/>
  <c r="F1103" i="5"/>
  <c r="F1104" i="5"/>
  <c r="F1105" i="5"/>
  <c r="F1106" i="5"/>
  <c r="H1106" i="5" s="1"/>
  <c r="F1107" i="5"/>
  <c r="F1108" i="5"/>
  <c r="F1109" i="5"/>
  <c r="F1110" i="5"/>
  <c r="F1111" i="5"/>
  <c r="F1112" i="5"/>
  <c r="F1113" i="5"/>
  <c r="F1114" i="5"/>
  <c r="H1114" i="5" s="1"/>
  <c r="F1115" i="5"/>
  <c r="F1116" i="5"/>
  <c r="F1117" i="5"/>
  <c r="F1118" i="5"/>
  <c r="F1119" i="5"/>
  <c r="F1120" i="5"/>
  <c r="F1121" i="5"/>
  <c r="F1122" i="5"/>
  <c r="H1122" i="5" s="1"/>
  <c r="F1123" i="5"/>
  <c r="F1124" i="5"/>
  <c r="F1125" i="5"/>
  <c r="F1126" i="5"/>
  <c r="F1127" i="5"/>
  <c r="F1128" i="5"/>
  <c r="F1129" i="5"/>
  <c r="F1130" i="5"/>
  <c r="H1130" i="5" s="1"/>
  <c r="F1131" i="5"/>
  <c r="F1132" i="5"/>
  <c r="F1133" i="5"/>
  <c r="F1134" i="5"/>
  <c r="F1135" i="5"/>
  <c r="F1136" i="5"/>
  <c r="F1137" i="5"/>
  <c r="F1138" i="5"/>
  <c r="H1138" i="5" s="1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H1154" i="5" s="1"/>
  <c r="F1155" i="5"/>
  <c r="F1156" i="5"/>
  <c r="F1157" i="5"/>
  <c r="F1158" i="5"/>
  <c r="F1159" i="5"/>
  <c r="F1160" i="5"/>
  <c r="F1161" i="5"/>
  <c r="F1162" i="5"/>
  <c r="H1162" i="5" s="1"/>
  <c r="F1163" i="5"/>
  <c r="F1164" i="5"/>
  <c r="F1165" i="5"/>
  <c r="F1166" i="5"/>
  <c r="F1167" i="5"/>
  <c r="F1168" i="5"/>
  <c r="F1169" i="5"/>
  <c r="F1170" i="5"/>
  <c r="H1170" i="5" s="1"/>
  <c r="F1171" i="5"/>
  <c r="F1172" i="5"/>
  <c r="F1173" i="5"/>
  <c r="F1174" i="5"/>
  <c r="F1175" i="5"/>
  <c r="F1176" i="5"/>
  <c r="F1177" i="5"/>
  <c r="F1178" i="5"/>
  <c r="H1178" i="5" s="1"/>
  <c r="F1179" i="5"/>
  <c r="F1180" i="5"/>
  <c r="F1181" i="5"/>
  <c r="F1182" i="5"/>
  <c r="F1183" i="5"/>
  <c r="F1184" i="5"/>
  <c r="F1185" i="5"/>
  <c r="F1186" i="5"/>
  <c r="H1186" i="5" s="1"/>
  <c r="F1187" i="5"/>
  <c r="F1188" i="5"/>
  <c r="F1189" i="5"/>
  <c r="F1190" i="5"/>
  <c r="F1191" i="5"/>
  <c r="F1192" i="5"/>
  <c r="F1193" i="5"/>
  <c r="F1194" i="5"/>
  <c r="H1194" i="5" s="1"/>
  <c r="F1195" i="5"/>
  <c r="F1196" i="5"/>
  <c r="F1197" i="5"/>
  <c r="F1198" i="5"/>
  <c r="F1199" i="5"/>
  <c r="F1200" i="5"/>
  <c r="F1201" i="5"/>
  <c r="F1202" i="5"/>
  <c r="H1202" i="5" s="1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H1218" i="5" s="1"/>
  <c r="F1219" i="5"/>
  <c r="F1220" i="5"/>
  <c r="F1221" i="5"/>
  <c r="F1222" i="5"/>
  <c r="F1223" i="5"/>
  <c r="F1224" i="5"/>
  <c r="F1225" i="5"/>
  <c r="F1226" i="5"/>
  <c r="H1226" i="5" s="1"/>
  <c r="F1227" i="5"/>
  <c r="F1228" i="5"/>
  <c r="F1229" i="5"/>
  <c r="F1230" i="5"/>
  <c r="F1231" i="5"/>
  <c r="F1232" i="5"/>
  <c r="F1233" i="5"/>
  <c r="F1234" i="5"/>
  <c r="H1234" i="5" s="1"/>
  <c r="F1235" i="5"/>
  <c r="F1236" i="5"/>
  <c r="F1237" i="5"/>
  <c r="F1238" i="5"/>
  <c r="F1239" i="5"/>
  <c r="F1240" i="5"/>
  <c r="F1241" i="5"/>
  <c r="F1242" i="5"/>
  <c r="H1242" i="5" s="1"/>
  <c r="F1243" i="5"/>
  <c r="F1244" i="5"/>
  <c r="F1245" i="5"/>
  <c r="F1246" i="5"/>
  <c r="F1247" i="5"/>
  <c r="F1248" i="5"/>
  <c r="F1249" i="5"/>
  <c r="F1250" i="5"/>
  <c r="H1250" i="5" s="1"/>
  <c r="F1251" i="5"/>
  <c r="F1252" i="5"/>
  <c r="F1253" i="5"/>
  <c r="F1254" i="5"/>
  <c r="F1255" i="5"/>
  <c r="F1256" i="5"/>
  <c r="F1257" i="5"/>
  <c r="F1258" i="5"/>
  <c r="H1258" i="5" s="1"/>
  <c r="F1259" i="5"/>
  <c r="F1260" i="5"/>
  <c r="F1261" i="5"/>
  <c r="F1262" i="5"/>
  <c r="F1263" i="5"/>
  <c r="F1264" i="5"/>
  <c r="F1265" i="5"/>
  <c r="F1266" i="5"/>
  <c r="H1266" i="5" s="1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H1282" i="5" s="1"/>
  <c r="F1283" i="5"/>
  <c r="F1284" i="5"/>
  <c r="F1285" i="5"/>
  <c r="F1286" i="5"/>
  <c r="F1287" i="5"/>
  <c r="F1288" i="5"/>
  <c r="F1289" i="5"/>
  <c r="F1290" i="5"/>
  <c r="H1290" i="5" s="1"/>
  <c r="F1291" i="5"/>
  <c r="F1292" i="5"/>
  <c r="F1293" i="5"/>
  <c r="F1294" i="5"/>
  <c r="F1295" i="5"/>
  <c r="F1296" i="5"/>
  <c r="F1297" i="5"/>
  <c r="F1298" i="5"/>
  <c r="H1298" i="5" s="1"/>
  <c r="F1299" i="5"/>
  <c r="F1300" i="5"/>
  <c r="F1301" i="5"/>
  <c r="F1302" i="5"/>
  <c r="F1303" i="5"/>
  <c r="F1304" i="5"/>
  <c r="F1305" i="5"/>
  <c r="F1306" i="5"/>
  <c r="H1306" i="5" s="1"/>
  <c r="F1307" i="5"/>
  <c r="F1308" i="5"/>
  <c r="F1309" i="5"/>
  <c r="F1310" i="5"/>
  <c r="F1311" i="5"/>
  <c r="F1312" i="5"/>
  <c r="F1313" i="5"/>
  <c r="F1314" i="5"/>
  <c r="H1314" i="5" s="1"/>
  <c r="F1315" i="5"/>
  <c r="F1316" i="5"/>
  <c r="F1317" i="5"/>
  <c r="F1318" i="5"/>
  <c r="F1319" i="5"/>
  <c r="F1320" i="5"/>
  <c r="F1321" i="5"/>
  <c r="F1322" i="5"/>
  <c r="H1322" i="5" s="1"/>
  <c r="F1323" i="5"/>
  <c r="F1324" i="5"/>
  <c r="F1325" i="5"/>
  <c r="F1326" i="5"/>
  <c r="F1327" i="5"/>
  <c r="F1328" i="5"/>
  <c r="F1329" i="5"/>
  <c r="F1330" i="5"/>
  <c r="H1330" i="5" s="1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H1346" i="5" s="1"/>
  <c r="F1347" i="5"/>
  <c r="F1348" i="5"/>
  <c r="F1349" i="5"/>
  <c r="F1350" i="5"/>
  <c r="F1351" i="5"/>
  <c r="F1352" i="5"/>
  <c r="F1353" i="5"/>
  <c r="F1354" i="5"/>
  <c r="H1354" i="5" s="1"/>
  <c r="F1355" i="5"/>
  <c r="F1356" i="5"/>
  <c r="F1357" i="5"/>
  <c r="F1358" i="5"/>
  <c r="F1359" i="5"/>
  <c r="F1360" i="5"/>
  <c r="F1361" i="5"/>
  <c r="F1362" i="5"/>
  <c r="H1362" i="5" s="1"/>
  <c r="F1363" i="5"/>
  <c r="F1364" i="5"/>
  <c r="F1365" i="5"/>
  <c r="F1366" i="5"/>
  <c r="F1367" i="5"/>
  <c r="F1368" i="5"/>
  <c r="F1369" i="5"/>
  <c r="F1370" i="5"/>
  <c r="H1370" i="5" s="1"/>
  <c r="F1371" i="5"/>
  <c r="F1372" i="5"/>
  <c r="F1373" i="5"/>
  <c r="F1374" i="5"/>
  <c r="F1375" i="5"/>
  <c r="F1376" i="5"/>
  <c r="F1377" i="5"/>
  <c r="F1378" i="5"/>
  <c r="H1378" i="5" s="1"/>
  <c r="F1379" i="5"/>
  <c r="F1380" i="5"/>
  <c r="F1381" i="5"/>
  <c r="F1382" i="5"/>
  <c r="F1383" i="5"/>
  <c r="F1384" i="5"/>
  <c r="F1385" i="5"/>
  <c r="F1386" i="5"/>
  <c r="H1386" i="5" s="1"/>
  <c r="F1387" i="5"/>
  <c r="F1388" i="5"/>
  <c r="F1389" i="5"/>
  <c r="F1390" i="5"/>
  <c r="F1391" i="5"/>
  <c r="F1392" i="5"/>
  <c r="F1393" i="5"/>
  <c r="F1394" i="5"/>
  <c r="H1394" i="5" s="1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H1410" i="5" s="1"/>
  <c r="F1411" i="5"/>
  <c r="F1412" i="5"/>
  <c r="F1413" i="5"/>
  <c r="F1414" i="5"/>
  <c r="F1415" i="5"/>
  <c r="F1416" i="5"/>
  <c r="F1417" i="5"/>
  <c r="F1418" i="5"/>
  <c r="H1418" i="5" s="1"/>
  <c r="F1419" i="5"/>
  <c r="F1420" i="5"/>
  <c r="F1421" i="5"/>
  <c r="F1422" i="5"/>
  <c r="F1423" i="5"/>
  <c r="F1424" i="5"/>
  <c r="F1425" i="5"/>
  <c r="F1426" i="5"/>
  <c r="H1426" i="5" s="1"/>
  <c r="F1427" i="5"/>
  <c r="F1428" i="5"/>
  <c r="F1429" i="5"/>
  <c r="F1430" i="5"/>
  <c r="F1431" i="5"/>
  <c r="F1432" i="5"/>
  <c r="F1433" i="5"/>
  <c r="F1434" i="5"/>
  <c r="H1434" i="5" s="1"/>
  <c r="F1435" i="5"/>
  <c r="F1436" i="5"/>
  <c r="F1437" i="5"/>
  <c r="F1438" i="5"/>
  <c r="F1439" i="5"/>
  <c r="F1440" i="5"/>
  <c r="F1441" i="5"/>
  <c r="F1442" i="5"/>
  <c r="H1442" i="5" s="1"/>
  <c r="F1443" i="5"/>
  <c r="F1444" i="5"/>
  <c r="F1445" i="5"/>
  <c r="F1446" i="5"/>
  <c r="F1447" i="5"/>
  <c r="F1448" i="5"/>
  <c r="F1449" i="5"/>
  <c r="F1450" i="5"/>
  <c r="H1450" i="5" s="1"/>
  <c r="F1451" i="5"/>
  <c r="F1452" i="5"/>
  <c r="F1453" i="5"/>
  <c r="F1454" i="5"/>
  <c r="F1455" i="5"/>
  <c r="F1456" i="5"/>
  <c r="F1457" i="5"/>
  <c r="F1458" i="5"/>
  <c r="H1458" i="5" s="1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H1474" i="5" s="1"/>
  <c r="F1475" i="5"/>
  <c r="F1476" i="5"/>
  <c r="F1477" i="5"/>
  <c r="F1478" i="5"/>
  <c r="F1479" i="5"/>
  <c r="F1480" i="5"/>
  <c r="F1481" i="5"/>
  <c r="F1482" i="5"/>
  <c r="H1482" i="5" s="1"/>
  <c r="F1483" i="5"/>
  <c r="F1484" i="5"/>
  <c r="F1485" i="5"/>
  <c r="F1486" i="5"/>
  <c r="F1487" i="5"/>
  <c r="F1488" i="5"/>
  <c r="F1489" i="5"/>
  <c r="F1490" i="5"/>
  <c r="H1490" i="5" s="1"/>
  <c r="F1491" i="5"/>
  <c r="F1492" i="5"/>
  <c r="F1493" i="5"/>
  <c r="F1494" i="5"/>
  <c r="F1495" i="5"/>
  <c r="F1496" i="5"/>
  <c r="F1497" i="5"/>
  <c r="F1498" i="5"/>
  <c r="H1498" i="5" s="1"/>
  <c r="F1499" i="5"/>
  <c r="F1500" i="5"/>
  <c r="F1501" i="5"/>
  <c r="F1502" i="5"/>
  <c r="F1503" i="5"/>
  <c r="F1504" i="5"/>
  <c r="F1505" i="5"/>
  <c r="F1506" i="5"/>
  <c r="H1506" i="5" s="1"/>
  <c r="F1507" i="5"/>
  <c r="F1508" i="5"/>
  <c r="F1509" i="5"/>
  <c r="F1510" i="5"/>
  <c r="F1511" i="5"/>
  <c r="F1512" i="5"/>
  <c r="F1513" i="5"/>
  <c r="F1514" i="5"/>
  <c r="H1514" i="5" s="1"/>
  <c r="F1515" i="5"/>
  <c r="F1516" i="5"/>
  <c r="F1517" i="5"/>
  <c r="F1518" i="5"/>
  <c r="F1519" i="5"/>
  <c r="F1520" i="5"/>
  <c r="F1521" i="5"/>
  <c r="F1522" i="5"/>
  <c r="H1522" i="5" s="1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H1538" i="5" s="1"/>
  <c r="F1539" i="5"/>
  <c r="F1540" i="5"/>
  <c r="F1541" i="5"/>
  <c r="F1542" i="5"/>
  <c r="F1543" i="5"/>
  <c r="F1544" i="5"/>
  <c r="F1545" i="5"/>
  <c r="F1546" i="5"/>
  <c r="H1546" i="5" s="1"/>
  <c r="F1547" i="5"/>
  <c r="F1548" i="5"/>
  <c r="F1549" i="5"/>
  <c r="F1550" i="5"/>
  <c r="F1551" i="5"/>
  <c r="F1552" i="5"/>
  <c r="F1553" i="5"/>
  <c r="F1554" i="5"/>
  <c r="H1554" i="5" s="1"/>
  <c r="F1555" i="5"/>
  <c r="F1556" i="5"/>
  <c r="F1557" i="5"/>
  <c r="F1558" i="5"/>
  <c r="F1559" i="5"/>
  <c r="F1560" i="5"/>
  <c r="F1561" i="5"/>
  <c r="F1562" i="5"/>
  <c r="H1562" i="5" s="1"/>
  <c r="F1563" i="5"/>
  <c r="F1564" i="5"/>
  <c r="F1565" i="5"/>
  <c r="F1566" i="5"/>
  <c r="F1567" i="5"/>
  <c r="F1568" i="5"/>
  <c r="F1569" i="5"/>
  <c r="F1570" i="5"/>
  <c r="H1570" i="5" s="1"/>
  <c r="F1571" i="5"/>
  <c r="F1572" i="5"/>
  <c r="F1573" i="5"/>
  <c r="F1574" i="5"/>
  <c r="F1575" i="5"/>
  <c r="F1576" i="5"/>
  <c r="F1577" i="5"/>
  <c r="F1578" i="5"/>
  <c r="H1578" i="5" s="1"/>
  <c r="F1579" i="5"/>
  <c r="F1580" i="5"/>
  <c r="F1581" i="5"/>
  <c r="F1582" i="5"/>
  <c r="F1583" i="5"/>
  <c r="F1584" i="5"/>
  <c r="F1585" i="5"/>
  <c r="F1586" i="5"/>
  <c r="H1586" i="5" s="1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H1602" i="5" s="1"/>
  <c r="F1603" i="5"/>
  <c r="F1604" i="5"/>
  <c r="F1605" i="5"/>
  <c r="F1606" i="5"/>
  <c r="F1607" i="5"/>
  <c r="F1608" i="5"/>
  <c r="F1609" i="5"/>
  <c r="F1610" i="5"/>
  <c r="H1610" i="5" s="1"/>
  <c r="F1611" i="5"/>
  <c r="F1612" i="5"/>
  <c r="F1613" i="5"/>
  <c r="F1614" i="5"/>
  <c r="F1615" i="5"/>
  <c r="F1616" i="5"/>
  <c r="F1617" i="5"/>
  <c r="F1618" i="5"/>
  <c r="H1618" i="5" s="1"/>
  <c r="F1619" i="5"/>
  <c r="F1620" i="5"/>
  <c r="F1621" i="5"/>
  <c r="F1622" i="5"/>
  <c r="F1623" i="5"/>
  <c r="F1624" i="5"/>
  <c r="F1625" i="5"/>
  <c r="F1626" i="5"/>
  <c r="H1626" i="5" s="1"/>
  <c r="F1627" i="5"/>
  <c r="F1628" i="5"/>
  <c r="F1629" i="5"/>
  <c r="F1630" i="5"/>
  <c r="F1631" i="5"/>
  <c r="F1632" i="5"/>
  <c r="F1633" i="5"/>
  <c r="F1634" i="5"/>
  <c r="H1634" i="5" s="1"/>
  <c r="F1635" i="5"/>
  <c r="F1636" i="5"/>
  <c r="F1637" i="5"/>
  <c r="F1638" i="5"/>
  <c r="F1639" i="5"/>
  <c r="F1640" i="5"/>
  <c r="F1641" i="5"/>
  <c r="F1642" i="5"/>
  <c r="H1642" i="5" s="1"/>
  <c r="F1643" i="5"/>
  <c r="F1644" i="5"/>
  <c r="F1645" i="5"/>
  <c r="F1646" i="5"/>
  <c r="F1647" i="5"/>
  <c r="F1648" i="5"/>
  <c r="F1649" i="5"/>
  <c r="F1650" i="5"/>
  <c r="H1650" i="5" s="1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H1666" i="5" s="1"/>
  <c r="F1667" i="5"/>
  <c r="F1668" i="5"/>
  <c r="F1669" i="5"/>
  <c r="F1670" i="5"/>
  <c r="F1671" i="5"/>
  <c r="F1672" i="5"/>
  <c r="F1673" i="5"/>
  <c r="F1674" i="5"/>
  <c r="H1674" i="5" s="1"/>
  <c r="F1675" i="5"/>
  <c r="F1676" i="5"/>
  <c r="F1677" i="5"/>
  <c r="F1678" i="5"/>
  <c r="F1679" i="5"/>
  <c r="F1680" i="5"/>
  <c r="F1681" i="5"/>
  <c r="F1682" i="5"/>
  <c r="H1682" i="5" s="1"/>
  <c r="F1683" i="5"/>
  <c r="F1684" i="5"/>
  <c r="F1685" i="5"/>
  <c r="F1686" i="5"/>
  <c r="F1687" i="5"/>
  <c r="F1688" i="5"/>
  <c r="F1689" i="5"/>
  <c r="F1690" i="5"/>
  <c r="H1690" i="5" s="1"/>
  <c r="F1691" i="5"/>
  <c r="F1692" i="5"/>
  <c r="F1693" i="5"/>
  <c r="F1694" i="5"/>
  <c r="F1695" i="5"/>
  <c r="F1696" i="5"/>
  <c r="F1697" i="5"/>
  <c r="F1698" i="5"/>
  <c r="H1698" i="5" s="1"/>
  <c r="F1699" i="5"/>
  <c r="F1700" i="5"/>
  <c r="F1701" i="5"/>
  <c r="F1702" i="5"/>
  <c r="F1703" i="5"/>
  <c r="F1704" i="5"/>
  <c r="F1705" i="5"/>
  <c r="F1706" i="5"/>
  <c r="H1706" i="5" s="1"/>
  <c r="F1707" i="5"/>
  <c r="F1708" i="5"/>
  <c r="F1709" i="5"/>
  <c r="F1710" i="5"/>
  <c r="F1711" i="5"/>
  <c r="F1712" i="5"/>
  <c r="F1713" i="5"/>
  <c r="F1714" i="5"/>
  <c r="H1714" i="5" s="1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H1730" i="5" s="1"/>
  <c r="F1731" i="5"/>
  <c r="F1732" i="5"/>
  <c r="F1733" i="5"/>
  <c r="F1734" i="5"/>
  <c r="F1735" i="5"/>
  <c r="F1736" i="5"/>
  <c r="F1737" i="5"/>
  <c r="F1738" i="5"/>
  <c r="H1738" i="5" s="1"/>
  <c r="F1739" i="5"/>
  <c r="F1740" i="5"/>
  <c r="F1741" i="5"/>
  <c r="F1742" i="5"/>
  <c r="F1743" i="5"/>
  <c r="F1744" i="5"/>
  <c r="F1745" i="5"/>
  <c r="F1746" i="5"/>
  <c r="H1746" i="5" s="1"/>
  <c r="F1747" i="5"/>
  <c r="F1748" i="5"/>
  <c r="F1749" i="5"/>
  <c r="F1750" i="5"/>
  <c r="F1751" i="5"/>
  <c r="F1752" i="5"/>
  <c r="F1753" i="5"/>
  <c r="F1754" i="5"/>
  <c r="H1754" i="5" s="1"/>
  <c r="F1755" i="5"/>
  <c r="F1756" i="5"/>
  <c r="F1757" i="5"/>
  <c r="F1758" i="5"/>
  <c r="F1759" i="5"/>
  <c r="F1760" i="5"/>
  <c r="F1761" i="5"/>
  <c r="F1762" i="5"/>
  <c r="H1762" i="5" s="1"/>
  <c r="F1763" i="5"/>
  <c r="F1764" i="5"/>
  <c r="F1765" i="5"/>
  <c r="F1766" i="5"/>
  <c r="F1767" i="5"/>
  <c r="F1768" i="5"/>
  <c r="F1769" i="5"/>
  <c r="F1770" i="5"/>
  <c r="H1770" i="5" s="1"/>
  <c r="F1771" i="5"/>
  <c r="F1772" i="5"/>
  <c r="F1773" i="5"/>
  <c r="F1774" i="5"/>
  <c r="F1775" i="5"/>
  <c r="F1776" i="5"/>
  <c r="F1777" i="5"/>
  <c r="F1778" i="5"/>
  <c r="H1778" i="5" s="1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H1794" i="5" s="1"/>
  <c r="F1795" i="5"/>
  <c r="F1796" i="5"/>
  <c r="F1797" i="5"/>
  <c r="F1798" i="5"/>
  <c r="F1799" i="5"/>
  <c r="F1800" i="5"/>
  <c r="F1801" i="5"/>
  <c r="F1802" i="5"/>
  <c r="H1802" i="5" s="1"/>
  <c r="F1803" i="5"/>
  <c r="F1804" i="5"/>
  <c r="F1805" i="5"/>
  <c r="F1806" i="5"/>
  <c r="F1807" i="5"/>
  <c r="F1808" i="5"/>
  <c r="F1809" i="5"/>
  <c r="F1810" i="5"/>
  <c r="H1810" i="5" s="1"/>
  <c r="F1811" i="5"/>
  <c r="F1812" i="5"/>
  <c r="F1813" i="5"/>
  <c r="F1814" i="5"/>
  <c r="F1815" i="5"/>
  <c r="F1816" i="5"/>
  <c r="F1817" i="5"/>
  <c r="F1818" i="5"/>
  <c r="H1818" i="5" s="1"/>
  <c r="F1819" i="5"/>
  <c r="F1820" i="5"/>
  <c r="F1821" i="5"/>
  <c r="F1822" i="5"/>
  <c r="F1823" i="5"/>
  <c r="F1824" i="5"/>
  <c r="F1825" i="5"/>
  <c r="F1826" i="5"/>
  <c r="H1826" i="5" s="1"/>
  <c r="F1827" i="5"/>
  <c r="F1828" i="5"/>
  <c r="F1829" i="5"/>
  <c r="F1830" i="5"/>
  <c r="F1831" i="5"/>
  <c r="F1832" i="5"/>
  <c r="F1833" i="5"/>
  <c r="F1834" i="5"/>
  <c r="H1834" i="5" s="1"/>
  <c r="F1835" i="5"/>
  <c r="F1836" i="5"/>
  <c r="F1837" i="5"/>
  <c r="F1838" i="5"/>
  <c r="F1839" i="5"/>
  <c r="F1840" i="5"/>
  <c r="F1841" i="5"/>
  <c r="F1842" i="5"/>
  <c r="H1842" i="5" s="1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H1858" i="5" s="1"/>
  <c r="F1859" i="5"/>
  <c r="F1860" i="5"/>
  <c r="F1861" i="5"/>
  <c r="F1862" i="5"/>
  <c r="F1863" i="5"/>
  <c r="F1864" i="5"/>
  <c r="F1865" i="5"/>
  <c r="F1866" i="5"/>
  <c r="H1866" i="5" s="1"/>
  <c r="F1867" i="5"/>
  <c r="F1868" i="5"/>
  <c r="F1869" i="5"/>
  <c r="F1870" i="5"/>
  <c r="F1871" i="5"/>
  <c r="F1872" i="5"/>
  <c r="F1873" i="5"/>
  <c r="F1874" i="5"/>
  <c r="H1874" i="5" s="1"/>
  <c r="F1875" i="5"/>
  <c r="F1876" i="5"/>
  <c r="F1877" i="5"/>
  <c r="F1878" i="5"/>
  <c r="F1879" i="5"/>
  <c r="F1880" i="5"/>
  <c r="F1881" i="5"/>
  <c r="F1882" i="5"/>
  <c r="H1882" i="5" s="1"/>
  <c r="F1883" i="5"/>
  <c r="F1884" i="5"/>
  <c r="F1885" i="5"/>
  <c r="F1886" i="5"/>
  <c r="F1887" i="5"/>
  <c r="F1888" i="5"/>
  <c r="F1889" i="5"/>
  <c r="F1890" i="5"/>
  <c r="H1890" i="5" s="1"/>
  <c r="F1891" i="5"/>
  <c r="F1892" i="5"/>
  <c r="F1893" i="5"/>
  <c r="F1894" i="5"/>
  <c r="F1895" i="5"/>
  <c r="F1896" i="5"/>
  <c r="F1897" i="5"/>
  <c r="F1898" i="5"/>
  <c r="H1898" i="5" s="1"/>
  <c r="F1899" i="5"/>
  <c r="F1900" i="5"/>
  <c r="F1901" i="5"/>
  <c r="F1902" i="5"/>
  <c r="F1903" i="5"/>
  <c r="F1904" i="5"/>
  <c r="F1905" i="5"/>
  <c r="F1906" i="5"/>
  <c r="H1906" i="5" s="1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H1922" i="5" s="1"/>
  <c r="F1923" i="5"/>
  <c r="F1924" i="5"/>
  <c r="F1925" i="5"/>
  <c r="F1926" i="5"/>
  <c r="F1927" i="5"/>
  <c r="F1928" i="5"/>
  <c r="F1929" i="5"/>
  <c r="F1930" i="5"/>
  <c r="H1930" i="5" s="1"/>
  <c r="F1931" i="5"/>
  <c r="F1932" i="5"/>
  <c r="F1933" i="5"/>
  <c r="F1934" i="5"/>
  <c r="F1935" i="5"/>
  <c r="F1936" i="5"/>
  <c r="F1937" i="5"/>
  <c r="F1938" i="5"/>
  <c r="H1938" i="5" s="1"/>
  <c r="F1939" i="5"/>
  <c r="F1940" i="5"/>
  <c r="F1941" i="5"/>
  <c r="F1942" i="5"/>
  <c r="F1943" i="5"/>
  <c r="F1944" i="5"/>
  <c r="F1945" i="5"/>
  <c r="F1946" i="5"/>
  <c r="H1946" i="5" s="1"/>
  <c r="F1947" i="5"/>
  <c r="F1948" i="5"/>
  <c r="F1949" i="5"/>
  <c r="F1950" i="5"/>
  <c r="F1951" i="5"/>
  <c r="F1952" i="5"/>
  <c r="F1953" i="5"/>
  <c r="F1954" i="5"/>
  <c r="H1954" i="5" s="1"/>
  <c r="F1955" i="5"/>
  <c r="F1956" i="5"/>
  <c r="F1957" i="5"/>
  <c r="F1958" i="5"/>
  <c r="F1959" i="5"/>
  <c r="F1960" i="5"/>
  <c r="F1961" i="5"/>
  <c r="F1962" i="5"/>
  <c r="H1962" i="5" s="1"/>
  <c r="F1963" i="5"/>
  <c r="F1964" i="5"/>
  <c r="F1965" i="5"/>
  <c r="F1966" i="5"/>
  <c r="F1967" i="5"/>
  <c r="F1968" i="5"/>
  <c r="F1969" i="5"/>
  <c r="F1970" i="5"/>
  <c r="H1970" i="5" s="1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H1986" i="5" s="1"/>
  <c r="F1987" i="5"/>
  <c r="F1988" i="5"/>
  <c r="F1989" i="5"/>
  <c r="F1990" i="5"/>
  <c r="F1991" i="5"/>
  <c r="F1992" i="5"/>
  <c r="F1993" i="5"/>
  <c r="F1994" i="5"/>
  <c r="H1994" i="5" s="1"/>
  <c r="F1995" i="5"/>
  <c r="F1996" i="5"/>
  <c r="F1997" i="5"/>
  <c r="F1998" i="5"/>
  <c r="F1999" i="5"/>
  <c r="F2000" i="5"/>
  <c r="F2001" i="5"/>
  <c r="F2002" i="5"/>
  <c r="H2002" i="5" s="1"/>
  <c r="F2003" i="5"/>
  <c r="F2004" i="5"/>
  <c r="F2005" i="5"/>
  <c r="F2006" i="5"/>
  <c r="F2007" i="5"/>
  <c r="F2008" i="5"/>
  <c r="F2009" i="5"/>
  <c r="F2010" i="5"/>
  <c r="H2010" i="5" s="1"/>
  <c r="F2011" i="5"/>
  <c r="F2012" i="5"/>
  <c r="F2013" i="5"/>
  <c r="F2014" i="5"/>
  <c r="F2015" i="5"/>
  <c r="F2016" i="5"/>
  <c r="F2017" i="5"/>
  <c r="F2018" i="5"/>
  <c r="H2018" i="5" s="1"/>
  <c r="F2019" i="5"/>
  <c r="F2020" i="5"/>
  <c r="F2021" i="5"/>
  <c r="F2022" i="5"/>
  <c r="F2023" i="5"/>
  <c r="F2024" i="5"/>
  <c r="F2025" i="5"/>
  <c r="F2026" i="5"/>
  <c r="H2026" i="5" s="1"/>
  <c r="F2027" i="5"/>
  <c r="F2028" i="5"/>
  <c r="F2029" i="5"/>
  <c r="F2030" i="5"/>
  <c r="F2031" i="5"/>
  <c r="F2032" i="5"/>
  <c r="F2033" i="5"/>
  <c r="F2034" i="5"/>
  <c r="H2034" i="5" s="1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H2050" i="5" s="1"/>
  <c r="F2051" i="5"/>
  <c r="F2052" i="5"/>
  <c r="F2053" i="5"/>
  <c r="F2054" i="5"/>
  <c r="F2055" i="5"/>
  <c r="F2056" i="5"/>
  <c r="F2057" i="5"/>
  <c r="F2058" i="5"/>
  <c r="H2058" i="5" s="1"/>
  <c r="F2059" i="5"/>
  <c r="F2060" i="5"/>
  <c r="F2061" i="5"/>
  <c r="F2062" i="5"/>
  <c r="F2063" i="5"/>
  <c r="F2064" i="5"/>
  <c r="F2065" i="5"/>
  <c r="F2066" i="5"/>
  <c r="H2066" i="5" s="1"/>
  <c r="F2067" i="5"/>
  <c r="F2068" i="5"/>
  <c r="F2069" i="5"/>
  <c r="F2070" i="5"/>
  <c r="F2071" i="5"/>
  <c r="F2072" i="5"/>
  <c r="F2073" i="5"/>
  <c r="F2074" i="5"/>
  <c r="H2074" i="5" s="1"/>
  <c r="F2075" i="5"/>
  <c r="F2076" i="5"/>
  <c r="F2077" i="5"/>
  <c r="F2078" i="5"/>
  <c r="F2079" i="5"/>
  <c r="F2080" i="5"/>
  <c r="F2081" i="5"/>
  <c r="F2082" i="5"/>
  <c r="H2082" i="5" s="1"/>
  <c r="F2083" i="5"/>
  <c r="F2084" i="5"/>
  <c r="F2085" i="5"/>
  <c r="F2086" i="5"/>
  <c r="F2087" i="5"/>
  <c r="F2088" i="5"/>
  <c r="F2089" i="5"/>
  <c r="F2090" i="5"/>
  <c r="H2090" i="5" s="1"/>
  <c r="F2091" i="5"/>
  <c r="F2092" i="5"/>
  <c r="F2093" i="5"/>
  <c r="F2094" i="5"/>
  <c r="F2095" i="5"/>
  <c r="F2096" i="5"/>
  <c r="F2097" i="5"/>
  <c r="F2098" i="5"/>
  <c r="H2098" i="5" s="1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H2114" i="5" s="1"/>
  <c r="F2115" i="5"/>
  <c r="F2116" i="5"/>
  <c r="F2117" i="5"/>
  <c r="F2118" i="5"/>
  <c r="F2119" i="5"/>
  <c r="F2120" i="5"/>
  <c r="F2121" i="5"/>
  <c r="F2122" i="5"/>
  <c r="H2122" i="5" s="1"/>
  <c r="F2123" i="5"/>
  <c r="F2124" i="5"/>
  <c r="F2125" i="5"/>
  <c r="F2126" i="5"/>
  <c r="F2127" i="5"/>
  <c r="F2128" i="5"/>
  <c r="F2129" i="5"/>
  <c r="F2130" i="5"/>
  <c r="H2130" i="5" s="1"/>
  <c r="F2131" i="5"/>
  <c r="F2132" i="5"/>
  <c r="F2133" i="5"/>
  <c r="F2134" i="5"/>
  <c r="F2135" i="5"/>
  <c r="F2136" i="5"/>
  <c r="F2137" i="5"/>
  <c r="F2138" i="5"/>
  <c r="H2138" i="5" s="1"/>
  <c r="F2139" i="5"/>
  <c r="F2140" i="5"/>
  <c r="F2141" i="5"/>
  <c r="F2142" i="5"/>
  <c r="F2143" i="5"/>
  <c r="F2144" i="5"/>
  <c r="F2145" i="5"/>
  <c r="F2146" i="5"/>
  <c r="H2146" i="5" s="1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H2162" i="5" s="1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H2178" i="5" s="1"/>
  <c r="F2179" i="5"/>
  <c r="F2180" i="5"/>
  <c r="F2181" i="5"/>
  <c r="F2182" i="5"/>
  <c r="F2183" i="5"/>
  <c r="F2184" i="5"/>
  <c r="F2185" i="5"/>
  <c r="F2186" i="5"/>
  <c r="H2186" i="5" s="1"/>
  <c r="F2187" i="5"/>
  <c r="F2188" i="5"/>
  <c r="F2189" i="5"/>
  <c r="F2190" i="5"/>
  <c r="F2191" i="5"/>
  <c r="F2192" i="5"/>
  <c r="F2193" i="5"/>
  <c r="F2194" i="5"/>
  <c r="H2194" i="5" s="1"/>
  <c r="F2195" i="5"/>
  <c r="F2196" i="5"/>
  <c r="F2197" i="5"/>
  <c r="F2198" i="5"/>
  <c r="F2199" i="5"/>
  <c r="F2200" i="5"/>
  <c r="F2201" i="5"/>
  <c r="F2202" i="5"/>
  <c r="H2202" i="5" s="1"/>
  <c r="F2203" i="5"/>
  <c r="F2204" i="5"/>
  <c r="F2205" i="5"/>
  <c r="F2206" i="5"/>
  <c r="F2207" i="5"/>
  <c r="F2208" i="5"/>
  <c r="F2209" i="5"/>
  <c r="F2210" i="5"/>
  <c r="H2210" i="5" s="1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H2226" i="5" s="1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H2242" i="5" s="1"/>
  <c r="F2243" i="5"/>
  <c r="F2244" i="5"/>
  <c r="F2245" i="5"/>
  <c r="F2246" i="5"/>
  <c r="F2247" i="5"/>
  <c r="F2248" i="5"/>
  <c r="F2249" i="5"/>
  <c r="F2250" i="5"/>
  <c r="H2250" i="5" s="1"/>
  <c r="F2251" i="5"/>
  <c r="F2252" i="5"/>
  <c r="F2253" i="5"/>
  <c r="F2254" i="5"/>
  <c r="F2255" i="5"/>
  <c r="F2256" i="5"/>
  <c r="F2257" i="5"/>
  <c r="F2258" i="5"/>
  <c r="H2258" i="5" s="1"/>
  <c r="F2259" i="5"/>
  <c r="F2260" i="5"/>
  <c r="F2261" i="5"/>
  <c r="F2262" i="5"/>
  <c r="F2263" i="5"/>
  <c r="F2264" i="5"/>
  <c r="F2265" i="5"/>
  <c r="F2266" i="5"/>
  <c r="H2266" i="5" s="1"/>
  <c r="F2267" i="5"/>
  <c r="F2268" i="5"/>
  <c r="F2269" i="5"/>
  <c r="F2270" i="5"/>
  <c r="F2271" i="5"/>
  <c r="F2272" i="5"/>
  <c r="F2273" i="5"/>
  <c r="F2274" i="5"/>
  <c r="H2274" i="5" s="1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H2290" i="5" s="1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H2306" i="5" s="1"/>
  <c r="F2307" i="5"/>
  <c r="F2308" i="5"/>
  <c r="F2309" i="5"/>
  <c r="F2310" i="5"/>
  <c r="F2311" i="5"/>
  <c r="F2312" i="5"/>
  <c r="F2313" i="5"/>
  <c r="F2314" i="5"/>
  <c r="H2314" i="5" s="1"/>
  <c r="F2315" i="5"/>
  <c r="F2316" i="5"/>
  <c r="F2317" i="5"/>
  <c r="F2318" i="5"/>
  <c r="F2319" i="5"/>
  <c r="F2320" i="5"/>
  <c r="F2321" i="5"/>
  <c r="F2322" i="5"/>
  <c r="H2322" i="5" s="1"/>
  <c r="F2323" i="5"/>
  <c r="F2324" i="5"/>
  <c r="F2325" i="5"/>
  <c r="F2326" i="5"/>
  <c r="F2327" i="5"/>
  <c r="F2328" i="5"/>
  <c r="F2329" i="5"/>
  <c r="F2330" i="5"/>
  <c r="H2330" i="5" s="1"/>
  <c r="F2331" i="5"/>
  <c r="F2332" i="5"/>
  <c r="F2333" i="5"/>
  <c r="F2334" i="5"/>
  <c r="F2335" i="5"/>
  <c r="F2336" i="5"/>
  <c r="F2337" i="5"/>
  <c r="F2338" i="5"/>
  <c r="H2338" i="5" s="1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H2354" i="5" s="1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H2370" i="5" s="1"/>
  <c r="F2371" i="5"/>
  <c r="F2372" i="5"/>
  <c r="F2373" i="5"/>
  <c r="F2374" i="5"/>
  <c r="F2375" i="5"/>
  <c r="F2376" i="5"/>
  <c r="F2377" i="5"/>
  <c r="F2378" i="5"/>
  <c r="H2378" i="5" s="1"/>
  <c r="F2379" i="5"/>
  <c r="F2380" i="5"/>
  <c r="F2381" i="5"/>
  <c r="F2382" i="5"/>
  <c r="F2383" i="5"/>
  <c r="F2384" i="5"/>
  <c r="F2385" i="5"/>
  <c r="F2386" i="5"/>
  <c r="H2386" i="5" s="1"/>
  <c r="F2387" i="5"/>
  <c r="F2388" i="5"/>
  <c r="F2389" i="5"/>
  <c r="F2390" i="5"/>
  <c r="F2391" i="5"/>
  <c r="F2392" i="5"/>
  <c r="F2393" i="5"/>
  <c r="F2394" i="5"/>
  <c r="H2394" i="5" s="1"/>
  <c r="F2395" i="5"/>
  <c r="F2396" i="5"/>
  <c r="F2397" i="5"/>
  <c r="F2398" i="5"/>
  <c r="F2399" i="5"/>
  <c r="F2400" i="5"/>
  <c r="F2401" i="5"/>
  <c r="F2402" i="5"/>
  <c r="H2402" i="5" s="1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H2418" i="5" s="1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H2434" i="5" s="1"/>
  <c r="F2435" i="5"/>
  <c r="F2436" i="5"/>
  <c r="F2437" i="5"/>
  <c r="F2438" i="5"/>
  <c r="F2439" i="5"/>
  <c r="F2440" i="5"/>
  <c r="F2441" i="5"/>
  <c r="F2442" i="5"/>
  <c r="H2442" i="5" s="1"/>
  <c r="F2443" i="5"/>
  <c r="F2444" i="5"/>
  <c r="F2445" i="5"/>
  <c r="F2446" i="5"/>
  <c r="F2447" i="5"/>
  <c r="F2448" i="5"/>
  <c r="F2449" i="5"/>
  <c r="F2450" i="5"/>
  <c r="H2450" i="5" s="1"/>
  <c r="F2451" i="5"/>
  <c r="F2452" i="5"/>
  <c r="F2453" i="5"/>
  <c r="F2454" i="5"/>
  <c r="F2455" i="5"/>
  <c r="F2456" i="5"/>
  <c r="F2457" i="5"/>
  <c r="F2458" i="5"/>
  <c r="H2458" i="5" s="1"/>
  <c r="F2459" i="5"/>
  <c r="F2460" i="5"/>
  <c r="F2461" i="5"/>
  <c r="F2462" i="5"/>
  <c r="F2463" i="5"/>
  <c r="F2464" i="5"/>
  <c r="F2465" i="5"/>
  <c r="F2466" i="5"/>
  <c r="H2466" i="5" s="1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H2482" i="5" s="1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H2498" i="5" s="1"/>
  <c r="F2499" i="5"/>
  <c r="F2500" i="5"/>
  <c r="F2501" i="5"/>
  <c r="F2502" i="5"/>
  <c r="F2503" i="5"/>
  <c r="F2504" i="5"/>
  <c r="F2505" i="5"/>
  <c r="F2506" i="5"/>
  <c r="H2506" i="5" s="1"/>
  <c r="F2507" i="5"/>
  <c r="F2508" i="5"/>
  <c r="F2509" i="5"/>
  <c r="F2510" i="5"/>
  <c r="F2511" i="5"/>
  <c r="F2512" i="5"/>
  <c r="F2513" i="5"/>
  <c r="F2514" i="5"/>
  <c r="H2514" i="5" s="1"/>
  <c r="F2515" i="5"/>
  <c r="F2516" i="5"/>
  <c r="F2517" i="5"/>
  <c r="F2518" i="5"/>
  <c r="F2519" i="5"/>
  <c r="F2520" i="5"/>
  <c r="F2521" i="5"/>
  <c r="F2522" i="5"/>
  <c r="H2522" i="5" s="1"/>
  <c r="F2523" i="5"/>
  <c r="F2524" i="5"/>
  <c r="F2525" i="5"/>
  <c r="F2526" i="5"/>
  <c r="F2527" i="5"/>
  <c r="F2528" i="5"/>
  <c r="F2529" i="5"/>
  <c r="F2530" i="5"/>
  <c r="H2530" i="5" s="1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H2546" i="5" s="1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H2562" i="5" s="1"/>
  <c r="F2563" i="5"/>
  <c r="F2564" i="5"/>
  <c r="F2565" i="5"/>
  <c r="F2566" i="5"/>
  <c r="F2567" i="5"/>
  <c r="F2568" i="5"/>
  <c r="F2569" i="5"/>
  <c r="F2570" i="5"/>
  <c r="H2570" i="5" s="1"/>
  <c r="F2571" i="5"/>
  <c r="F2572" i="5"/>
  <c r="F2573" i="5"/>
  <c r="F2574" i="5"/>
  <c r="F2575" i="5"/>
  <c r="F2576" i="5"/>
  <c r="F2577" i="5"/>
  <c r="F2578" i="5"/>
  <c r="H2578" i="5" s="1"/>
  <c r="F2579" i="5"/>
  <c r="F2580" i="5"/>
  <c r="F2581" i="5"/>
  <c r="F2582" i="5"/>
  <c r="F2583" i="5"/>
  <c r="F2584" i="5"/>
  <c r="F2585" i="5"/>
  <c r="F2586" i="5"/>
  <c r="H2586" i="5" s="1"/>
  <c r="F2587" i="5"/>
  <c r="F2588" i="5"/>
  <c r="F2589" i="5"/>
  <c r="F2590" i="5"/>
  <c r="F2591" i="5"/>
  <c r="F2592" i="5"/>
  <c r="F2593" i="5"/>
  <c r="F2594" i="5"/>
  <c r="H2594" i="5" s="1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H2610" i="5" s="1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H2626" i="5" s="1"/>
  <c r="F2627" i="5"/>
  <c r="F2628" i="5"/>
  <c r="F2629" i="5"/>
  <c r="F2630" i="5"/>
  <c r="F2631" i="5"/>
  <c r="F2632" i="5"/>
  <c r="F2633" i="5"/>
  <c r="F2634" i="5"/>
  <c r="H2634" i="5" s="1"/>
  <c r="F2635" i="5"/>
  <c r="F2636" i="5"/>
  <c r="F2637" i="5"/>
  <c r="F2638" i="5"/>
  <c r="F2639" i="5"/>
  <c r="F2640" i="5"/>
  <c r="F2641" i="5"/>
  <c r="F2642" i="5"/>
  <c r="H2642" i="5" s="1"/>
  <c r="F2643" i="5"/>
  <c r="F2644" i="5"/>
  <c r="F2645" i="5"/>
  <c r="F2646" i="5"/>
  <c r="F2647" i="5"/>
  <c r="F2648" i="5"/>
  <c r="F2649" i="5"/>
  <c r="F2650" i="5"/>
  <c r="H2650" i="5" s="1"/>
  <c r="F2651" i="5"/>
  <c r="F2652" i="5"/>
  <c r="F2653" i="5"/>
  <c r="F2654" i="5"/>
  <c r="F2655" i="5"/>
  <c r="F2656" i="5"/>
  <c r="F2657" i="5"/>
  <c r="F2658" i="5"/>
  <c r="H2658" i="5" s="1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H2674" i="5" s="1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H2690" i="5" s="1"/>
  <c r="F2691" i="5"/>
  <c r="F2692" i="5"/>
  <c r="F2693" i="5"/>
  <c r="F2694" i="5"/>
  <c r="F2695" i="5"/>
  <c r="F2696" i="5"/>
  <c r="F2697" i="5"/>
  <c r="F2698" i="5"/>
  <c r="H2698" i="5" s="1"/>
  <c r="F2699" i="5"/>
  <c r="F2700" i="5"/>
  <c r="F2701" i="5"/>
  <c r="F2702" i="5"/>
  <c r="F2703" i="5"/>
  <c r="F2704" i="5"/>
  <c r="F2705" i="5"/>
  <c r="F2706" i="5"/>
  <c r="H2706" i="5" s="1"/>
  <c r="F2707" i="5"/>
  <c r="F2708" i="5"/>
  <c r="F2709" i="5"/>
  <c r="F2710" i="5"/>
  <c r="F2711" i="5"/>
  <c r="F2712" i="5"/>
  <c r="F2713" i="5"/>
  <c r="F2714" i="5"/>
  <c r="H2714" i="5" s="1"/>
  <c r="F2715" i="5"/>
  <c r="F2716" i="5"/>
  <c r="F2717" i="5"/>
  <c r="F2718" i="5"/>
  <c r="F2719" i="5"/>
  <c r="F2720" i="5"/>
  <c r="F2721" i="5"/>
  <c r="F2722" i="5"/>
  <c r="H2722" i="5" s="1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H2738" i="5" s="1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H2754" i="5" s="1"/>
  <c r="F2755" i="5"/>
  <c r="F2756" i="5"/>
  <c r="F2757" i="5"/>
  <c r="F2758" i="5"/>
  <c r="F2759" i="5"/>
  <c r="F2760" i="5"/>
  <c r="F2761" i="5"/>
  <c r="F2762" i="5"/>
  <c r="H2762" i="5" s="1"/>
  <c r="F2763" i="5"/>
  <c r="F2764" i="5"/>
  <c r="F2765" i="5"/>
  <c r="F2766" i="5"/>
  <c r="F2767" i="5"/>
  <c r="F2768" i="5"/>
  <c r="F2769" i="5"/>
  <c r="F2770" i="5"/>
  <c r="H2770" i="5" s="1"/>
  <c r="F2771" i="5"/>
  <c r="F2772" i="5"/>
  <c r="F2773" i="5"/>
  <c r="F2774" i="5"/>
  <c r="F2775" i="5"/>
  <c r="F2776" i="5"/>
  <c r="F2777" i="5"/>
  <c r="F2778" i="5"/>
  <c r="H2778" i="5" s="1"/>
  <c r="F2779" i="5"/>
  <c r="F2780" i="5"/>
  <c r="F2781" i="5"/>
  <c r="F2782" i="5"/>
  <c r="F2783" i="5"/>
  <c r="F2784" i="5"/>
  <c r="F2785" i="5"/>
  <c r="F2786" i="5"/>
  <c r="H2786" i="5" s="1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H2802" i="5" s="1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H2818" i="5" s="1"/>
  <c r="F2819" i="5"/>
  <c r="F2820" i="5"/>
  <c r="F2821" i="5"/>
  <c r="F2822" i="5"/>
  <c r="F2823" i="5"/>
  <c r="F2824" i="5"/>
  <c r="F2825" i="5"/>
  <c r="F2826" i="5"/>
  <c r="H2826" i="5" s="1"/>
  <c r="F2827" i="5"/>
  <c r="F2828" i="5"/>
  <c r="F2829" i="5"/>
  <c r="F2830" i="5"/>
  <c r="F2831" i="5"/>
  <c r="F2832" i="5"/>
  <c r="F2833" i="5"/>
  <c r="F2834" i="5"/>
  <c r="H2834" i="5" s="1"/>
  <c r="F2835" i="5"/>
  <c r="F2836" i="5"/>
  <c r="F2837" i="5"/>
  <c r="F2838" i="5"/>
  <c r="F2839" i="5"/>
  <c r="F2840" i="5"/>
  <c r="F2841" i="5"/>
  <c r="F2842" i="5"/>
  <c r="H2842" i="5" s="1"/>
  <c r="F2843" i="5"/>
  <c r="F2844" i="5"/>
  <c r="F2845" i="5"/>
  <c r="F2846" i="5"/>
  <c r="F2847" i="5"/>
  <c r="F2848" i="5"/>
  <c r="F2849" i="5"/>
  <c r="F2850" i="5"/>
  <c r="H2850" i="5" s="1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H2866" i="5" s="1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H2882" i="5" s="1"/>
  <c r="F2883" i="5"/>
  <c r="F2884" i="5"/>
  <c r="F2885" i="5"/>
  <c r="F2886" i="5"/>
  <c r="F2887" i="5"/>
  <c r="F2888" i="5"/>
  <c r="F2889" i="5"/>
  <c r="F2890" i="5"/>
  <c r="H2890" i="5" s="1"/>
  <c r="F2891" i="5"/>
  <c r="F2892" i="5"/>
  <c r="F2893" i="5"/>
  <c r="F2894" i="5"/>
  <c r="F2895" i="5"/>
  <c r="F2896" i="5"/>
  <c r="F2897" i="5"/>
  <c r="F2898" i="5"/>
  <c r="H2898" i="5" s="1"/>
  <c r="F2899" i="5"/>
  <c r="F2900" i="5"/>
  <c r="F2901" i="5"/>
  <c r="F2902" i="5"/>
  <c r="F2903" i="5"/>
  <c r="F2904" i="5"/>
  <c r="F2905" i="5"/>
  <c r="F2906" i="5"/>
  <c r="H2906" i="5" s="1"/>
  <c r="F2907" i="5"/>
  <c r="F2908" i="5"/>
  <c r="F2909" i="5"/>
  <c r="F2910" i="5"/>
  <c r="F2911" i="5"/>
  <c r="F2912" i="5"/>
  <c r="F2913" i="5"/>
  <c r="F2914" i="5"/>
  <c r="H2914" i="5" s="1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H2930" i="5" s="1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H2946" i="5" s="1"/>
  <c r="F2947" i="5"/>
  <c r="F2948" i="5"/>
  <c r="F2949" i="5"/>
  <c r="F2950" i="5"/>
  <c r="F2951" i="5"/>
  <c r="F2952" i="5"/>
  <c r="F2953" i="5"/>
  <c r="F2954" i="5"/>
  <c r="H2954" i="5" s="1"/>
  <c r="F2955" i="5"/>
  <c r="F2956" i="5"/>
  <c r="F2957" i="5"/>
  <c r="F2958" i="5"/>
  <c r="F2959" i="5"/>
  <c r="F2960" i="5"/>
  <c r="F2961" i="5"/>
  <c r="F2962" i="5"/>
  <c r="H2962" i="5" s="1"/>
  <c r="F2963" i="5"/>
  <c r="F2964" i="5"/>
  <c r="F2965" i="5"/>
  <c r="F2966" i="5"/>
  <c r="F2967" i="5"/>
  <c r="F2968" i="5"/>
  <c r="F2969" i="5"/>
  <c r="F2970" i="5"/>
  <c r="H2970" i="5" s="1"/>
  <c r="F2971" i="5"/>
  <c r="F2972" i="5"/>
  <c r="F2973" i="5"/>
  <c r="F2974" i="5"/>
  <c r="F2975" i="5"/>
  <c r="F2976" i="5"/>
  <c r="F2977" i="5"/>
  <c r="F2978" i="5"/>
  <c r="H2978" i="5" s="1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H2994" i="5" s="1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H3010" i="5" s="1"/>
  <c r="F3011" i="5"/>
  <c r="F3012" i="5"/>
  <c r="F3013" i="5"/>
  <c r="F3014" i="5"/>
  <c r="F3015" i="5"/>
  <c r="F3016" i="5"/>
  <c r="F3017" i="5"/>
  <c r="F3018" i="5"/>
  <c r="H3018" i="5" s="1"/>
  <c r="F3019" i="5"/>
  <c r="F3020" i="5"/>
  <c r="F3021" i="5"/>
  <c r="F3022" i="5"/>
  <c r="F3023" i="5"/>
  <c r="F3024" i="5"/>
  <c r="F3025" i="5"/>
  <c r="F3026" i="5"/>
  <c r="H3026" i="5" s="1"/>
  <c r="F3027" i="5"/>
  <c r="F3028" i="5"/>
  <c r="F3029" i="5"/>
  <c r="F3030" i="5"/>
  <c r="F3031" i="5"/>
  <c r="F3032" i="5"/>
  <c r="F3033" i="5"/>
  <c r="F3034" i="5"/>
  <c r="H3034" i="5" s="1"/>
  <c r="F3035" i="5"/>
  <c r="F3036" i="5"/>
  <c r="F3037" i="5"/>
  <c r="F3038" i="5"/>
  <c r="F3039" i="5"/>
  <c r="F3040" i="5"/>
  <c r="F3041" i="5"/>
  <c r="F3042" i="5"/>
  <c r="H3042" i="5" s="1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H3058" i="5" s="1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H3074" i="5" s="1"/>
  <c r="F3075" i="5"/>
  <c r="F3076" i="5"/>
  <c r="F3077" i="5"/>
  <c r="F3078" i="5"/>
  <c r="F3079" i="5"/>
  <c r="F3080" i="5"/>
  <c r="F3081" i="5"/>
  <c r="F3082" i="5"/>
  <c r="H3082" i="5" s="1"/>
  <c r="F3083" i="5"/>
  <c r="F3084" i="5"/>
  <c r="F3085" i="5"/>
  <c r="F3086" i="5"/>
  <c r="F3087" i="5"/>
  <c r="F3088" i="5"/>
  <c r="F3089" i="5"/>
  <c r="F3090" i="5"/>
  <c r="H3090" i="5" s="1"/>
  <c r="F3091" i="5"/>
  <c r="F3092" i="5"/>
  <c r="F3093" i="5"/>
  <c r="F3094" i="5"/>
  <c r="F3095" i="5"/>
  <c r="F3096" i="5"/>
  <c r="F3097" i="5"/>
  <c r="F3098" i="5"/>
  <c r="H3098" i="5" s="1"/>
  <c r="F3099" i="5"/>
  <c r="F3100" i="5"/>
  <c r="F3101" i="5"/>
  <c r="F3102" i="5"/>
  <c r="F3103" i="5"/>
  <c r="F3104" i="5"/>
  <c r="F3105" i="5"/>
  <c r="F3106" i="5"/>
  <c r="H3106" i="5" s="1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H3122" i="5" s="1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H3138" i="5" s="1"/>
  <c r="F3139" i="5"/>
  <c r="F3140" i="5"/>
  <c r="F3141" i="5"/>
  <c r="F3142" i="5"/>
  <c r="F3143" i="5"/>
  <c r="F3144" i="5"/>
  <c r="F3145" i="5"/>
  <c r="F3146" i="5"/>
  <c r="H3146" i="5" s="1"/>
  <c r="F3147" i="5"/>
  <c r="F3148" i="5"/>
  <c r="F3149" i="5"/>
  <c r="F3150" i="5"/>
  <c r="F3151" i="5"/>
  <c r="F3152" i="5"/>
  <c r="F3153" i="5"/>
  <c r="F3154" i="5"/>
  <c r="H3154" i="5" s="1"/>
  <c r="F3155" i="5"/>
  <c r="F3156" i="5"/>
  <c r="F3157" i="5"/>
  <c r="F3158" i="5"/>
  <c r="F3159" i="5"/>
  <c r="F3160" i="5"/>
  <c r="F3161" i="5"/>
  <c r="F3162" i="5"/>
  <c r="H3162" i="5" s="1"/>
  <c r="F3163" i="5"/>
  <c r="F3164" i="5"/>
  <c r="F3165" i="5"/>
  <c r="F3166" i="5"/>
  <c r="F3167" i="5"/>
  <c r="F3168" i="5"/>
  <c r="F3169" i="5"/>
  <c r="F3170" i="5"/>
  <c r="H3170" i="5" s="1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H3186" i="5" s="1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H3202" i="5" s="1"/>
  <c r="F3203" i="5"/>
  <c r="F3204" i="5"/>
  <c r="F3205" i="5"/>
  <c r="F3206" i="5"/>
  <c r="F3207" i="5"/>
  <c r="F3208" i="5"/>
  <c r="F3209" i="5"/>
  <c r="F3210" i="5"/>
  <c r="H3210" i="5" s="1"/>
  <c r="F3211" i="5"/>
  <c r="F3212" i="5"/>
  <c r="F3213" i="5"/>
  <c r="F3214" i="5"/>
  <c r="F3215" i="5"/>
  <c r="F3216" i="5"/>
  <c r="F3217" i="5"/>
  <c r="F3218" i="5"/>
  <c r="H3218" i="5" s="1"/>
  <c r="F3219" i="5"/>
  <c r="F3220" i="5"/>
  <c r="F3221" i="5"/>
  <c r="F3222" i="5"/>
  <c r="F3223" i="5"/>
  <c r="F3224" i="5"/>
  <c r="F3225" i="5"/>
  <c r="F3226" i="5"/>
  <c r="H3226" i="5" s="1"/>
  <c r="F3227" i="5"/>
  <c r="F3228" i="5"/>
  <c r="F3229" i="5"/>
  <c r="F3230" i="5"/>
  <c r="F3231" i="5"/>
  <c r="F3232" i="5"/>
  <c r="F3233" i="5"/>
  <c r="F3234" i="5"/>
  <c r="H3234" i="5" s="1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H3250" i="5" s="1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H3266" i="5" s="1"/>
  <c r="F3267" i="5"/>
  <c r="F3268" i="5"/>
  <c r="F3269" i="5"/>
  <c r="F3270" i="5"/>
  <c r="F3271" i="5"/>
  <c r="F3272" i="5"/>
  <c r="F3273" i="5"/>
  <c r="F3274" i="5"/>
  <c r="H3274" i="5" s="1"/>
  <c r="F3275" i="5"/>
  <c r="F3276" i="5"/>
  <c r="F3277" i="5"/>
  <c r="F3278" i="5"/>
  <c r="F3279" i="5"/>
  <c r="F3280" i="5"/>
  <c r="F3281" i="5"/>
  <c r="F3282" i="5"/>
  <c r="H3282" i="5" s="1"/>
  <c r="F3283" i="5"/>
  <c r="F3284" i="5"/>
  <c r="F3285" i="5"/>
  <c r="F3286" i="5"/>
  <c r="F3287" i="5"/>
  <c r="F3288" i="5"/>
  <c r="F3289" i="5"/>
  <c r="F3290" i="5"/>
  <c r="H3290" i="5" s="1"/>
  <c r="F3291" i="5"/>
  <c r="F3292" i="5"/>
  <c r="F3293" i="5"/>
  <c r="F3294" i="5"/>
  <c r="F3295" i="5"/>
  <c r="F3296" i="5"/>
  <c r="F3297" i="5"/>
  <c r="F3298" i="5"/>
  <c r="H3298" i="5" s="1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H3314" i="5" s="1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H3330" i="5" s="1"/>
  <c r="F3331" i="5"/>
  <c r="F3332" i="5"/>
  <c r="F3333" i="5"/>
  <c r="F3334" i="5"/>
  <c r="F3335" i="5"/>
  <c r="F3336" i="5"/>
  <c r="F3337" i="5"/>
  <c r="F3338" i="5"/>
  <c r="H3338" i="5" s="1"/>
  <c r="F3339" i="5"/>
  <c r="F3340" i="5"/>
  <c r="F3341" i="5"/>
  <c r="F3342" i="5"/>
  <c r="F3343" i="5"/>
  <c r="F3344" i="5"/>
  <c r="F3345" i="5"/>
  <c r="F3346" i="5"/>
  <c r="H3346" i="5" s="1"/>
  <c r="F3347" i="5"/>
  <c r="F3348" i="5"/>
  <c r="F3349" i="5"/>
  <c r="F3350" i="5"/>
  <c r="F3351" i="5"/>
  <c r="F3352" i="5"/>
  <c r="F3353" i="5"/>
  <c r="F3354" i="5"/>
  <c r="H3354" i="5" s="1"/>
  <c r="F3355" i="5"/>
  <c r="F3356" i="5"/>
  <c r="F3357" i="5"/>
  <c r="F3358" i="5"/>
  <c r="F3359" i="5"/>
  <c r="F3360" i="5"/>
  <c r="F3361" i="5"/>
  <c r="F3362" i="5"/>
  <c r="H3362" i="5" s="1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H3378" i="5" s="1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H3394" i="5" s="1"/>
  <c r="F3395" i="5"/>
  <c r="F3396" i="5"/>
  <c r="F3397" i="5"/>
  <c r="F3398" i="5"/>
  <c r="F3399" i="5"/>
  <c r="F3400" i="5"/>
  <c r="F3401" i="5"/>
  <c r="F3402" i="5"/>
  <c r="H3402" i="5" s="1"/>
  <c r="F3403" i="5"/>
  <c r="F3404" i="5"/>
  <c r="F3405" i="5"/>
  <c r="F3406" i="5"/>
  <c r="F3407" i="5"/>
  <c r="F3408" i="5"/>
  <c r="F3409" i="5"/>
  <c r="F3410" i="5"/>
  <c r="H3410" i="5" s="1"/>
  <c r="F3411" i="5"/>
  <c r="F3412" i="5"/>
  <c r="F3413" i="5"/>
  <c r="F3414" i="5"/>
  <c r="F3415" i="5"/>
  <c r="F3416" i="5"/>
  <c r="F3417" i="5"/>
  <c r="F3418" i="5"/>
  <c r="H3418" i="5" s="1"/>
  <c r="F3419" i="5"/>
  <c r="F3420" i="5"/>
  <c r="F3421" i="5"/>
  <c r="F3422" i="5"/>
  <c r="F3423" i="5"/>
  <c r="F3424" i="5"/>
  <c r="F3425" i="5"/>
  <c r="F3426" i="5"/>
  <c r="H3426" i="5" s="1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H3442" i="5" s="1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H3458" i="5" s="1"/>
  <c r="F3459" i="5"/>
  <c r="F3460" i="5"/>
  <c r="F3461" i="5"/>
  <c r="F3462" i="5"/>
  <c r="F3463" i="5"/>
  <c r="F3464" i="5"/>
  <c r="F3465" i="5"/>
  <c r="F3466" i="5"/>
  <c r="H3466" i="5" s="1"/>
  <c r="F3467" i="5"/>
  <c r="F3468" i="5"/>
  <c r="F3469" i="5"/>
  <c r="F3470" i="5"/>
  <c r="F3471" i="5"/>
  <c r="F3472" i="5"/>
  <c r="F3473" i="5"/>
  <c r="F3474" i="5"/>
  <c r="H3474" i="5" s="1"/>
  <c r="F3475" i="5"/>
  <c r="F3476" i="5"/>
  <c r="F3477" i="5"/>
  <c r="F3478" i="5"/>
  <c r="F3479" i="5"/>
  <c r="F3480" i="5"/>
  <c r="F3481" i="5"/>
  <c r="F3482" i="5"/>
  <c r="H3482" i="5" s="1"/>
  <c r="F3483" i="5"/>
  <c r="F3484" i="5"/>
  <c r="F3485" i="5"/>
  <c r="F3486" i="5"/>
  <c r="F3487" i="5"/>
  <c r="F3488" i="5"/>
  <c r="F3489" i="5"/>
  <c r="F3490" i="5"/>
  <c r="H3490" i="5" s="1"/>
  <c r="F3491" i="5"/>
  <c r="F3492" i="5"/>
  <c r="F3493" i="5"/>
  <c r="F3494" i="5"/>
  <c r="F3495" i="5"/>
  <c r="F3496" i="5"/>
  <c r="F3497" i="5"/>
  <c r="F3498" i="5"/>
  <c r="F3499" i="5"/>
  <c r="F3500" i="5"/>
  <c r="F3501" i="5"/>
  <c r="F2" i="5"/>
  <c r="H137" i="5"/>
  <c r="H145" i="5"/>
  <c r="H153" i="5"/>
  <c r="H161" i="5"/>
  <c r="H169" i="5"/>
  <c r="H177" i="5"/>
  <c r="H185" i="5"/>
  <c r="H193" i="5"/>
  <c r="H201" i="5"/>
  <c r="H209" i="5"/>
  <c r="H217" i="5"/>
  <c r="H225" i="5"/>
  <c r="H233" i="5"/>
  <c r="H241" i="5"/>
  <c r="H249" i="5"/>
  <c r="H257" i="5"/>
  <c r="H265" i="5"/>
  <c r="H273" i="5"/>
  <c r="H281" i="5"/>
  <c r="H289" i="5"/>
  <c r="H297" i="5"/>
  <c r="H305" i="5"/>
  <c r="H313" i="5"/>
  <c r="H321" i="5"/>
  <c r="H329" i="5"/>
  <c r="H337" i="5"/>
  <c r="H345" i="5"/>
  <c r="H353" i="5"/>
  <c r="H361" i="5"/>
  <c r="H369" i="5"/>
  <c r="H377" i="5"/>
  <c r="H385" i="5"/>
  <c r="H393" i="5"/>
  <c r="H401" i="5"/>
  <c r="H409" i="5"/>
  <c r="H417" i="5"/>
  <c r="H425" i="5"/>
  <c r="H433" i="5"/>
  <c r="H441" i="5"/>
  <c r="H449" i="5"/>
  <c r="H457" i="5"/>
  <c r="H465" i="5"/>
  <c r="H473" i="5"/>
  <c r="H481" i="5"/>
  <c r="H489" i="5"/>
  <c r="H497" i="5"/>
  <c r="H505" i="5"/>
  <c r="H513" i="5"/>
  <c r="H521" i="5"/>
  <c r="H529" i="5"/>
  <c r="H537" i="5"/>
  <c r="H545" i="5"/>
  <c r="H553" i="5"/>
  <c r="H561" i="5"/>
  <c r="H569" i="5"/>
  <c r="H577" i="5"/>
  <c r="H585" i="5"/>
  <c r="H593" i="5"/>
  <c r="H601" i="5"/>
  <c r="H609" i="5"/>
  <c r="H617" i="5"/>
  <c r="H625" i="5"/>
  <c r="H633" i="5"/>
  <c r="H641" i="5"/>
  <c r="H649" i="5"/>
  <c r="H657" i="5"/>
  <c r="H665" i="5"/>
  <c r="H673" i="5"/>
  <c r="H681" i="5"/>
  <c r="H689" i="5"/>
  <c r="H697" i="5"/>
  <c r="H705" i="5"/>
  <c r="H713" i="5"/>
  <c r="H721" i="5"/>
  <c r="H729" i="5"/>
  <c r="H737" i="5"/>
  <c r="H745" i="5"/>
  <c r="H753" i="5"/>
  <c r="H761" i="5"/>
  <c r="H769" i="5"/>
  <c r="H777" i="5"/>
  <c r="H785" i="5"/>
  <c r="H793" i="5"/>
  <c r="H801" i="5"/>
  <c r="H809" i="5"/>
  <c r="H817" i="5"/>
  <c r="H825" i="5"/>
  <c r="H833" i="5"/>
  <c r="H841" i="5"/>
  <c r="H849" i="5"/>
  <c r="H857" i="5"/>
  <c r="H865" i="5"/>
  <c r="H873" i="5"/>
  <c r="H881" i="5"/>
  <c r="H889" i="5"/>
  <c r="H897" i="5"/>
  <c r="H905" i="5"/>
  <c r="H913" i="5"/>
  <c r="H921" i="5"/>
  <c r="H929" i="5"/>
  <c r="H937" i="5"/>
  <c r="H945" i="5"/>
  <c r="H953" i="5"/>
  <c r="H961" i="5"/>
  <c r="H969" i="5"/>
  <c r="H977" i="5"/>
  <c r="H985" i="5"/>
  <c r="H993" i="5"/>
  <c r="H1001" i="5"/>
  <c r="H1009" i="5"/>
  <c r="H1017" i="5"/>
  <c r="H1025" i="5"/>
  <c r="H1033" i="5"/>
  <c r="H1041" i="5"/>
  <c r="H1049" i="5"/>
  <c r="H1057" i="5"/>
  <c r="H1065" i="5"/>
  <c r="H1073" i="5"/>
  <c r="H1081" i="5"/>
  <c r="H1089" i="5"/>
  <c r="H1097" i="5"/>
  <c r="H1105" i="5"/>
  <c r="H1113" i="5"/>
  <c r="H1121" i="5"/>
  <c r="H1129" i="5"/>
  <c r="H1137" i="5"/>
  <c r="H1145" i="5"/>
  <c r="H1153" i="5"/>
  <c r="H1161" i="5"/>
  <c r="H1169" i="5"/>
  <c r="H1177" i="5"/>
  <c r="H1185" i="5"/>
  <c r="H1193" i="5"/>
  <c r="H1201" i="5"/>
  <c r="H1209" i="5"/>
  <c r="H1217" i="5"/>
  <c r="H1225" i="5"/>
  <c r="H1233" i="5"/>
  <c r="H1241" i="5"/>
  <c r="H1249" i="5"/>
  <c r="H1257" i="5"/>
  <c r="H1265" i="5"/>
  <c r="H1273" i="5"/>
  <c r="H1281" i="5"/>
  <c r="H1289" i="5"/>
  <c r="H1297" i="5"/>
  <c r="H1305" i="5"/>
  <c r="H1313" i="5"/>
  <c r="H1321" i="5"/>
  <c r="H1329" i="5"/>
  <c r="H1337" i="5"/>
  <c r="H1345" i="5"/>
  <c r="H1353" i="5"/>
  <c r="H1361" i="5"/>
  <c r="H1369" i="5"/>
  <c r="H1377" i="5"/>
  <c r="H1385" i="5"/>
  <c r="H1393" i="5"/>
  <c r="H1401" i="5"/>
  <c r="H1409" i="5"/>
  <c r="H1417" i="5"/>
  <c r="H1425" i="5"/>
  <c r="H1433" i="5"/>
  <c r="H1441" i="5"/>
  <c r="H1449" i="5"/>
  <c r="H1457" i="5"/>
  <c r="H1465" i="5"/>
  <c r="H1473" i="5"/>
  <c r="H1481" i="5"/>
  <c r="H1489" i="5"/>
  <c r="H1497" i="5"/>
  <c r="H1505" i="5"/>
  <c r="H1513" i="5"/>
  <c r="H1521" i="5"/>
  <c r="H1529" i="5"/>
  <c r="H1537" i="5"/>
  <c r="H1545" i="5"/>
  <c r="H1553" i="5"/>
  <c r="H1561" i="5"/>
  <c r="H1569" i="5"/>
  <c r="H1577" i="5"/>
  <c r="H1585" i="5"/>
  <c r="H1593" i="5"/>
  <c r="H1601" i="5"/>
  <c r="H1609" i="5"/>
  <c r="H1617" i="5"/>
  <c r="H1625" i="5"/>
  <c r="H1633" i="5"/>
  <c r="H1641" i="5"/>
  <c r="H1649" i="5"/>
  <c r="H1657" i="5"/>
  <c r="H1665" i="5"/>
  <c r="H1673" i="5"/>
  <c r="H1681" i="5"/>
  <c r="H1689" i="5"/>
  <c r="H1697" i="5"/>
  <c r="H1705" i="5"/>
  <c r="H1713" i="5"/>
  <c r="H1721" i="5"/>
  <c r="H1729" i="5"/>
  <c r="H1737" i="5"/>
  <c r="H1745" i="5"/>
  <c r="H1753" i="5"/>
  <c r="H1761" i="5"/>
  <c r="H1769" i="5"/>
  <c r="H1777" i="5"/>
  <c r="H1785" i="5"/>
  <c r="H1793" i="5"/>
  <c r="H1801" i="5"/>
  <c r="H1809" i="5"/>
  <c r="H1817" i="5"/>
  <c r="H1825" i="5"/>
  <c r="H1833" i="5"/>
  <c r="H1841" i="5"/>
  <c r="H1849" i="5"/>
  <c r="H1857" i="5"/>
  <c r="H1865" i="5"/>
  <c r="H1873" i="5"/>
  <c r="H1881" i="5"/>
  <c r="H1889" i="5"/>
  <c r="H1897" i="5"/>
  <c r="H1905" i="5"/>
  <c r="H1913" i="5"/>
  <c r="H1921" i="5"/>
  <c r="H1929" i="5"/>
  <c r="H1937" i="5"/>
  <c r="H1945" i="5"/>
  <c r="H1953" i="5"/>
  <c r="H1961" i="5"/>
  <c r="H1969" i="5"/>
  <c r="H1977" i="5"/>
  <c r="H1985" i="5"/>
  <c r="H1993" i="5"/>
  <c r="H2001" i="5"/>
  <c r="H2009" i="5"/>
  <c r="H2017" i="5"/>
  <c r="H2025" i="5"/>
  <c r="H2033" i="5"/>
  <c r="H2041" i="5"/>
  <c r="H2049" i="5"/>
  <c r="H2057" i="5"/>
  <c r="H2065" i="5"/>
  <c r="H2073" i="5"/>
  <c r="H2081" i="5"/>
  <c r="H2089" i="5"/>
  <c r="H2097" i="5"/>
  <c r="H2105" i="5"/>
  <c r="H2113" i="5"/>
  <c r="H2121" i="5"/>
  <c r="H2129" i="5"/>
  <c r="H2137" i="5"/>
  <c r="H2145" i="5"/>
  <c r="H2153" i="5"/>
  <c r="H2161" i="5"/>
  <c r="H2169" i="5"/>
  <c r="H2177" i="5"/>
  <c r="H2185" i="5"/>
  <c r="H2193" i="5"/>
  <c r="H2201" i="5"/>
  <c r="H2209" i="5"/>
  <c r="H2217" i="5"/>
  <c r="H2225" i="5"/>
  <c r="H2233" i="5"/>
  <c r="H2241" i="5"/>
  <c r="H2249" i="5"/>
  <c r="H2257" i="5"/>
  <c r="H2265" i="5"/>
  <c r="H2273" i="5"/>
  <c r="H2281" i="5"/>
  <c r="H2289" i="5"/>
  <c r="H2297" i="5"/>
  <c r="H2305" i="5"/>
  <c r="H2313" i="5"/>
  <c r="H2321" i="5"/>
  <c r="H2329" i="5"/>
  <c r="H2337" i="5"/>
  <c r="H2345" i="5"/>
  <c r="H2353" i="5"/>
  <c r="H2361" i="5"/>
  <c r="H2369" i="5"/>
  <c r="H2377" i="5"/>
  <c r="H2385" i="5"/>
  <c r="H2393" i="5"/>
  <c r="H2401" i="5"/>
  <c r="H2409" i="5"/>
  <c r="H2417" i="5"/>
  <c r="H2425" i="5"/>
  <c r="H2433" i="5"/>
  <c r="H2441" i="5"/>
  <c r="H2449" i="5"/>
  <c r="H2457" i="5"/>
  <c r="H2465" i="5"/>
  <c r="H2473" i="5"/>
  <c r="H2481" i="5"/>
  <c r="H2489" i="5"/>
  <c r="H2497" i="5"/>
  <c r="H2505" i="5"/>
  <c r="H2513" i="5"/>
  <c r="H2521" i="5"/>
  <c r="H2529" i="5"/>
  <c r="H2537" i="5"/>
  <c r="H2545" i="5"/>
  <c r="H2553" i="5"/>
  <c r="H2561" i="5"/>
  <c r="H2569" i="5"/>
  <c r="H2577" i="5"/>
  <c r="H2585" i="5"/>
  <c r="H2593" i="5"/>
  <c r="H2601" i="5"/>
  <c r="H2609" i="5"/>
  <c r="H2617" i="5"/>
  <c r="H2625" i="5"/>
  <c r="H2633" i="5"/>
  <c r="H2641" i="5"/>
  <c r="H2649" i="5"/>
  <c r="H2657" i="5"/>
  <c r="H2665" i="5"/>
  <c r="H2673" i="5"/>
  <c r="H2681" i="5"/>
  <c r="H2689" i="5"/>
  <c r="H2697" i="5"/>
  <c r="H2705" i="5"/>
  <c r="H2713" i="5"/>
  <c r="H2721" i="5"/>
  <c r="H2729" i="5"/>
  <c r="H2737" i="5"/>
  <c r="H2745" i="5"/>
  <c r="H2753" i="5"/>
  <c r="H2761" i="5"/>
  <c r="H2769" i="5"/>
  <c r="H2777" i="5"/>
  <c r="H2785" i="5"/>
  <c r="H2793" i="5"/>
  <c r="H2801" i="5"/>
  <c r="H2809" i="5"/>
  <c r="H2817" i="5"/>
  <c r="H2825" i="5"/>
  <c r="H2833" i="5"/>
  <c r="H2841" i="5"/>
  <c r="H2849" i="5"/>
  <c r="H2857" i="5"/>
  <c r="H2865" i="5"/>
  <c r="H2873" i="5"/>
  <c r="H2881" i="5"/>
  <c r="H2889" i="5"/>
  <c r="H2897" i="5"/>
  <c r="H2905" i="5"/>
  <c r="H2913" i="5"/>
  <c r="H2921" i="5"/>
  <c r="H2929" i="5"/>
  <c r="H2937" i="5"/>
  <c r="H2945" i="5"/>
  <c r="H2953" i="5"/>
  <c r="H2961" i="5"/>
  <c r="H2969" i="5"/>
  <c r="H2977" i="5"/>
  <c r="H2985" i="5"/>
  <c r="H2993" i="5"/>
  <c r="H3001" i="5"/>
  <c r="H3009" i="5"/>
  <c r="H3017" i="5"/>
  <c r="H3025" i="5"/>
  <c r="H3033" i="5"/>
  <c r="H3041" i="5"/>
  <c r="H3049" i="5"/>
  <c r="H3057" i="5"/>
  <c r="H3065" i="5"/>
  <c r="H3073" i="5"/>
  <c r="H3081" i="5"/>
  <c r="H3089" i="5"/>
  <c r="H3097" i="5"/>
  <c r="H3105" i="5"/>
  <c r="H3113" i="5"/>
  <c r="H3121" i="5"/>
  <c r="H3129" i="5"/>
  <c r="H3137" i="5"/>
  <c r="H3145" i="5"/>
  <c r="H3153" i="5"/>
  <c r="H3161" i="5"/>
  <c r="H3169" i="5"/>
  <c r="H3177" i="5"/>
  <c r="H3185" i="5"/>
  <c r="H3193" i="5"/>
  <c r="H3201" i="5"/>
  <c r="H3209" i="5"/>
  <c r="H3217" i="5"/>
  <c r="H3225" i="5"/>
  <c r="H3233" i="5"/>
  <c r="H3241" i="5"/>
  <c r="H3249" i="5"/>
  <c r="H3257" i="5"/>
  <c r="H3265" i="5"/>
  <c r="H3273" i="5"/>
  <c r="H3281" i="5"/>
  <c r="H3289" i="5"/>
  <c r="H3297" i="5"/>
  <c r="H3305" i="5"/>
  <c r="H3313" i="5"/>
  <c r="H3321" i="5"/>
  <c r="H3329" i="5"/>
  <c r="H3337" i="5"/>
  <c r="H3345" i="5"/>
  <c r="H3353" i="5"/>
  <c r="H3361" i="5"/>
  <c r="H3369" i="5"/>
  <c r="H3377" i="5"/>
  <c r="H3385" i="5"/>
  <c r="H3393" i="5"/>
  <c r="H3401" i="5"/>
  <c r="H3409" i="5"/>
  <c r="H3417" i="5"/>
  <c r="H3425" i="5"/>
  <c r="H3433" i="5"/>
  <c r="H3441" i="5"/>
  <c r="H3449" i="5"/>
  <c r="H3457" i="5"/>
  <c r="H3465" i="5"/>
  <c r="H3473" i="5"/>
  <c r="H3481" i="5"/>
  <c r="H3489" i="5"/>
  <c r="H3497" i="5"/>
  <c r="E3" i="5"/>
  <c r="E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I2" i="5"/>
  <c r="I3" i="5"/>
  <c r="I4" i="5"/>
  <c r="I5" i="5"/>
  <c r="I6" i="5"/>
  <c r="I7" i="5"/>
  <c r="I11" i="5"/>
  <c r="I12" i="5"/>
  <c r="I13" i="5"/>
  <c r="I14" i="5"/>
  <c r="I15" i="5"/>
  <c r="I19" i="5"/>
  <c r="I20" i="5"/>
  <c r="I21" i="5"/>
  <c r="I22" i="5"/>
  <c r="I23" i="5"/>
  <c r="I27" i="5"/>
  <c r="I28" i="5"/>
  <c r="I29" i="5"/>
  <c r="I30" i="5"/>
  <c r="I31" i="5"/>
  <c r="I35" i="5"/>
  <c r="I36" i="5"/>
  <c r="I37" i="5"/>
  <c r="I38" i="5"/>
  <c r="I39" i="5"/>
  <c r="I43" i="5"/>
  <c r="I44" i="5"/>
  <c r="I45" i="5"/>
  <c r="I46" i="5"/>
  <c r="I47" i="5"/>
  <c r="I51" i="5"/>
  <c r="I52" i="5"/>
  <c r="I53" i="5"/>
  <c r="I54" i="5"/>
  <c r="I55" i="5"/>
  <c r="I59" i="5"/>
  <c r="I60" i="5"/>
  <c r="I61" i="5"/>
  <c r="I62" i="5"/>
  <c r="I63" i="5"/>
  <c r="I67" i="5"/>
  <c r="I68" i="5"/>
  <c r="I69" i="5"/>
  <c r="I70" i="5"/>
  <c r="I71" i="5"/>
  <c r="I75" i="5"/>
  <c r="I76" i="5"/>
  <c r="I77" i="5"/>
  <c r="I78" i="5"/>
  <c r="I79" i="5"/>
  <c r="I83" i="5"/>
  <c r="I84" i="5"/>
  <c r="I85" i="5"/>
  <c r="I86" i="5"/>
  <c r="I87" i="5"/>
  <c r="I91" i="5"/>
  <c r="I92" i="5"/>
  <c r="I93" i="5"/>
  <c r="I94" i="5"/>
  <c r="I95" i="5"/>
  <c r="I99" i="5"/>
  <c r="I100" i="5"/>
  <c r="I101" i="5"/>
  <c r="I102" i="5"/>
  <c r="K102" i="5" s="1"/>
  <c r="I103" i="5"/>
  <c r="I107" i="5"/>
  <c r="I108" i="5"/>
  <c r="I109" i="5"/>
  <c r="I110" i="5"/>
  <c r="I111" i="5"/>
  <c r="I115" i="5"/>
  <c r="I116" i="5"/>
  <c r="I117" i="5"/>
  <c r="I118" i="5"/>
  <c r="I119" i="5"/>
  <c r="I123" i="5"/>
  <c r="I124" i="5"/>
  <c r="I125" i="5"/>
  <c r="I126" i="5"/>
  <c r="I127" i="5"/>
  <c r="I131" i="5"/>
  <c r="I132" i="5"/>
  <c r="I133" i="5"/>
  <c r="I134" i="5"/>
  <c r="I135" i="5"/>
  <c r="I139" i="5"/>
  <c r="I140" i="5"/>
  <c r="I141" i="5"/>
  <c r="I142" i="5"/>
  <c r="I143" i="5"/>
  <c r="I147" i="5"/>
  <c r="I148" i="5"/>
  <c r="I149" i="5"/>
  <c r="I150" i="5"/>
  <c r="I151" i="5"/>
  <c r="I155" i="5"/>
  <c r="I156" i="5"/>
  <c r="I157" i="5"/>
  <c r="I158" i="5"/>
  <c r="I159" i="5"/>
  <c r="I163" i="5"/>
  <c r="I164" i="5"/>
  <c r="I165" i="5"/>
  <c r="I166" i="5"/>
  <c r="I167" i="5"/>
  <c r="I171" i="5"/>
  <c r="I172" i="5"/>
  <c r="I173" i="5"/>
  <c r="I174" i="5"/>
  <c r="I175" i="5"/>
  <c r="I176" i="5"/>
  <c r="I179" i="5"/>
  <c r="I180" i="5"/>
  <c r="I181" i="5"/>
  <c r="I182" i="5"/>
  <c r="I183" i="5"/>
  <c r="I187" i="5"/>
  <c r="I188" i="5"/>
  <c r="I189" i="5"/>
  <c r="I190" i="5"/>
  <c r="I191" i="5"/>
  <c r="I195" i="5"/>
  <c r="I196" i="5"/>
  <c r="I197" i="5"/>
  <c r="I198" i="5"/>
  <c r="I199" i="5"/>
  <c r="I203" i="5"/>
  <c r="I204" i="5"/>
  <c r="I205" i="5"/>
  <c r="I206" i="5"/>
  <c r="I207" i="5"/>
  <c r="I211" i="5"/>
  <c r="I212" i="5"/>
  <c r="I213" i="5"/>
  <c r="I214" i="5"/>
  <c r="I215" i="5"/>
  <c r="I219" i="5"/>
  <c r="I220" i="5"/>
  <c r="I221" i="5"/>
  <c r="I222" i="5"/>
  <c r="I223" i="5"/>
  <c r="I227" i="5"/>
  <c r="I228" i="5"/>
  <c r="I229" i="5"/>
  <c r="I230" i="5"/>
  <c r="I231" i="5"/>
  <c r="I235" i="5"/>
  <c r="I236" i="5"/>
  <c r="I237" i="5"/>
  <c r="I238" i="5"/>
  <c r="I239" i="5"/>
  <c r="I243" i="5"/>
  <c r="I244" i="5"/>
  <c r="I245" i="5"/>
  <c r="I246" i="5"/>
  <c r="I247" i="5"/>
  <c r="I251" i="5"/>
  <c r="I252" i="5"/>
  <c r="I253" i="5"/>
  <c r="I254" i="5"/>
  <c r="I255" i="5"/>
  <c r="I259" i="5"/>
  <c r="I260" i="5"/>
  <c r="I261" i="5"/>
  <c r="I262" i="5"/>
  <c r="I263" i="5"/>
  <c r="I267" i="5"/>
  <c r="I268" i="5"/>
  <c r="I269" i="5"/>
  <c r="I270" i="5"/>
  <c r="I271" i="5"/>
  <c r="I275" i="5"/>
  <c r="I276" i="5"/>
  <c r="I277" i="5"/>
  <c r="I278" i="5"/>
  <c r="I279" i="5"/>
  <c r="I282" i="5"/>
  <c r="I283" i="5"/>
  <c r="I284" i="5"/>
  <c r="I285" i="5"/>
  <c r="I286" i="5"/>
  <c r="I287" i="5"/>
  <c r="I291" i="5"/>
  <c r="I292" i="5"/>
  <c r="I293" i="5"/>
  <c r="I294" i="5"/>
  <c r="I295" i="5"/>
  <c r="I299" i="5"/>
  <c r="I300" i="5"/>
  <c r="I301" i="5"/>
  <c r="I302" i="5"/>
  <c r="I303" i="5"/>
  <c r="I307" i="5"/>
  <c r="I308" i="5"/>
  <c r="I309" i="5"/>
  <c r="I310" i="5"/>
  <c r="I311" i="5"/>
  <c r="I315" i="5"/>
  <c r="I316" i="5"/>
  <c r="I317" i="5"/>
  <c r="I318" i="5"/>
  <c r="I319" i="5"/>
  <c r="I323" i="5"/>
  <c r="I324" i="5"/>
  <c r="I325" i="5"/>
  <c r="I326" i="5"/>
  <c r="I327" i="5"/>
  <c r="I331" i="5"/>
  <c r="I332" i="5"/>
  <c r="I333" i="5"/>
  <c r="I334" i="5"/>
  <c r="I335" i="5"/>
  <c r="I339" i="5"/>
  <c r="I340" i="5"/>
  <c r="I341" i="5"/>
  <c r="I342" i="5"/>
  <c r="I343" i="5"/>
  <c r="I347" i="5"/>
  <c r="I348" i="5"/>
  <c r="I349" i="5"/>
  <c r="I350" i="5"/>
  <c r="I351" i="5"/>
  <c r="I355" i="5"/>
  <c r="I356" i="5"/>
  <c r="I357" i="5"/>
  <c r="I358" i="5"/>
  <c r="I359" i="5"/>
  <c r="I363" i="5"/>
  <c r="I364" i="5"/>
  <c r="I365" i="5"/>
  <c r="I366" i="5"/>
  <c r="I367" i="5"/>
  <c r="I371" i="5"/>
  <c r="I372" i="5"/>
  <c r="I373" i="5"/>
  <c r="I374" i="5"/>
  <c r="I375" i="5"/>
  <c r="I379" i="5"/>
  <c r="I380" i="5"/>
  <c r="I381" i="5"/>
  <c r="I382" i="5"/>
  <c r="I383" i="5"/>
  <c r="I387" i="5"/>
  <c r="I388" i="5"/>
  <c r="I389" i="5"/>
  <c r="I390" i="5"/>
  <c r="I391" i="5"/>
  <c r="I395" i="5"/>
  <c r="I396" i="5"/>
  <c r="I397" i="5"/>
  <c r="I398" i="5"/>
  <c r="I399" i="5"/>
  <c r="I403" i="5"/>
  <c r="I404" i="5"/>
  <c r="I405" i="5"/>
  <c r="I406" i="5"/>
  <c r="I407" i="5"/>
  <c r="I411" i="5"/>
  <c r="I412" i="5"/>
  <c r="I413" i="5"/>
  <c r="I414" i="5"/>
  <c r="I415" i="5"/>
  <c r="I419" i="5"/>
  <c r="I420" i="5"/>
  <c r="I421" i="5"/>
  <c r="I422" i="5"/>
  <c r="I423" i="5"/>
  <c r="I427" i="5"/>
  <c r="I428" i="5"/>
  <c r="I429" i="5"/>
  <c r="I430" i="5"/>
  <c r="I431" i="5"/>
  <c r="I435" i="5"/>
  <c r="I436" i="5"/>
  <c r="I437" i="5"/>
  <c r="I438" i="5"/>
  <c r="I439" i="5"/>
  <c r="I443" i="5"/>
  <c r="I444" i="5"/>
  <c r="I445" i="5"/>
  <c r="I446" i="5"/>
  <c r="I447" i="5"/>
  <c r="I451" i="5"/>
  <c r="I452" i="5"/>
  <c r="I453" i="5"/>
  <c r="I454" i="5"/>
  <c r="I455" i="5"/>
  <c r="I459" i="5"/>
  <c r="I460" i="5"/>
  <c r="I461" i="5"/>
  <c r="I462" i="5"/>
  <c r="I463" i="5"/>
  <c r="I467" i="5"/>
  <c r="I468" i="5"/>
  <c r="I469" i="5"/>
  <c r="I470" i="5"/>
  <c r="I471" i="5"/>
  <c r="I475" i="5"/>
  <c r="I476" i="5"/>
  <c r="I477" i="5"/>
  <c r="I478" i="5"/>
  <c r="I479" i="5"/>
  <c r="I483" i="5"/>
  <c r="I484" i="5"/>
  <c r="I485" i="5"/>
  <c r="I486" i="5"/>
  <c r="I487" i="5"/>
  <c r="I491" i="5"/>
  <c r="I492" i="5"/>
  <c r="I493" i="5"/>
  <c r="I494" i="5"/>
  <c r="I495" i="5"/>
  <c r="I499" i="5"/>
  <c r="I500" i="5"/>
  <c r="I501" i="5"/>
  <c r="I502" i="5"/>
  <c r="I503" i="5"/>
  <c r="I507" i="5"/>
  <c r="I508" i="5"/>
  <c r="I509" i="5"/>
  <c r="I510" i="5"/>
  <c r="I511" i="5"/>
  <c r="I515" i="5"/>
  <c r="I516" i="5"/>
  <c r="I517" i="5"/>
  <c r="I518" i="5"/>
  <c r="I519" i="5"/>
  <c r="I523" i="5"/>
  <c r="I524" i="5"/>
  <c r="I525" i="5"/>
  <c r="I526" i="5"/>
  <c r="I527" i="5"/>
  <c r="I531" i="5"/>
  <c r="I532" i="5"/>
  <c r="I533" i="5"/>
  <c r="I534" i="5"/>
  <c r="I535" i="5"/>
  <c r="I539" i="5"/>
  <c r="I540" i="5"/>
  <c r="I541" i="5"/>
  <c r="I542" i="5"/>
  <c r="I543" i="5"/>
  <c r="I547" i="5"/>
  <c r="I548" i="5"/>
  <c r="I549" i="5"/>
  <c r="K549" i="5" s="1"/>
  <c r="I550" i="5"/>
  <c r="I551" i="5"/>
  <c r="I555" i="5"/>
  <c r="I556" i="5"/>
  <c r="I557" i="5"/>
  <c r="I558" i="5"/>
  <c r="I559" i="5"/>
  <c r="I563" i="5"/>
  <c r="I564" i="5"/>
  <c r="I565" i="5"/>
  <c r="I566" i="5"/>
  <c r="I567" i="5"/>
  <c r="I571" i="5"/>
  <c r="I572" i="5"/>
  <c r="I573" i="5"/>
  <c r="I574" i="5"/>
  <c r="I575" i="5"/>
  <c r="I579" i="5"/>
  <c r="I580" i="5"/>
  <c r="I581" i="5"/>
  <c r="I582" i="5"/>
  <c r="I583" i="5"/>
  <c r="I587" i="5"/>
  <c r="I588" i="5"/>
  <c r="I589" i="5"/>
  <c r="I590" i="5"/>
  <c r="I591" i="5"/>
  <c r="I595" i="5"/>
  <c r="I596" i="5"/>
  <c r="I597" i="5"/>
  <c r="I598" i="5"/>
  <c r="I599" i="5"/>
  <c r="I603" i="5"/>
  <c r="I604" i="5"/>
  <c r="I605" i="5"/>
  <c r="I606" i="5"/>
  <c r="I607" i="5"/>
  <c r="I611" i="5"/>
  <c r="I612" i="5"/>
  <c r="I613" i="5"/>
  <c r="I614" i="5"/>
  <c r="I615" i="5"/>
  <c r="I619" i="5"/>
  <c r="I620" i="5"/>
  <c r="I621" i="5"/>
  <c r="I622" i="5"/>
  <c r="I623" i="5"/>
  <c r="I627" i="5"/>
  <c r="I628" i="5"/>
  <c r="I629" i="5"/>
  <c r="I630" i="5"/>
  <c r="I631" i="5"/>
  <c r="I635" i="5"/>
  <c r="I636" i="5"/>
  <c r="I637" i="5"/>
  <c r="I638" i="5"/>
  <c r="I639" i="5"/>
  <c r="I643" i="5"/>
  <c r="I644" i="5"/>
  <c r="I645" i="5"/>
  <c r="I646" i="5"/>
  <c r="I647" i="5"/>
  <c r="I651" i="5"/>
  <c r="I652" i="5"/>
  <c r="I653" i="5"/>
  <c r="I654" i="5"/>
  <c r="I655" i="5"/>
  <c r="I659" i="5"/>
  <c r="I660" i="5"/>
  <c r="I661" i="5"/>
  <c r="I662" i="5"/>
  <c r="I663" i="5"/>
  <c r="I667" i="5"/>
  <c r="I668" i="5"/>
  <c r="I669" i="5"/>
  <c r="I670" i="5"/>
  <c r="I671" i="5"/>
  <c r="I675" i="5"/>
  <c r="I676" i="5"/>
  <c r="I677" i="5"/>
  <c r="K677" i="5" s="1"/>
  <c r="I678" i="5"/>
  <c r="I679" i="5"/>
  <c r="I683" i="5"/>
  <c r="I684" i="5"/>
  <c r="I685" i="5"/>
  <c r="I686" i="5"/>
  <c r="I687" i="5"/>
  <c r="I691" i="5"/>
  <c r="I692" i="5"/>
  <c r="I693" i="5"/>
  <c r="I694" i="5"/>
  <c r="I695" i="5"/>
  <c r="I699" i="5"/>
  <c r="I700" i="5"/>
  <c r="I701" i="5"/>
  <c r="I702" i="5"/>
  <c r="I703" i="5"/>
  <c r="I707" i="5"/>
  <c r="I708" i="5"/>
  <c r="I709" i="5"/>
  <c r="I710" i="5"/>
  <c r="I711" i="5"/>
  <c r="I715" i="5"/>
  <c r="I716" i="5"/>
  <c r="I717" i="5"/>
  <c r="I718" i="5"/>
  <c r="I719" i="5"/>
  <c r="I723" i="5"/>
  <c r="I724" i="5"/>
  <c r="I725" i="5"/>
  <c r="I726" i="5"/>
  <c r="I727" i="5"/>
  <c r="I731" i="5"/>
  <c r="I732" i="5"/>
  <c r="I733" i="5"/>
  <c r="I734" i="5"/>
  <c r="I735" i="5"/>
  <c r="I739" i="5"/>
  <c r="I740" i="5"/>
  <c r="I741" i="5"/>
  <c r="I742" i="5"/>
  <c r="I743" i="5"/>
  <c r="I747" i="5"/>
  <c r="I748" i="5"/>
  <c r="I749" i="5"/>
  <c r="I750" i="5"/>
  <c r="I751" i="5"/>
  <c r="I755" i="5"/>
  <c r="I756" i="5"/>
  <c r="I757" i="5"/>
  <c r="I758" i="5"/>
  <c r="I759" i="5"/>
  <c r="I763" i="5"/>
  <c r="I764" i="5"/>
  <c r="I765" i="5"/>
  <c r="I766" i="5"/>
  <c r="I767" i="5"/>
  <c r="I771" i="5"/>
  <c r="I772" i="5"/>
  <c r="I773" i="5"/>
  <c r="I774" i="5"/>
  <c r="I775" i="5"/>
  <c r="I779" i="5"/>
  <c r="I780" i="5"/>
  <c r="I781" i="5"/>
  <c r="I782" i="5"/>
  <c r="I783" i="5"/>
  <c r="I787" i="5"/>
  <c r="I788" i="5"/>
  <c r="I789" i="5"/>
  <c r="I790" i="5"/>
  <c r="I791" i="5"/>
  <c r="I795" i="5"/>
  <c r="I796" i="5"/>
  <c r="I797" i="5"/>
  <c r="I798" i="5"/>
  <c r="I799" i="5"/>
  <c r="I803" i="5"/>
  <c r="I804" i="5"/>
  <c r="I805" i="5"/>
  <c r="I806" i="5"/>
  <c r="I807" i="5"/>
  <c r="I811" i="5"/>
  <c r="I812" i="5"/>
  <c r="I813" i="5"/>
  <c r="I814" i="5"/>
  <c r="I815" i="5"/>
  <c r="I819" i="5"/>
  <c r="I820" i="5"/>
  <c r="I821" i="5"/>
  <c r="I822" i="5"/>
  <c r="I823" i="5"/>
  <c r="I827" i="5"/>
  <c r="I828" i="5"/>
  <c r="I829" i="5"/>
  <c r="I830" i="5"/>
  <c r="I831" i="5"/>
  <c r="I835" i="5"/>
  <c r="I836" i="5"/>
  <c r="I837" i="5"/>
  <c r="I838" i="5"/>
  <c r="I839" i="5"/>
  <c r="I843" i="5"/>
  <c r="I844" i="5"/>
  <c r="I845" i="5"/>
  <c r="I846" i="5"/>
  <c r="I847" i="5"/>
  <c r="I851" i="5"/>
  <c r="I852" i="5"/>
  <c r="I853" i="5"/>
  <c r="I854" i="5"/>
  <c r="I855" i="5"/>
  <c r="I859" i="5"/>
  <c r="I860" i="5"/>
  <c r="I861" i="5"/>
  <c r="I862" i="5"/>
  <c r="I863" i="5"/>
  <c r="I867" i="5"/>
  <c r="I868" i="5"/>
  <c r="I869" i="5"/>
  <c r="I870" i="5"/>
  <c r="I871" i="5"/>
  <c r="I875" i="5"/>
  <c r="I876" i="5"/>
  <c r="I877" i="5"/>
  <c r="I878" i="5"/>
  <c r="I879" i="5"/>
  <c r="I883" i="5"/>
  <c r="I884" i="5"/>
  <c r="I885" i="5"/>
  <c r="I886" i="5"/>
  <c r="I887" i="5"/>
  <c r="I891" i="5"/>
  <c r="I892" i="5"/>
  <c r="I893" i="5"/>
  <c r="I894" i="5"/>
  <c r="I895" i="5"/>
  <c r="I899" i="5"/>
  <c r="I900" i="5"/>
  <c r="I901" i="5"/>
  <c r="I902" i="5"/>
  <c r="I903" i="5"/>
  <c r="I907" i="5"/>
  <c r="I908" i="5"/>
  <c r="I909" i="5"/>
  <c r="I910" i="5"/>
  <c r="I911" i="5"/>
  <c r="I915" i="5"/>
  <c r="I916" i="5"/>
  <c r="I917" i="5"/>
  <c r="I918" i="5"/>
  <c r="I919" i="5"/>
  <c r="I923" i="5"/>
  <c r="I924" i="5"/>
  <c r="I925" i="5"/>
  <c r="I926" i="5"/>
  <c r="I927" i="5"/>
  <c r="I931" i="5"/>
  <c r="I932" i="5"/>
  <c r="I933" i="5"/>
  <c r="I934" i="5"/>
  <c r="I935" i="5"/>
  <c r="I939" i="5"/>
  <c r="I940" i="5"/>
  <c r="I941" i="5"/>
  <c r="I942" i="5"/>
  <c r="I943" i="5"/>
  <c r="I947" i="5"/>
  <c r="I948" i="5"/>
  <c r="I949" i="5"/>
  <c r="I950" i="5"/>
  <c r="I951" i="5"/>
  <c r="I955" i="5"/>
  <c r="I956" i="5"/>
  <c r="I957" i="5"/>
  <c r="I958" i="5"/>
  <c r="I959" i="5"/>
  <c r="I963" i="5"/>
  <c r="I964" i="5"/>
  <c r="I965" i="5"/>
  <c r="I966" i="5"/>
  <c r="I967" i="5"/>
  <c r="I971" i="5"/>
  <c r="I972" i="5"/>
  <c r="I973" i="5"/>
  <c r="I974" i="5"/>
  <c r="I975" i="5"/>
  <c r="I979" i="5"/>
  <c r="I980" i="5"/>
  <c r="I981" i="5"/>
  <c r="I982" i="5"/>
  <c r="I983" i="5"/>
  <c r="I987" i="5"/>
  <c r="I988" i="5"/>
  <c r="I989" i="5"/>
  <c r="I990" i="5"/>
  <c r="I991" i="5"/>
  <c r="I995" i="5"/>
  <c r="I996" i="5"/>
  <c r="I997" i="5"/>
  <c r="I998" i="5"/>
  <c r="I999" i="5"/>
  <c r="I1003" i="5"/>
  <c r="I1004" i="5"/>
  <c r="I1005" i="5"/>
  <c r="I1006" i="5"/>
  <c r="I1007" i="5"/>
  <c r="I1011" i="5"/>
  <c r="I1012" i="5"/>
  <c r="I1013" i="5"/>
  <c r="I1014" i="5"/>
  <c r="I1015" i="5"/>
  <c r="I1019" i="5"/>
  <c r="I1020" i="5"/>
  <c r="I1021" i="5"/>
  <c r="I1022" i="5"/>
  <c r="I1023" i="5"/>
  <c r="I1027" i="5"/>
  <c r="I1028" i="5"/>
  <c r="I1029" i="5"/>
  <c r="I1030" i="5"/>
  <c r="I1031" i="5"/>
  <c r="I1035" i="5"/>
  <c r="I1036" i="5"/>
  <c r="I1037" i="5"/>
  <c r="I1038" i="5"/>
  <c r="I1039" i="5"/>
  <c r="I1043" i="5"/>
  <c r="I1044" i="5"/>
  <c r="I1045" i="5"/>
  <c r="I1046" i="5"/>
  <c r="I1047" i="5"/>
  <c r="I1051" i="5"/>
  <c r="I1052" i="5"/>
  <c r="I1053" i="5"/>
  <c r="I1054" i="5"/>
  <c r="I1055" i="5"/>
  <c r="I1059" i="5"/>
  <c r="I1060" i="5"/>
  <c r="I1061" i="5"/>
  <c r="I1062" i="5"/>
  <c r="I1063" i="5"/>
  <c r="I1067" i="5"/>
  <c r="I1068" i="5"/>
  <c r="I1069" i="5"/>
  <c r="I1070" i="5"/>
  <c r="I1071" i="5"/>
  <c r="I1075" i="5"/>
  <c r="I1076" i="5"/>
  <c r="I1077" i="5"/>
  <c r="I1078" i="5"/>
  <c r="I1079" i="5"/>
  <c r="I1083" i="5"/>
  <c r="I1084" i="5"/>
  <c r="I1085" i="5"/>
  <c r="I1086" i="5"/>
  <c r="I1087" i="5"/>
  <c r="I1091" i="5"/>
  <c r="I1092" i="5"/>
  <c r="I1093" i="5"/>
  <c r="I1094" i="5"/>
  <c r="I1095" i="5"/>
  <c r="I1099" i="5"/>
  <c r="I1100" i="5"/>
  <c r="I1101" i="5"/>
  <c r="I1102" i="5"/>
  <c r="I1103" i="5"/>
  <c r="I1107" i="5"/>
  <c r="I1108" i="5"/>
  <c r="I1109" i="5"/>
  <c r="I1110" i="5"/>
  <c r="I1111" i="5"/>
  <c r="I1115" i="5"/>
  <c r="I1116" i="5"/>
  <c r="I1117" i="5"/>
  <c r="I1118" i="5"/>
  <c r="I1119" i="5"/>
  <c r="I1123" i="5"/>
  <c r="I1124" i="5"/>
  <c r="I1125" i="5"/>
  <c r="I1126" i="5"/>
  <c r="I1127" i="5"/>
  <c r="I1131" i="5"/>
  <c r="I1132" i="5"/>
  <c r="I1133" i="5"/>
  <c r="I1134" i="5"/>
  <c r="I1135" i="5"/>
  <c r="I1139" i="5"/>
  <c r="I1140" i="5"/>
  <c r="I1141" i="5"/>
  <c r="I1142" i="5"/>
  <c r="I1143" i="5"/>
  <c r="I1147" i="5"/>
  <c r="I1148" i="5"/>
  <c r="I1149" i="5"/>
  <c r="I1150" i="5"/>
  <c r="I1151" i="5"/>
  <c r="I1155" i="5"/>
  <c r="I1156" i="5"/>
  <c r="I1157" i="5"/>
  <c r="I1158" i="5"/>
  <c r="I1159" i="5"/>
  <c r="I1163" i="5"/>
  <c r="I1164" i="5"/>
  <c r="I1165" i="5"/>
  <c r="I1166" i="5"/>
  <c r="I1167" i="5"/>
  <c r="I1171" i="5"/>
  <c r="I1172" i="5"/>
  <c r="I1173" i="5"/>
  <c r="I1174" i="5"/>
  <c r="I1175" i="5"/>
  <c r="I1179" i="5"/>
  <c r="I1180" i="5"/>
  <c r="I1181" i="5"/>
  <c r="I1182" i="5"/>
  <c r="I1183" i="5"/>
  <c r="I1187" i="5"/>
  <c r="I1188" i="5"/>
  <c r="I1189" i="5"/>
  <c r="I1190" i="5"/>
  <c r="I1191" i="5"/>
  <c r="I1195" i="5"/>
  <c r="I1196" i="5"/>
  <c r="I1197" i="5"/>
  <c r="I1198" i="5"/>
  <c r="I1199" i="5"/>
  <c r="I1203" i="5"/>
  <c r="I1204" i="5"/>
  <c r="I1205" i="5"/>
  <c r="I1206" i="5"/>
  <c r="I1207" i="5"/>
  <c r="I1211" i="5"/>
  <c r="I1212" i="5"/>
  <c r="I1213" i="5"/>
  <c r="I1214" i="5"/>
  <c r="I1215" i="5"/>
  <c r="I1219" i="5"/>
  <c r="I1220" i="5"/>
  <c r="I1221" i="5"/>
  <c r="I1222" i="5"/>
  <c r="I1223" i="5"/>
  <c r="I1227" i="5"/>
  <c r="I1228" i="5"/>
  <c r="I1229" i="5"/>
  <c r="I1230" i="5"/>
  <c r="I1231" i="5"/>
  <c r="I1235" i="5"/>
  <c r="I1236" i="5"/>
  <c r="I1237" i="5"/>
  <c r="I1238" i="5"/>
  <c r="I1239" i="5"/>
  <c r="I1243" i="5"/>
  <c r="I1244" i="5"/>
  <c r="I1245" i="5"/>
  <c r="I1246" i="5"/>
  <c r="I1247" i="5"/>
  <c r="I1250" i="5"/>
  <c r="I1251" i="5"/>
  <c r="I1252" i="5"/>
  <c r="I1253" i="5"/>
  <c r="I1254" i="5"/>
  <c r="I1255" i="5"/>
  <c r="I1259" i="5"/>
  <c r="I1260" i="5"/>
  <c r="I1261" i="5"/>
  <c r="I1262" i="5"/>
  <c r="I1263" i="5"/>
  <c r="I1267" i="5"/>
  <c r="I1268" i="5"/>
  <c r="I1269" i="5"/>
  <c r="I1270" i="5"/>
  <c r="I1271" i="5"/>
  <c r="I1275" i="5"/>
  <c r="I1276" i="5"/>
  <c r="I1277" i="5"/>
  <c r="I1278" i="5"/>
  <c r="I1279" i="5"/>
  <c r="I1283" i="5"/>
  <c r="I1284" i="5"/>
  <c r="I1285" i="5"/>
  <c r="I1286" i="5"/>
  <c r="I1287" i="5"/>
  <c r="I1291" i="5"/>
  <c r="I1292" i="5"/>
  <c r="I1293" i="5"/>
  <c r="I1294" i="5"/>
  <c r="I1295" i="5"/>
  <c r="I1299" i="5"/>
  <c r="I1300" i="5"/>
  <c r="I1301" i="5"/>
  <c r="I1302" i="5"/>
  <c r="I1303" i="5"/>
  <c r="I1307" i="5"/>
  <c r="I1308" i="5"/>
  <c r="I1309" i="5"/>
  <c r="I1310" i="5"/>
  <c r="I1311" i="5"/>
  <c r="I1315" i="5"/>
  <c r="I1316" i="5"/>
  <c r="I1317" i="5"/>
  <c r="I1318" i="5"/>
  <c r="I1319" i="5"/>
  <c r="I1323" i="5"/>
  <c r="I1324" i="5"/>
  <c r="I1325" i="5"/>
  <c r="I1326" i="5"/>
  <c r="I1327" i="5"/>
  <c r="I1331" i="5"/>
  <c r="I1332" i="5"/>
  <c r="I1333" i="5"/>
  <c r="I1334" i="5"/>
  <c r="I1335" i="5"/>
  <c r="I1339" i="5"/>
  <c r="I1340" i="5"/>
  <c r="I1341" i="5"/>
  <c r="I1342" i="5"/>
  <c r="I1343" i="5"/>
  <c r="I1347" i="5"/>
  <c r="I1348" i="5"/>
  <c r="I1349" i="5"/>
  <c r="I1350" i="5"/>
  <c r="I1351" i="5"/>
  <c r="I1355" i="5"/>
  <c r="I1356" i="5"/>
  <c r="I1357" i="5"/>
  <c r="I1358" i="5"/>
  <c r="I1359" i="5"/>
  <c r="I1362" i="5"/>
  <c r="I1363" i="5"/>
  <c r="I1364" i="5"/>
  <c r="I1365" i="5"/>
  <c r="I1366" i="5"/>
  <c r="I1367" i="5"/>
  <c r="I1371" i="5"/>
  <c r="I1372" i="5"/>
  <c r="I1373" i="5"/>
  <c r="I1374" i="5"/>
  <c r="I1375" i="5"/>
  <c r="I1379" i="5"/>
  <c r="I1380" i="5"/>
  <c r="I1381" i="5"/>
  <c r="I1382" i="5"/>
  <c r="I1383" i="5"/>
  <c r="I1387" i="5"/>
  <c r="I1388" i="5"/>
  <c r="I1389" i="5"/>
  <c r="I1390" i="5"/>
  <c r="I1391" i="5"/>
  <c r="I1395" i="5"/>
  <c r="I1396" i="5"/>
  <c r="I1397" i="5"/>
  <c r="I1398" i="5"/>
  <c r="I1399" i="5"/>
  <c r="I1403" i="5"/>
  <c r="I1404" i="5"/>
  <c r="I1405" i="5"/>
  <c r="I1406" i="5"/>
  <c r="I1407" i="5"/>
  <c r="I1411" i="5"/>
  <c r="I1412" i="5"/>
  <c r="I1413" i="5"/>
  <c r="I1414" i="5"/>
  <c r="I1415" i="5"/>
  <c r="I1419" i="5"/>
  <c r="I1420" i="5"/>
  <c r="I1421" i="5"/>
  <c r="I1422" i="5"/>
  <c r="I1423" i="5"/>
  <c r="I1427" i="5"/>
  <c r="I1428" i="5"/>
  <c r="I1429" i="5"/>
  <c r="I1430" i="5"/>
  <c r="I1431" i="5"/>
  <c r="I1435" i="5"/>
  <c r="I1436" i="5"/>
  <c r="I1437" i="5"/>
  <c r="I1438" i="5"/>
  <c r="I1439" i="5"/>
  <c r="I1443" i="5"/>
  <c r="I1444" i="5"/>
  <c r="I1445" i="5"/>
  <c r="I1446" i="5"/>
  <c r="I1447" i="5"/>
  <c r="I1451" i="5"/>
  <c r="I1452" i="5"/>
  <c r="I1453" i="5"/>
  <c r="I1454" i="5"/>
  <c r="I1455" i="5"/>
  <c r="I1459" i="5"/>
  <c r="I1460" i="5"/>
  <c r="I1461" i="5"/>
  <c r="I1462" i="5"/>
  <c r="I1463" i="5"/>
  <c r="I1467" i="5"/>
  <c r="I1468" i="5"/>
  <c r="I1469" i="5"/>
  <c r="I1470" i="5"/>
  <c r="I1471" i="5"/>
  <c r="I1475" i="5"/>
  <c r="I1476" i="5"/>
  <c r="I1477" i="5"/>
  <c r="I1478" i="5"/>
  <c r="I1479" i="5"/>
  <c r="I1483" i="5"/>
  <c r="I1484" i="5"/>
  <c r="I1485" i="5"/>
  <c r="I1486" i="5"/>
  <c r="I1487" i="5"/>
  <c r="I1491" i="5"/>
  <c r="I1492" i="5"/>
  <c r="I1493" i="5"/>
  <c r="I1494" i="5"/>
  <c r="I1495" i="5"/>
  <c r="I1499" i="5"/>
  <c r="I1500" i="5"/>
  <c r="I1501" i="5"/>
  <c r="I1502" i="5"/>
  <c r="I1503" i="5"/>
  <c r="I1507" i="5"/>
  <c r="I1508" i="5"/>
  <c r="I1509" i="5"/>
  <c r="I1510" i="5"/>
  <c r="I1511" i="5"/>
  <c r="I1515" i="5"/>
  <c r="I1516" i="5"/>
  <c r="I1517" i="5"/>
  <c r="I1518" i="5"/>
  <c r="I1519" i="5"/>
  <c r="I1523" i="5"/>
  <c r="I1524" i="5"/>
  <c r="I1525" i="5"/>
  <c r="I1526" i="5"/>
  <c r="I1527" i="5"/>
  <c r="I1531" i="5"/>
  <c r="I1532" i="5"/>
  <c r="I1533" i="5"/>
  <c r="I1534" i="5"/>
  <c r="I1535" i="5"/>
  <c r="I1539" i="5"/>
  <c r="I1540" i="5"/>
  <c r="I1541" i="5"/>
  <c r="I1542" i="5"/>
  <c r="I1543" i="5"/>
  <c r="I1547" i="5"/>
  <c r="I1548" i="5"/>
  <c r="I1549" i="5"/>
  <c r="I1550" i="5"/>
  <c r="I1551" i="5"/>
  <c r="I1555" i="5"/>
  <c r="I1556" i="5"/>
  <c r="I1557" i="5"/>
  <c r="I1558" i="5"/>
  <c r="I1559" i="5"/>
  <c r="I1563" i="5"/>
  <c r="I1564" i="5"/>
  <c r="I1565" i="5"/>
  <c r="I1566" i="5"/>
  <c r="I1567" i="5"/>
  <c r="I1571" i="5"/>
  <c r="I1572" i="5"/>
  <c r="I1573" i="5"/>
  <c r="I1574" i="5"/>
  <c r="I1575" i="5"/>
  <c r="I1579" i="5"/>
  <c r="I1580" i="5"/>
  <c r="I1581" i="5"/>
  <c r="I1582" i="5"/>
  <c r="I1583" i="5"/>
  <c r="I1587" i="5"/>
  <c r="I1588" i="5"/>
  <c r="I1589" i="5"/>
  <c r="I1590" i="5"/>
  <c r="I1591" i="5"/>
  <c r="I1595" i="5"/>
  <c r="I1596" i="5"/>
  <c r="I1597" i="5"/>
  <c r="I1598" i="5"/>
  <c r="I1599" i="5"/>
  <c r="I1603" i="5"/>
  <c r="I1604" i="5"/>
  <c r="I1605" i="5"/>
  <c r="I1606" i="5"/>
  <c r="I1607" i="5"/>
  <c r="I1611" i="5"/>
  <c r="I1612" i="5"/>
  <c r="I1613" i="5"/>
  <c r="I1614" i="5"/>
  <c r="I1615" i="5"/>
  <c r="I1619" i="5"/>
  <c r="I1620" i="5"/>
  <c r="I1621" i="5"/>
  <c r="I1622" i="5"/>
  <c r="I1623" i="5"/>
  <c r="I1627" i="5"/>
  <c r="I1628" i="5"/>
  <c r="I1629" i="5"/>
  <c r="I1630" i="5"/>
  <c r="I1631" i="5"/>
  <c r="I1635" i="5"/>
  <c r="I1636" i="5"/>
  <c r="I1637" i="5"/>
  <c r="I1638" i="5"/>
  <c r="I1639" i="5"/>
  <c r="I1643" i="5"/>
  <c r="I1644" i="5"/>
  <c r="I1645" i="5"/>
  <c r="I1646" i="5"/>
  <c r="I1647" i="5"/>
  <c r="I1651" i="5"/>
  <c r="I1652" i="5"/>
  <c r="I1653" i="5"/>
  <c r="I1654" i="5"/>
  <c r="I1655" i="5"/>
  <c r="I1659" i="5"/>
  <c r="I1660" i="5"/>
  <c r="I1661" i="5"/>
  <c r="I1662" i="5"/>
  <c r="I1663" i="5"/>
  <c r="I1667" i="5"/>
  <c r="I1668" i="5"/>
  <c r="I1669" i="5"/>
  <c r="I1670" i="5"/>
  <c r="I1671" i="5"/>
  <c r="I1675" i="5"/>
  <c r="I1676" i="5"/>
  <c r="I1677" i="5"/>
  <c r="I1678" i="5"/>
  <c r="I1679" i="5"/>
  <c r="I1683" i="5"/>
  <c r="I1684" i="5"/>
  <c r="I1685" i="5"/>
  <c r="I1686" i="5"/>
  <c r="I1687" i="5"/>
  <c r="I1691" i="5"/>
  <c r="I1692" i="5"/>
  <c r="I1693" i="5"/>
  <c r="I1694" i="5"/>
  <c r="I1695" i="5"/>
  <c r="I1699" i="5"/>
  <c r="I1700" i="5"/>
  <c r="I1701" i="5"/>
  <c r="I1702" i="5"/>
  <c r="I1703" i="5"/>
  <c r="I1707" i="5"/>
  <c r="I1708" i="5"/>
  <c r="I1709" i="5"/>
  <c r="I1710" i="5"/>
  <c r="I1711" i="5"/>
  <c r="I1715" i="5"/>
  <c r="I1716" i="5"/>
  <c r="I1717" i="5"/>
  <c r="I1718" i="5"/>
  <c r="I1719" i="5"/>
  <c r="I1723" i="5"/>
  <c r="I1724" i="5"/>
  <c r="I1725" i="5"/>
  <c r="I1726" i="5"/>
  <c r="I1727" i="5"/>
  <c r="I1731" i="5"/>
  <c r="I1732" i="5"/>
  <c r="I1733" i="5"/>
  <c r="I1734" i="5"/>
  <c r="I1735" i="5"/>
  <c r="I1739" i="5"/>
  <c r="I1740" i="5"/>
  <c r="I1741" i="5"/>
  <c r="I1742" i="5"/>
  <c r="I1743" i="5"/>
  <c r="I1747" i="5"/>
  <c r="I1748" i="5"/>
  <c r="I1749" i="5"/>
  <c r="I1750" i="5"/>
  <c r="K1750" i="5" s="1"/>
  <c r="I1751" i="5"/>
  <c r="I1755" i="5"/>
  <c r="I1756" i="5"/>
  <c r="I1757" i="5"/>
  <c r="I1758" i="5"/>
  <c r="I1759" i="5"/>
  <c r="I1763" i="5"/>
  <c r="I1764" i="5"/>
  <c r="I1765" i="5"/>
  <c r="I1766" i="5"/>
  <c r="I1767" i="5"/>
  <c r="I1771" i="5"/>
  <c r="I1772" i="5"/>
  <c r="I1773" i="5"/>
  <c r="I1774" i="5"/>
  <c r="I1775" i="5"/>
  <c r="I1779" i="5"/>
  <c r="I1780" i="5"/>
  <c r="I1781" i="5"/>
  <c r="I1782" i="5"/>
  <c r="I1783" i="5"/>
  <c r="I1787" i="5"/>
  <c r="I1788" i="5"/>
  <c r="I1789" i="5"/>
  <c r="I1790" i="5"/>
  <c r="I1791" i="5"/>
  <c r="I1795" i="5"/>
  <c r="I1796" i="5"/>
  <c r="I1797" i="5"/>
  <c r="I1798" i="5"/>
  <c r="I1799" i="5"/>
  <c r="I1803" i="5"/>
  <c r="I1804" i="5"/>
  <c r="I1805" i="5"/>
  <c r="I1806" i="5"/>
  <c r="I1807" i="5"/>
  <c r="I1811" i="5"/>
  <c r="I1812" i="5"/>
  <c r="I1813" i="5"/>
  <c r="I1814" i="5"/>
  <c r="I1815" i="5"/>
  <c r="I1819" i="5"/>
  <c r="I1820" i="5"/>
  <c r="I1821" i="5"/>
  <c r="I1822" i="5"/>
  <c r="I1823" i="5"/>
  <c r="I1827" i="5"/>
  <c r="I1828" i="5"/>
  <c r="I1829" i="5"/>
  <c r="I1830" i="5"/>
  <c r="I1831" i="5"/>
  <c r="I1835" i="5"/>
  <c r="I1836" i="5"/>
  <c r="I1837" i="5"/>
  <c r="I1838" i="5"/>
  <c r="I1839" i="5"/>
  <c r="I1843" i="5"/>
  <c r="I1844" i="5"/>
  <c r="I1845" i="5"/>
  <c r="I1846" i="5"/>
  <c r="I1847" i="5"/>
  <c r="I1851" i="5"/>
  <c r="I1852" i="5"/>
  <c r="I1853" i="5"/>
  <c r="I1854" i="5"/>
  <c r="I1855" i="5"/>
  <c r="I1859" i="5"/>
  <c r="I1860" i="5"/>
  <c r="I1861" i="5"/>
  <c r="I1862" i="5"/>
  <c r="I1863" i="5"/>
  <c r="I1867" i="5"/>
  <c r="I1868" i="5"/>
  <c r="I1869" i="5"/>
  <c r="I1870" i="5"/>
  <c r="I1871" i="5"/>
  <c r="I1875" i="5"/>
  <c r="I1876" i="5"/>
  <c r="I1877" i="5"/>
  <c r="I1878" i="5"/>
  <c r="I1879" i="5"/>
  <c r="I1883" i="5"/>
  <c r="I1884" i="5"/>
  <c r="I1885" i="5"/>
  <c r="I1886" i="5"/>
  <c r="I1887" i="5"/>
  <c r="I1891" i="5"/>
  <c r="I1892" i="5"/>
  <c r="I1893" i="5"/>
  <c r="I1894" i="5"/>
  <c r="I1895" i="5"/>
  <c r="I1899" i="5"/>
  <c r="I1900" i="5"/>
  <c r="I1901" i="5"/>
  <c r="I1902" i="5"/>
  <c r="I1903" i="5"/>
  <c r="I1907" i="5"/>
  <c r="I1908" i="5"/>
  <c r="I1909" i="5"/>
  <c r="I1910" i="5"/>
  <c r="I1911" i="5"/>
  <c r="I1915" i="5"/>
  <c r="I1916" i="5"/>
  <c r="I1917" i="5"/>
  <c r="I1918" i="5"/>
  <c r="I1919" i="5"/>
  <c r="I1923" i="5"/>
  <c r="I1924" i="5"/>
  <c r="I1925" i="5"/>
  <c r="I1926" i="5"/>
  <c r="I1927" i="5"/>
  <c r="I1931" i="5"/>
  <c r="I1932" i="5"/>
  <c r="I1933" i="5"/>
  <c r="I1934" i="5"/>
  <c r="I1935" i="5"/>
  <c r="I1939" i="5"/>
  <c r="I1940" i="5"/>
  <c r="I1941" i="5"/>
  <c r="I1942" i="5"/>
  <c r="I1943" i="5"/>
  <c r="I1947" i="5"/>
  <c r="I1948" i="5"/>
  <c r="I1949" i="5"/>
  <c r="I1950" i="5"/>
  <c r="I1951" i="5"/>
  <c r="I1955" i="5"/>
  <c r="I1956" i="5"/>
  <c r="I1957" i="5"/>
  <c r="I1958" i="5"/>
  <c r="I1959" i="5"/>
  <c r="I1963" i="5"/>
  <c r="I1964" i="5"/>
  <c r="I1965" i="5"/>
  <c r="I1966" i="5"/>
  <c r="I1967" i="5"/>
  <c r="I1971" i="5"/>
  <c r="I1972" i="5"/>
  <c r="I1973" i="5"/>
  <c r="I1974" i="5"/>
  <c r="I1975" i="5"/>
  <c r="I1979" i="5"/>
  <c r="I1980" i="5"/>
  <c r="I1981" i="5"/>
  <c r="I1982" i="5"/>
  <c r="I1983" i="5"/>
  <c r="I1987" i="5"/>
  <c r="I1988" i="5"/>
  <c r="I1989" i="5"/>
  <c r="I1990" i="5"/>
  <c r="I1991" i="5"/>
  <c r="I1995" i="5"/>
  <c r="I1996" i="5"/>
  <c r="I1997" i="5"/>
  <c r="I1998" i="5"/>
  <c r="I1999" i="5"/>
  <c r="I2003" i="5"/>
  <c r="I2004" i="5"/>
  <c r="I2005" i="5"/>
  <c r="I2006" i="5"/>
  <c r="I2007" i="5"/>
  <c r="I2011" i="5"/>
  <c r="I2012" i="5"/>
  <c r="I2013" i="5"/>
  <c r="I2014" i="5"/>
  <c r="I2015" i="5"/>
  <c r="I2019" i="5"/>
  <c r="I2020" i="5"/>
  <c r="I2021" i="5"/>
  <c r="I2022" i="5"/>
  <c r="I2023" i="5"/>
  <c r="I2027" i="5"/>
  <c r="I2028" i="5"/>
  <c r="I2029" i="5"/>
  <c r="I2030" i="5"/>
  <c r="I2031" i="5"/>
  <c r="I2035" i="5"/>
  <c r="I2036" i="5"/>
  <c r="I2037" i="5"/>
  <c r="I2038" i="5"/>
  <c r="I2039" i="5"/>
  <c r="I2043" i="5"/>
  <c r="I2044" i="5"/>
  <c r="I2045" i="5"/>
  <c r="I2046" i="5"/>
  <c r="I2047" i="5"/>
  <c r="I2051" i="5"/>
  <c r="I2052" i="5"/>
  <c r="I2053" i="5"/>
  <c r="I2054" i="5"/>
  <c r="I2055" i="5"/>
  <c r="I2059" i="5"/>
  <c r="I2060" i="5"/>
  <c r="I2061" i="5"/>
  <c r="I2062" i="5"/>
  <c r="I2063" i="5"/>
  <c r="I2067" i="5"/>
  <c r="I2068" i="5"/>
  <c r="I2069" i="5"/>
  <c r="I2070" i="5"/>
  <c r="I2071" i="5"/>
  <c r="I2074" i="5"/>
  <c r="I2075" i="5"/>
  <c r="I2076" i="5"/>
  <c r="I2077" i="5"/>
  <c r="I2078" i="5"/>
  <c r="I2079" i="5"/>
  <c r="I2083" i="5"/>
  <c r="I2084" i="5"/>
  <c r="I2085" i="5"/>
  <c r="I2086" i="5"/>
  <c r="I2087" i="5"/>
  <c r="I2091" i="5"/>
  <c r="K2091" i="5" s="1"/>
  <c r="I2092" i="5"/>
  <c r="I2093" i="5"/>
  <c r="I2094" i="5"/>
  <c r="I2095" i="5"/>
  <c r="I2099" i="5"/>
  <c r="I2100" i="5"/>
  <c r="I2101" i="5"/>
  <c r="I2102" i="5"/>
  <c r="I2103" i="5"/>
  <c r="I2107" i="5"/>
  <c r="I2108" i="5"/>
  <c r="I2109" i="5"/>
  <c r="I2110" i="5"/>
  <c r="I2111" i="5"/>
  <c r="I2115" i="5"/>
  <c r="I2116" i="5"/>
  <c r="I2117" i="5"/>
  <c r="I2118" i="5"/>
  <c r="I2119" i="5"/>
  <c r="I2123" i="5"/>
  <c r="I2124" i="5"/>
  <c r="I2125" i="5"/>
  <c r="I2126" i="5"/>
  <c r="I2127" i="5"/>
  <c r="I2131" i="5"/>
  <c r="I2132" i="5"/>
  <c r="I2133" i="5"/>
  <c r="I2134" i="5"/>
  <c r="I2135" i="5"/>
  <c r="I2139" i="5"/>
  <c r="I2140" i="5"/>
  <c r="I2141" i="5"/>
  <c r="I2142" i="5"/>
  <c r="I2143" i="5"/>
  <c r="I2147" i="5"/>
  <c r="I2148" i="5"/>
  <c r="I2149" i="5"/>
  <c r="I2150" i="5"/>
  <c r="I2151" i="5"/>
  <c r="I2155" i="5"/>
  <c r="I2156" i="5"/>
  <c r="I2157" i="5"/>
  <c r="I2158" i="5"/>
  <c r="I2159" i="5"/>
  <c r="I2163" i="5"/>
  <c r="I2164" i="5"/>
  <c r="I2165" i="5"/>
  <c r="I2166" i="5"/>
  <c r="I2167" i="5"/>
  <c r="I2171" i="5"/>
  <c r="I2172" i="5"/>
  <c r="I2173" i="5"/>
  <c r="I2174" i="5"/>
  <c r="I2175" i="5"/>
  <c r="I2179" i="5"/>
  <c r="I2180" i="5"/>
  <c r="I2181" i="5"/>
  <c r="I2182" i="5"/>
  <c r="I2183" i="5"/>
  <c r="I2187" i="5"/>
  <c r="I2188" i="5"/>
  <c r="I2189" i="5"/>
  <c r="I2190" i="5"/>
  <c r="I2191" i="5"/>
  <c r="I2195" i="5"/>
  <c r="I2196" i="5"/>
  <c r="I2197" i="5"/>
  <c r="I2198" i="5"/>
  <c r="I2199" i="5"/>
  <c r="I2203" i="5"/>
  <c r="I2204" i="5"/>
  <c r="I2205" i="5"/>
  <c r="I2206" i="5"/>
  <c r="I2207" i="5"/>
  <c r="I2211" i="5"/>
  <c r="I2212" i="5"/>
  <c r="I2213" i="5"/>
  <c r="I2214" i="5"/>
  <c r="I2215" i="5"/>
  <c r="I2219" i="5"/>
  <c r="I2220" i="5"/>
  <c r="I2221" i="5"/>
  <c r="I2222" i="5"/>
  <c r="I2223" i="5"/>
  <c r="I2227" i="5"/>
  <c r="I2228" i="5"/>
  <c r="I2229" i="5"/>
  <c r="I2230" i="5"/>
  <c r="I2231" i="5"/>
  <c r="I2235" i="5"/>
  <c r="I2236" i="5"/>
  <c r="I2237" i="5"/>
  <c r="I2238" i="5"/>
  <c r="I2239" i="5"/>
  <c r="I2243" i="5"/>
  <c r="I2244" i="5"/>
  <c r="I2245" i="5"/>
  <c r="I2246" i="5"/>
  <c r="I2247" i="5"/>
  <c r="I2251" i="5"/>
  <c r="I2252" i="5"/>
  <c r="I2253" i="5"/>
  <c r="I2254" i="5"/>
  <c r="I2255" i="5"/>
  <c r="I2259" i="5"/>
  <c r="I2260" i="5"/>
  <c r="I2261" i="5"/>
  <c r="I2262" i="5"/>
  <c r="I2263" i="5"/>
  <c r="I2267" i="5"/>
  <c r="I2268" i="5"/>
  <c r="I2269" i="5"/>
  <c r="I2270" i="5"/>
  <c r="I2271" i="5"/>
  <c r="I2275" i="5"/>
  <c r="I2276" i="5"/>
  <c r="I2277" i="5"/>
  <c r="I2278" i="5"/>
  <c r="I2279" i="5"/>
  <c r="I2283" i="5"/>
  <c r="I2284" i="5"/>
  <c r="I2285" i="5"/>
  <c r="I2286" i="5"/>
  <c r="I2287" i="5"/>
  <c r="I2291" i="5"/>
  <c r="I2292" i="5"/>
  <c r="I2293" i="5"/>
  <c r="I2294" i="5"/>
  <c r="I2295" i="5"/>
  <c r="I2299" i="5"/>
  <c r="I2300" i="5"/>
  <c r="I2301" i="5"/>
  <c r="I2302" i="5"/>
  <c r="I2303" i="5"/>
  <c r="I2307" i="5"/>
  <c r="I2308" i="5"/>
  <c r="I2309" i="5"/>
  <c r="I2310" i="5"/>
  <c r="I2311" i="5"/>
  <c r="I2315" i="5"/>
  <c r="I2316" i="5"/>
  <c r="I2317" i="5"/>
  <c r="I2318" i="5"/>
  <c r="I2319" i="5"/>
  <c r="I2322" i="5"/>
  <c r="I2323" i="5"/>
  <c r="I2324" i="5"/>
  <c r="I2325" i="5"/>
  <c r="I2326" i="5"/>
  <c r="I2327" i="5"/>
  <c r="I2331" i="5"/>
  <c r="I2332" i="5"/>
  <c r="I2333" i="5"/>
  <c r="I2334" i="5"/>
  <c r="I2335" i="5"/>
  <c r="I2339" i="5"/>
  <c r="I2340" i="5"/>
  <c r="I2341" i="5"/>
  <c r="I2342" i="5"/>
  <c r="I2343" i="5"/>
  <c r="I2347" i="5"/>
  <c r="I2348" i="5"/>
  <c r="I2349" i="5"/>
  <c r="I2350" i="5"/>
  <c r="I2351" i="5"/>
  <c r="I2355" i="5"/>
  <c r="I2356" i="5"/>
  <c r="I2357" i="5"/>
  <c r="I2358" i="5"/>
  <c r="I2359" i="5"/>
  <c r="I2363" i="5"/>
  <c r="I2364" i="5"/>
  <c r="I2365" i="5"/>
  <c r="I2366" i="5"/>
  <c r="I2367" i="5"/>
  <c r="I2371" i="5"/>
  <c r="I2372" i="5"/>
  <c r="I2373" i="5"/>
  <c r="I2374" i="5"/>
  <c r="I2375" i="5"/>
  <c r="I2379" i="5"/>
  <c r="I2380" i="5"/>
  <c r="I2381" i="5"/>
  <c r="I2382" i="5"/>
  <c r="I2383" i="5"/>
  <c r="I2387" i="5"/>
  <c r="I2388" i="5"/>
  <c r="I2389" i="5"/>
  <c r="I2390" i="5"/>
  <c r="I2391" i="5"/>
  <c r="I2395" i="5"/>
  <c r="I2396" i="5"/>
  <c r="I2397" i="5"/>
  <c r="I2398" i="5"/>
  <c r="I2399" i="5"/>
  <c r="I2403" i="5"/>
  <c r="I2404" i="5"/>
  <c r="I2405" i="5"/>
  <c r="I2406" i="5"/>
  <c r="I2407" i="5"/>
  <c r="I2411" i="5"/>
  <c r="I2412" i="5"/>
  <c r="I2413" i="5"/>
  <c r="I2414" i="5"/>
  <c r="I2415" i="5"/>
  <c r="I2419" i="5"/>
  <c r="I2420" i="5"/>
  <c r="I2421" i="5"/>
  <c r="I2422" i="5"/>
  <c r="I2423" i="5"/>
  <c r="I2427" i="5"/>
  <c r="I2428" i="5"/>
  <c r="I2429" i="5"/>
  <c r="I2430" i="5"/>
  <c r="I2431" i="5"/>
  <c r="I2435" i="5"/>
  <c r="I2436" i="5"/>
  <c r="I2437" i="5"/>
  <c r="I2438" i="5"/>
  <c r="I2439" i="5"/>
  <c r="I2443" i="5"/>
  <c r="I2444" i="5"/>
  <c r="I2445" i="5"/>
  <c r="I2446" i="5"/>
  <c r="I2447" i="5"/>
  <c r="I2451" i="5"/>
  <c r="I2452" i="5"/>
  <c r="I2453" i="5"/>
  <c r="I2454" i="5"/>
  <c r="I2455" i="5"/>
  <c r="I2459" i="5"/>
  <c r="I2460" i="5"/>
  <c r="I2461" i="5"/>
  <c r="I2462" i="5"/>
  <c r="I2463" i="5"/>
  <c r="I2467" i="5"/>
  <c r="I2468" i="5"/>
  <c r="I2469" i="5"/>
  <c r="I2470" i="5"/>
  <c r="I2471" i="5"/>
  <c r="I2475" i="5"/>
  <c r="I2476" i="5"/>
  <c r="I2477" i="5"/>
  <c r="I2478" i="5"/>
  <c r="I2479" i="5"/>
  <c r="I2483" i="5"/>
  <c r="I2484" i="5"/>
  <c r="I2485" i="5"/>
  <c r="I2486" i="5"/>
  <c r="I2487" i="5"/>
  <c r="I2491" i="5"/>
  <c r="I2492" i="5"/>
  <c r="I2493" i="5"/>
  <c r="I2494" i="5"/>
  <c r="I2495" i="5"/>
  <c r="I2499" i="5"/>
  <c r="I2500" i="5"/>
  <c r="I2501" i="5"/>
  <c r="I2502" i="5"/>
  <c r="I2503" i="5"/>
  <c r="I2507" i="5"/>
  <c r="I2508" i="5"/>
  <c r="I2509" i="5"/>
  <c r="I2510" i="5"/>
  <c r="I2511" i="5"/>
  <c r="I2515" i="5"/>
  <c r="I2516" i="5"/>
  <c r="I2517" i="5"/>
  <c r="I2518" i="5"/>
  <c r="I2519" i="5"/>
  <c r="I2523" i="5"/>
  <c r="I2524" i="5"/>
  <c r="I2525" i="5"/>
  <c r="I2526" i="5"/>
  <c r="I2527" i="5"/>
  <c r="I2531" i="5"/>
  <c r="I2532" i="5"/>
  <c r="I2533" i="5"/>
  <c r="I2534" i="5"/>
  <c r="I2535" i="5"/>
  <c r="I2539" i="5"/>
  <c r="I2540" i="5"/>
  <c r="I2541" i="5"/>
  <c r="I2542" i="5"/>
  <c r="I2543" i="5"/>
  <c r="I2547" i="5"/>
  <c r="I2548" i="5"/>
  <c r="I2549" i="5"/>
  <c r="I2550" i="5"/>
  <c r="I2551" i="5"/>
  <c r="I2555" i="5"/>
  <c r="I2556" i="5"/>
  <c r="I2557" i="5"/>
  <c r="I2558" i="5"/>
  <c r="I2559" i="5"/>
  <c r="I2563" i="5"/>
  <c r="I2564" i="5"/>
  <c r="I2565" i="5"/>
  <c r="I2566" i="5"/>
  <c r="I2567" i="5"/>
  <c r="I2571" i="5"/>
  <c r="I2572" i="5"/>
  <c r="I2573" i="5"/>
  <c r="I2574" i="5"/>
  <c r="I2575" i="5"/>
  <c r="I2579" i="5"/>
  <c r="I2580" i="5"/>
  <c r="I2581" i="5"/>
  <c r="I2582" i="5"/>
  <c r="I2583" i="5"/>
  <c r="I2587" i="5"/>
  <c r="I2588" i="5"/>
  <c r="I2589" i="5"/>
  <c r="I2590" i="5"/>
  <c r="I2591" i="5"/>
  <c r="I2595" i="5"/>
  <c r="I2596" i="5"/>
  <c r="I2597" i="5"/>
  <c r="I2598" i="5"/>
  <c r="I2599" i="5"/>
  <c r="I2603" i="5"/>
  <c r="I2604" i="5"/>
  <c r="I2605" i="5"/>
  <c r="I2606" i="5"/>
  <c r="I2607" i="5"/>
  <c r="I2611" i="5"/>
  <c r="I2612" i="5"/>
  <c r="I2613" i="5"/>
  <c r="I2614" i="5"/>
  <c r="I2615" i="5"/>
  <c r="I2619" i="5"/>
  <c r="I2620" i="5"/>
  <c r="I2621" i="5"/>
  <c r="I2622" i="5"/>
  <c r="I2623" i="5"/>
  <c r="I2627" i="5"/>
  <c r="I2628" i="5"/>
  <c r="I2629" i="5"/>
  <c r="I2630" i="5"/>
  <c r="I2631" i="5"/>
  <c r="I2635" i="5"/>
  <c r="I2636" i="5"/>
  <c r="I2637" i="5"/>
  <c r="I2638" i="5"/>
  <c r="I2639" i="5"/>
  <c r="I2642" i="5"/>
  <c r="I2643" i="5"/>
  <c r="I2644" i="5"/>
  <c r="I2645" i="5"/>
  <c r="I2646" i="5"/>
  <c r="I2647" i="5"/>
  <c r="I2651" i="5"/>
  <c r="I2652" i="5"/>
  <c r="I2653" i="5"/>
  <c r="I2654" i="5"/>
  <c r="I2655" i="5"/>
  <c r="I2659" i="5"/>
  <c r="I2660" i="5"/>
  <c r="I2661" i="5"/>
  <c r="I2662" i="5"/>
  <c r="I2663" i="5"/>
  <c r="I2667" i="5"/>
  <c r="I2668" i="5"/>
  <c r="I2669" i="5"/>
  <c r="I2670" i="5"/>
  <c r="I2671" i="5"/>
  <c r="I2675" i="5"/>
  <c r="I2676" i="5"/>
  <c r="I2677" i="5"/>
  <c r="I2678" i="5"/>
  <c r="I2679" i="5"/>
  <c r="I2683" i="5"/>
  <c r="I2684" i="5"/>
  <c r="I2685" i="5"/>
  <c r="I2686" i="5"/>
  <c r="I2687" i="5"/>
  <c r="I2691" i="5"/>
  <c r="I2692" i="5"/>
  <c r="I2693" i="5"/>
  <c r="I2694" i="5"/>
  <c r="I2695" i="5"/>
  <c r="I2699" i="5"/>
  <c r="I2700" i="5"/>
  <c r="I2701" i="5"/>
  <c r="I2702" i="5"/>
  <c r="I2703" i="5"/>
  <c r="I2707" i="5"/>
  <c r="I2708" i="5"/>
  <c r="I2709" i="5"/>
  <c r="I2710" i="5"/>
  <c r="I2711" i="5"/>
  <c r="I2715" i="5"/>
  <c r="I2716" i="5"/>
  <c r="I2717" i="5"/>
  <c r="I2718" i="5"/>
  <c r="I2719" i="5"/>
  <c r="I2723" i="5"/>
  <c r="I2724" i="5"/>
  <c r="I2725" i="5"/>
  <c r="I2726" i="5"/>
  <c r="I2727" i="5"/>
  <c r="I2731" i="5"/>
  <c r="I2732" i="5"/>
  <c r="I2733" i="5"/>
  <c r="I2734" i="5"/>
  <c r="I2735" i="5"/>
  <c r="I2739" i="5"/>
  <c r="I2740" i="5"/>
  <c r="I2741" i="5"/>
  <c r="I2742" i="5"/>
  <c r="I2743" i="5"/>
  <c r="I2747" i="5"/>
  <c r="I2748" i="5"/>
  <c r="I2749" i="5"/>
  <c r="I2750" i="5"/>
  <c r="I2751" i="5"/>
  <c r="I2755" i="5"/>
  <c r="I2756" i="5"/>
  <c r="I2757" i="5"/>
  <c r="I2758" i="5"/>
  <c r="I2759" i="5"/>
  <c r="I2763" i="5"/>
  <c r="I2764" i="5"/>
  <c r="I2765" i="5"/>
  <c r="I2766" i="5"/>
  <c r="I2767" i="5"/>
  <c r="I2771" i="5"/>
  <c r="I2772" i="5"/>
  <c r="I2773" i="5"/>
  <c r="I2774" i="5"/>
  <c r="I2775" i="5"/>
  <c r="I2779" i="5"/>
  <c r="I2780" i="5"/>
  <c r="I2781" i="5"/>
  <c r="I2782" i="5"/>
  <c r="I2783" i="5"/>
  <c r="I2788" i="5"/>
  <c r="I2789" i="5"/>
  <c r="I2790" i="5"/>
  <c r="I2791" i="5"/>
  <c r="I2795" i="5"/>
  <c r="I2796" i="5"/>
  <c r="I2797" i="5"/>
  <c r="I2798" i="5"/>
  <c r="I2799" i="5"/>
  <c r="I2803" i="5"/>
  <c r="I2804" i="5"/>
  <c r="I2805" i="5"/>
  <c r="I2806" i="5"/>
  <c r="I2807" i="5"/>
  <c r="I2811" i="5"/>
  <c r="I2812" i="5"/>
  <c r="I2813" i="5"/>
  <c r="I2814" i="5"/>
  <c r="I2815" i="5"/>
  <c r="I2820" i="5"/>
  <c r="I2821" i="5"/>
  <c r="I2822" i="5"/>
  <c r="I2823" i="5"/>
  <c r="I2827" i="5"/>
  <c r="I2828" i="5"/>
  <c r="I2829" i="5"/>
  <c r="I2830" i="5"/>
  <c r="I2831" i="5"/>
  <c r="I2835" i="5"/>
  <c r="I2836" i="5"/>
  <c r="I2837" i="5"/>
  <c r="I2838" i="5"/>
  <c r="I2839" i="5"/>
  <c r="I2842" i="5"/>
  <c r="I2843" i="5"/>
  <c r="I2844" i="5"/>
  <c r="I2845" i="5"/>
  <c r="I2846" i="5"/>
  <c r="I2847" i="5"/>
  <c r="I2852" i="5"/>
  <c r="I2853" i="5"/>
  <c r="I2854" i="5"/>
  <c r="I2855" i="5"/>
  <c r="I2859" i="5"/>
  <c r="I2860" i="5"/>
  <c r="I2861" i="5"/>
  <c r="I2862" i="5"/>
  <c r="I2863" i="5"/>
  <c r="I2867" i="5"/>
  <c r="I2868" i="5"/>
  <c r="I2869" i="5"/>
  <c r="I2870" i="5"/>
  <c r="I2871" i="5"/>
  <c r="I2875" i="5"/>
  <c r="I2876" i="5"/>
  <c r="I2877" i="5"/>
  <c r="I2878" i="5"/>
  <c r="I2879" i="5"/>
  <c r="I2884" i="5"/>
  <c r="I2885" i="5"/>
  <c r="I2886" i="5"/>
  <c r="I2887" i="5"/>
  <c r="I2891" i="5"/>
  <c r="I2892" i="5"/>
  <c r="I2893" i="5"/>
  <c r="I2894" i="5"/>
  <c r="I2895" i="5"/>
  <c r="I2899" i="5"/>
  <c r="I2900" i="5"/>
  <c r="I2901" i="5"/>
  <c r="I2902" i="5"/>
  <c r="I2903" i="5"/>
  <c r="I2907" i="5"/>
  <c r="I2908" i="5"/>
  <c r="I2909" i="5"/>
  <c r="I2910" i="5"/>
  <c r="I2911" i="5"/>
  <c r="I2916" i="5"/>
  <c r="I2917" i="5"/>
  <c r="I2918" i="5"/>
  <c r="I2919" i="5"/>
  <c r="I2923" i="5"/>
  <c r="I2924" i="5"/>
  <c r="I2925" i="5"/>
  <c r="I2926" i="5"/>
  <c r="I2927" i="5"/>
  <c r="I2931" i="5"/>
  <c r="I2932" i="5"/>
  <c r="I2933" i="5"/>
  <c r="I2934" i="5"/>
  <c r="I2935" i="5"/>
  <c r="I2940" i="5"/>
  <c r="I2941" i="5"/>
  <c r="I2942" i="5"/>
  <c r="I2943" i="5"/>
  <c r="I2946" i="5"/>
  <c r="I2948" i="5"/>
  <c r="I2949" i="5"/>
  <c r="I2950" i="5"/>
  <c r="I2951" i="5"/>
  <c r="I2955" i="5"/>
  <c r="I2956" i="5"/>
  <c r="I2957" i="5"/>
  <c r="I2958" i="5"/>
  <c r="I2959" i="5"/>
  <c r="I2963" i="5"/>
  <c r="I2964" i="5"/>
  <c r="I2965" i="5"/>
  <c r="I2966" i="5"/>
  <c r="I2967" i="5"/>
  <c r="I2971" i="5"/>
  <c r="I2972" i="5"/>
  <c r="I2973" i="5"/>
  <c r="I2974" i="5"/>
  <c r="I2975" i="5"/>
  <c r="I2980" i="5"/>
  <c r="I2981" i="5"/>
  <c r="I2982" i="5"/>
  <c r="I2983" i="5"/>
  <c r="I2987" i="5"/>
  <c r="I2988" i="5"/>
  <c r="I2989" i="5"/>
  <c r="I2990" i="5"/>
  <c r="I2991" i="5"/>
  <c r="I2996" i="5"/>
  <c r="I2997" i="5"/>
  <c r="I2998" i="5"/>
  <c r="I2999" i="5"/>
  <c r="I3003" i="5"/>
  <c r="I3004" i="5"/>
  <c r="I3005" i="5"/>
  <c r="I3006" i="5"/>
  <c r="I3007" i="5"/>
  <c r="I3012" i="5"/>
  <c r="I3013" i="5"/>
  <c r="I3014" i="5"/>
  <c r="I3015" i="5"/>
  <c r="I3019" i="5"/>
  <c r="I3020" i="5"/>
  <c r="I3021" i="5"/>
  <c r="I3022" i="5"/>
  <c r="I3023" i="5"/>
  <c r="I3027" i="5"/>
  <c r="I3028" i="5"/>
  <c r="I3029" i="5"/>
  <c r="I3030" i="5"/>
  <c r="I3031" i="5"/>
  <c r="I3035" i="5"/>
  <c r="I3036" i="5"/>
  <c r="I3037" i="5"/>
  <c r="I3038" i="5"/>
  <c r="I3039" i="5"/>
  <c r="I3044" i="5"/>
  <c r="I3045" i="5"/>
  <c r="I3046" i="5"/>
  <c r="I3047" i="5"/>
  <c r="I3052" i="5"/>
  <c r="I3053" i="5"/>
  <c r="I3054" i="5"/>
  <c r="I3055" i="5"/>
  <c r="I3059" i="5"/>
  <c r="I3060" i="5"/>
  <c r="I3061" i="5"/>
  <c r="I3062" i="5"/>
  <c r="I3063" i="5"/>
  <c r="I3067" i="5"/>
  <c r="I3068" i="5"/>
  <c r="I3069" i="5"/>
  <c r="I3070" i="5"/>
  <c r="I3071" i="5"/>
  <c r="I3076" i="5"/>
  <c r="I3077" i="5"/>
  <c r="I3078" i="5"/>
  <c r="I3079" i="5"/>
  <c r="I3083" i="5"/>
  <c r="I3084" i="5"/>
  <c r="I3085" i="5"/>
  <c r="I3086" i="5"/>
  <c r="I3087" i="5"/>
  <c r="I3091" i="5"/>
  <c r="I3092" i="5"/>
  <c r="I3093" i="5"/>
  <c r="I3094" i="5"/>
  <c r="I3095" i="5"/>
  <c r="I3100" i="5"/>
  <c r="I3101" i="5"/>
  <c r="I3102" i="5"/>
  <c r="I3103" i="5"/>
  <c r="I3106" i="5"/>
  <c r="I3108" i="5"/>
  <c r="I3109" i="5"/>
  <c r="I3110" i="5"/>
  <c r="I3111" i="5"/>
  <c r="I3115" i="5"/>
  <c r="I3116" i="5"/>
  <c r="I3117" i="5"/>
  <c r="I3118" i="5"/>
  <c r="I3119" i="5"/>
  <c r="I3123" i="5"/>
  <c r="I3124" i="5"/>
  <c r="I3125" i="5"/>
  <c r="I3126" i="5"/>
  <c r="I3127" i="5"/>
  <c r="I3131" i="5"/>
  <c r="I3132" i="5"/>
  <c r="I3133" i="5"/>
  <c r="I3134" i="5"/>
  <c r="I3135" i="5"/>
  <c r="I3140" i="5"/>
  <c r="I3141" i="5"/>
  <c r="I3142" i="5"/>
  <c r="I3143" i="5"/>
  <c r="I3147" i="5"/>
  <c r="I3148" i="5"/>
  <c r="I3149" i="5"/>
  <c r="I3150" i="5"/>
  <c r="I3151" i="5"/>
  <c r="I3156" i="5"/>
  <c r="I3157" i="5"/>
  <c r="I3158" i="5"/>
  <c r="I3159" i="5"/>
  <c r="I3163" i="5"/>
  <c r="I3164" i="5"/>
  <c r="I3165" i="5"/>
  <c r="I3166" i="5"/>
  <c r="I3167" i="5"/>
  <c r="I3172" i="5"/>
  <c r="I3173" i="5"/>
  <c r="I3174" i="5"/>
  <c r="I3175" i="5"/>
  <c r="I3179" i="5"/>
  <c r="I3180" i="5"/>
  <c r="I3181" i="5"/>
  <c r="I3182" i="5"/>
  <c r="I3183" i="5"/>
  <c r="I3187" i="5"/>
  <c r="I3188" i="5"/>
  <c r="I3189" i="5"/>
  <c r="I3190" i="5"/>
  <c r="I3191" i="5"/>
  <c r="I3196" i="5"/>
  <c r="I3197" i="5"/>
  <c r="I3198" i="5"/>
  <c r="I3199" i="5"/>
  <c r="I3203" i="5"/>
  <c r="I3204" i="5"/>
  <c r="I3205" i="5"/>
  <c r="I3206" i="5"/>
  <c r="I3207" i="5"/>
  <c r="I3211" i="5"/>
  <c r="I3212" i="5"/>
  <c r="I3213" i="5"/>
  <c r="I3214" i="5"/>
  <c r="I3215" i="5"/>
  <c r="I3219" i="5"/>
  <c r="I3220" i="5"/>
  <c r="I3221" i="5"/>
  <c r="I3222" i="5"/>
  <c r="I3223" i="5"/>
  <c r="I3228" i="5"/>
  <c r="I3229" i="5"/>
  <c r="I3230" i="5"/>
  <c r="I3231" i="5"/>
  <c r="I3235" i="5"/>
  <c r="I3236" i="5"/>
  <c r="I3237" i="5"/>
  <c r="I3238" i="5"/>
  <c r="I3239" i="5"/>
  <c r="I3243" i="5"/>
  <c r="I3244" i="5"/>
  <c r="I3245" i="5"/>
  <c r="I3246" i="5"/>
  <c r="I3247" i="5"/>
  <c r="I3250" i="5"/>
  <c r="I3251" i="5"/>
  <c r="I3252" i="5"/>
  <c r="I3253" i="5"/>
  <c r="I3254" i="5"/>
  <c r="I3255" i="5"/>
  <c r="I3260" i="5"/>
  <c r="I3261" i="5"/>
  <c r="I3262" i="5"/>
  <c r="I3263" i="5"/>
  <c r="I3267" i="5"/>
  <c r="I3268" i="5"/>
  <c r="I3269" i="5"/>
  <c r="I3270" i="5"/>
  <c r="I3271" i="5"/>
  <c r="I3275" i="5"/>
  <c r="I3276" i="5"/>
  <c r="I3277" i="5"/>
  <c r="I3278" i="5"/>
  <c r="I3279" i="5"/>
  <c r="I3283" i="5"/>
  <c r="I3284" i="5"/>
  <c r="I3285" i="5"/>
  <c r="I3286" i="5"/>
  <c r="I3287" i="5"/>
  <c r="I3292" i="5"/>
  <c r="I3293" i="5"/>
  <c r="I3294" i="5"/>
  <c r="I3295" i="5"/>
  <c r="I3299" i="5"/>
  <c r="I3300" i="5"/>
  <c r="I3301" i="5"/>
  <c r="I3302" i="5"/>
  <c r="I3303" i="5"/>
  <c r="I3307" i="5"/>
  <c r="I3308" i="5"/>
  <c r="I3309" i="5"/>
  <c r="I3310" i="5"/>
  <c r="I3311" i="5"/>
  <c r="I3315" i="5"/>
  <c r="I3316" i="5"/>
  <c r="I3317" i="5"/>
  <c r="I3318" i="5"/>
  <c r="I3319" i="5"/>
  <c r="I3324" i="5"/>
  <c r="I3325" i="5"/>
  <c r="I3326" i="5"/>
  <c r="I3327" i="5"/>
  <c r="I3331" i="5"/>
  <c r="I3332" i="5"/>
  <c r="I3333" i="5"/>
  <c r="I3334" i="5"/>
  <c r="I3335" i="5"/>
  <c r="I3339" i="5"/>
  <c r="I3340" i="5"/>
  <c r="I3341" i="5"/>
  <c r="I3342" i="5"/>
  <c r="I3343" i="5"/>
  <c r="I3347" i="5"/>
  <c r="I3348" i="5"/>
  <c r="I3349" i="5"/>
  <c r="I3350" i="5"/>
  <c r="I3351" i="5"/>
  <c r="I3356" i="5"/>
  <c r="I3357" i="5"/>
  <c r="I3358" i="5"/>
  <c r="I3359" i="5"/>
  <c r="I3363" i="5"/>
  <c r="I3364" i="5"/>
  <c r="I3365" i="5"/>
  <c r="I3366" i="5"/>
  <c r="I3367" i="5"/>
  <c r="I3371" i="5"/>
  <c r="I3372" i="5"/>
  <c r="I3373" i="5"/>
  <c r="I3374" i="5"/>
  <c r="I3375" i="5"/>
  <c r="I3379" i="5"/>
  <c r="I3380" i="5"/>
  <c r="I3381" i="5"/>
  <c r="I3382" i="5"/>
  <c r="I3383" i="5"/>
  <c r="I3388" i="5"/>
  <c r="I3389" i="5"/>
  <c r="I3390" i="5"/>
  <c r="I3391" i="5"/>
  <c r="I3395" i="5"/>
  <c r="I3396" i="5"/>
  <c r="I3397" i="5"/>
  <c r="I3398" i="5"/>
  <c r="I3399" i="5"/>
  <c r="I3403" i="5"/>
  <c r="I3404" i="5"/>
  <c r="I3405" i="5"/>
  <c r="I3406" i="5"/>
  <c r="I3407" i="5"/>
  <c r="I3411" i="5"/>
  <c r="I3412" i="5"/>
  <c r="I3413" i="5"/>
  <c r="I3414" i="5"/>
  <c r="I3415" i="5"/>
  <c r="I3420" i="5"/>
  <c r="I3421" i="5"/>
  <c r="I3422" i="5"/>
  <c r="I3423" i="5"/>
  <c r="I3427" i="5"/>
  <c r="I3428" i="5"/>
  <c r="I3429" i="5"/>
  <c r="I3430" i="5"/>
  <c r="I3431" i="5"/>
  <c r="I3435" i="5"/>
  <c r="I3436" i="5"/>
  <c r="I3437" i="5"/>
  <c r="I3438" i="5"/>
  <c r="I3439" i="5"/>
  <c r="I3443" i="5"/>
  <c r="I3444" i="5"/>
  <c r="I3445" i="5"/>
  <c r="I3446" i="5"/>
  <c r="I3447" i="5"/>
  <c r="I3452" i="5"/>
  <c r="I3453" i="5"/>
  <c r="I3454" i="5"/>
  <c r="I3455" i="5"/>
  <c r="I3459" i="5"/>
  <c r="I3460" i="5"/>
  <c r="I3461" i="5"/>
  <c r="I3463" i="5"/>
  <c r="I3468" i="5"/>
  <c r="I3469" i="5"/>
  <c r="I3470" i="5"/>
  <c r="I3471" i="5"/>
  <c r="I3475" i="5"/>
  <c r="I3476" i="5"/>
  <c r="I3477" i="5"/>
  <c r="I3479" i="5"/>
  <c r="I3483" i="5"/>
  <c r="I3484" i="5"/>
  <c r="I3485" i="5"/>
  <c r="I3486" i="5"/>
  <c r="I3487" i="5"/>
  <c r="I3491" i="5"/>
  <c r="I3492" i="5"/>
  <c r="I3493" i="5"/>
  <c r="I3494" i="5"/>
  <c r="I3495" i="5"/>
  <c r="I3499" i="5"/>
  <c r="I3500" i="5"/>
  <c r="I3501" i="5"/>
  <c r="H2" i="5"/>
  <c r="H3" i="5"/>
  <c r="H4" i="5"/>
  <c r="K4" i="5" s="1"/>
  <c r="H5" i="5"/>
  <c r="K5" i="5" s="1"/>
  <c r="H6" i="5"/>
  <c r="K6" i="5" s="1"/>
  <c r="H7" i="5"/>
  <c r="H8" i="5"/>
  <c r="H9" i="5"/>
  <c r="H11" i="5"/>
  <c r="K11" i="5" s="1"/>
  <c r="H12" i="5"/>
  <c r="K12" i="5" s="1"/>
  <c r="H13" i="5"/>
  <c r="H14" i="5"/>
  <c r="K14" i="5" s="1"/>
  <c r="H15" i="5"/>
  <c r="H16" i="5"/>
  <c r="K16" i="5" s="1"/>
  <c r="H17" i="5"/>
  <c r="H19" i="5"/>
  <c r="H20" i="5"/>
  <c r="K20" i="5" s="1"/>
  <c r="H21" i="5"/>
  <c r="K21" i="5" s="1"/>
  <c r="H22" i="5"/>
  <c r="H23" i="5"/>
  <c r="H24" i="5"/>
  <c r="K24" i="5" s="1"/>
  <c r="H25" i="5"/>
  <c r="H27" i="5"/>
  <c r="H28" i="5"/>
  <c r="H29" i="5"/>
  <c r="H30" i="5"/>
  <c r="K30" i="5" s="1"/>
  <c r="H31" i="5"/>
  <c r="H32" i="5"/>
  <c r="H33" i="5"/>
  <c r="H35" i="5"/>
  <c r="K35" i="5" s="1"/>
  <c r="H36" i="5"/>
  <c r="K36" i="5" s="1"/>
  <c r="H37" i="5"/>
  <c r="H38" i="5"/>
  <c r="K38" i="5" s="1"/>
  <c r="H39" i="5"/>
  <c r="H40" i="5"/>
  <c r="H41" i="5"/>
  <c r="H43" i="5"/>
  <c r="H44" i="5"/>
  <c r="H45" i="5"/>
  <c r="H46" i="5"/>
  <c r="H47" i="5"/>
  <c r="H48" i="5"/>
  <c r="H49" i="5"/>
  <c r="H51" i="5"/>
  <c r="K51" i="5" s="1"/>
  <c r="H52" i="5"/>
  <c r="K52" i="5" s="1"/>
  <c r="H53" i="5"/>
  <c r="K53" i="5" s="1"/>
  <c r="H54" i="5"/>
  <c r="H55" i="5"/>
  <c r="H56" i="5"/>
  <c r="H57" i="5"/>
  <c r="H59" i="5"/>
  <c r="K59" i="5" s="1"/>
  <c r="H60" i="5"/>
  <c r="K60" i="5" s="1"/>
  <c r="H61" i="5"/>
  <c r="K61" i="5" s="1"/>
  <c r="H62" i="5"/>
  <c r="K62" i="5" s="1"/>
  <c r="H63" i="5"/>
  <c r="H64" i="5"/>
  <c r="H65" i="5"/>
  <c r="H67" i="5"/>
  <c r="K67" i="5" s="1"/>
  <c r="H68" i="5"/>
  <c r="K68" i="5" s="1"/>
  <c r="H69" i="5"/>
  <c r="K69" i="5" s="1"/>
  <c r="H70" i="5"/>
  <c r="K70" i="5" s="1"/>
  <c r="H71" i="5"/>
  <c r="H72" i="5"/>
  <c r="H73" i="5"/>
  <c r="H75" i="5"/>
  <c r="K75" i="5" s="1"/>
  <c r="H76" i="5"/>
  <c r="H77" i="5"/>
  <c r="K77" i="5" s="1"/>
  <c r="H78" i="5"/>
  <c r="K78" i="5" s="1"/>
  <c r="H79" i="5"/>
  <c r="H80" i="5"/>
  <c r="H81" i="5"/>
  <c r="H83" i="5"/>
  <c r="H84" i="5"/>
  <c r="K84" i="5" s="1"/>
  <c r="H85" i="5"/>
  <c r="K85" i="5" s="1"/>
  <c r="H86" i="5"/>
  <c r="H87" i="5"/>
  <c r="K87" i="5" s="1"/>
  <c r="H88" i="5"/>
  <c r="K88" i="5" s="1"/>
  <c r="H89" i="5"/>
  <c r="H91" i="5"/>
  <c r="H92" i="5"/>
  <c r="H93" i="5"/>
  <c r="H94" i="5"/>
  <c r="H95" i="5"/>
  <c r="H96" i="5"/>
  <c r="H97" i="5"/>
  <c r="H99" i="5"/>
  <c r="K99" i="5" s="1"/>
  <c r="H100" i="5"/>
  <c r="K100" i="5" s="1"/>
  <c r="H101" i="5"/>
  <c r="H102" i="5"/>
  <c r="H103" i="5"/>
  <c r="H104" i="5"/>
  <c r="H105" i="5"/>
  <c r="H107" i="5"/>
  <c r="H108" i="5"/>
  <c r="K108" i="5" s="1"/>
  <c r="H109" i="5"/>
  <c r="K109" i="5" s="1"/>
  <c r="H110" i="5"/>
  <c r="H111" i="5"/>
  <c r="H112" i="5"/>
  <c r="H113" i="5"/>
  <c r="H115" i="5"/>
  <c r="H116" i="5"/>
  <c r="K116" i="5" s="1"/>
  <c r="H117" i="5"/>
  <c r="K117" i="5" s="1"/>
  <c r="H118" i="5"/>
  <c r="H119" i="5"/>
  <c r="H120" i="5"/>
  <c r="H121" i="5"/>
  <c r="H123" i="5"/>
  <c r="K123" i="5" s="1"/>
  <c r="H124" i="5"/>
  <c r="K124" i="5" s="1"/>
  <c r="H125" i="5"/>
  <c r="K125" i="5" s="1"/>
  <c r="H126" i="5"/>
  <c r="H127" i="5"/>
  <c r="H128" i="5"/>
  <c r="H129" i="5"/>
  <c r="H131" i="5"/>
  <c r="K131" i="5" s="1"/>
  <c r="H132" i="5"/>
  <c r="K132" i="5" s="1"/>
  <c r="H133" i="5"/>
  <c r="K133" i="5" s="1"/>
  <c r="H134" i="5"/>
  <c r="K134" i="5" s="1"/>
  <c r="H135" i="5"/>
  <c r="H136" i="5"/>
  <c r="H139" i="5"/>
  <c r="H140" i="5"/>
  <c r="H141" i="5"/>
  <c r="K141" i="5" s="1"/>
  <c r="H142" i="5"/>
  <c r="K142" i="5" s="1"/>
  <c r="H143" i="5"/>
  <c r="K143" i="5" s="1"/>
  <c r="H144" i="5"/>
  <c r="H147" i="5"/>
  <c r="K147" i="5" s="1"/>
  <c r="H148" i="5"/>
  <c r="K148" i="5" s="1"/>
  <c r="H149" i="5"/>
  <c r="H150" i="5"/>
  <c r="K150" i="5" s="1"/>
  <c r="H151" i="5"/>
  <c r="K151" i="5" s="1"/>
  <c r="H152" i="5"/>
  <c r="H155" i="5"/>
  <c r="K155" i="5" s="1"/>
  <c r="H156" i="5"/>
  <c r="K156" i="5" s="1"/>
  <c r="H157" i="5"/>
  <c r="K157" i="5" s="1"/>
  <c r="H158" i="5"/>
  <c r="H159" i="5"/>
  <c r="H160" i="5"/>
  <c r="H163" i="5"/>
  <c r="H164" i="5"/>
  <c r="K164" i="5" s="1"/>
  <c r="H165" i="5"/>
  <c r="K165" i="5" s="1"/>
  <c r="H166" i="5"/>
  <c r="K166" i="5" s="1"/>
  <c r="H167" i="5"/>
  <c r="K167" i="5" s="1"/>
  <c r="H168" i="5"/>
  <c r="H171" i="5"/>
  <c r="H172" i="5"/>
  <c r="H173" i="5"/>
  <c r="K173" i="5" s="1"/>
  <c r="H174" i="5"/>
  <c r="K174" i="5" s="1"/>
  <c r="H175" i="5"/>
  <c r="K175" i="5" s="1"/>
  <c r="H176" i="5"/>
  <c r="H179" i="5"/>
  <c r="K179" i="5" s="1"/>
  <c r="H180" i="5"/>
  <c r="H181" i="5"/>
  <c r="H182" i="5"/>
  <c r="K182" i="5" s="1"/>
  <c r="H183" i="5"/>
  <c r="K183" i="5" s="1"/>
  <c r="H184" i="5"/>
  <c r="H186" i="5"/>
  <c r="H187" i="5"/>
  <c r="K187" i="5" s="1"/>
  <c r="H188" i="5"/>
  <c r="K188" i="5" s="1"/>
  <c r="H189" i="5"/>
  <c r="K189" i="5" s="1"/>
  <c r="H190" i="5"/>
  <c r="H191" i="5"/>
  <c r="H192" i="5"/>
  <c r="H195" i="5"/>
  <c r="K195" i="5" s="1"/>
  <c r="H196" i="5"/>
  <c r="K196" i="5" s="1"/>
  <c r="H197" i="5"/>
  <c r="K197" i="5" s="1"/>
  <c r="H198" i="5"/>
  <c r="K198" i="5" s="1"/>
  <c r="H199" i="5"/>
  <c r="H200" i="5"/>
  <c r="H203" i="5"/>
  <c r="H204" i="5"/>
  <c r="H205" i="5"/>
  <c r="K205" i="5" s="1"/>
  <c r="H206" i="5"/>
  <c r="H207" i="5"/>
  <c r="K207" i="5" s="1"/>
  <c r="H208" i="5"/>
  <c r="H211" i="5"/>
  <c r="K211" i="5" s="1"/>
  <c r="H212" i="5"/>
  <c r="H213" i="5"/>
  <c r="K213" i="5" s="1"/>
  <c r="H214" i="5"/>
  <c r="H215" i="5"/>
  <c r="K215" i="5" s="1"/>
  <c r="H216" i="5"/>
  <c r="H219" i="5"/>
  <c r="K219" i="5" s="1"/>
  <c r="H220" i="5"/>
  <c r="K220" i="5" s="1"/>
  <c r="H221" i="5"/>
  <c r="K221" i="5" s="1"/>
  <c r="H222" i="5"/>
  <c r="H223" i="5"/>
  <c r="K223" i="5" s="1"/>
  <c r="H224" i="5"/>
  <c r="H227" i="5"/>
  <c r="H228" i="5"/>
  <c r="H229" i="5"/>
  <c r="K229" i="5" s="1"/>
  <c r="H230" i="5"/>
  <c r="K230" i="5" s="1"/>
  <c r="H231" i="5"/>
  <c r="H232" i="5"/>
  <c r="H235" i="5"/>
  <c r="K235" i="5" s="1"/>
  <c r="H236" i="5"/>
  <c r="H237" i="5"/>
  <c r="K237" i="5" s="1"/>
  <c r="H238" i="5"/>
  <c r="K238" i="5" s="1"/>
  <c r="H239" i="5"/>
  <c r="K239" i="5" s="1"/>
  <c r="H240" i="5"/>
  <c r="H243" i="5"/>
  <c r="K243" i="5" s="1"/>
  <c r="H244" i="5"/>
  <c r="H245" i="5"/>
  <c r="H246" i="5"/>
  <c r="K246" i="5" s="1"/>
  <c r="H247" i="5"/>
  <c r="K247" i="5" s="1"/>
  <c r="H248" i="5"/>
  <c r="H250" i="5"/>
  <c r="H251" i="5"/>
  <c r="K251" i="5" s="1"/>
  <c r="H252" i="5"/>
  <c r="K252" i="5" s="1"/>
  <c r="H253" i="5"/>
  <c r="K253" i="5" s="1"/>
  <c r="H254" i="5"/>
  <c r="H255" i="5"/>
  <c r="H256" i="5"/>
  <c r="H259" i="5"/>
  <c r="H260" i="5"/>
  <c r="K260" i="5" s="1"/>
  <c r="H261" i="5"/>
  <c r="K261" i="5" s="1"/>
  <c r="H262" i="5"/>
  <c r="K262" i="5" s="1"/>
  <c r="H263" i="5"/>
  <c r="H264" i="5"/>
  <c r="H267" i="5"/>
  <c r="H268" i="5"/>
  <c r="K268" i="5" s="1"/>
  <c r="H269" i="5"/>
  <c r="H270" i="5"/>
  <c r="K270" i="5" s="1"/>
  <c r="H271" i="5"/>
  <c r="K271" i="5" s="1"/>
  <c r="H272" i="5"/>
  <c r="H275" i="5"/>
  <c r="K275" i="5" s="1"/>
  <c r="H276" i="5"/>
  <c r="H277" i="5"/>
  <c r="H278" i="5"/>
  <c r="K278" i="5" s="1"/>
  <c r="H279" i="5"/>
  <c r="H280" i="5"/>
  <c r="H283" i="5"/>
  <c r="K283" i="5" s="1"/>
  <c r="H284" i="5"/>
  <c r="K284" i="5" s="1"/>
  <c r="H285" i="5"/>
  <c r="H286" i="5"/>
  <c r="H287" i="5"/>
  <c r="H288" i="5"/>
  <c r="H291" i="5"/>
  <c r="H292" i="5"/>
  <c r="K292" i="5" s="1"/>
  <c r="H293" i="5"/>
  <c r="K293" i="5" s="1"/>
  <c r="H294" i="5"/>
  <c r="K294" i="5" s="1"/>
  <c r="H295" i="5"/>
  <c r="K295" i="5" s="1"/>
  <c r="H296" i="5"/>
  <c r="H299" i="5"/>
  <c r="H300" i="5"/>
  <c r="H301" i="5"/>
  <c r="H302" i="5"/>
  <c r="K302" i="5" s="1"/>
  <c r="H303" i="5"/>
  <c r="K303" i="5" s="1"/>
  <c r="H304" i="5"/>
  <c r="H307" i="5"/>
  <c r="H308" i="5"/>
  <c r="H309" i="5"/>
  <c r="H310" i="5"/>
  <c r="K310" i="5" s="1"/>
  <c r="H311" i="5"/>
  <c r="H312" i="5"/>
  <c r="H314" i="5"/>
  <c r="H315" i="5"/>
  <c r="K315" i="5" s="1"/>
  <c r="H316" i="5"/>
  <c r="H317" i="5"/>
  <c r="H318" i="5"/>
  <c r="K318" i="5" s="1"/>
  <c r="H319" i="5"/>
  <c r="H320" i="5"/>
  <c r="H323" i="5"/>
  <c r="K323" i="5" s="1"/>
  <c r="H324" i="5"/>
  <c r="K324" i="5" s="1"/>
  <c r="H325" i="5"/>
  <c r="K325" i="5" s="1"/>
  <c r="H326" i="5"/>
  <c r="K326" i="5" s="1"/>
  <c r="H327" i="5"/>
  <c r="H328" i="5"/>
  <c r="H331" i="5"/>
  <c r="H332" i="5"/>
  <c r="K332" i="5" s="1"/>
  <c r="H333" i="5"/>
  <c r="K333" i="5" s="1"/>
  <c r="H334" i="5"/>
  <c r="K334" i="5" s="1"/>
  <c r="H335" i="5"/>
  <c r="K335" i="5" s="1"/>
  <c r="H336" i="5"/>
  <c r="H339" i="5"/>
  <c r="K339" i="5" s="1"/>
  <c r="H340" i="5"/>
  <c r="K340" i="5" s="1"/>
  <c r="H341" i="5"/>
  <c r="H342" i="5"/>
  <c r="K342" i="5" s="1"/>
  <c r="H343" i="5"/>
  <c r="K343" i="5" s="1"/>
  <c r="H344" i="5"/>
  <c r="H347" i="5"/>
  <c r="K347" i="5" s="1"/>
  <c r="H348" i="5"/>
  <c r="H349" i="5"/>
  <c r="H350" i="5"/>
  <c r="K350" i="5" s="1"/>
  <c r="H351" i="5"/>
  <c r="H352" i="5"/>
  <c r="H355" i="5"/>
  <c r="H356" i="5"/>
  <c r="K356" i="5" s="1"/>
  <c r="H357" i="5"/>
  <c r="K357" i="5" s="1"/>
  <c r="H358" i="5"/>
  <c r="H359" i="5"/>
  <c r="K359" i="5" s="1"/>
  <c r="H360" i="5"/>
  <c r="H363" i="5"/>
  <c r="H364" i="5"/>
  <c r="K364" i="5" s="1"/>
  <c r="H365" i="5"/>
  <c r="K365" i="5" s="1"/>
  <c r="H366" i="5"/>
  <c r="K366" i="5" s="1"/>
  <c r="H367" i="5"/>
  <c r="K367" i="5" s="1"/>
  <c r="H368" i="5"/>
  <c r="H371" i="5"/>
  <c r="H372" i="5"/>
  <c r="K372" i="5" s="1"/>
  <c r="H373" i="5"/>
  <c r="H374" i="5"/>
  <c r="K374" i="5" s="1"/>
  <c r="H375" i="5"/>
  <c r="K375" i="5" s="1"/>
  <c r="H376" i="5"/>
  <c r="H378" i="5"/>
  <c r="H379" i="5"/>
  <c r="K379" i="5" s="1"/>
  <c r="H380" i="5"/>
  <c r="H381" i="5"/>
  <c r="H382" i="5"/>
  <c r="K382" i="5" s="1"/>
  <c r="H383" i="5"/>
  <c r="H384" i="5"/>
  <c r="H387" i="5"/>
  <c r="K387" i="5" s="1"/>
  <c r="H388" i="5"/>
  <c r="K388" i="5" s="1"/>
  <c r="H389" i="5"/>
  <c r="K389" i="5" s="1"/>
  <c r="H390" i="5"/>
  <c r="K390" i="5" s="1"/>
  <c r="H391" i="5"/>
  <c r="H392" i="5"/>
  <c r="H395" i="5"/>
  <c r="H396" i="5"/>
  <c r="K396" i="5" s="1"/>
  <c r="H397" i="5"/>
  <c r="K397" i="5" s="1"/>
  <c r="H398" i="5"/>
  <c r="K398" i="5" s="1"/>
  <c r="H399" i="5"/>
  <c r="K399" i="5" s="1"/>
  <c r="H400" i="5"/>
  <c r="H403" i="5"/>
  <c r="K403" i="5" s="1"/>
  <c r="H404" i="5"/>
  <c r="K404" i="5" s="1"/>
  <c r="H405" i="5"/>
  <c r="H406" i="5"/>
  <c r="K406" i="5" s="1"/>
  <c r="H407" i="5"/>
  <c r="K407" i="5" s="1"/>
  <c r="H408" i="5"/>
  <c r="H411" i="5"/>
  <c r="K411" i="5" s="1"/>
  <c r="H412" i="5"/>
  <c r="K412" i="5" s="1"/>
  <c r="H413" i="5"/>
  <c r="K413" i="5" s="1"/>
  <c r="H414" i="5"/>
  <c r="K414" i="5" s="1"/>
  <c r="H415" i="5"/>
  <c r="H416" i="5"/>
  <c r="H419" i="5"/>
  <c r="H420" i="5"/>
  <c r="K420" i="5" s="1"/>
  <c r="H421" i="5"/>
  <c r="K421" i="5" s="1"/>
  <c r="H422" i="5"/>
  <c r="K422" i="5" s="1"/>
  <c r="H423" i="5"/>
  <c r="K423" i="5" s="1"/>
  <c r="H424" i="5"/>
  <c r="H427" i="5"/>
  <c r="H428" i="5"/>
  <c r="H429" i="5"/>
  <c r="K429" i="5" s="1"/>
  <c r="H430" i="5"/>
  <c r="K430" i="5" s="1"/>
  <c r="H431" i="5"/>
  <c r="K431" i="5" s="1"/>
  <c r="H432" i="5"/>
  <c r="H435" i="5"/>
  <c r="K435" i="5" s="1"/>
  <c r="H436" i="5"/>
  <c r="K436" i="5" s="1"/>
  <c r="H437" i="5"/>
  <c r="H438" i="5"/>
  <c r="K438" i="5" s="1"/>
  <c r="H439" i="5"/>
  <c r="K439" i="5" s="1"/>
  <c r="H440" i="5"/>
  <c r="H442" i="5"/>
  <c r="H443" i="5"/>
  <c r="K443" i="5" s="1"/>
  <c r="H444" i="5"/>
  <c r="K444" i="5" s="1"/>
  <c r="H445" i="5"/>
  <c r="K445" i="5" s="1"/>
  <c r="H446" i="5"/>
  <c r="H447" i="5"/>
  <c r="H448" i="5"/>
  <c r="H451" i="5"/>
  <c r="K451" i="5" s="1"/>
  <c r="H452" i="5"/>
  <c r="K452" i="5" s="1"/>
  <c r="H453" i="5"/>
  <c r="K453" i="5" s="1"/>
  <c r="H454" i="5"/>
  <c r="K454" i="5" s="1"/>
  <c r="H455" i="5"/>
  <c r="H456" i="5"/>
  <c r="H459" i="5"/>
  <c r="H460" i="5"/>
  <c r="H461" i="5"/>
  <c r="K461" i="5" s="1"/>
  <c r="H462" i="5"/>
  <c r="H463" i="5"/>
  <c r="K463" i="5" s="1"/>
  <c r="H464" i="5"/>
  <c r="H467" i="5"/>
  <c r="K467" i="5" s="1"/>
  <c r="H468" i="5"/>
  <c r="H469" i="5"/>
  <c r="H470" i="5"/>
  <c r="H471" i="5"/>
  <c r="K471" i="5" s="1"/>
  <c r="H472" i="5"/>
  <c r="H475" i="5"/>
  <c r="K475" i="5" s="1"/>
  <c r="H476" i="5"/>
  <c r="K476" i="5" s="1"/>
  <c r="H477" i="5"/>
  <c r="K477" i="5" s="1"/>
  <c r="H478" i="5"/>
  <c r="H479" i="5"/>
  <c r="H480" i="5"/>
  <c r="H483" i="5"/>
  <c r="H484" i="5"/>
  <c r="H485" i="5"/>
  <c r="K485" i="5" s="1"/>
  <c r="H486" i="5"/>
  <c r="K486" i="5" s="1"/>
  <c r="H487" i="5"/>
  <c r="K487" i="5" s="1"/>
  <c r="H488" i="5"/>
  <c r="H491" i="5"/>
  <c r="H492" i="5"/>
  <c r="H493" i="5"/>
  <c r="K493" i="5" s="1"/>
  <c r="H494" i="5"/>
  <c r="K494" i="5" s="1"/>
  <c r="H495" i="5"/>
  <c r="K495" i="5" s="1"/>
  <c r="H496" i="5"/>
  <c r="H499" i="5"/>
  <c r="K499" i="5" s="1"/>
  <c r="H500" i="5"/>
  <c r="H501" i="5"/>
  <c r="H502" i="5"/>
  <c r="K502" i="5" s="1"/>
  <c r="H503" i="5"/>
  <c r="K503" i="5" s="1"/>
  <c r="H504" i="5"/>
  <c r="H506" i="5"/>
  <c r="H507" i="5"/>
  <c r="K507" i="5" s="1"/>
  <c r="H508" i="5"/>
  <c r="K508" i="5" s="1"/>
  <c r="H509" i="5"/>
  <c r="K509" i="5" s="1"/>
  <c r="H510" i="5"/>
  <c r="K510" i="5" s="1"/>
  <c r="H511" i="5"/>
  <c r="K511" i="5" s="1"/>
  <c r="H512" i="5"/>
  <c r="H515" i="5"/>
  <c r="H516" i="5"/>
  <c r="K516" i="5" s="1"/>
  <c r="H517" i="5"/>
  <c r="K517" i="5" s="1"/>
  <c r="H518" i="5"/>
  <c r="K518" i="5" s="1"/>
  <c r="H519" i="5"/>
  <c r="K519" i="5" s="1"/>
  <c r="H520" i="5"/>
  <c r="H523" i="5"/>
  <c r="K523" i="5" s="1"/>
  <c r="H524" i="5"/>
  <c r="K524" i="5" s="1"/>
  <c r="H525" i="5"/>
  <c r="H526" i="5"/>
  <c r="H527" i="5"/>
  <c r="K527" i="5" s="1"/>
  <c r="H528" i="5"/>
  <c r="H531" i="5"/>
  <c r="K531" i="5" s="1"/>
  <c r="H532" i="5"/>
  <c r="K532" i="5" s="1"/>
  <c r="H533" i="5"/>
  <c r="K533" i="5" s="1"/>
  <c r="H534" i="5"/>
  <c r="K534" i="5" s="1"/>
  <c r="H535" i="5"/>
  <c r="H536" i="5"/>
  <c r="H539" i="5"/>
  <c r="K539" i="5" s="1"/>
  <c r="H540" i="5"/>
  <c r="H541" i="5"/>
  <c r="K541" i="5" s="1"/>
  <c r="H542" i="5"/>
  <c r="K542" i="5" s="1"/>
  <c r="H543" i="5"/>
  <c r="K543" i="5" s="1"/>
  <c r="H544" i="5"/>
  <c r="H547" i="5"/>
  <c r="H548" i="5"/>
  <c r="H549" i="5"/>
  <c r="H550" i="5"/>
  <c r="H551" i="5"/>
  <c r="K551" i="5" s="1"/>
  <c r="H552" i="5"/>
  <c r="H555" i="5"/>
  <c r="K555" i="5" s="1"/>
  <c r="H556" i="5"/>
  <c r="H557" i="5"/>
  <c r="H558" i="5"/>
  <c r="K558" i="5" s="1"/>
  <c r="H559" i="5"/>
  <c r="K559" i="5" s="1"/>
  <c r="H560" i="5"/>
  <c r="H563" i="5"/>
  <c r="H564" i="5"/>
  <c r="K564" i="5" s="1"/>
  <c r="H565" i="5"/>
  <c r="H566" i="5"/>
  <c r="K566" i="5" s="1"/>
  <c r="H567" i="5"/>
  <c r="H568" i="5"/>
  <c r="H570" i="5"/>
  <c r="H571" i="5"/>
  <c r="K571" i="5" s="1"/>
  <c r="H572" i="5"/>
  <c r="K572" i="5" s="1"/>
  <c r="H573" i="5"/>
  <c r="K573" i="5" s="1"/>
  <c r="H574" i="5"/>
  <c r="K574" i="5" s="1"/>
  <c r="H575" i="5"/>
  <c r="H576" i="5"/>
  <c r="H579" i="5"/>
  <c r="H580" i="5"/>
  <c r="K580" i="5" s="1"/>
  <c r="H581" i="5"/>
  <c r="K581" i="5" s="1"/>
  <c r="H582" i="5"/>
  <c r="K582" i="5" s="1"/>
  <c r="H583" i="5"/>
  <c r="H584" i="5"/>
  <c r="H587" i="5"/>
  <c r="H588" i="5"/>
  <c r="K588" i="5" s="1"/>
  <c r="H589" i="5"/>
  <c r="H590" i="5"/>
  <c r="K590" i="5" s="1"/>
  <c r="H591" i="5"/>
  <c r="K591" i="5" s="1"/>
  <c r="H592" i="5"/>
  <c r="H595" i="5"/>
  <c r="K595" i="5" s="1"/>
  <c r="H596" i="5"/>
  <c r="K596" i="5" s="1"/>
  <c r="H597" i="5"/>
  <c r="H598" i="5"/>
  <c r="K598" i="5" s="1"/>
  <c r="H599" i="5"/>
  <c r="H600" i="5"/>
  <c r="H603" i="5"/>
  <c r="K603" i="5" s="1"/>
  <c r="H604" i="5"/>
  <c r="H605" i="5"/>
  <c r="K605" i="5" s="1"/>
  <c r="H606" i="5"/>
  <c r="K606" i="5" s="1"/>
  <c r="H607" i="5"/>
  <c r="H608" i="5"/>
  <c r="H611" i="5"/>
  <c r="H612" i="5"/>
  <c r="K612" i="5" s="1"/>
  <c r="H613" i="5"/>
  <c r="K613" i="5" s="1"/>
  <c r="H614" i="5"/>
  <c r="H615" i="5"/>
  <c r="K615" i="5" s="1"/>
  <c r="H616" i="5"/>
  <c r="H619" i="5"/>
  <c r="H620" i="5"/>
  <c r="H621" i="5"/>
  <c r="H622" i="5"/>
  <c r="K622" i="5" s="1"/>
  <c r="H623" i="5"/>
  <c r="K623" i="5" s="1"/>
  <c r="H624" i="5"/>
  <c r="H627" i="5"/>
  <c r="K627" i="5" s="1"/>
  <c r="H628" i="5"/>
  <c r="K628" i="5" s="1"/>
  <c r="H629" i="5"/>
  <c r="H630" i="5"/>
  <c r="K630" i="5" s="1"/>
  <c r="H631" i="5"/>
  <c r="H632" i="5"/>
  <c r="H634" i="5"/>
  <c r="H635" i="5"/>
  <c r="K635" i="5" s="1"/>
  <c r="H636" i="5"/>
  <c r="K636" i="5" s="1"/>
  <c r="H637" i="5"/>
  <c r="H638" i="5"/>
  <c r="K638" i="5" s="1"/>
  <c r="H639" i="5"/>
  <c r="H640" i="5"/>
  <c r="H643" i="5"/>
  <c r="K643" i="5" s="1"/>
  <c r="H644" i="5"/>
  <c r="K644" i="5" s="1"/>
  <c r="H645" i="5"/>
  <c r="K645" i="5" s="1"/>
  <c r="H646" i="5"/>
  <c r="K646" i="5" s="1"/>
  <c r="H647" i="5"/>
  <c r="H648" i="5"/>
  <c r="H651" i="5"/>
  <c r="H652" i="5"/>
  <c r="H653" i="5"/>
  <c r="K653" i="5" s="1"/>
  <c r="H654" i="5"/>
  <c r="K654" i="5" s="1"/>
  <c r="H655" i="5"/>
  <c r="K655" i="5" s="1"/>
  <c r="H656" i="5"/>
  <c r="H659" i="5"/>
  <c r="K659" i="5" s="1"/>
  <c r="H660" i="5"/>
  <c r="K660" i="5" s="1"/>
  <c r="H661" i="5"/>
  <c r="H662" i="5"/>
  <c r="H663" i="5"/>
  <c r="K663" i="5" s="1"/>
  <c r="H664" i="5"/>
  <c r="H667" i="5"/>
  <c r="K667" i="5" s="1"/>
  <c r="H668" i="5"/>
  <c r="K668" i="5" s="1"/>
  <c r="H669" i="5"/>
  <c r="K669" i="5" s="1"/>
  <c r="H670" i="5"/>
  <c r="K670" i="5" s="1"/>
  <c r="H671" i="5"/>
  <c r="H672" i="5"/>
  <c r="H675" i="5"/>
  <c r="H676" i="5"/>
  <c r="K676" i="5" s="1"/>
  <c r="H677" i="5"/>
  <c r="H678" i="5"/>
  <c r="K678" i="5" s="1"/>
  <c r="H679" i="5"/>
  <c r="K679" i="5" s="1"/>
  <c r="H680" i="5"/>
  <c r="H683" i="5"/>
  <c r="H684" i="5"/>
  <c r="H685" i="5"/>
  <c r="K685" i="5" s="1"/>
  <c r="H686" i="5"/>
  <c r="K686" i="5" s="1"/>
  <c r="H687" i="5"/>
  <c r="K687" i="5" s="1"/>
  <c r="H688" i="5"/>
  <c r="H691" i="5"/>
  <c r="K691" i="5" s="1"/>
  <c r="H692" i="5"/>
  <c r="K692" i="5" s="1"/>
  <c r="H693" i="5"/>
  <c r="H694" i="5"/>
  <c r="K694" i="5" s="1"/>
  <c r="H695" i="5"/>
  <c r="K695" i="5" s="1"/>
  <c r="H696" i="5"/>
  <c r="H698" i="5"/>
  <c r="H699" i="5"/>
  <c r="K699" i="5" s="1"/>
  <c r="H700" i="5"/>
  <c r="K700" i="5" s="1"/>
  <c r="H701" i="5"/>
  <c r="K701" i="5" s="1"/>
  <c r="H702" i="5"/>
  <c r="K702" i="5" s="1"/>
  <c r="H703" i="5"/>
  <c r="H704" i="5"/>
  <c r="H707" i="5"/>
  <c r="K707" i="5" s="1"/>
  <c r="H708" i="5"/>
  <c r="K708" i="5" s="1"/>
  <c r="H709" i="5"/>
  <c r="K709" i="5" s="1"/>
  <c r="H710" i="5"/>
  <c r="K710" i="5" s="1"/>
  <c r="H711" i="5"/>
  <c r="H712" i="5"/>
  <c r="H715" i="5"/>
  <c r="H716" i="5"/>
  <c r="H717" i="5"/>
  <c r="K717" i="5" s="1"/>
  <c r="H718" i="5"/>
  <c r="H719" i="5"/>
  <c r="K719" i="5" s="1"/>
  <c r="H720" i="5"/>
  <c r="H723" i="5"/>
  <c r="K723" i="5" s="1"/>
  <c r="H724" i="5"/>
  <c r="K724" i="5" s="1"/>
  <c r="H725" i="5"/>
  <c r="H726" i="5"/>
  <c r="H727" i="5"/>
  <c r="K727" i="5" s="1"/>
  <c r="H728" i="5"/>
  <c r="H731" i="5"/>
  <c r="K731" i="5" s="1"/>
  <c r="H732" i="5"/>
  <c r="K732" i="5" s="1"/>
  <c r="H733" i="5"/>
  <c r="K733" i="5" s="1"/>
  <c r="H734" i="5"/>
  <c r="K734" i="5" s="1"/>
  <c r="H735" i="5"/>
  <c r="H736" i="5"/>
  <c r="H739" i="5"/>
  <c r="H740" i="5"/>
  <c r="H741" i="5"/>
  <c r="K741" i="5" s="1"/>
  <c r="H742" i="5"/>
  <c r="K742" i="5" s="1"/>
  <c r="H743" i="5"/>
  <c r="K743" i="5" s="1"/>
  <c r="H744" i="5"/>
  <c r="H747" i="5"/>
  <c r="H748" i="5"/>
  <c r="H749" i="5"/>
  <c r="K749" i="5" s="1"/>
  <c r="H750" i="5"/>
  <c r="K750" i="5" s="1"/>
  <c r="H751" i="5"/>
  <c r="K751" i="5" s="1"/>
  <c r="H752" i="5"/>
  <c r="H755" i="5"/>
  <c r="K755" i="5" s="1"/>
  <c r="H756" i="5"/>
  <c r="K756" i="5" s="1"/>
  <c r="H757" i="5"/>
  <c r="H758" i="5"/>
  <c r="K758" i="5" s="1"/>
  <c r="H759" i="5"/>
  <c r="K759" i="5" s="1"/>
  <c r="H760" i="5"/>
  <c r="H762" i="5"/>
  <c r="H763" i="5"/>
  <c r="K763" i="5" s="1"/>
  <c r="H764" i="5"/>
  <c r="K764" i="5" s="1"/>
  <c r="H765" i="5"/>
  <c r="K765" i="5" s="1"/>
  <c r="H766" i="5"/>
  <c r="H767" i="5"/>
  <c r="H768" i="5"/>
  <c r="H771" i="5"/>
  <c r="H772" i="5"/>
  <c r="K772" i="5" s="1"/>
  <c r="H773" i="5"/>
  <c r="K773" i="5" s="1"/>
  <c r="H774" i="5"/>
  <c r="K774" i="5" s="1"/>
  <c r="H775" i="5"/>
  <c r="H776" i="5"/>
  <c r="H779" i="5"/>
  <c r="H780" i="5"/>
  <c r="K780" i="5" s="1"/>
  <c r="H781" i="5"/>
  <c r="H782" i="5"/>
  <c r="K782" i="5" s="1"/>
  <c r="H783" i="5"/>
  <c r="K783" i="5" s="1"/>
  <c r="H784" i="5"/>
  <c r="H787" i="5"/>
  <c r="K787" i="5" s="1"/>
  <c r="H788" i="5"/>
  <c r="H789" i="5"/>
  <c r="H790" i="5"/>
  <c r="K790" i="5" s="1"/>
  <c r="H791" i="5"/>
  <c r="H792" i="5"/>
  <c r="H795" i="5"/>
  <c r="K795" i="5" s="1"/>
  <c r="H796" i="5"/>
  <c r="K796" i="5" s="1"/>
  <c r="H797" i="5"/>
  <c r="K797" i="5" s="1"/>
  <c r="H798" i="5"/>
  <c r="H799" i="5"/>
  <c r="H800" i="5"/>
  <c r="H803" i="5"/>
  <c r="H804" i="5"/>
  <c r="K804" i="5" s="1"/>
  <c r="H805" i="5"/>
  <c r="K805" i="5" s="1"/>
  <c r="H806" i="5"/>
  <c r="K806" i="5" s="1"/>
  <c r="H807" i="5"/>
  <c r="K807" i="5" s="1"/>
  <c r="H808" i="5"/>
  <c r="H811" i="5"/>
  <c r="H812" i="5"/>
  <c r="H813" i="5"/>
  <c r="H814" i="5"/>
  <c r="K814" i="5" s="1"/>
  <c r="H815" i="5"/>
  <c r="K815" i="5" s="1"/>
  <c r="H816" i="5"/>
  <c r="H819" i="5"/>
  <c r="H820" i="5"/>
  <c r="H821" i="5"/>
  <c r="H822" i="5"/>
  <c r="K822" i="5" s="1"/>
  <c r="H823" i="5"/>
  <c r="H824" i="5"/>
  <c r="H826" i="5"/>
  <c r="H827" i="5"/>
  <c r="K827" i="5" s="1"/>
  <c r="H828" i="5"/>
  <c r="K828" i="5" s="1"/>
  <c r="H829" i="5"/>
  <c r="H830" i="5"/>
  <c r="K830" i="5" s="1"/>
  <c r="H831" i="5"/>
  <c r="H832" i="5"/>
  <c r="H835" i="5"/>
  <c r="K835" i="5" s="1"/>
  <c r="H836" i="5"/>
  <c r="K836" i="5" s="1"/>
  <c r="H837" i="5"/>
  <c r="K837" i="5" s="1"/>
  <c r="H838" i="5"/>
  <c r="K838" i="5" s="1"/>
  <c r="H839" i="5"/>
  <c r="H840" i="5"/>
  <c r="H843" i="5"/>
  <c r="H844" i="5"/>
  <c r="K844" i="5" s="1"/>
  <c r="H845" i="5"/>
  <c r="K845" i="5" s="1"/>
  <c r="H846" i="5"/>
  <c r="K846" i="5" s="1"/>
  <c r="H847" i="5"/>
  <c r="K847" i="5" s="1"/>
  <c r="H848" i="5"/>
  <c r="H851" i="5"/>
  <c r="K851" i="5" s="1"/>
  <c r="H852" i="5"/>
  <c r="K852" i="5" s="1"/>
  <c r="H853" i="5"/>
  <c r="H854" i="5"/>
  <c r="K854" i="5" s="1"/>
  <c r="H855" i="5"/>
  <c r="K855" i="5" s="1"/>
  <c r="H856" i="5"/>
  <c r="H859" i="5"/>
  <c r="K859" i="5" s="1"/>
  <c r="H860" i="5"/>
  <c r="H861" i="5"/>
  <c r="K861" i="5" s="1"/>
  <c r="H862" i="5"/>
  <c r="K862" i="5" s="1"/>
  <c r="H863" i="5"/>
  <c r="H864" i="5"/>
  <c r="H867" i="5"/>
  <c r="K867" i="5" s="1"/>
  <c r="H868" i="5"/>
  <c r="K868" i="5" s="1"/>
  <c r="H869" i="5"/>
  <c r="K869" i="5" s="1"/>
  <c r="H870" i="5"/>
  <c r="H871" i="5"/>
  <c r="K871" i="5" s="1"/>
  <c r="H872" i="5"/>
  <c r="H875" i="5"/>
  <c r="H876" i="5"/>
  <c r="K876" i="5" s="1"/>
  <c r="H877" i="5"/>
  <c r="K877" i="5" s="1"/>
  <c r="H878" i="5"/>
  <c r="K878" i="5" s="1"/>
  <c r="H879" i="5"/>
  <c r="K879" i="5" s="1"/>
  <c r="H880" i="5"/>
  <c r="H883" i="5"/>
  <c r="H884" i="5"/>
  <c r="K884" i="5" s="1"/>
  <c r="H885" i="5"/>
  <c r="H886" i="5"/>
  <c r="K886" i="5" s="1"/>
  <c r="H887" i="5"/>
  <c r="K887" i="5" s="1"/>
  <c r="H888" i="5"/>
  <c r="H890" i="5"/>
  <c r="H891" i="5"/>
  <c r="K891" i="5" s="1"/>
  <c r="H892" i="5"/>
  <c r="K892" i="5" s="1"/>
  <c r="H893" i="5"/>
  <c r="H894" i="5"/>
  <c r="K894" i="5" s="1"/>
  <c r="H895" i="5"/>
  <c r="H896" i="5"/>
  <c r="H899" i="5"/>
  <c r="K899" i="5" s="1"/>
  <c r="H900" i="5"/>
  <c r="K900" i="5" s="1"/>
  <c r="H901" i="5"/>
  <c r="K901" i="5" s="1"/>
  <c r="H902" i="5"/>
  <c r="K902" i="5" s="1"/>
  <c r="H903" i="5"/>
  <c r="H904" i="5"/>
  <c r="H907" i="5"/>
  <c r="H908" i="5"/>
  <c r="H909" i="5"/>
  <c r="K909" i="5" s="1"/>
  <c r="H910" i="5"/>
  <c r="K910" i="5" s="1"/>
  <c r="H911" i="5"/>
  <c r="K911" i="5" s="1"/>
  <c r="H912" i="5"/>
  <c r="H915" i="5"/>
  <c r="K915" i="5" s="1"/>
  <c r="H916" i="5"/>
  <c r="K916" i="5" s="1"/>
  <c r="H917" i="5"/>
  <c r="H918" i="5"/>
  <c r="K918" i="5" s="1"/>
  <c r="H919" i="5"/>
  <c r="K919" i="5" s="1"/>
  <c r="H920" i="5"/>
  <c r="H923" i="5"/>
  <c r="K923" i="5" s="1"/>
  <c r="H924" i="5"/>
  <c r="K924" i="5" s="1"/>
  <c r="H925" i="5"/>
  <c r="K925" i="5" s="1"/>
  <c r="H926" i="5"/>
  <c r="K926" i="5" s="1"/>
  <c r="H927" i="5"/>
  <c r="H928" i="5"/>
  <c r="H931" i="5"/>
  <c r="K931" i="5" s="1"/>
  <c r="H932" i="5"/>
  <c r="K932" i="5" s="1"/>
  <c r="H933" i="5"/>
  <c r="K933" i="5" s="1"/>
  <c r="H934" i="5"/>
  <c r="K934" i="5" s="1"/>
  <c r="H935" i="5"/>
  <c r="K935" i="5" s="1"/>
  <c r="H936" i="5"/>
  <c r="H939" i="5"/>
  <c r="H940" i="5"/>
  <c r="H941" i="5"/>
  <c r="K941" i="5" s="1"/>
  <c r="H942" i="5"/>
  <c r="K942" i="5" s="1"/>
  <c r="H943" i="5"/>
  <c r="K943" i="5" s="1"/>
  <c r="H944" i="5"/>
  <c r="H947" i="5"/>
  <c r="K947" i="5" s="1"/>
  <c r="H948" i="5"/>
  <c r="K948" i="5" s="1"/>
  <c r="H949" i="5"/>
  <c r="H950" i="5"/>
  <c r="K950" i="5" s="1"/>
  <c r="H951" i="5"/>
  <c r="K951" i="5" s="1"/>
  <c r="H952" i="5"/>
  <c r="H954" i="5"/>
  <c r="H955" i="5"/>
  <c r="K955" i="5" s="1"/>
  <c r="H956" i="5"/>
  <c r="K956" i="5" s="1"/>
  <c r="H957" i="5"/>
  <c r="K957" i="5" s="1"/>
  <c r="H958" i="5"/>
  <c r="H959" i="5"/>
  <c r="H960" i="5"/>
  <c r="H963" i="5"/>
  <c r="K963" i="5" s="1"/>
  <c r="H964" i="5"/>
  <c r="K964" i="5" s="1"/>
  <c r="H965" i="5"/>
  <c r="K965" i="5" s="1"/>
  <c r="H966" i="5"/>
  <c r="K966" i="5" s="1"/>
  <c r="H967" i="5"/>
  <c r="H968" i="5"/>
  <c r="H971" i="5"/>
  <c r="H972" i="5"/>
  <c r="H973" i="5"/>
  <c r="K973" i="5" s="1"/>
  <c r="H974" i="5"/>
  <c r="H975" i="5"/>
  <c r="K975" i="5" s="1"/>
  <c r="H976" i="5"/>
  <c r="H979" i="5"/>
  <c r="K979" i="5" s="1"/>
  <c r="H980" i="5"/>
  <c r="H981" i="5"/>
  <c r="H982" i="5"/>
  <c r="H983" i="5"/>
  <c r="K983" i="5" s="1"/>
  <c r="H984" i="5"/>
  <c r="H987" i="5"/>
  <c r="K987" i="5" s="1"/>
  <c r="H988" i="5"/>
  <c r="K988" i="5" s="1"/>
  <c r="H989" i="5"/>
  <c r="K989" i="5" s="1"/>
  <c r="H990" i="5"/>
  <c r="H991" i="5"/>
  <c r="H992" i="5"/>
  <c r="H995" i="5"/>
  <c r="K995" i="5" s="1"/>
  <c r="H996" i="5"/>
  <c r="H997" i="5"/>
  <c r="K997" i="5" s="1"/>
  <c r="H998" i="5"/>
  <c r="K998" i="5" s="1"/>
  <c r="H999" i="5"/>
  <c r="K999" i="5" s="1"/>
  <c r="H1000" i="5"/>
  <c r="H1003" i="5"/>
  <c r="H1004" i="5"/>
  <c r="H1005" i="5"/>
  <c r="K1005" i="5" s="1"/>
  <c r="H1006" i="5"/>
  <c r="K1006" i="5" s="1"/>
  <c r="H1007" i="5"/>
  <c r="K1007" i="5" s="1"/>
  <c r="H1008" i="5"/>
  <c r="H1011" i="5"/>
  <c r="K1011" i="5" s="1"/>
  <c r="H1012" i="5"/>
  <c r="H1013" i="5"/>
  <c r="H1014" i="5"/>
  <c r="K1014" i="5" s="1"/>
  <c r="H1015" i="5"/>
  <c r="K1015" i="5" s="1"/>
  <c r="H1016" i="5"/>
  <c r="H1018" i="5"/>
  <c r="H1019" i="5"/>
  <c r="K1019" i="5" s="1"/>
  <c r="H1020" i="5"/>
  <c r="K1020" i="5" s="1"/>
  <c r="H1021" i="5"/>
  <c r="K1021" i="5" s="1"/>
  <c r="H1022" i="5"/>
  <c r="K1022" i="5" s="1"/>
  <c r="H1023" i="5"/>
  <c r="K1023" i="5" s="1"/>
  <c r="H1024" i="5"/>
  <c r="H1027" i="5"/>
  <c r="H1028" i="5"/>
  <c r="K1028" i="5" s="1"/>
  <c r="H1029" i="5"/>
  <c r="K1029" i="5" s="1"/>
  <c r="H1030" i="5"/>
  <c r="K1030" i="5" s="1"/>
  <c r="H1031" i="5"/>
  <c r="K1031" i="5" s="1"/>
  <c r="H1032" i="5"/>
  <c r="H1035" i="5"/>
  <c r="K1035" i="5" s="1"/>
  <c r="H1036" i="5"/>
  <c r="H1037" i="5"/>
  <c r="H1038" i="5"/>
  <c r="H1039" i="5"/>
  <c r="K1039" i="5" s="1"/>
  <c r="H1040" i="5"/>
  <c r="H1043" i="5"/>
  <c r="K1043" i="5" s="1"/>
  <c r="H1044" i="5"/>
  <c r="K1044" i="5" s="1"/>
  <c r="H1045" i="5"/>
  <c r="K1045" i="5" s="1"/>
  <c r="H1046" i="5"/>
  <c r="K1046" i="5" s="1"/>
  <c r="H1047" i="5"/>
  <c r="H1048" i="5"/>
  <c r="H1051" i="5"/>
  <c r="K1051" i="5" s="1"/>
  <c r="H1052" i="5"/>
  <c r="H1053" i="5"/>
  <c r="K1053" i="5" s="1"/>
  <c r="H1054" i="5"/>
  <c r="K1054" i="5" s="1"/>
  <c r="H1055" i="5"/>
  <c r="K1055" i="5" s="1"/>
  <c r="H1056" i="5"/>
  <c r="H1059" i="5"/>
  <c r="H1060" i="5"/>
  <c r="H1061" i="5"/>
  <c r="K1061" i="5" s="1"/>
  <c r="H1062" i="5"/>
  <c r="H1063" i="5"/>
  <c r="K1063" i="5" s="1"/>
  <c r="H1064" i="5"/>
  <c r="H1067" i="5"/>
  <c r="K1067" i="5" s="1"/>
  <c r="H1068" i="5"/>
  <c r="H1069" i="5"/>
  <c r="H1070" i="5"/>
  <c r="K1070" i="5" s="1"/>
  <c r="H1071" i="5"/>
  <c r="K1071" i="5" s="1"/>
  <c r="H1072" i="5"/>
  <c r="H1075" i="5"/>
  <c r="H1076" i="5"/>
  <c r="K1076" i="5" s="1"/>
  <c r="H1077" i="5"/>
  <c r="K1077" i="5" s="1"/>
  <c r="H1078" i="5"/>
  <c r="K1078" i="5" s="1"/>
  <c r="H1079" i="5"/>
  <c r="H1080" i="5"/>
  <c r="H1082" i="5"/>
  <c r="H1083" i="5"/>
  <c r="K1083" i="5" s="1"/>
  <c r="H1084" i="5"/>
  <c r="K1084" i="5" s="1"/>
  <c r="H1085" i="5"/>
  <c r="K1085" i="5" s="1"/>
  <c r="H1086" i="5"/>
  <c r="K1086" i="5" s="1"/>
  <c r="H1087" i="5"/>
  <c r="H1088" i="5"/>
  <c r="H1091" i="5"/>
  <c r="H1092" i="5"/>
  <c r="K1092" i="5" s="1"/>
  <c r="H1093" i="5"/>
  <c r="K1093" i="5" s="1"/>
  <c r="H1094" i="5"/>
  <c r="K1094" i="5" s="1"/>
  <c r="H1095" i="5"/>
  <c r="H1096" i="5"/>
  <c r="H1099" i="5"/>
  <c r="H1100" i="5"/>
  <c r="K1100" i="5" s="1"/>
  <c r="H1101" i="5"/>
  <c r="H1102" i="5"/>
  <c r="K1102" i="5" s="1"/>
  <c r="H1103" i="5"/>
  <c r="K1103" i="5" s="1"/>
  <c r="H1104" i="5"/>
  <c r="H1107" i="5"/>
  <c r="K1107" i="5" s="1"/>
  <c r="H1108" i="5"/>
  <c r="K1108" i="5" s="1"/>
  <c r="H1109" i="5"/>
  <c r="H1110" i="5"/>
  <c r="K1110" i="5" s="1"/>
  <c r="H1111" i="5"/>
  <c r="H1112" i="5"/>
  <c r="H1115" i="5"/>
  <c r="K1115" i="5" s="1"/>
  <c r="H1116" i="5"/>
  <c r="H1117" i="5"/>
  <c r="K1117" i="5" s="1"/>
  <c r="H1118" i="5"/>
  <c r="K1118" i="5" s="1"/>
  <c r="H1119" i="5"/>
  <c r="H1120" i="5"/>
  <c r="H1123" i="5"/>
  <c r="H1124" i="5"/>
  <c r="K1124" i="5" s="1"/>
  <c r="H1125" i="5"/>
  <c r="K1125" i="5" s="1"/>
  <c r="H1126" i="5"/>
  <c r="H1127" i="5"/>
  <c r="K1127" i="5" s="1"/>
  <c r="H1128" i="5"/>
  <c r="H1131" i="5"/>
  <c r="H1132" i="5"/>
  <c r="H1133" i="5"/>
  <c r="H1134" i="5"/>
  <c r="K1134" i="5" s="1"/>
  <c r="H1135" i="5"/>
  <c r="K1135" i="5" s="1"/>
  <c r="H1136" i="5"/>
  <c r="H1139" i="5"/>
  <c r="K1139" i="5" s="1"/>
  <c r="H1140" i="5"/>
  <c r="K1140" i="5" s="1"/>
  <c r="H1141" i="5"/>
  <c r="H1142" i="5"/>
  <c r="K1142" i="5" s="1"/>
  <c r="H1143" i="5"/>
  <c r="H1144" i="5"/>
  <c r="H1146" i="5"/>
  <c r="H1147" i="5"/>
  <c r="K1147" i="5" s="1"/>
  <c r="H1148" i="5"/>
  <c r="K1148" i="5" s="1"/>
  <c r="H1149" i="5"/>
  <c r="H1150" i="5"/>
  <c r="K1150" i="5" s="1"/>
  <c r="H1151" i="5"/>
  <c r="H1152" i="5"/>
  <c r="H1155" i="5"/>
  <c r="K1155" i="5" s="1"/>
  <c r="H1156" i="5"/>
  <c r="K1156" i="5" s="1"/>
  <c r="H1157" i="5"/>
  <c r="K1157" i="5" s="1"/>
  <c r="H1158" i="5"/>
  <c r="K1158" i="5" s="1"/>
  <c r="H1159" i="5"/>
  <c r="H1160" i="5"/>
  <c r="H1163" i="5"/>
  <c r="H1164" i="5"/>
  <c r="H1165" i="5"/>
  <c r="K1165" i="5" s="1"/>
  <c r="H1166" i="5"/>
  <c r="K1166" i="5" s="1"/>
  <c r="H1167" i="5"/>
  <c r="K1167" i="5" s="1"/>
  <c r="H1168" i="5"/>
  <c r="H1171" i="5"/>
  <c r="K1171" i="5" s="1"/>
  <c r="H1172" i="5"/>
  <c r="K1172" i="5" s="1"/>
  <c r="H1173" i="5"/>
  <c r="H1174" i="5"/>
  <c r="H1175" i="5"/>
  <c r="K1175" i="5" s="1"/>
  <c r="H1176" i="5"/>
  <c r="H1179" i="5"/>
  <c r="K1179" i="5" s="1"/>
  <c r="H1180" i="5"/>
  <c r="K1180" i="5" s="1"/>
  <c r="H1181" i="5"/>
  <c r="K1181" i="5" s="1"/>
  <c r="H1182" i="5"/>
  <c r="K1182" i="5" s="1"/>
  <c r="H1183" i="5"/>
  <c r="H1184" i="5"/>
  <c r="H1187" i="5"/>
  <c r="K1187" i="5" s="1"/>
  <c r="H1188" i="5"/>
  <c r="K1188" i="5" s="1"/>
  <c r="H1189" i="5"/>
  <c r="K1189" i="5" s="1"/>
  <c r="H1190" i="5"/>
  <c r="K1190" i="5" s="1"/>
  <c r="H1191" i="5"/>
  <c r="K1191" i="5" s="1"/>
  <c r="H1192" i="5"/>
  <c r="H1195" i="5"/>
  <c r="H1196" i="5"/>
  <c r="H1197" i="5"/>
  <c r="K1197" i="5" s="1"/>
  <c r="H1198" i="5"/>
  <c r="K1198" i="5" s="1"/>
  <c r="H1199" i="5"/>
  <c r="K1199" i="5" s="1"/>
  <c r="H1200" i="5"/>
  <c r="H1203" i="5"/>
  <c r="K1203" i="5" s="1"/>
  <c r="H1204" i="5"/>
  <c r="K1204" i="5" s="1"/>
  <c r="H1205" i="5"/>
  <c r="H1206" i="5"/>
  <c r="K1206" i="5" s="1"/>
  <c r="H1207" i="5"/>
  <c r="K1207" i="5" s="1"/>
  <c r="H1208" i="5"/>
  <c r="H1210" i="5"/>
  <c r="H1211" i="5"/>
  <c r="K1211" i="5" s="1"/>
  <c r="H1212" i="5"/>
  <c r="K1212" i="5" s="1"/>
  <c r="H1213" i="5"/>
  <c r="K1213" i="5" s="1"/>
  <c r="H1214" i="5"/>
  <c r="K1214" i="5" s="1"/>
  <c r="H1215" i="5"/>
  <c r="H1216" i="5"/>
  <c r="H1219" i="5"/>
  <c r="K1219" i="5" s="1"/>
  <c r="H1220" i="5"/>
  <c r="K1220" i="5" s="1"/>
  <c r="H1221" i="5"/>
  <c r="K1221" i="5" s="1"/>
  <c r="H1222" i="5"/>
  <c r="K1222" i="5" s="1"/>
  <c r="H1223" i="5"/>
  <c r="H1224" i="5"/>
  <c r="H1227" i="5"/>
  <c r="H1228" i="5"/>
  <c r="H1229" i="5"/>
  <c r="K1229" i="5" s="1"/>
  <c r="H1230" i="5"/>
  <c r="H1231" i="5"/>
  <c r="K1231" i="5" s="1"/>
  <c r="H1232" i="5"/>
  <c r="H1235" i="5"/>
  <c r="K1235" i="5" s="1"/>
  <c r="H1236" i="5"/>
  <c r="K1236" i="5" s="1"/>
  <c r="H1237" i="5"/>
  <c r="H1238" i="5"/>
  <c r="H1239" i="5"/>
  <c r="K1239" i="5" s="1"/>
  <c r="H1240" i="5"/>
  <c r="H1243" i="5"/>
  <c r="K1243" i="5" s="1"/>
  <c r="H1244" i="5"/>
  <c r="K1244" i="5" s="1"/>
  <c r="H1245" i="5"/>
  <c r="K1245" i="5" s="1"/>
  <c r="H1246" i="5"/>
  <c r="K1246" i="5" s="1"/>
  <c r="H1247" i="5"/>
  <c r="H1248" i="5"/>
  <c r="H1251" i="5"/>
  <c r="K1251" i="5" s="1"/>
  <c r="H1252" i="5"/>
  <c r="H1253" i="5"/>
  <c r="K1253" i="5" s="1"/>
  <c r="H1254" i="5"/>
  <c r="K1254" i="5" s="1"/>
  <c r="H1255" i="5"/>
  <c r="K1255" i="5" s="1"/>
  <c r="H1256" i="5"/>
  <c r="H1259" i="5"/>
  <c r="H1260" i="5"/>
  <c r="H1261" i="5"/>
  <c r="K1261" i="5" s="1"/>
  <c r="H1262" i="5"/>
  <c r="K1262" i="5" s="1"/>
  <c r="H1263" i="5"/>
  <c r="K1263" i="5" s="1"/>
  <c r="H1264" i="5"/>
  <c r="H1267" i="5"/>
  <c r="K1267" i="5" s="1"/>
  <c r="H1268" i="5"/>
  <c r="K1268" i="5" s="1"/>
  <c r="H1269" i="5"/>
  <c r="H1270" i="5"/>
  <c r="K1270" i="5" s="1"/>
  <c r="H1271" i="5"/>
  <c r="K1271" i="5" s="1"/>
  <c r="H1272" i="5"/>
  <c r="H1274" i="5"/>
  <c r="H1275" i="5"/>
  <c r="K1275" i="5" s="1"/>
  <c r="H1276" i="5"/>
  <c r="K1276" i="5" s="1"/>
  <c r="H1277" i="5"/>
  <c r="K1277" i="5" s="1"/>
  <c r="H1278" i="5"/>
  <c r="H1279" i="5"/>
  <c r="H1280" i="5"/>
  <c r="H1283" i="5"/>
  <c r="H1284" i="5"/>
  <c r="K1284" i="5" s="1"/>
  <c r="H1285" i="5"/>
  <c r="K1285" i="5" s="1"/>
  <c r="H1286" i="5"/>
  <c r="K1286" i="5" s="1"/>
  <c r="H1287" i="5"/>
  <c r="H1288" i="5"/>
  <c r="H1291" i="5"/>
  <c r="H1292" i="5"/>
  <c r="K1292" i="5" s="1"/>
  <c r="H1293" i="5"/>
  <c r="H1294" i="5"/>
  <c r="K1294" i="5" s="1"/>
  <c r="H1295" i="5"/>
  <c r="K1295" i="5" s="1"/>
  <c r="H1296" i="5"/>
  <c r="H1299" i="5"/>
  <c r="K1299" i="5" s="1"/>
  <c r="H1300" i="5"/>
  <c r="H1301" i="5"/>
  <c r="H1302" i="5"/>
  <c r="K1302" i="5" s="1"/>
  <c r="H1303" i="5"/>
  <c r="H1304" i="5"/>
  <c r="H1307" i="5"/>
  <c r="K1307" i="5" s="1"/>
  <c r="H1308" i="5"/>
  <c r="K1308" i="5" s="1"/>
  <c r="H1309" i="5"/>
  <c r="K1309" i="5" s="1"/>
  <c r="H1310" i="5"/>
  <c r="H1311" i="5"/>
  <c r="H1312" i="5"/>
  <c r="H1315" i="5"/>
  <c r="H1316" i="5"/>
  <c r="K1316" i="5" s="1"/>
  <c r="H1317" i="5"/>
  <c r="K1317" i="5" s="1"/>
  <c r="H1318" i="5"/>
  <c r="K1318" i="5" s="1"/>
  <c r="H1319" i="5"/>
  <c r="K1319" i="5" s="1"/>
  <c r="H1320" i="5"/>
  <c r="H1323" i="5"/>
  <c r="H1324" i="5"/>
  <c r="H1325" i="5"/>
  <c r="H1326" i="5"/>
  <c r="K1326" i="5" s="1"/>
  <c r="H1327" i="5"/>
  <c r="K1327" i="5" s="1"/>
  <c r="H1328" i="5"/>
  <c r="H1331" i="5"/>
  <c r="H1332" i="5"/>
  <c r="H1333" i="5"/>
  <c r="H1334" i="5"/>
  <c r="K1334" i="5" s="1"/>
  <c r="H1335" i="5"/>
  <c r="H1336" i="5"/>
  <c r="H1338" i="5"/>
  <c r="H1339" i="5"/>
  <c r="K1339" i="5" s="1"/>
  <c r="H1340" i="5"/>
  <c r="K1340" i="5" s="1"/>
  <c r="H1341" i="5"/>
  <c r="H1342" i="5"/>
  <c r="K1342" i="5" s="1"/>
  <c r="H1343" i="5"/>
  <c r="H1344" i="5"/>
  <c r="H1347" i="5"/>
  <c r="K1347" i="5" s="1"/>
  <c r="H1348" i="5"/>
  <c r="K1348" i="5" s="1"/>
  <c r="H1349" i="5"/>
  <c r="K1349" i="5" s="1"/>
  <c r="H1350" i="5"/>
  <c r="K1350" i="5" s="1"/>
  <c r="H1351" i="5"/>
  <c r="H1352" i="5"/>
  <c r="H1355" i="5"/>
  <c r="H1356" i="5"/>
  <c r="K1356" i="5" s="1"/>
  <c r="H1357" i="5"/>
  <c r="K1357" i="5" s="1"/>
  <c r="H1358" i="5"/>
  <c r="K1358" i="5" s="1"/>
  <c r="H1359" i="5"/>
  <c r="K1359" i="5" s="1"/>
  <c r="H1360" i="5"/>
  <c r="H1363" i="5"/>
  <c r="K1363" i="5" s="1"/>
  <c r="H1364" i="5"/>
  <c r="K1364" i="5" s="1"/>
  <c r="H1365" i="5"/>
  <c r="H1366" i="5"/>
  <c r="K1366" i="5" s="1"/>
  <c r="H1367" i="5"/>
  <c r="K1367" i="5" s="1"/>
  <c r="H1368" i="5"/>
  <c r="H1371" i="5"/>
  <c r="K1371" i="5" s="1"/>
  <c r="H1372" i="5"/>
  <c r="H1373" i="5"/>
  <c r="K1373" i="5" s="1"/>
  <c r="H1374" i="5"/>
  <c r="K1374" i="5" s="1"/>
  <c r="H1375" i="5"/>
  <c r="H1376" i="5"/>
  <c r="H1379" i="5"/>
  <c r="K1379" i="5" s="1"/>
  <c r="H1380" i="5"/>
  <c r="K1380" i="5" s="1"/>
  <c r="H1381" i="5"/>
  <c r="K1381" i="5" s="1"/>
  <c r="H1382" i="5"/>
  <c r="H1383" i="5"/>
  <c r="K1383" i="5" s="1"/>
  <c r="H1384" i="5"/>
  <c r="H1387" i="5"/>
  <c r="H1388" i="5"/>
  <c r="K1388" i="5" s="1"/>
  <c r="H1389" i="5"/>
  <c r="K1389" i="5" s="1"/>
  <c r="H1390" i="5"/>
  <c r="K1390" i="5" s="1"/>
  <c r="H1391" i="5"/>
  <c r="K1391" i="5" s="1"/>
  <c r="H1392" i="5"/>
  <c r="H1395" i="5"/>
  <c r="H1396" i="5"/>
  <c r="K1396" i="5" s="1"/>
  <c r="H1397" i="5"/>
  <c r="H1398" i="5"/>
  <c r="K1398" i="5" s="1"/>
  <c r="H1399" i="5"/>
  <c r="K1399" i="5" s="1"/>
  <c r="H1400" i="5"/>
  <c r="H1402" i="5"/>
  <c r="H1403" i="5"/>
  <c r="K1403" i="5" s="1"/>
  <c r="H1404" i="5"/>
  <c r="K1404" i="5" s="1"/>
  <c r="H1405" i="5"/>
  <c r="H1406" i="5"/>
  <c r="K1406" i="5" s="1"/>
  <c r="H1407" i="5"/>
  <c r="H1408" i="5"/>
  <c r="H1411" i="5"/>
  <c r="K1411" i="5" s="1"/>
  <c r="H1412" i="5"/>
  <c r="K1412" i="5" s="1"/>
  <c r="H1413" i="5"/>
  <c r="K1413" i="5" s="1"/>
  <c r="H1414" i="5"/>
  <c r="K1414" i="5" s="1"/>
  <c r="H1415" i="5"/>
  <c r="H1416" i="5"/>
  <c r="H1419" i="5"/>
  <c r="H1420" i="5"/>
  <c r="H1421" i="5"/>
  <c r="K1421" i="5" s="1"/>
  <c r="H1422" i="5"/>
  <c r="K1422" i="5" s="1"/>
  <c r="H1423" i="5"/>
  <c r="K1423" i="5" s="1"/>
  <c r="H1424" i="5"/>
  <c r="H1427" i="5"/>
  <c r="K1427" i="5" s="1"/>
  <c r="H1428" i="5"/>
  <c r="K1428" i="5" s="1"/>
  <c r="H1429" i="5"/>
  <c r="H1430" i="5"/>
  <c r="K1430" i="5" s="1"/>
  <c r="H1431" i="5"/>
  <c r="K1431" i="5" s="1"/>
  <c r="H1432" i="5"/>
  <c r="H1435" i="5"/>
  <c r="K1435" i="5" s="1"/>
  <c r="H1436" i="5"/>
  <c r="K1436" i="5" s="1"/>
  <c r="H1437" i="5"/>
  <c r="K1437" i="5" s="1"/>
  <c r="H1438" i="5"/>
  <c r="K1438" i="5" s="1"/>
  <c r="H1439" i="5"/>
  <c r="H1440" i="5"/>
  <c r="H1443" i="5"/>
  <c r="K1443" i="5" s="1"/>
  <c r="H1444" i="5"/>
  <c r="K1444" i="5" s="1"/>
  <c r="H1445" i="5"/>
  <c r="K1445" i="5" s="1"/>
  <c r="H1446" i="5"/>
  <c r="K1446" i="5" s="1"/>
  <c r="H1447" i="5"/>
  <c r="K1447" i="5" s="1"/>
  <c r="H1448" i="5"/>
  <c r="H1451" i="5"/>
  <c r="H1452" i="5"/>
  <c r="H1453" i="5"/>
  <c r="K1453" i="5" s="1"/>
  <c r="H1454" i="5"/>
  <c r="K1454" i="5" s="1"/>
  <c r="H1455" i="5"/>
  <c r="K1455" i="5" s="1"/>
  <c r="H1456" i="5"/>
  <c r="H1459" i="5"/>
  <c r="K1459" i="5" s="1"/>
  <c r="H1460" i="5"/>
  <c r="K1460" i="5" s="1"/>
  <c r="H1461" i="5"/>
  <c r="H1462" i="5"/>
  <c r="K1462" i="5" s="1"/>
  <c r="H1463" i="5"/>
  <c r="K1463" i="5" s="1"/>
  <c r="H1464" i="5"/>
  <c r="H1466" i="5"/>
  <c r="H1467" i="5"/>
  <c r="K1467" i="5" s="1"/>
  <c r="H1468" i="5"/>
  <c r="K1468" i="5" s="1"/>
  <c r="H1469" i="5"/>
  <c r="K1469" i="5" s="1"/>
  <c r="H1470" i="5"/>
  <c r="K1470" i="5" s="1"/>
  <c r="H1471" i="5"/>
  <c r="H1472" i="5"/>
  <c r="H1475" i="5"/>
  <c r="K1475" i="5" s="1"/>
  <c r="H1476" i="5"/>
  <c r="K1476" i="5" s="1"/>
  <c r="H1477" i="5"/>
  <c r="K1477" i="5" s="1"/>
  <c r="H1478" i="5"/>
  <c r="K1478" i="5" s="1"/>
  <c r="H1479" i="5"/>
  <c r="H1480" i="5"/>
  <c r="H1483" i="5"/>
  <c r="H1484" i="5"/>
  <c r="H1485" i="5"/>
  <c r="K1485" i="5" s="1"/>
  <c r="H1486" i="5"/>
  <c r="H1487" i="5"/>
  <c r="K1487" i="5" s="1"/>
  <c r="H1488" i="5"/>
  <c r="H1491" i="5"/>
  <c r="K1491" i="5" s="1"/>
  <c r="H1492" i="5"/>
  <c r="K1492" i="5" s="1"/>
  <c r="H1493" i="5"/>
  <c r="H1494" i="5"/>
  <c r="H1495" i="5"/>
  <c r="K1495" i="5" s="1"/>
  <c r="H1496" i="5"/>
  <c r="H1499" i="5"/>
  <c r="K1499" i="5" s="1"/>
  <c r="H1500" i="5"/>
  <c r="K1500" i="5" s="1"/>
  <c r="H1501" i="5"/>
  <c r="K1501" i="5" s="1"/>
  <c r="H1502" i="5"/>
  <c r="K1502" i="5" s="1"/>
  <c r="H1503" i="5"/>
  <c r="H1504" i="5"/>
  <c r="H1507" i="5"/>
  <c r="K1507" i="5" s="1"/>
  <c r="H1508" i="5"/>
  <c r="H1509" i="5"/>
  <c r="K1509" i="5" s="1"/>
  <c r="H1510" i="5"/>
  <c r="K1510" i="5" s="1"/>
  <c r="H1511" i="5"/>
  <c r="K1511" i="5" s="1"/>
  <c r="H1512" i="5"/>
  <c r="H1515" i="5"/>
  <c r="H1516" i="5"/>
  <c r="K1516" i="5" s="1"/>
  <c r="H1517" i="5"/>
  <c r="K1517" i="5" s="1"/>
  <c r="H1518" i="5"/>
  <c r="K1518" i="5" s="1"/>
  <c r="H1519" i="5"/>
  <c r="H1520" i="5"/>
  <c r="H1523" i="5"/>
  <c r="K1523" i="5" s="1"/>
  <c r="H1524" i="5"/>
  <c r="K1524" i="5" s="1"/>
  <c r="H1525" i="5"/>
  <c r="H1526" i="5"/>
  <c r="K1526" i="5" s="1"/>
  <c r="H1527" i="5"/>
  <c r="K1527" i="5" s="1"/>
  <c r="H1528" i="5"/>
  <c r="H1530" i="5"/>
  <c r="H1531" i="5"/>
  <c r="H1532" i="5"/>
  <c r="K1532" i="5" s="1"/>
  <c r="H1533" i="5"/>
  <c r="K1533" i="5" s="1"/>
  <c r="H1534" i="5"/>
  <c r="K1534" i="5" s="1"/>
  <c r="H1535" i="5"/>
  <c r="K1535" i="5" s="1"/>
  <c r="H1536" i="5"/>
  <c r="H1539" i="5"/>
  <c r="H1540" i="5"/>
  <c r="K1540" i="5" s="1"/>
  <c r="H1541" i="5"/>
  <c r="H1542" i="5"/>
  <c r="K1542" i="5" s="1"/>
  <c r="H1543" i="5"/>
  <c r="K1543" i="5" s="1"/>
  <c r="H1544" i="5"/>
  <c r="H1547" i="5"/>
  <c r="K1547" i="5" s="1"/>
  <c r="H1548" i="5"/>
  <c r="H1549" i="5"/>
  <c r="H1550" i="5"/>
  <c r="H1551" i="5"/>
  <c r="K1551" i="5" s="1"/>
  <c r="H1552" i="5"/>
  <c r="H1555" i="5"/>
  <c r="K1555" i="5" s="1"/>
  <c r="H1556" i="5"/>
  <c r="K1556" i="5" s="1"/>
  <c r="H1557" i="5"/>
  <c r="K1557" i="5" s="1"/>
  <c r="H1558" i="5"/>
  <c r="K1558" i="5" s="1"/>
  <c r="H1559" i="5"/>
  <c r="H1560" i="5"/>
  <c r="H1563" i="5"/>
  <c r="K1563" i="5" s="1"/>
  <c r="H1564" i="5"/>
  <c r="H1565" i="5"/>
  <c r="K1565" i="5" s="1"/>
  <c r="H1566" i="5"/>
  <c r="H1567" i="5"/>
  <c r="K1567" i="5" s="1"/>
  <c r="H1568" i="5"/>
  <c r="H1571" i="5"/>
  <c r="H1572" i="5"/>
  <c r="H1573" i="5"/>
  <c r="K1573" i="5" s="1"/>
  <c r="H1574" i="5"/>
  <c r="H1575" i="5"/>
  <c r="K1575" i="5" s="1"/>
  <c r="H1576" i="5"/>
  <c r="H1579" i="5"/>
  <c r="K1579" i="5" s="1"/>
  <c r="H1580" i="5"/>
  <c r="K1580" i="5" s="1"/>
  <c r="H1581" i="5"/>
  <c r="H1582" i="5"/>
  <c r="K1582" i="5" s="1"/>
  <c r="H1583" i="5"/>
  <c r="H1584" i="5"/>
  <c r="H1587" i="5"/>
  <c r="H1588" i="5"/>
  <c r="K1588" i="5" s="1"/>
  <c r="H1589" i="5"/>
  <c r="K1589" i="5" s="1"/>
  <c r="H1590" i="5"/>
  <c r="K1590" i="5" s="1"/>
  <c r="H1591" i="5"/>
  <c r="H1592" i="5"/>
  <c r="H1594" i="5"/>
  <c r="H1595" i="5"/>
  <c r="H1596" i="5"/>
  <c r="K1596" i="5" s="1"/>
  <c r="H1597" i="5"/>
  <c r="K1597" i="5" s="1"/>
  <c r="H1598" i="5"/>
  <c r="K1598" i="5" s="1"/>
  <c r="H1599" i="5"/>
  <c r="H1600" i="5"/>
  <c r="H1603" i="5"/>
  <c r="K1603" i="5" s="1"/>
  <c r="H1604" i="5"/>
  <c r="K1604" i="5" s="1"/>
  <c r="H1605" i="5"/>
  <c r="H1606" i="5"/>
  <c r="K1606" i="5" s="1"/>
  <c r="H1607" i="5"/>
  <c r="H1608" i="5"/>
  <c r="H1611" i="5"/>
  <c r="H1612" i="5"/>
  <c r="K1612" i="5" s="1"/>
  <c r="H1613" i="5"/>
  <c r="K1613" i="5" s="1"/>
  <c r="H1614" i="5"/>
  <c r="K1614" i="5" s="1"/>
  <c r="H1615" i="5"/>
  <c r="K1615" i="5" s="1"/>
  <c r="H1616" i="5"/>
  <c r="H1619" i="5"/>
  <c r="K1619" i="5" s="1"/>
  <c r="H1620" i="5"/>
  <c r="K1620" i="5" s="1"/>
  <c r="H1621" i="5"/>
  <c r="H1622" i="5"/>
  <c r="K1622" i="5" s="1"/>
  <c r="H1623" i="5"/>
  <c r="K1623" i="5" s="1"/>
  <c r="H1624" i="5"/>
  <c r="H1627" i="5"/>
  <c r="K1627" i="5" s="1"/>
  <c r="H1628" i="5"/>
  <c r="H1629" i="5"/>
  <c r="K1629" i="5" s="1"/>
  <c r="H1630" i="5"/>
  <c r="K1630" i="5" s="1"/>
  <c r="H1631" i="5"/>
  <c r="H1632" i="5"/>
  <c r="H1635" i="5"/>
  <c r="K1635" i="5" s="1"/>
  <c r="H1636" i="5"/>
  <c r="K1636" i="5" s="1"/>
  <c r="H1637" i="5"/>
  <c r="K1637" i="5" s="1"/>
  <c r="H1638" i="5"/>
  <c r="H1639" i="5"/>
  <c r="K1639" i="5" s="1"/>
  <c r="H1640" i="5"/>
  <c r="H1643" i="5"/>
  <c r="H1644" i="5"/>
  <c r="H1645" i="5"/>
  <c r="K1645" i="5" s="1"/>
  <c r="H1646" i="5"/>
  <c r="K1646" i="5" s="1"/>
  <c r="H1647" i="5"/>
  <c r="K1647" i="5" s="1"/>
  <c r="H1648" i="5"/>
  <c r="H1651" i="5"/>
  <c r="H1652" i="5"/>
  <c r="K1652" i="5" s="1"/>
  <c r="H1653" i="5"/>
  <c r="H1654" i="5"/>
  <c r="H1655" i="5"/>
  <c r="K1655" i="5" s="1"/>
  <c r="H1656" i="5"/>
  <c r="H1658" i="5"/>
  <c r="H1659" i="5"/>
  <c r="K1659" i="5" s="1"/>
  <c r="H1660" i="5"/>
  <c r="K1660" i="5" s="1"/>
  <c r="H1661" i="5"/>
  <c r="H1662" i="5"/>
  <c r="H1663" i="5"/>
  <c r="H1664" i="5"/>
  <c r="H1667" i="5"/>
  <c r="H1668" i="5"/>
  <c r="K1668" i="5" s="1"/>
  <c r="H1669" i="5"/>
  <c r="K1669" i="5" s="1"/>
  <c r="H1670" i="5"/>
  <c r="K1670" i="5" s="1"/>
  <c r="H1671" i="5"/>
  <c r="H1672" i="5"/>
  <c r="H1675" i="5"/>
  <c r="H1676" i="5"/>
  <c r="H1677" i="5"/>
  <c r="H1678" i="5"/>
  <c r="K1678" i="5" s="1"/>
  <c r="H1679" i="5"/>
  <c r="K1679" i="5" s="1"/>
  <c r="H1680" i="5"/>
  <c r="H1683" i="5"/>
  <c r="K1683" i="5" s="1"/>
  <c r="H1684" i="5"/>
  <c r="K1684" i="5" s="1"/>
  <c r="H1685" i="5"/>
  <c r="H1686" i="5"/>
  <c r="H1687" i="5"/>
  <c r="H1688" i="5"/>
  <c r="H1691" i="5"/>
  <c r="K1691" i="5" s="1"/>
  <c r="H1692" i="5"/>
  <c r="K1692" i="5" s="1"/>
  <c r="H1693" i="5"/>
  <c r="K1693" i="5" s="1"/>
  <c r="H1694" i="5"/>
  <c r="H1695" i="5"/>
  <c r="H1696" i="5"/>
  <c r="H1699" i="5"/>
  <c r="H1700" i="5"/>
  <c r="K1700" i="5" s="1"/>
  <c r="H1701" i="5"/>
  <c r="K1701" i="5" s="1"/>
  <c r="H1702" i="5"/>
  <c r="K1702" i="5" s="1"/>
  <c r="H1703" i="5"/>
  <c r="K1703" i="5" s="1"/>
  <c r="H1704" i="5"/>
  <c r="H1707" i="5"/>
  <c r="H1708" i="5"/>
  <c r="H1709" i="5"/>
  <c r="H1710" i="5"/>
  <c r="K1710" i="5" s="1"/>
  <c r="H1711" i="5"/>
  <c r="K1711" i="5" s="1"/>
  <c r="H1712" i="5"/>
  <c r="H1715" i="5"/>
  <c r="K1715" i="5" s="1"/>
  <c r="H1716" i="5"/>
  <c r="K1716" i="5" s="1"/>
  <c r="H1717" i="5"/>
  <c r="H1718" i="5"/>
  <c r="H1719" i="5"/>
  <c r="H1720" i="5"/>
  <c r="H1722" i="5"/>
  <c r="H1723" i="5"/>
  <c r="K1723" i="5" s="1"/>
  <c r="H1724" i="5"/>
  <c r="K1724" i="5" s="1"/>
  <c r="H1725" i="5"/>
  <c r="K1725" i="5" s="1"/>
  <c r="H1726" i="5"/>
  <c r="K1726" i="5" s="1"/>
  <c r="H1727" i="5"/>
  <c r="H1728" i="5"/>
  <c r="H1731" i="5"/>
  <c r="H1732" i="5"/>
  <c r="K1732" i="5" s="1"/>
  <c r="H1733" i="5"/>
  <c r="K1733" i="5" s="1"/>
  <c r="H1734" i="5"/>
  <c r="K1734" i="5" s="1"/>
  <c r="H1735" i="5"/>
  <c r="H1736" i="5"/>
  <c r="H1739" i="5"/>
  <c r="H1740" i="5"/>
  <c r="H1741" i="5"/>
  <c r="H1742" i="5"/>
  <c r="H1743" i="5"/>
  <c r="K1743" i="5" s="1"/>
  <c r="H1744" i="5"/>
  <c r="H1747" i="5"/>
  <c r="K1747" i="5" s="1"/>
  <c r="H1748" i="5"/>
  <c r="K1748" i="5" s="1"/>
  <c r="H1749" i="5"/>
  <c r="H1750" i="5"/>
  <c r="H1751" i="5"/>
  <c r="H1752" i="5"/>
  <c r="H1755" i="5"/>
  <c r="K1755" i="5" s="1"/>
  <c r="H1756" i="5"/>
  <c r="K1756" i="5" s="1"/>
  <c r="H1757" i="5"/>
  <c r="K1757" i="5" s="1"/>
  <c r="H1758" i="5"/>
  <c r="H1759" i="5"/>
  <c r="H1760" i="5"/>
  <c r="H1763" i="5"/>
  <c r="H1764" i="5"/>
  <c r="H1765" i="5"/>
  <c r="K1765" i="5" s="1"/>
  <c r="H1766" i="5"/>
  <c r="K1766" i="5" s="1"/>
  <c r="H1767" i="5"/>
  <c r="K1767" i="5" s="1"/>
  <c r="H1768" i="5"/>
  <c r="H1771" i="5"/>
  <c r="H1772" i="5"/>
  <c r="H1773" i="5"/>
  <c r="H1774" i="5"/>
  <c r="H1775" i="5"/>
  <c r="K1775" i="5" s="1"/>
  <c r="H1776" i="5"/>
  <c r="H1779" i="5"/>
  <c r="K1779" i="5" s="1"/>
  <c r="H1780" i="5"/>
  <c r="K1780" i="5" s="1"/>
  <c r="H1781" i="5"/>
  <c r="H1782" i="5"/>
  <c r="H1783" i="5"/>
  <c r="H1784" i="5"/>
  <c r="H1786" i="5"/>
  <c r="H1787" i="5"/>
  <c r="H1788" i="5"/>
  <c r="K1788" i="5" s="1"/>
  <c r="H1789" i="5"/>
  <c r="K1789" i="5" s="1"/>
  <c r="H1790" i="5"/>
  <c r="K1790" i="5" s="1"/>
  <c r="H1791" i="5"/>
  <c r="H1792" i="5"/>
  <c r="H1795" i="5"/>
  <c r="K1795" i="5" s="1"/>
  <c r="H1796" i="5"/>
  <c r="K1796" i="5" s="1"/>
  <c r="H1797" i="5"/>
  <c r="H1798" i="5"/>
  <c r="K1798" i="5" s="1"/>
  <c r="H1799" i="5"/>
  <c r="H1800" i="5"/>
  <c r="H1803" i="5"/>
  <c r="H1804" i="5"/>
  <c r="H1805" i="5"/>
  <c r="K1805" i="5" s="1"/>
  <c r="H1806" i="5"/>
  <c r="K1806" i="5" s="1"/>
  <c r="H1807" i="5"/>
  <c r="K1807" i="5" s="1"/>
  <c r="H1808" i="5"/>
  <c r="H1811" i="5"/>
  <c r="K1811" i="5" s="1"/>
  <c r="H1812" i="5"/>
  <c r="K1812" i="5" s="1"/>
  <c r="H1813" i="5"/>
  <c r="H1814" i="5"/>
  <c r="H1815" i="5"/>
  <c r="K1815" i="5" s="1"/>
  <c r="H1816" i="5"/>
  <c r="H1819" i="5"/>
  <c r="K1819" i="5" s="1"/>
  <c r="H1820" i="5"/>
  <c r="K1820" i="5" s="1"/>
  <c r="H1821" i="5"/>
  <c r="K1821" i="5" s="1"/>
  <c r="H1822" i="5"/>
  <c r="K1822" i="5" s="1"/>
  <c r="H1823" i="5"/>
  <c r="H1824" i="5"/>
  <c r="H1827" i="5"/>
  <c r="K1827" i="5" s="1"/>
  <c r="H1828" i="5"/>
  <c r="K1828" i="5" s="1"/>
  <c r="H1829" i="5"/>
  <c r="K1829" i="5" s="1"/>
  <c r="H1830" i="5"/>
  <c r="K1830" i="5" s="1"/>
  <c r="H1831" i="5"/>
  <c r="K1831" i="5" s="1"/>
  <c r="H1832" i="5"/>
  <c r="H1835" i="5"/>
  <c r="H1836" i="5"/>
  <c r="H1837" i="5"/>
  <c r="K1837" i="5" s="1"/>
  <c r="H1838" i="5"/>
  <c r="K1838" i="5" s="1"/>
  <c r="H1839" i="5"/>
  <c r="H1840" i="5"/>
  <c r="H1843" i="5"/>
  <c r="H1844" i="5"/>
  <c r="K1844" i="5" s="1"/>
  <c r="H1845" i="5"/>
  <c r="H1846" i="5"/>
  <c r="H1847" i="5"/>
  <c r="K1847" i="5" s="1"/>
  <c r="H1848" i="5"/>
  <c r="H1850" i="5"/>
  <c r="H1851" i="5"/>
  <c r="K1851" i="5" s="1"/>
  <c r="H1852" i="5"/>
  <c r="K1852" i="5" s="1"/>
  <c r="H1853" i="5"/>
  <c r="H1854" i="5"/>
  <c r="K1854" i="5" s="1"/>
  <c r="H1855" i="5"/>
  <c r="H1856" i="5"/>
  <c r="H1859" i="5"/>
  <c r="K1859" i="5" s="1"/>
  <c r="H1860" i="5"/>
  <c r="K1860" i="5" s="1"/>
  <c r="H1861" i="5"/>
  <c r="K1861" i="5" s="1"/>
  <c r="H1862" i="5"/>
  <c r="K1862" i="5" s="1"/>
  <c r="H1863" i="5"/>
  <c r="H1864" i="5"/>
  <c r="H1867" i="5"/>
  <c r="H1868" i="5"/>
  <c r="H1869" i="5"/>
  <c r="K1869" i="5" s="1"/>
  <c r="H1870" i="5"/>
  <c r="K1870" i="5" s="1"/>
  <c r="H1871" i="5"/>
  <c r="K1871" i="5" s="1"/>
  <c r="H1872" i="5"/>
  <c r="K1872" i="5" s="1"/>
  <c r="H1875" i="5"/>
  <c r="K1875" i="5" s="1"/>
  <c r="H1876" i="5"/>
  <c r="K1876" i="5" s="1"/>
  <c r="H1877" i="5"/>
  <c r="H1878" i="5"/>
  <c r="H1879" i="5"/>
  <c r="K1879" i="5" s="1"/>
  <c r="H1880" i="5"/>
  <c r="H1883" i="5"/>
  <c r="K1883" i="5" s="1"/>
  <c r="H1884" i="5"/>
  <c r="H1885" i="5"/>
  <c r="K1885" i="5" s="1"/>
  <c r="H1886" i="5"/>
  <c r="K1886" i="5" s="1"/>
  <c r="H1887" i="5"/>
  <c r="H1888" i="5"/>
  <c r="H1891" i="5"/>
  <c r="K1891" i="5" s="1"/>
  <c r="H1892" i="5"/>
  <c r="K1892" i="5" s="1"/>
  <c r="H1893" i="5"/>
  <c r="K1893" i="5" s="1"/>
  <c r="H1894" i="5"/>
  <c r="H1895" i="5"/>
  <c r="H1896" i="5"/>
  <c r="H1899" i="5"/>
  <c r="H1900" i="5"/>
  <c r="H1901" i="5"/>
  <c r="K1901" i="5" s="1"/>
  <c r="H1902" i="5"/>
  <c r="K1902" i="5" s="1"/>
  <c r="H1903" i="5"/>
  <c r="K1903" i="5" s="1"/>
  <c r="H1904" i="5"/>
  <c r="K1904" i="5" s="1"/>
  <c r="H1907" i="5"/>
  <c r="H1908" i="5"/>
  <c r="K1908" i="5" s="1"/>
  <c r="H1909" i="5"/>
  <c r="H1910" i="5"/>
  <c r="H1911" i="5"/>
  <c r="K1911" i="5" s="1"/>
  <c r="H1912" i="5"/>
  <c r="H1914" i="5"/>
  <c r="H1915" i="5"/>
  <c r="K1915" i="5" s="1"/>
  <c r="H1916" i="5"/>
  <c r="K1916" i="5" s="1"/>
  <c r="H1917" i="5"/>
  <c r="H1918" i="5"/>
  <c r="K1918" i="5" s="1"/>
  <c r="H1919" i="5"/>
  <c r="H1920" i="5"/>
  <c r="H1923" i="5"/>
  <c r="K1923" i="5" s="1"/>
  <c r="H1924" i="5"/>
  <c r="K1924" i="5" s="1"/>
  <c r="H1925" i="5"/>
  <c r="K1925" i="5" s="1"/>
  <c r="H1926" i="5"/>
  <c r="K1926" i="5" s="1"/>
  <c r="H1927" i="5"/>
  <c r="H1928" i="5"/>
  <c r="H1931" i="5"/>
  <c r="H1932" i="5"/>
  <c r="H1933" i="5"/>
  <c r="K1933" i="5" s="1"/>
  <c r="H1934" i="5"/>
  <c r="K1934" i="5" s="1"/>
  <c r="H1935" i="5"/>
  <c r="K1935" i="5" s="1"/>
  <c r="H1936" i="5"/>
  <c r="H1939" i="5"/>
  <c r="K1939" i="5" s="1"/>
  <c r="H1940" i="5"/>
  <c r="K1940" i="5" s="1"/>
  <c r="H1941" i="5"/>
  <c r="H1942" i="5"/>
  <c r="H1943" i="5"/>
  <c r="K1943" i="5" s="1"/>
  <c r="H1944" i="5"/>
  <c r="H1947" i="5"/>
  <c r="K1947" i="5" s="1"/>
  <c r="H1948" i="5"/>
  <c r="K1948" i="5" s="1"/>
  <c r="H1949" i="5"/>
  <c r="K1949" i="5" s="1"/>
  <c r="H1950" i="5"/>
  <c r="H1951" i="5"/>
  <c r="H1952" i="5"/>
  <c r="H1955" i="5"/>
  <c r="K1955" i="5" s="1"/>
  <c r="H1956" i="5"/>
  <c r="K1956" i="5" s="1"/>
  <c r="H1957" i="5"/>
  <c r="K1957" i="5" s="1"/>
  <c r="H1958" i="5"/>
  <c r="K1958" i="5" s="1"/>
  <c r="H1959" i="5"/>
  <c r="K1959" i="5" s="1"/>
  <c r="H1960" i="5"/>
  <c r="H1963" i="5"/>
  <c r="H1964" i="5"/>
  <c r="H1965" i="5"/>
  <c r="K1965" i="5" s="1"/>
  <c r="H1966" i="5"/>
  <c r="K1966" i="5" s="1"/>
  <c r="H1967" i="5"/>
  <c r="K1967" i="5" s="1"/>
  <c r="H1968" i="5"/>
  <c r="H1971" i="5"/>
  <c r="K1971" i="5" s="1"/>
  <c r="H1972" i="5"/>
  <c r="K1972" i="5" s="1"/>
  <c r="H1973" i="5"/>
  <c r="H1974" i="5"/>
  <c r="H1975" i="5"/>
  <c r="K1975" i="5" s="1"/>
  <c r="H1976" i="5"/>
  <c r="H1978" i="5"/>
  <c r="H1979" i="5"/>
  <c r="K1979" i="5" s="1"/>
  <c r="H1980" i="5"/>
  <c r="K1980" i="5" s="1"/>
  <c r="H1981" i="5"/>
  <c r="K1981" i="5" s="1"/>
  <c r="H1982" i="5"/>
  <c r="K1982" i="5" s="1"/>
  <c r="H1983" i="5"/>
  <c r="H1984" i="5"/>
  <c r="H1987" i="5"/>
  <c r="K1987" i="5" s="1"/>
  <c r="H1988" i="5"/>
  <c r="K1988" i="5" s="1"/>
  <c r="H1989" i="5"/>
  <c r="K1989" i="5" s="1"/>
  <c r="H1990" i="5"/>
  <c r="K1990" i="5" s="1"/>
  <c r="H1991" i="5"/>
  <c r="H1992" i="5"/>
  <c r="H1995" i="5"/>
  <c r="H1996" i="5"/>
  <c r="K1996" i="5" s="1"/>
  <c r="H1997" i="5"/>
  <c r="K1997" i="5" s="1"/>
  <c r="H1998" i="5"/>
  <c r="H1999" i="5"/>
  <c r="H2000" i="5"/>
  <c r="H2003" i="5"/>
  <c r="K2003" i="5" s="1"/>
  <c r="H2004" i="5"/>
  <c r="K2004" i="5" s="1"/>
  <c r="H2005" i="5"/>
  <c r="H2006" i="5"/>
  <c r="K2006" i="5" s="1"/>
  <c r="H2007" i="5"/>
  <c r="K2007" i="5" s="1"/>
  <c r="H2008" i="5"/>
  <c r="K2008" i="5" s="1"/>
  <c r="H2011" i="5"/>
  <c r="H2012" i="5"/>
  <c r="K2012" i="5" s="1"/>
  <c r="H2013" i="5"/>
  <c r="K2013" i="5" s="1"/>
  <c r="H2014" i="5"/>
  <c r="K2014" i="5" s="1"/>
  <c r="H2015" i="5"/>
  <c r="H2016" i="5"/>
  <c r="H2019" i="5"/>
  <c r="K2019" i="5" s="1"/>
  <c r="H2020" i="5"/>
  <c r="H2021" i="5"/>
  <c r="K2021" i="5" s="1"/>
  <c r="H2022" i="5"/>
  <c r="K2022" i="5" s="1"/>
  <c r="H2023" i="5"/>
  <c r="K2023" i="5" s="1"/>
  <c r="H2024" i="5"/>
  <c r="H2027" i="5"/>
  <c r="H2028" i="5"/>
  <c r="K2028" i="5" s="1"/>
  <c r="H2029" i="5"/>
  <c r="K2029" i="5" s="1"/>
  <c r="H2030" i="5"/>
  <c r="K2030" i="5" s="1"/>
  <c r="H2031" i="5"/>
  <c r="H2032" i="5"/>
  <c r="H2035" i="5"/>
  <c r="K2035" i="5" s="1"/>
  <c r="H2036" i="5"/>
  <c r="K2036" i="5" s="1"/>
  <c r="H2037" i="5"/>
  <c r="H2038" i="5"/>
  <c r="K2038" i="5" s="1"/>
  <c r="H2039" i="5"/>
  <c r="K2039" i="5" s="1"/>
  <c r="H2040" i="5"/>
  <c r="K2040" i="5" s="1"/>
  <c r="H2042" i="5"/>
  <c r="H2043" i="5"/>
  <c r="H2044" i="5"/>
  <c r="K2044" i="5" s="1"/>
  <c r="H2045" i="5"/>
  <c r="K2045" i="5" s="1"/>
  <c r="H2046" i="5"/>
  <c r="K2046" i="5" s="1"/>
  <c r="H2047" i="5"/>
  <c r="K2047" i="5" s="1"/>
  <c r="H2048" i="5"/>
  <c r="H2051" i="5"/>
  <c r="H2052" i="5"/>
  <c r="K2052" i="5" s="1"/>
  <c r="H2053" i="5"/>
  <c r="H2054" i="5"/>
  <c r="K2054" i="5" s="1"/>
  <c r="H2055" i="5"/>
  <c r="H2056" i="5"/>
  <c r="H2059" i="5"/>
  <c r="K2059" i="5" s="1"/>
  <c r="H2060" i="5"/>
  <c r="H2061" i="5"/>
  <c r="H2062" i="5"/>
  <c r="H2063" i="5"/>
  <c r="K2063" i="5" s="1"/>
  <c r="H2064" i="5"/>
  <c r="H2067" i="5"/>
  <c r="K2067" i="5" s="1"/>
  <c r="H2068" i="5"/>
  <c r="K2068" i="5" s="1"/>
  <c r="H2069" i="5"/>
  <c r="K2069" i="5" s="1"/>
  <c r="H2070" i="5"/>
  <c r="H2071" i="5"/>
  <c r="H2072" i="5"/>
  <c r="H2075" i="5"/>
  <c r="K2075" i="5" s="1"/>
  <c r="H2076" i="5"/>
  <c r="H2077" i="5"/>
  <c r="K2077" i="5" s="1"/>
  <c r="H2078" i="5"/>
  <c r="K2078" i="5" s="1"/>
  <c r="H2079" i="5"/>
  <c r="K2079" i="5" s="1"/>
  <c r="H2080" i="5"/>
  <c r="H2083" i="5"/>
  <c r="H2084" i="5"/>
  <c r="H2085" i="5"/>
  <c r="K2085" i="5" s="1"/>
  <c r="H2086" i="5"/>
  <c r="H2087" i="5"/>
  <c r="H2088" i="5"/>
  <c r="H2091" i="5"/>
  <c r="H2092" i="5"/>
  <c r="H2093" i="5"/>
  <c r="H2094" i="5"/>
  <c r="K2094" i="5" s="1"/>
  <c r="H2095" i="5"/>
  <c r="H2096" i="5"/>
  <c r="H2099" i="5"/>
  <c r="H2100" i="5"/>
  <c r="K2100" i="5" s="1"/>
  <c r="H2101" i="5"/>
  <c r="K2101" i="5" s="1"/>
  <c r="H2102" i="5"/>
  <c r="H2103" i="5"/>
  <c r="H2104" i="5"/>
  <c r="H2106" i="5"/>
  <c r="H2107" i="5"/>
  <c r="H2108" i="5"/>
  <c r="K2108" i="5" s="1"/>
  <c r="H2109" i="5"/>
  <c r="K2109" i="5" s="1"/>
  <c r="H2110" i="5"/>
  <c r="K2110" i="5" s="1"/>
  <c r="H2111" i="5"/>
  <c r="H2112" i="5"/>
  <c r="K2112" i="5" s="1"/>
  <c r="H2115" i="5"/>
  <c r="K2115" i="5" s="1"/>
  <c r="H2116" i="5"/>
  <c r="K2116" i="5" s="1"/>
  <c r="H2117" i="5"/>
  <c r="H2118" i="5"/>
  <c r="K2118" i="5" s="1"/>
  <c r="H2119" i="5"/>
  <c r="H2120" i="5"/>
  <c r="H2123" i="5"/>
  <c r="H2124" i="5"/>
  <c r="H2125" i="5"/>
  <c r="K2125" i="5" s="1"/>
  <c r="H2126" i="5"/>
  <c r="K2126" i="5" s="1"/>
  <c r="H2127" i="5"/>
  <c r="K2127" i="5" s="1"/>
  <c r="H2128" i="5"/>
  <c r="H2131" i="5"/>
  <c r="K2131" i="5" s="1"/>
  <c r="H2132" i="5"/>
  <c r="K2132" i="5" s="1"/>
  <c r="H2133" i="5"/>
  <c r="H2134" i="5"/>
  <c r="H2135" i="5"/>
  <c r="H2136" i="5"/>
  <c r="H2139" i="5"/>
  <c r="H2140" i="5"/>
  <c r="H2141" i="5"/>
  <c r="K2141" i="5" s="1"/>
  <c r="H2142" i="5"/>
  <c r="K2142" i="5" s="1"/>
  <c r="H2143" i="5"/>
  <c r="H2144" i="5"/>
  <c r="K2144" i="5" s="1"/>
  <c r="H2147" i="5"/>
  <c r="H2148" i="5"/>
  <c r="K2148" i="5" s="1"/>
  <c r="H2149" i="5"/>
  <c r="K2149" i="5" s="1"/>
  <c r="H2150" i="5"/>
  <c r="H2151" i="5"/>
  <c r="K2151" i="5" s="1"/>
  <c r="H2152" i="5"/>
  <c r="H2154" i="5"/>
  <c r="H2155" i="5"/>
  <c r="H2156" i="5"/>
  <c r="H2157" i="5"/>
  <c r="H2158" i="5"/>
  <c r="K2158" i="5" s="1"/>
  <c r="H2159" i="5"/>
  <c r="K2159" i="5" s="1"/>
  <c r="H2160" i="5"/>
  <c r="H2163" i="5"/>
  <c r="K2163" i="5" s="1"/>
  <c r="H2164" i="5"/>
  <c r="K2164" i="5" s="1"/>
  <c r="H2165" i="5"/>
  <c r="H2166" i="5"/>
  <c r="H2167" i="5"/>
  <c r="H2168" i="5"/>
  <c r="H2170" i="5"/>
  <c r="H2171" i="5"/>
  <c r="K2171" i="5" s="1"/>
  <c r="H2172" i="5"/>
  <c r="K2172" i="5" s="1"/>
  <c r="H2173" i="5"/>
  <c r="H2174" i="5"/>
  <c r="K2174" i="5" s="1"/>
  <c r="H2175" i="5"/>
  <c r="H2176" i="5"/>
  <c r="H2179" i="5"/>
  <c r="H2180" i="5"/>
  <c r="K2180" i="5" s="1"/>
  <c r="H2181" i="5"/>
  <c r="K2181" i="5" s="1"/>
  <c r="H2182" i="5"/>
  <c r="K2182" i="5" s="1"/>
  <c r="H2183" i="5"/>
  <c r="H2184" i="5"/>
  <c r="K2184" i="5" s="1"/>
  <c r="H2187" i="5"/>
  <c r="H2188" i="5"/>
  <c r="H2189" i="5"/>
  <c r="H2190" i="5"/>
  <c r="K2190" i="5" s="1"/>
  <c r="H2191" i="5"/>
  <c r="H2192" i="5"/>
  <c r="H2195" i="5"/>
  <c r="K2195" i="5" s="1"/>
  <c r="H2196" i="5"/>
  <c r="K2196" i="5" s="1"/>
  <c r="H2197" i="5"/>
  <c r="H2198" i="5"/>
  <c r="H2199" i="5"/>
  <c r="H2200" i="5"/>
  <c r="H2203" i="5"/>
  <c r="K2203" i="5" s="1"/>
  <c r="H2204" i="5"/>
  <c r="K2204" i="5" s="1"/>
  <c r="H2205" i="5"/>
  <c r="K2205" i="5" s="1"/>
  <c r="H2206" i="5"/>
  <c r="K2206" i="5" s="1"/>
  <c r="H2207" i="5"/>
  <c r="H2208" i="5"/>
  <c r="H2211" i="5"/>
  <c r="H2212" i="5"/>
  <c r="K2212" i="5" s="1"/>
  <c r="H2213" i="5"/>
  <c r="K2213" i="5" s="1"/>
  <c r="H2214" i="5"/>
  <c r="K2214" i="5" s="1"/>
  <c r="H2215" i="5"/>
  <c r="K2215" i="5" s="1"/>
  <c r="H2216" i="5"/>
  <c r="H2218" i="5"/>
  <c r="H2219" i="5"/>
  <c r="H2220" i="5"/>
  <c r="H2221" i="5"/>
  <c r="K2221" i="5" s="1"/>
  <c r="H2222" i="5"/>
  <c r="K2222" i="5" s="1"/>
  <c r="H2223" i="5"/>
  <c r="H2224" i="5"/>
  <c r="H2227" i="5"/>
  <c r="K2227" i="5" s="1"/>
  <c r="H2228" i="5"/>
  <c r="K2228" i="5" s="1"/>
  <c r="H2229" i="5"/>
  <c r="H2230" i="5"/>
  <c r="H2231" i="5"/>
  <c r="K2231" i="5" s="1"/>
  <c r="H2232" i="5"/>
  <c r="H2234" i="5"/>
  <c r="H2235" i="5"/>
  <c r="K2235" i="5" s="1"/>
  <c r="H2236" i="5"/>
  <c r="K2236" i="5" s="1"/>
  <c r="H2237" i="5"/>
  <c r="K2237" i="5" s="1"/>
  <c r="H2238" i="5"/>
  <c r="K2238" i="5" s="1"/>
  <c r="H2239" i="5"/>
  <c r="H2240" i="5"/>
  <c r="H2243" i="5"/>
  <c r="K2243" i="5" s="1"/>
  <c r="H2244" i="5"/>
  <c r="K2244" i="5" s="1"/>
  <c r="H2245" i="5"/>
  <c r="K2245" i="5" s="1"/>
  <c r="H2246" i="5"/>
  <c r="K2246" i="5" s="1"/>
  <c r="H2247" i="5"/>
  <c r="H2248" i="5"/>
  <c r="H2251" i="5"/>
  <c r="H2252" i="5"/>
  <c r="H2253" i="5"/>
  <c r="K2253" i="5" s="1"/>
  <c r="H2254" i="5"/>
  <c r="K2254" i="5" s="1"/>
  <c r="H2255" i="5"/>
  <c r="K2255" i="5" s="1"/>
  <c r="H2256" i="5"/>
  <c r="H2259" i="5"/>
  <c r="K2259" i="5" s="1"/>
  <c r="H2260" i="5"/>
  <c r="K2260" i="5" s="1"/>
  <c r="H2261" i="5"/>
  <c r="H2262" i="5"/>
  <c r="H2263" i="5"/>
  <c r="K2263" i="5" s="1"/>
  <c r="H2264" i="5"/>
  <c r="H2267" i="5"/>
  <c r="K2267" i="5" s="1"/>
  <c r="H2268" i="5"/>
  <c r="K2268" i="5" s="1"/>
  <c r="H2269" i="5"/>
  <c r="K2269" i="5" s="1"/>
  <c r="H2270" i="5"/>
  <c r="K2270" i="5" s="1"/>
  <c r="H2271" i="5"/>
  <c r="H2272" i="5"/>
  <c r="H2275" i="5"/>
  <c r="H2276" i="5"/>
  <c r="K2276" i="5" s="1"/>
  <c r="H2277" i="5"/>
  <c r="K2277" i="5" s="1"/>
  <c r="H2278" i="5"/>
  <c r="K2278" i="5" s="1"/>
  <c r="H2279" i="5"/>
  <c r="H2280" i="5"/>
  <c r="H2282" i="5"/>
  <c r="H2283" i="5"/>
  <c r="H2284" i="5"/>
  <c r="H2285" i="5"/>
  <c r="K2285" i="5" s="1"/>
  <c r="H2286" i="5"/>
  <c r="H2287" i="5"/>
  <c r="H2288" i="5"/>
  <c r="H2291" i="5"/>
  <c r="K2291" i="5" s="1"/>
  <c r="H2292" i="5"/>
  <c r="K2292" i="5" s="1"/>
  <c r="H2293" i="5"/>
  <c r="H2294" i="5"/>
  <c r="H2295" i="5"/>
  <c r="H2296" i="5"/>
  <c r="H2298" i="5"/>
  <c r="H2299" i="5"/>
  <c r="H2300" i="5"/>
  <c r="K2300" i="5" s="1"/>
  <c r="H2301" i="5"/>
  <c r="K2301" i="5" s="1"/>
  <c r="H2302" i="5"/>
  <c r="K2302" i="5" s="1"/>
  <c r="H2303" i="5"/>
  <c r="H2304" i="5"/>
  <c r="H2307" i="5"/>
  <c r="H2308" i="5"/>
  <c r="K2308" i="5" s="1"/>
  <c r="H2309" i="5"/>
  <c r="H2310" i="5"/>
  <c r="K2310" i="5" s="1"/>
  <c r="H2311" i="5"/>
  <c r="H2312" i="5"/>
  <c r="H2315" i="5"/>
  <c r="H2316" i="5"/>
  <c r="K2316" i="5" s="1"/>
  <c r="H2317" i="5"/>
  <c r="K2317" i="5" s="1"/>
  <c r="H2318" i="5"/>
  <c r="H2319" i="5"/>
  <c r="K2319" i="5" s="1"/>
  <c r="H2320" i="5"/>
  <c r="H2323" i="5"/>
  <c r="K2323" i="5" s="1"/>
  <c r="H2324" i="5"/>
  <c r="K2324" i="5" s="1"/>
  <c r="H2325" i="5"/>
  <c r="H2326" i="5"/>
  <c r="K2326" i="5" s="1"/>
  <c r="H2327" i="5"/>
  <c r="H2328" i="5"/>
  <c r="K2328" i="5" s="1"/>
  <c r="H2331" i="5"/>
  <c r="K2331" i="5" s="1"/>
  <c r="H2332" i="5"/>
  <c r="H2333" i="5"/>
  <c r="K2333" i="5" s="1"/>
  <c r="H2334" i="5"/>
  <c r="K2334" i="5" s="1"/>
  <c r="H2335" i="5"/>
  <c r="H2336" i="5"/>
  <c r="H2339" i="5"/>
  <c r="K2339" i="5" s="1"/>
  <c r="H2340" i="5"/>
  <c r="H2341" i="5"/>
  <c r="K2341" i="5" s="1"/>
  <c r="H2342" i="5"/>
  <c r="H2343" i="5"/>
  <c r="H2344" i="5"/>
  <c r="H2346" i="5"/>
  <c r="H2347" i="5"/>
  <c r="K2347" i="5" s="1"/>
  <c r="H2348" i="5"/>
  <c r="H2349" i="5"/>
  <c r="H2350" i="5"/>
  <c r="H2351" i="5"/>
  <c r="H2352" i="5"/>
  <c r="H2355" i="5"/>
  <c r="H2356" i="5"/>
  <c r="K2356" i="5" s="1"/>
  <c r="H2357" i="5"/>
  <c r="K2357" i="5" s="1"/>
  <c r="H2358" i="5"/>
  <c r="H2359" i="5"/>
  <c r="H2360" i="5"/>
  <c r="H2362" i="5"/>
  <c r="H2363" i="5"/>
  <c r="H2364" i="5"/>
  <c r="K2364" i="5" s="1"/>
  <c r="H2365" i="5"/>
  <c r="K2365" i="5" s="1"/>
  <c r="H2366" i="5"/>
  <c r="K2366" i="5" s="1"/>
  <c r="H2367" i="5"/>
  <c r="H2368" i="5"/>
  <c r="K2368" i="5" s="1"/>
  <c r="H2371" i="5"/>
  <c r="K2371" i="5" s="1"/>
  <c r="H2372" i="5"/>
  <c r="K2372" i="5" s="1"/>
  <c r="H2373" i="5"/>
  <c r="H2374" i="5"/>
  <c r="H2375" i="5"/>
  <c r="H2376" i="5"/>
  <c r="H2379" i="5"/>
  <c r="H2380" i="5"/>
  <c r="H2381" i="5"/>
  <c r="K2381" i="5" s="1"/>
  <c r="H2382" i="5"/>
  <c r="H2383" i="5"/>
  <c r="H2384" i="5"/>
  <c r="H2387" i="5"/>
  <c r="K2387" i="5" s="1"/>
  <c r="H2388" i="5"/>
  <c r="K2388" i="5" s="1"/>
  <c r="H2389" i="5"/>
  <c r="H2390" i="5"/>
  <c r="H2391" i="5"/>
  <c r="K2391" i="5" s="1"/>
  <c r="H2392" i="5"/>
  <c r="H2395" i="5"/>
  <c r="K2395" i="5" s="1"/>
  <c r="H2396" i="5"/>
  <c r="H2397" i="5"/>
  <c r="K2397" i="5" s="1"/>
  <c r="H2398" i="5"/>
  <c r="K2398" i="5" s="1"/>
  <c r="H2399" i="5"/>
  <c r="H2400" i="5"/>
  <c r="K2400" i="5" s="1"/>
  <c r="H2403" i="5"/>
  <c r="K2403" i="5" s="1"/>
  <c r="H2404" i="5"/>
  <c r="K2404" i="5" s="1"/>
  <c r="H2405" i="5"/>
  <c r="K2405" i="5" s="1"/>
  <c r="H2406" i="5"/>
  <c r="H2407" i="5"/>
  <c r="H2408" i="5"/>
  <c r="H2410" i="5"/>
  <c r="H2411" i="5"/>
  <c r="H2412" i="5"/>
  <c r="H2413" i="5"/>
  <c r="H2414" i="5"/>
  <c r="K2414" i="5" s="1"/>
  <c r="H2415" i="5"/>
  <c r="H2416" i="5"/>
  <c r="H2419" i="5"/>
  <c r="K2419" i="5" s="1"/>
  <c r="H2420" i="5"/>
  <c r="K2420" i="5" s="1"/>
  <c r="H2421" i="5"/>
  <c r="H2422" i="5"/>
  <c r="H2423" i="5"/>
  <c r="H2424" i="5"/>
  <c r="H2426" i="5"/>
  <c r="H2427" i="5"/>
  <c r="K2427" i="5" s="1"/>
  <c r="H2428" i="5"/>
  <c r="K2428" i="5" s="1"/>
  <c r="H2429" i="5"/>
  <c r="K2429" i="5" s="1"/>
  <c r="H2430" i="5"/>
  <c r="H2431" i="5"/>
  <c r="H2432" i="5"/>
  <c r="H2435" i="5"/>
  <c r="H2436" i="5"/>
  <c r="K2436" i="5" s="1"/>
  <c r="H2437" i="5"/>
  <c r="K2437" i="5" s="1"/>
  <c r="H2438" i="5"/>
  <c r="K2438" i="5" s="1"/>
  <c r="H2439" i="5"/>
  <c r="H2440" i="5"/>
  <c r="K2440" i="5" s="1"/>
  <c r="H2443" i="5"/>
  <c r="H2444" i="5"/>
  <c r="H2445" i="5"/>
  <c r="H2446" i="5"/>
  <c r="K2446" i="5" s="1"/>
  <c r="H2447" i="5"/>
  <c r="H2448" i="5"/>
  <c r="H2451" i="5"/>
  <c r="K2451" i="5" s="1"/>
  <c r="H2452" i="5"/>
  <c r="K2452" i="5" s="1"/>
  <c r="H2453" i="5"/>
  <c r="H2454" i="5"/>
  <c r="H2455" i="5"/>
  <c r="H2456" i="5"/>
  <c r="H2459" i="5"/>
  <c r="K2459" i="5" s="1"/>
  <c r="H2460" i="5"/>
  <c r="K2460" i="5" s="1"/>
  <c r="H2461" i="5"/>
  <c r="H2462" i="5"/>
  <c r="K2462" i="5" s="1"/>
  <c r="H2463" i="5"/>
  <c r="H2464" i="5"/>
  <c r="H2467" i="5"/>
  <c r="H2468" i="5"/>
  <c r="K2468" i="5" s="1"/>
  <c r="H2469" i="5"/>
  <c r="K2469" i="5" s="1"/>
  <c r="H2470" i="5"/>
  <c r="K2470" i="5" s="1"/>
  <c r="H2471" i="5"/>
  <c r="H2472" i="5"/>
  <c r="H2474" i="5"/>
  <c r="H2475" i="5"/>
  <c r="H2476" i="5"/>
  <c r="H2477" i="5"/>
  <c r="K2477" i="5" s="1"/>
  <c r="H2478" i="5"/>
  <c r="H2479" i="5"/>
  <c r="K2479" i="5" s="1"/>
  <c r="H2480" i="5"/>
  <c r="H2483" i="5"/>
  <c r="K2483" i="5" s="1"/>
  <c r="H2484" i="5"/>
  <c r="K2484" i="5" s="1"/>
  <c r="H2485" i="5"/>
  <c r="H2486" i="5"/>
  <c r="H2487" i="5"/>
  <c r="K2487" i="5" s="1"/>
  <c r="H2488" i="5"/>
  <c r="H2490" i="5"/>
  <c r="H2491" i="5"/>
  <c r="K2491" i="5" s="1"/>
  <c r="H2492" i="5"/>
  <c r="K2492" i="5" s="1"/>
  <c r="H2493" i="5"/>
  <c r="K2493" i="5" s="1"/>
  <c r="H2494" i="5"/>
  <c r="K2494" i="5" s="1"/>
  <c r="H2495" i="5"/>
  <c r="H2496" i="5"/>
  <c r="H2499" i="5"/>
  <c r="H2500" i="5"/>
  <c r="K2500" i="5" s="1"/>
  <c r="H2501" i="5"/>
  <c r="K2501" i="5" s="1"/>
  <c r="H2502" i="5"/>
  <c r="K2502" i="5" s="1"/>
  <c r="H2503" i="5"/>
  <c r="H2504" i="5"/>
  <c r="H2507" i="5"/>
  <c r="H2508" i="5"/>
  <c r="H2509" i="5"/>
  <c r="H2510" i="5"/>
  <c r="H2511" i="5"/>
  <c r="K2511" i="5" s="1"/>
  <c r="H2512" i="5"/>
  <c r="H2515" i="5"/>
  <c r="K2515" i="5" s="1"/>
  <c r="H2516" i="5"/>
  <c r="K2516" i="5" s="1"/>
  <c r="H2517" i="5"/>
  <c r="H2518" i="5"/>
  <c r="H2519" i="5"/>
  <c r="H2520" i="5"/>
  <c r="H2523" i="5"/>
  <c r="K2523" i="5" s="1"/>
  <c r="H2524" i="5"/>
  <c r="K2524" i="5" s="1"/>
  <c r="H2525" i="5"/>
  <c r="K2525" i="5" s="1"/>
  <c r="H2526" i="5"/>
  <c r="K2526" i="5" s="1"/>
  <c r="H2527" i="5"/>
  <c r="H2528" i="5"/>
  <c r="H2531" i="5"/>
  <c r="H2532" i="5"/>
  <c r="K2532" i="5" s="1"/>
  <c r="H2533" i="5"/>
  <c r="K2533" i="5" s="1"/>
  <c r="H2534" i="5"/>
  <c r="H2535" i="5"/>
  <c r="K2535" i="5" s="1"/>
  <c r="H2536" i="5"/>
  <c r="H2538" i="5"/>
  <c r="H2539" i="5"/>
  <c r="H2540" i="5"/>
  <c r="H2541" i="5"/>
  <c r="K2541" i="5" s="1"/>
  <c r="H2542" i="5"/>
  <c r="K2542" i="5" s="1"/>
  <c r="H2543" i="5"/>
  <c r="H2544" i="5"/>
  <c r="H2547" i="5"/>
  <c r="K2547" i="5" s="1"/>
  <c r="H2548" i="5"/>
  <c r="K2548" i="5" s="1"/>
  <c r="H2549" i="5"/>
  <c r="H2550" i="5"/>
  <c r="H2551" i="5"/>
  <c r="K2551" i="5" s="1"/>
  <c r="H2552" i="5"/>
  <c r="H2554" i="5"/>
  <c r="H2555" i="5"/>
  <c r="H2556" i="5"/>
  <c r="K2556" i="5" s="1"/>
  <c r="H2557" i="5"/>
  <c r="K2557" i="5" s="1"/>
  <c r="H2558" i="5"/>
  <c r="K2558" i="5" s="1"/>
  <c r="H2559" i="5"/>
  <c r="H2560" i="5"/>
  <c r="H2563" i="5"/>
  <c r="K2563" i="5" s="1"/>
  <c r="H2564" i="5"/>
  <c r="K2564" i="5" s="1"/>
  <c r="H2565" i="5"/>
  <c r="H2566" i="5"/>
  <c r="H2567" i="5"/>
  <c r="H2568" i="5"/>
  <c r="H2571" i="5"/>
  <c r="H2572" i="5"/>
  <c r="K2572" i="5" s="1"/>
  <c r="H2573" i="5"/>
  <c r="K2573" i="5" s="1"/>
  <c r="H2574" i="5"/>
  <c r="H2575" i="5"/>
  <c r="K2575" i="5" s="1"/>
  <c r="H2576" i="5"/>
  <c r="H2579" i="5"/>
  <c r="K2579" i="5" s="1"/>
  <c r="H2580" i="5"/>
  <c r="K2580" i="5" s="1"/>
  <c r="H2581" i="5"/>
  <c r="H2582" i="5"/>
  <c r="H2583" i="5"/>
  <c r="K2583" i="5" s="1"/>
  <c r="H2584" i="5"/>
  <c r="K2584" i="5" s="1"/>
  <c r="H2587" i="5"/>
  <c r="K2587" i="5" s="1"/>
  <c r="H2588" i="5"/>
  <c r="H2589" i="5"/>
  <c r="K2589" i="5" s="1"/>
  <c r="H2590" i="5"/>
  <c r="H2591" i="5"/>
  <c r="H2592" i="5"/>
  <c r="H2595" i="5"/>
  <c r="K2595" i="5" s="1"/>
  <c r="H2596" i="5"/>
  <c r="H2597" i="5"/>
  <c r="K2597" i="5" s="1"/>
  <c r="H2598" i="5"/>
  <c r="H2599" i="5"/>
  <c r="K2599" i="5" s="1"/>
  <c r="H2600" i="5"/>
  <c r="H2602" i="5"/>
  <c r="H2603" i="5"/>
  <c r="K2603" i="5" s="1"/>
  <c r="H2604" i="5"/>
  <c r="H2605" i="5"/>
  <c r="H2606" i="5"/>
  <c r="K2606" i="5" s="1"/>
  <c r="H2607" i="5"/>
  <c r="H2608" i="5"/>
  <c r="H2611" i="5"/>
  <c r="H2612" i="5"/>
  <c r="K2612" i="5" s="1"/>
  <c r="H2613" i="5"/>
  <c r="K2613" i="5" s="1"/>
  <c r="H2614" i="5"/>
  <c r="H2615" i="5"/>
  <c r="H2616" i="5"/>
  <c r="H2618" i="5"/>
  <c r="H2619" i="5"/>
  <c r="H2620" i="5"/>
  <c r="K2620" i="5" s="1"/>
  <c r="H2621" i="5"/>
  <c r="K2621" i="5" s="1"/>
  <c r="H2622" i="5"/>
  <c r="H2623" i="5"/>
  <c r="H2624" i="5"/>
  <c r="H2627" i="5"/>
  <c r="K2627" i="5" s="1"/>
  <c r="H2628" i="5"/>
  <c r="K2628" i="5" s="1"/>
  <c r="H2629" i="5"/>
  <c r="H2630" i="5"/>
  <c r="K2630" i="5" s="1"/>
  <c r="H2631" i="5"/>
  <c r="H2632" i="5"/>
  <c r="H2635" i="5"/>
  <c r="H2636" i="5"/>
  <c r="H2637" i="5"/>
  <c r="K2637" i="5" s="1"/>
  <c r="H2638" i="5"/>
  <c r="K2638" i="5" s="1"/>
  <c r="H2639" i="5"/>
  <c r="K2639" i="5" s="1"/>
  <c r="H2640" i="5"/>
  <c r="H2643" i="5"/>
  <c r="K2643" i="5" s="1"/>
  <c r="H2644" i="5"/>
  <c r="K2644" i="5" s="1"/>
  <c r="H2645" i="5"/>
  <c r="H2646" i="5"/>
  <c r="H2647" i="5"/>
  <c r="K2647" i="5" s="1"/>
  <c r="H2648" i="5"/>
  <c r="H2651" i="5"/>
  <c r="K2651" i="5" s="1"/>
  <c r="H2652" i="5"/>
  <c r="H2653" i="5"/>
  <c r="K2653" i="5" s="1"/>
  <c r="H2654" i="5"/>
  <c r="K2654" i="5" s="1"/>
  <c r="H2655" i="5"/>
  <c r="H2656" i="5"/>
  <c r="K2656" i="5" s="1"/>
  <c r="H2659" i="5"/>
  <c r="K2659" i="5" s="1"/>
  <c r="H2660" i="5"/>
  <c r="K2660" i="5" s="1"/>
  <c r="H2661" i="5"/>
  <c r="K2661" i="5" s="1"/>
  <c r="H2662" i="5"/>
  <c r="H2663" i="5"/>
  <c r="K2663" i="5" s="1"/>
  <c r="H2664" i="5"/>
  <c r="H2666" i="5"/>
  <c r="H2667" i="5"/>
  <c r="H2668" i="5"/>
  <c r="H2669" i="5"/>
  <c r="H2670" i="5"/>
  <c r="H2671" i="5"/>
  <c r="K2671" i="5" s="1"/>
  <c r="H2672" i="5"/>
  <c r="H2675" i="5"/>
  <c r="K2675" i="5" s="1"/>
  <c r="H2676" i="5"/>
  <c r="K2676" i="5" s="1"/>
  <c r="H2677" i="5"/>
  <c r="H2678" i="5"/>
  <c r="H2679" i="5"/>
  <c r="H2680" i="5"/>
  <c r="H2682" i="5"/>
  <c r="H2683" i="5"/>
  <c r="K2683" i="5" s="1"/>
  <c r="H2684" i="5"/>
  <c r="K2684" i="5" s="1"/>
  <c r="H2685" i="5"/>
  <c r="K2685" i="5" s="1"/>
  <c r="H2686" i="5"/>
  <c r="K2686" i="5" s="1"/>
  <c r="H2687" i="5"/>
  <c r="H2688" i="5"/>
  <c r="H2691" i="5"/>
  <c r="H2692" i="5"/>
  <c r="K2692" i="5" s="1"/>
  <c r="H2693" i="5"/>
  <c r="K2693" i="5" s="1"/>
  <c r="H2694" i="5"/>
  <c r="K2694" i="5" s="1"/>
  <c r="H2695" i="5"/>
  <c r="H2696" i="5"/>
  <c r="K2696" i="5" s="1"/>
  <c r="H2699" i="5"/>
  <c r="H2700" i="5"/>
  <c r="H2701" i="5"/>
  <c r="H2702" i="5"/>
  <c r="H2703" i="5"/>
  <c r="K2703" i="5" s="1"/>
  <c r="H2704" i="5"/>
  <c r="H2707" i="5"/>
  <c r="K2707" i="5" s="1"/>
  <c r="H2708" i="5"/>
  <c r="K2708" i="5" s="1"/>
  <c r="H2709" i="5"/>
  <c r="H2710" i="5"/>
  <c r="H2711" i="5"/>
  <c r="H2712" i="5"/>
  <c r="H2715" i="5"/>
  <c r="K2715" i="5" s="1"/>
  <c r="H2716" i="5"/>
  <c r="K2716" i="5" s="1"/>
  <c r="H2717" i="5"/>
  <c r="K2717" i="5" s="1"/>
  <c r="H2718" i="5"/>
  <c r="H2719" i="5"/>
  <c r="H2720" i="5"/>
  <c r="H2723" i="5"/>
  <c r="H2724" i="5"/>
  <c r="K2724" i="5" s="1"/>
  <c r="H2725" i="5"/>
  <c r="K2725" i="5" s="1"/>
  <c r="H2726" i="5"/>
  <c r="H2727" i="5"/>
  <c r="K2727" i="5" s="1"/>
  <c r="H2728" i="5"/>
  <c r="H2730" i="5"/>
  <c r="H2731" i="5"/>
  <c r="H2732" i="5"/>
  <c r="H2733" i="5"/>
  <c r="H2734" i="5"/>
  <c r="K2734" i="5" s="1"/>
  <c r="H2735" i="5"/>
  <c r="K2735" i="5" s="1"/>
  <c r="H2736" i="5"/>
  <c r="H2739" i="5"/>
  <c r="K2739" i="5" s="1"/>
  <c r="H2740" i="5"/>
  <c r="K2740" i="5" s="1"/>
  <c r="H2741" i="5"/>
  <c r="H2742" i="5"/>
  <c r="H2743" i="5"/>
  <c r="H2744" i="5"/>
  <c r="H2746" i="5"/>
  <c r="H2747" i="5"/>
  <c r="K2747" i="5" s="1"/>
  <c r="H2748" i="5"/>
  <c r="K2748" i="5" s="1"/>
  <c r="H2749" i="5"/>
  <c r="K2749" i="5" s="1"/>
  <c r="H2750" i="5"/>
  <c r="H2751" i="5"/>
  <c r="H2752" i="5"/>
  <c r="H2755" i="5"/>
  <c r="H2756" i="5"/>
  <c r="K2756" i="5" s="1"/>
  <c r="H2757" i="5"/>
  <c r="K2757" i="5" s="1"/>
  <c r="H2758" i="5"/>
  <c r="H2759" i="5"/>
  <c r="H2760" i="5"/>
  <c r="H2763" i="5"/>
  <c r="H2764" i="5"/>
  <c r="H2765" i="5"/>
  <c r="H2766" i="5"/>
  <c r="H2767" i="5"/>
  <c r="K2767" i="5" s="1"/>
  <c r="H2768" i="5"/>
  <c r="K2768" i="5" s="1"/>
  <c r="H2771" i="5"/>
  <c r="K2771" i="5" s="1"/>
  <c r="H2772" i="5"/>
  <c r="K2772" i="5" s="1"/>
  <c r="H2773" i="5"/>
  <c r="H2774" i="5"/>
  <c r="H2775" i="5"/>
  <c r="H2776" i="5"/>
  <c r="H2779" i="5"/>
  <c r="K2779" i="5" s="1"/>
  <c r="H2780" i="5"/>
  <c r="K2780" i="5" s="1"/>
  <c r="H2781" i="5"/>
  <c r="K2781" i="5" s="1"/>
  <c r="H2782" i="5"/>
  <c r="K2782" i="5" s="1"/>
  <c r="H2783" i="5"/>
  <c r="H2784" i="5"/>
  <c r="H2787" i="5"/>
  <c r="H2788" i="5"/>
  <c r="K2788" i="5" s="1"/>
  <c r="H2789" i="5"/>
  <c r="H2790" i="5"/>
  <c r="K2790" i="5" s="1"/>
  <c r="H2791" i="5"/>
  <c r="K2791" i="5" s="1"/>
  <c r="H2792" i="5"/>
  <c r="H2794" i="5"/>
  <c r="H2795" i="5"/>
  <c r="H2796" i="5"/>
  <c r="H2797" i="5"/>
  <c r="K2797" i="5" s="1"/>
  <c r="H2798" i="5"/>
  <c r="K2798" i="5" s="1"/>
  <c r="H2799" i="5"/>
  <c r="H2800" i="5"/>
  <c r="H2803" i="5"/>
  <c r="K2803" i="5" s="1"/>
  <c r="H2804" i="5"/>
  <c r="K2804" i="5" s="1"/>
  <c r="H2805" i="5"/>
  <c r="H2806" i="5"/>
  <c r="H2807" i="5"/>
  <c r="K2807" i="5" s="1"/>
  <c r="H2808" i="5"/>
  <c r="H2810" i="5"/>
  <c r="H2811" i="5"/>
  <c r="H2812" i="5"/>
  <c r="K2812" i="5" s="1"/>
  <c r="H2813" i="5"/>
  <c r="K2813" i="5" s="1"/>
  <c r="H2814" i="5"/>
  <c r="K2814" i="5" s="1"/>
  <c r="H2815" i="5"/>
  <c r="H2816" i="5"/>
  <c r="H2819" i="5"/>
  <c r="K2819" i="5" s="1"/>
  <c r="H2820" i="5"/>
  <c r="H2821" i="5"/>
  <c r="K2821" i="5" s="1"/>
  <c r="H2822" i="5"/>
  <c r="H2823" i="5"/>
  <c r="H2824" i="5"/>
  <c r="H2827" i="5"/>
  <c r="H2828" i="5"/>
  <c r="K2828" i="5" s="1"/>
  <c r="H2829" i="5"/>
  <c r="K2829" i="5" s="1"/>
  <c r="H2830" i="5"/>
  <c r="H2831" i="5"/>
  <c r="K2831" i="5" s="1"/>
  <c r="H2832" i="5"/>
  <c r="H2835" i="5"/>
  <c r="K2835" i="5" s="1"/>
  <c r="H2836" i="5"/>
  <c r="K2836" i="5" s="1"/>
  <c r="H2837" i="5"/>
  <c r="H2838" i="5"/>
  <c r="K2838" i="5" s="1"/>
  <c r="H2839" i="5"/>
  <c r="K2839" i="5" s="1"/>
  <c r="H2840" i="5"/>
  <c r="K2840" i="5" s="1"/>
  <c r="H2843" i="5"/>
  <c r="K2843" i="5" s="1"/>
  <c r="H2844" i="5"/>
  <c r="H2845" i="5"/>
  <c r="K2845" i="5" s="1"/>
  <c r="H2846" i="5"/>
  <c r="K2846" i="5" s="1"/>
  <c r="H2847" i="5"/>
  <c r="H2848" i="5"/>
  <c r="H2851" i="5"/>
  <c r="K2851" i="5" s="1"/>
  <c r="H2852" i="5"/>
  <c r="K2852" i="5" s="1"/>
  <c r="H2853" i="5"/>
  <c r="H2854" i="5"/>
  <c r="H2855" i="5"/>
  <c r="H2856" i="5"/>
  <c r="H2858" i="5"/>
  <c r="H2859" i="5"/>
  <c r="K2859" i="5" s="1"/>
  <c r="H2860" i="5"/>
  <c r="K2860" i="5" s="1"/>
  <c r="H2861" i="5"/>
  <c r="K2861" i="5" s="1"/>
  <c r="H2862" i="5"/>
  <c r="H2863" i="5"/>
  <c r="H2864" i="5"/>
  <c r="H2867" i="5"/>
  <c r="H2868" i="5"/>
  <c r="K2868" i="5" s="1"/>
  <c r="H2869" i="5"/>
  <c r="K2869" i="5" s="1"/>
  <c r="H2870" i="5"/>
  <c r="K2870" i="5" s="1"/>
  <c r="H2871" i="5"/>
  <c r="K2871" i="5" s="1"/>
  <c r="H2872" i="5"/>
  <c r="H2874" i="5"/>
  <c r="H2875" i="5"/>
  <c r="H2876" i="5"/>
  <c r="K2876" i="5" s="1"/>
  <c r="H2877" i="5"/>
  <c r="K2877" i="5" s="1"/>
  <c r="H2878" i="5"/>
  <c r="K2878" i="5" s="1"/>
  <c r="H2879" i="5"/>
  <c r="H2880" i="5"/>
  <c r="K2880" i="5" s="1"/>
  <c r="H2883" i="5"/>
  <c r="K2883" i="5" s="1"/>
  <c r="H2884" i="5"/>
  <c r="K2884" i="5" s="1"/>
  <c r="H2885" i="5"/>
  <c r="K2885" i="5" s="1"/>
  <c r="H2886" i="5"/>
  <c r="H2887" i="5"/>
  <c r="K2887" i="5" s="1"/>
  <c r="H2888" i="5"/>
  <c r="H2891" i="5"/>
  <c r="H2892" i="5"/>
  <c r="K2892" i="5" s="1"/>
  <c r="H2893" i="5"/>
  <c r="K2893" i="5" s="1"/>
  <c r="H2894" i="5"/>
  <c r="H2895" i="5"/>
  <c r="K2895" i="5" s="1"/>
  <c r="H2896" i="5"/>
  <c r="H2899" i="5"/>
  <c r="K2899" i="5" s="1"/>
  <c r="H2900" i="5"/>
  <c r="K2900" i="5" s="1"/>
  <c r="H2901" i="5"/>
  <c r="H2902" i="5"/>
  <c r="K2902" i="5" s="1"/>
  <c r="H2903" i="5"/>
  <c r="H2904" i="5"/>
  <c r="H2907" i="5"/>
  <c r="K2907" i="5" s="1"/>
  <c r="H2908" i="5"/>
  <c r="H2909" i="5"/>
  <c r="K2909" i="5" s="1"/>
  <c r="H2910" i="5"/>
  <c r="H2911" i="5"/>
  <c r="H2912" i="5"/>
  <c r="K2912" i="5" s="1"/>
  <c r="H2915" i="5"/>
  <c r="K2915" i="5" s="1"/>
  <c r="H2916" i="5"/>
  <c r="K2916" i="5" s="1"/>
  <c r="H2917" i="5"/>
  <c r="K2917" i="5" s="1"/>
  <c r="H2918" i="5"/>
  <c r="H2919" i="5"/>
  <c r="H2920" i="5"/>
  <c r="H2922" i="5"/>
  <c r="H2923" i="5"/>
  <c r="H2924" i="5"/>
  <c r="K2924" i="5" s="1"/>
  <c r="H2925" i="5"/>
  <c r="K2925" i="5" s="1"/>
  <c r="H2926" i="5"/>
  <c r="K2926" i="5" s="1"/>
  <c r="H2927" i="5"/>
  <c r="K2927" i="5" s="1"/>
  <c r="H2928" i="5"/>
  <c r="H2931" i="5"/>
  <c r="K2931" i="5" s="1"/>
  <c r="H2932" i="5"/>
  <c r="K2932" i="5" s="1"/>
  <c r="H2933" i="5"/>
  <c r="H2934" i="5"/>
  <c r="K2934" i="5" s="1"/>
  <c r="H2935" i="5"/>
  <c r="K2935" i="5" s="1"/>
  <c r="H2936" i="5"/>
  <c r="H2938" i="5"/>
  <c r="H2939" i="5"/>
  <c r="H2940" i="5"/>
  <c r="K2940" i="5" s="1"/>
  <c r="H2941" i="5"/>
  <c r="H2942" i="5"/>
  <c r="H2943" i="5"/>
  <c r="H2944" i="5"/>
  <c r="H2947" i="5"/>
  <c r="K2947" i="5" s="1"/>
  <c r="H2948" i="5"/>
  <c r="K2948" i="5" s="1"/>
  <c r="H2949" i="5"/>
  <c r="K2949" i="5" s="1"/>
  <c r="H2950" i="5"/>
  <c r="K2950" i="5" s="1"/>
  <c r="H2951" i="5"/>
  <c r="H2952" i="5"/>
  <c r="K2952" i="5" s="1"/>
  <c r="H2955" i="5"/>
  <c r="H2956" i="5"/>
  <c r="K2956" i="5" s="1"/>
  <c r="H2957" i="5"/>
  <c r="H2958" i="5"/>
  <c r="K2958" i="5" s="1"/>
  <c r="H2959" i="5"/>
  <c r="K2959" i="5" s="1"/>
  <c r="H2960" i="5"/>
  <c r="H2963" i="5"/>
  <c r="H2964" i="5"/>
  <c r="H2965" i="5"/>
  <c r="H2966" i="5"/>
  <c r="H2967" i="5"/>
  <c r="H2968" i="5"/>
  <c r="H2971" i="5"/>
  <c r="K2971" i="5" s="1"/>
  <c r="H2972" i="5"/>
  <c r="K2972" i="5" s="1"/>
  <c r="H2973" i="5"/>
  <c r="H2974" i="5"/>
  <c r="H2975" i="5"/>
  <c r="H2976" i="5"/>
  <c r="H2979" i="5"/>
  <c r="K2979" i="5" s="1"/>
  <c r="H2980" i="5"/>
  <c r="H2981" i="5"/>
  <c r="K2981" i="5" s="1"/>
  <c r="H2982" i="5"/>
  <c r="K2982" i="5" s="1"/>
  <c r="H2983" i="5"/>
  <c r="K2983" i="5" s="1"/>
  <c r="H2984" i="5"/>
  <c r="H2986" i="5"/>
  <c r="H2987" i="5"/>
  <c r="H2988" i="5"/>
  <c r="H2989" i="5"/>
  <c r="K2989" i="5" s="1"/>
  <c r="H2990" i="5"/>
  <c r="H2991" i="5"/>
  <c r="K2991" i="5" s="1"/>
  <c r="H2992" i="5"/>
  <c r="H2995" i="5"/>
  <c r="H2996" i="5"/>
  <c r="H2997" i="5"/>
  <c r="H2998" i="5"/>
  <c r="H2999" i="5"/>
  <c r="H3000" i="5"/>
  <c r="H3002" i="5"/>
  <c r="H3003" i="5"/>
  <c r="K3003" i="5" s="1"/>
  <c r="H3004" i="5"/>
  <c r="K3004" i="5" s="1"/>
  <c r="H3005" i="5"/>
  <c r="K3005" i="5" s="1"/>
  <c r="H3006" i="5"/>
  <c r="K3006" i="5" s="1"/>
  <c r="H3007" i="5"/>
  <c r="H3008" i="5"/>
  <c r="H3011" i="5"/>
  <c r="K3011" i="5" s="1"/>
  <c r="H3012" i="5"/>
  <c r="K3012" i="5" s="1"/>
  <c r="H3013" i="5"/>
  <c r="K3013" i="5" s="1"/>
  <c r="H3014" i="5"/>
  <c r="H3015" i="5"/>
  <c r="K3015" i="5" s="1"/>
  <c r="H3016" i="5"/>
  <c r="H3019" i="5"/>
  <c r="K3019" i="5" s="1"/>
  <c r="H3020" i="5"/>
  <c r="H3021" i="5"/>
  <c r="K3021" i="5" s="1"/>
  <c r="H3022" i="5"/>
  <c r="H3023" i="5"/>
  <c r="K3023" i="5" s="1"/>
  <c r="H3024" i="5"/>
  <c r="K3024" i="5" s="1"/>
  <c r="H3027" i="5"/>
  <c r="K3027" i="5" s="1"/>
  <c r="H3028" i="5"/>
  <c r="H3029" i="5"/>
  <c r="K3029" i="5" s="1"/>
  <c r="H3030" i="5"/>
  <c r="H3031" i="5"/>
  <c r="K3031" i="5" s="1"/>
  <c r="H3032" i="5"/>
  <c r="H3035" i="5"/>
  <c r="K3035" i="5" s="1"/>
  <c r="H3036" i="5"/>
  <c r="K3036" i="5" s="1"/>
  <c r="H3037" i="5"/>
  <c r="H3038" i="5"/>
  <c r="K3038" i="5" s="1"/>
  <c r="H3039" i="5"/>
  <c r="K3039" i="5" s="1"/>
  <c r="H3040" i="5"/>
  <c r="H3043" i="5"/>
  <c r="K3043" i="5" s="1"/>
  <c r="H3044" i="5"/>
  <c r="K3044" i="5" s="1"/>
  <c r="H3045" i="5"/>
  <c r="K3045" i="5" s="1"/>
  <c r="H3046" i="5"/>
  <c r="H3047" i="5"/>
  <c r="H3048" i="5"/>
  <c r="H3050" i="5"/>
  <c r="H3051" i="5"/>
  <c r="H3052" i="5"/>
  <c r="K3052" i="5" s="1"/>
  <c r="H3053" i="5"/>
  <c r="K3053" i="5" s="1"/>
  <c r="H3054" i="5"/>
  <c r="K3054" i="5" s="1"/>
  <c r="H3055" i="5"/>
  <c r="K3055" i="5" s="1"/>
  <c r="H3056" i="5"/>
  <c r="H3059" i="5"/>
  <c r="H3060" i="5"/>
  <c r="H3061" i="5"/>
  <c r="K3061" i="5" s="1"/>
  <c r="H3062" i="5"/>
  <c r="K3062" i="5" s="1"/>
  <c r="H3063" i="5"/>
  <c r="K3063" i="5" s="1"/>
  <c r="H3064" i="5"/>
  <c r="H3066" i="5"/>
  <c r="H3067" i="5"/>
  <c r="K3067" i="5" s="1"/>
  <c r="H3068" i="5"/>
  <c r="H3069" i="5"/>
  <c r="K3069" i="5" s="1"/>
  <c r="H3070" i="5"/>
  <c r="H3071" i="5"/>
  <c r="K3071" i="5" s="1"/>
  <c r="H3072" i="5"/>
  <c r="H3075" i="5"/>
  <c r="K3075" i="5" s="1"/>
  <c r="H3076" i="5"/>
  <c r="H3077" i="5"/>
  <c r="H3078" i="5"/>
  <c r="H3079" i="5"/>
  <c r="H3080" i="5"/>
  <c r="H3083" i="5"/>
  <c r="K3083" i="5" s="1"/>
  <c r="H3084" i="5"/>
  <c r="K3084" i="5" s="1"/>
  <c r="H3085" i="5"/>
  <c r="K3085" i="5" s="1"/>
  <c r="H3086" i="5"/>
  <c r="H3087" i="5"/>
  <c r="K3087" i="5" s="1"/>
  <c r="H3088" i="5"/>
  <c r="H3091" i="5"/>
  <c r="K3091" i="5" s="1"/>
  <c r="H3092" i="5"/>
  <c r="K3092" i="5" s="1"/>
  <c r="H3093" i="5"/>
  <c r="K3093" i="5" s="1"/>
  <c r="H3094" i="5"/>
  <c r="H3095" i="5"/>
  <c r="K3095" i="5" s="1"/>
  <c r="H3096" i="5"/>
  <c r="K3096" i="5" s="1"/>
  <c r="H3099" i="5"/>
  <c r="H3100" i="5"/>
  <c r="K3100" i="5" s="1"/>
  <c r="H3101" i="5"/>
  <c r="K3101" i="5" s="1"/>
  <c r="H3102" i="5"/>
  <c r="H3103" i="5"/>
  <c r="K3103" i="5" s="1"/>
  <c r="H3104" i="5"/>
  <c r="H3107" i="5"/>
  <c r="K3107" i="5" s="1"/>
  <c r="H3108" i="5"/>
  <c r="K3108" i="5" s="1"/>
  <c r="H3109" i="5"/>
  <c r="H3110" i="5"/>
  <c r="K3110" i="5" s="1"/>
  <c r="H3111" i="5"/>
  <c r="K3111" i="5" s="1"/>
  <c r="H3112" i="5"/>
  <c r="H3114" i="5"/>
  <c r="H3115" i="5"/>
  <c r="K3115" i="5" s="1"/>
  <c r="H3116" i="5"/>
  <c r="K3116" i="5" s="1"/>
  <c r="H3117" i="5"/>
  <c r="K3117" i="5" s="1"/>
  <c r="H3118" i="5"/>
  <c r="H3119" i="5"/>
  <c r="H3120" i="5"/>
  <c r="H3123" i="5"/>
  <c r="H3124" i="5"/>
  <c r="K3124" i="5" s="1"/>
  <c r="H3125" i="5"/>
  <c r="K3125" i="5" s="1"/>
  <c r="H3126" i="5"/>
  <c r="H3127" i="5"/>
  <c r="K3127" i="5" s="1"/>
  <c r="H3128" i="5"/>
  <c r="H3130" i="5"/>
  <c r="H3131" i="5"/>
  <c r="H3132" i="5"/>
  <c r="K3132" i="5" s="1"/>
  <c r="H3133" i="5"/>
  <c r="K3133" i="5" s="1"/>
  <c r="H3134" i="5"/>
  <c r="H3135" i="5"/>
  <c r="K3135" i="5" s="1"/>
  <c r="H3136" i="5"/>
  <c r="K3136" i="5" s="1"/>
  <c r="H3139" i="5"/>
  <c r="K3139" i="5" s="1"/>
  <c r="H3140" i="5"/>
  <c r="H3141" i="5"/>
  <c r="K3141" i="5" s="1"/>
  <c r="H3142" i="5"/>
  <c r="H3143" i="5"/>
  <c r="K3143" i="5" s="1"/>
  <c r="H3144" i="5"/>
  <c r="H3147" i="5"/>
  <c r="K3147" i="5" s="1"/>
  <c r="H3148" i="5"/>
  <c r="K3148" i="5" s="1"/>
  <c r="H3149" i="5"/>
  <c r="K3149" i="5" s="1"/>
  <c r="H3150" i="5"/>
  <c r="H3151" i="5"/>
  <c r="K3151" i="5" s="1"/>
  <c r="H3152" i="5"/>
  <c r="H3155" i="5"/>
  <c r="H3156" i="5"/>
  <c r="K3156" i="5" s="1"/>
  <c r="H3157" i="5"/>
  <c r="K3157" i="5" s="1"/>
  <c r="H3158" i="5"/>
  <c r="K3158" i="5" s="1"/>
  <c r="H3159" i="5"/>
  <c r="H3160" i="5"/>
  <c r="H3163" i="5"/>
  <c r="K3163" i="5" s="1"/>
  <c r="H3164" i="5"/>
  <c r="H3165" i="5"/>
  <c r="K3165" i="5" s="1"/>
  <c r="H3166" i="5"/>
  <c r="K3166" i="5" s="1"/>
  <c r="H3167" i="5"/>
  <c r="K3167" i="5" s="1"/>
  <c r="H3168" i="5"/>
  <c r="K3168" i="5" s="1"/>
  <c r="H3171" i="5"/>
  <c r="K3171" i="5" s="1"/>
  <c r="H3172" i="5"/>
  <c r="H3173" i="5"/>
  <c r="K3173" i="5" s="1"/>
  <c r="H3174" i="5"/>
  <c r="H3175" i="5"/>
  <c r="H3176" i="5"/>
  <c r="H3178" i="5"/>
  <c r="H3179" i="5"/>
  <c r="K3179" i="5" s="1"/>
  <c r="H3180" i="5"/>
  <c r="K3180" i="5" s="1"/>
  <c r="H3181" i="5"/>
  <c r="K3181" i="5" s="1"/>
  <c r="H3182" i="5"/>
  <c r="H3183" i="5"/>
  <c r="K3183" i="5" s="1"/>
  <c r="H3184" i="5"/>
  <c r="H3187" i="5"/>
  <c r="K3187" i="5" s="1"/>
  <c r="H3188" i="5"/>
  <c r="K3188" i="5" s="1"/>
  <c r="H3189" i="5"/>
  <c r="K3189" i="5" s="1"/>
  <c r="H3190" i="5"/>
  <c r="K3190" i="5" s="1"/>
  <c r="H3191" i="5"/>
  <c r="K3191" i="5" s="1"/>
  <c r="H3192" i="5"/>
  <c r="H3194" i="5"/>
  <c r="H3195" i="5"/>
  <c r="H3196" i="5"/>
  <c r="K3196" i="5" s="1"/>
  <c r="H3197" i="5"/>
  <c r="K3197" i="5" s="1"/>
  <c r="H3198" i="5"/>
  <c r="K3198" i="5" s="1"/>
  <c r="H3199" i="5"/>
  <c r="K3199" i="5" s="1"/>
  <c r="H3200" i="5"/>
  <c r="H3203" i="5"/>
  <c r="K3203" i="5" s="1"/>
  <c r="H3204" i="5"/>
  <c r="K3204" i="5" s="1"/>
  <c r="H3205" i="5"/>
  <c r="K3205" i="5" s="1"/>
  <c r="H3206" i="5"/>
  <c r="K3206" i="5" s="1"/>
  <c r="H3207" i="5"/>
  <c r="K3207" i="5" s="1"/>
  <c r="H3208" i="5"/>
  <c r="K3208" i="5" s="1"/>
  <c r="H3211" i="5"/>
  <c r="H3212" i="5"/>
  <c r="K3212" i="5" s="1"/>
  <c r="H3213" i="5"/>
  <c r="K3213" i="5" s="1"/>
  <c r="H3214" i="5"/>
  <c r="H3215" i="5"/>
  <c r="K3215" i="5" s="1"/>
  <c r="H3216" i="5"/>
  <c r="H3219" i="5"/>
  <c r="K3219" i="5" s="1"/>
  <c r="H3220" i="5"/>
  <c r="K3220" i="5" s="1"/>
  <c r="H3221" i="5"/>
  <c r="K3221" i="5" s="1"/>
  <c r="H3222" i="5"/>
  <c r="K3222" i="5" s="1"/>
  <c r="H3223" i="5"/>
  <c r="K3223" i="5" s="1"/>
  <c r="H3224" i="5"/>
  <c r="H3227" i="5"/>
  <c r="H3228" i="5"/>
  <c r="K3228" i="5" s="1"/>
  <c r="H3229" i="5"/>
  <c r="K3229" i="5" s="1"/>
  <c r="H3230" i="5"/>
  <c r="H3231" i="5"/>
  <c r="K3231" i="5" s="1"/>
  <c r="H3232" i="5"/>
  <c r="H3235" i="5"/>
  <c r="K3235" i="5" s="1"/>
  <c r="H3236" i="5"/>
  <c r="H3237" i="5"/>
  <c r="K3237" i="5" s="1"/>
  <c r="H3238" i="5"/>
  <c r="H3239" i="5"/>
  <c r="H3240" i="5"/>
  <c r="H3242" i="5"/>
  <c r="H3243" i="5"/>
  <c r="K3243" i="5" s="1"/>
  <c r="H3244" i="5"/>
  <c r="K3244" i="5" s="1"/>
  <c r="H3245" i="5"/>
  <c r="K3245" i="5" s="1"/>
  <c r="H3246" i="5"/>
  <c r="K3246" i="5" s="1"/>
  <c r="H3247" i="5"/>
  <c r="K3247" i="5" s="1"/>
  <c r="H3248" i="5"/>
  <c r="H3251" i="5"/>
  <c r="H3252" i="5"/>
  <c r="H3253" i="5"/>
  <c r="K3253" i="5" s="1"/>
  <c r="H3254" i="5"/>
  <c r="K3254" i="5" s="1"/>
  <c r="H3255" i="5"/>
  <c r="K3255" i="5" s="1"/>
  <c r="H3256" i="5"/>
  <c r="H3258" i="5"/>
  <c r="H3259" i="5"/>
  <c r="H3260" i="5"/>
  <c r="K3260" i="5" s="1"/>
  <c r="H3261" i="5"/>
  <c r="H3262" i="5"/>
  <c r="H3263" i="5"/>
  <c r="K3263" i="5" s="1"/>
  <c r="H3264" i="5"/>
  <c r="H3267" i="5"/>
  <c r="K3267" i="5" s="1"/>
  <c r="H3268" i="5"/>
  <c r="K3268" i="5" s="1"/>
  <c r="H3269" i="5"/>
  <c r="K3269" i="5" s="1"/>
  <c r="H3270" i="5"/>
  <c r="H3271" i="5"/>
  <c r="H3272" i="5"/>
  <c r="H3275" i="5"/>
  <c r="K3275" i="5" s="1"/>
  <c r="H3276" i="5"/>
  <c r="K3276" i="5" s="1"/>
  <c r="H3277" i="5"/>
  <c r="K3277" i="5" s="1"/>
  <c r="H3278" i="5"/>
  <c r="K3278" i="5" s="1"/>
  <c r="H3279" i="5"/>
  <c r="K3279" i="5" s="1"/>
  <c r="H3280" i="5"/>
  <c r="K3280" i="5" s="1"/>
  <c r="H3283" i="5"/>
  <c r="H3284" i="5"/>
  <c r="H3285" i="5"/>
  <c r="K3285" i="5" s="1"/>
  <c r="H3286" i="5"/>
  <c r="H3287" i="5"/>
  <c r="K3287" i="5" s="1"/>
  <c r="H3288" i="5"/>
  <c r="H3291" i="5"/>
  <c r="H3292" i="5"/>
  <c r="K3292" i="5" s="1"/>
  <c r="H3293" i="5"/>
  <c r="H3294" i="5"/>
  <c r="H3295" i="5"/>
  <c r="K3295" i="5" s="1"/>
  <c r="H3296" i="5"/>
  <c r="H3299" i="5"/>
  <c r="K3299" i="5" s="1"/>
  <c r="H3300" i="5"/>
  <c r="H3301" i="5"/>
  <c r="K3301" i="5" s="1"/>
  <c r="H3302" i="5"/>
  <c r="H3303" i="5"/>
  <c r="H3304" i="5"/>
  <c r="H3306" i="5"/>
  <c r="H3307" i="5"/>
  <c r="H3308" i="5"/>
  <c r="K3308" i="5" s="1"/>
  <c r="H3309" i="5"/>
  <c r="K3309" i="5" s="1"/>
  <c r="H3310" i="5"/>
  <c r="K3310" i="5" s="1"/>
  <c r="H3311" i="5"/>
  <c r="K3311" i="5" s="1"/>
  <c r="H3312" i="5"/>
  <c r="H3315" i="5"/>
  <c r="H3316" i="5"/>
  <c r="K3316" i="5" s="1"/>
  <c r="H3317" i="5"/>
  <c r="H3318" i="5"/>
  <c r="H3319" i="5"/>
  <c r="K3319" i="5" s="1"/>
  <c r="H3320" i="5"/>
  <c r="H3322" i="5"/>
  <c r="H3323" i="5"/>
  <c r="H3324" i="5"/>
  <c r="H3325" i="5"/>
  <c r="H3326" i="5"/>
  <c r="K3326" i="5" s="1"/>
  <c r="H3327" i="5"/>
  <c r="K3327" i="5" s="1"/>
  <c r="H3328" i="5"/>
  <c r="H3331" i="5"/>
  <c r="K3331" i="5" s="1"/>
  <c r="H3332" i="5"/>
  <c r="K3332" i="5" s="1"/>
  <c r="H3333" i="5"/>
  <c r="H3334" i="5"/>
  <c r="K3334" i="5" s="1"/>
  <c r="H3335" i="5"/>
  <c r="H3336" i="5"/>
  <c r="H3339" i="5"/>
  <c r="K3339" i="5" s="1"/>
  <c r="H3340" i="5"/>
  <c r="K3340" i="5" s="1"/>
  <c r="H3341" i="5"/>
  <c r="K3341" i="5" s="1"/>
  <c r="H3342" i="5"/>
  <c r="H3343" i="5"/>
  <c r="K3343" i="5" s="1"/>
  <c r="H3344" i="5"/>
  <c r="H3347" i="5"/>
  <c r="H3348" i="5"/>
  <c r="H3349" i="5"/>
  <c r="K3349" i="5" s="1"/>
  <c r="H3350" i="5"/>
  <c r="K3350" i="5" s="1"/>
  <c r="H3351" i="5"/>
  <c r="H3352" i="5"/>
  <c r="K3352" i="5" s="1"/>
  <c r="H3355" i="5"/>
  <c r="H3356" i="5"/>
  <c r="K3356" i="5" s="1"/>
  <c r="H3357" i="5"/>
  <c r="H3358" i="5"/>
  <c r="K3358" i="5" s="1"/>
  <c r="H3359" i="5"/>
  <c r="K3359" i="5" s="1"/>
  <c r="H3360" i="5"/>
  <c r="H3363" i="5"/>
  <c r="K3363" i="5" s="1"/>
  <c r="H3364" i="5"/>
  <c r="K3364" i="5" s="1"/>
  <c r="H3365" i="5"/>
  <c r="K3365" i="5" s="1"/>
  <c r="H3366" i="5"/>
  <c r="H3367" i="5"/>
  <c r="H3368" i="5"/>
  <c r="H3370" i="5"/>
  <c r="H3371" i="5"/>
  <c r="K3371" i="5" s="1"/>
  <c r="H3372" i="5"/>
  <c r="K3372" i="5" s="1"/>
  <c r="H3373" i="5"/>
  <c r="K3373" i="5" s="1"/>
  <c r="H3374" i="5"/>
  <c r="H3375" i="5"/>
  <c r="H3376" i="5"/>
  <c r="H3379" i="5"/>
  <c r="H3380" i="5"/>
  <c r="K3380" i="5" s="1"/>
  <c r="H3381" i="5"/>
  <c r="K3381" i="5" s="1"/>
  <c r="H3382" i="5"/>
  <c r="K3382" i="5" s="1"/>
  <c r="H3383" i="5"/>
  <c r="K3383" i="5" s="1"/>
  <c r="H3384" i="5"/>
  <c r="H3386" i="5"/>
  <c r="H3387" i="5"/>
  <c r="H3388" i="5"/>
  <c r="H3389" i="5"/>
  <c r="H3390" i="5"/>
  <c r="K3390" i="5" s="1"/>
  <c r="H3391" i="5"/>
  <c r="K3391" i="5" s="1"/>
  <c r="H3392" i="5"/>
  <c r="H3395" i="5"/>
  <c r="H3396" i="5"/>
  <c r="K3396" i="5" s="1"/>
  <c r="H3397" i="5"/>
  <c r="K3397" i="5" s="1"/>
  <c r="H3398" i="5"/>
  <c r="H3399" i="5"/>
  <c r="H3400" i="5"/>
  <c r="H3403" i="5"/>
  <c r="K3403" i="5" s="1"/>
  <c r="H3404" i="5"/>
  <c r="K3404" i="5" s="1"/>
  <c r="H3405" i="5"/>
  <c r="H3406" i="5"/>
  <c r="H3407" i="5"/>
  <c r="K3407" i="5" s="1"/>
  <c r="H3408" i="5"/>
  <c r="H3411" i="5"/>
  <c r="H3412" i="5"/>
  <c r="H3413" i="5"/>
  <c r="K3413" i="5" s="1"/>
  <c r="H3414" i="5"/>
  <c r="K3414" i="5" s="1"/>
  <c r="H3415" i="5"/>
  <c r="H3416" i="5"/>
  <c r="H3419" i="5"/>
  <c r="H3420" i="5"/>
  <c r="H3421" i="5"/>
  <c r="H3422" i="5"/>
  <c r="H3423" i="5"/>
  <c r="K3423" i="5" s="1"/>
  <c r="H3424" i="5"/>
  <c r="K3424" i="5" s="1"/>
  <c r="H3427" i="5"/>
  <c r="K3427" i="5" s="1"/>
  <c r="H3428" i="5"/>
  <c r="H3429" i="5"/>
  <c r="K3429" i="5" s="1"/>
  <c r="H3430" i="5"/>
  <c r="H3431" i="5"/>
  <c r="H3432" i="5"/>
  <c r="H3434" i="5"/>
  <c r="H3435" i="5"/>
  <c r="K3435" i="5" s="1"/>
  <c r="H3436" i="5"/>
  <c r="K3436" i="5" s="1"/>
  <c r="H3437" i="5"/>
  <c r="K3437" i="5" s="1"/>
  <c r="H3438" i="5"/>
  <c r="K3438" i="5" s="1"/>
  <c r="H3439" i="5"/>
  <c r="K3439" i="5" s="1"/>
  <c r="H3440" i="5"/>
  <c r="H3443" i="5"/>
  <c r="K3443" i="5" s="1"/>
  <c r="H3444" i="5"/>
  <c r="K3444" i="5" s="1"/>
  <c r="H3445" i="5"/>
  <c r="K3445" i="5" s="1"/>
  <c r="H3446" i="5"/>
  <c r="K3446" i="5" s="1"/>
  <c r="H3447" i="5"/>
  <c r="K3447" i="5" s="1"/>
  <c r="H3448" i="5"/>
  <c r="H3450" i="5"/>
  <c r="H3451" i="5"/>
  <c r="H3452" i="5"/>
  <c r="K3452" i="5" s="1"/>
  <c r="H3453" i="5"/>
  <c r="H3454" i="5"/>
  <c r="H3455" i="5"/>
  <c r="K3455" i="5" s="1"/>
  <c r="H3456" i="5"/>
  <c r="H3459" i="5"/>
  <c r="K3459" i="5" s="1"/>
  <c r="H3460" i="5"/>
  <c r="K3460" i="5" s="1"/>
  <c r="H3461" i="5"/>
  <c r="K3461" i="5" s="1"/>
  <c r="H3462" i="5"/>
  <c r="K3462" i="5" s="1"/>
  <c r="H3463" i="5"/>
  <c r="K3463" i="5" s="1"/>
  <c r="H3464" i="5"/>
  <c r="K3464" i="5" s="1"/>
  <c r="H3467" i="5"/>
  <c r="H3468" i="5"/>
  <c r="H3469" i="5"/>
  <c r="K3469" i="5" s="1"/>
  <c r="H3470" i="5"/>
  <c r="K3470" i="5" s="1"/>
  <c r="H3471" i="5"/>
  <c r="K3471" i="5" s="1"/>
  <c r="H3472" i="5"/>
  <c r="H3475" i="5"/>
  <c r="K3475" i="5" s="1"/>
  <c r="H3476" i="5"/>
  <c r="H3477" i="5"/>
  <c r="H3478" i="5"/>
  <c r="H3479" i="5"/>
  <c r="H3480" i="5"/>
  <c r="H3483" i="5"/>
  <c r="K3483" i="5" s="1"/>
  <c r="H3484" i="5"/>
  <c r="K3484" i="5" s="1"/>
  <c r="H3485" i="5"/>
  <c r="K3485" i="5" s="1"/>
  <c r="H3486" i="5"/>
  <c r="K3486" i="5" s="1"/>
  <c r="H3487" i="5"/>
  <c r="H3488" i="5"/>
  <c r="H3491" i="5"/>
  <c r="K3491" i="5" s="1"/>
  <c r="H3492" i="5"/>
  <c r="H3493" i="5"/>
  <c r="K3493" i="5" s="1"/>
  <c r="H3494" i="5"/>
  <c r="K3494" i="5" s="1"/>
  <c r="H3495" i="5"/>
  <c r="K3495" i="5" s="1"/>
  <c r="H3496" i="5"/>
  <c r="H3498" i="5"/>
  <c r="H3499" i="5"/>
  <c r="H3500" i="5"/>
  <c r="K3500" i="5" s="1"/>
  <c r="H3501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K3322" i="5" l="1"/>
  <c r="K3066" i="5"/>
  <c r="K3351" i="5"/>
  <c r="K2922" i="5"/>
  <c r="K2666" i="5"/>
  <c r="K2410" i="5"/>
  <c r="K2173" i="5"/>
  <c r="K2154" i="5"/>
  <c r="K1914" i="5"/>
  <c r="K1402" i="5"/>
  <c r="K3434" i="5"/>
  <c r="K3178" i="5"/>
  <c r="K3002" i="5"/>
  <c r="K2766" i="5"/>
  <c r="K2490" i="5"/>
  <c r="K2234" i="5"/>
  <c r="K3370" i="5"/>
  <c r="K2858" i="5"/>
  <c r="K1786" i="5"/>
  <c r="K1651" i="5"/>
  <c r="K1274" i="5"/>
  <c r="K762" i="5"/>
  <c r="K250" i="5"/>
  <c r="K2346" i="5"/>
  <c r="K3070" i="5"/>
  <c r="K2999" i="5"/>
  <c r="K2980" i="5"/>
  <c r="K2743" i="5"/>
  <c r="K2733" i="5"/>
  <c r="K2662" i="5"/>
  <c r="K2652" i="5"/>
  <c r="K2611" i="5"/>
  <c r="K2426" i="5"/>
  <c r="K2406" i="5"/>
  <c r="K2396" i="5"/>
  <c r="K2355" i="5"/>
  <c r="K2170" i="5"/>
  <c r="K2150" i="5"/>
  <c r="K2140" i="5"/>
  <c r="K2099" i="5"/>
  <c r="K1764" i="5"/>
  <c r="K1742" i="5"/>
  <c r="K1722" i="5"/>
  <c r="K1638" i="5"/>
  <c r="K1628" i="5"/>
  <c r="K1587" i="5"/>
  <c r="K1252" i="5"/>
  <c r="K1230" i="5"/>
  <c r="K1210" i="5"/>
  <c r="K1126" i="5"/>
  <c r="K1116" i="5"/>
  <c r="K1075" i="5"/>
  <c r="K740" i="5"/>
  <c r="K718" i="5"/>
  <c r="K698" i="5"/>
  <c r="K614" i="5"/>
  <c r="K604" i="5"/>
  <c r="K563" i="5"/>
  <c r="K228" i="5"/>
  <c r="K206" i="5"/>
  <c r="K186" i="5"/>
  <c r="K115" i="5"/>
  <c r="K3079" i="5"/>
  <c r="K3060" i="5"/>
  <c r="K2988" i="5"/>
  <c r="K2967" i="5"/>
  <c r="K2957" i="5"/>
  <c r="K2855" i="5"/>
  <c r="K2629" i="5"/>
  <c r="K2619" i="5"/>
  <c r="K2538" i="5"/>
  <c r="K2373" i="5"/>
  <c r="K2363" i="5"/>
  <c r="K2282" i="5"/>
  <c r="K2117" i="5"/>
  <c r="K2107" i="5"/>
  <c r="K2086" i="5"/>
  <c r="K2076" i="5"/>
  <c r="K1658" i="5"/>
  <c r="K1605" i="5"/>
  <c r="K1595" i="5"/>
  <c r="K1574" i="5"/>
  <c r="K1564" i="5"/>
  <c r="K1146" i="5"/>
  <c r="K1062" i="5"/>
  <c r="K1052" i="5"/>
  <c r="K634" i="5"/>
  <c r="K550" i="5"/>
  <c r="K540" i="5"/>
  <c r="K3386" i="5"/>
  <c r="K3294" i="5"/>
  <c r="K3172" i="5"/>
  <c r="K3140" i="5"/>
  <c r="K2874" i="5"/>
  <c r="K2844" i="5"/>
  <c r="K2822" i="5"/>
  <c r="K2618" i="5"/>
  <c r="K2607" i="5"/>
  <c r="K2598" i="5"/>
  <c r="K2588" i="5"/>
  <c r="K2362" i="5"/>
  <c r="K2351" i="5"/>
  <c r="K2342" i="5"/>
  <c r="K2332" i="5"/>
  <c r="K2106" i="5"/>
  <c r="K2095" i="5"/>
  <c r="K2053" i="5"/>
  <c r="K2043" i="5"/>
  <c r="K1917" i="5"/>
  <c r="K1594" i="5"/>
  <c r="K1583" i="5"/>
  <c r="K1541" i="5"/>
  <c r="K1531" i="5"/>
  <c r="K1405" i="5"/>
  <c r="K1238" i="5"/>
  <c r="K1228" i="5"/>
  <c r="K1082" i="5"/>
  <c r="K893" i="5"/>
  <c r="K726" i="5"/>
  <c r="K716" i="5"/>
  <c r="K570" i="5"/>
  <c r="K381" i="5"/>
  <c r="K214" i="5"/>
  <c r="K204" i="5"/>
  <c r="K94" i="5"/>
  <c r="K3405" i="5"/>
  <c r="K3395" i="5"/>
  <c r="K3252" i="5"/>
  <c r="K3047" i="5"/>
  <c r="K2811" i="5"/>
  <c r="K2730" i="5"/>
  <c r="K2565" i="5"/>
  <c r="K2474" i="5"/>
  <c r="K2309" i="5"/>
  <c r="K2299" i="5"/>
  <c r="K2218" i="5"/>
  <c r="K2084" i="5"/>
  <c r="K2062" i="5"/>
  <c r="K2042" i="5"/>
  <c r="K1907" i="5"/>
  <c r="K1853" i="5"/>
  <c r="K1572" i="5"/>
  <c r="K1550" i="5"/>
  <c r="K1530" i="5"/>
  <c r="K1519" i="5"/>
  <c r="K1395" i="5"/>
  <c r="K1341" i="5"/>
  <c r="K1174" i="5"/>
  <c r="K1164" i="5"/>
  <c r="K1060" i="5"/>
  <c r="K1038" i="5"/>
  <c r="K1018" i="5"/>
  <c r="K883" i="5"/>
  <c r="K829" i="5"/>
  <c r="K662" i="5"/>
  <c r="K652" i="5"/>
  <c r="K548" i="5"/>
  <c r="K526" i="5"/>
  <c r="K506" i="5"/>
  <c r="K317" i="5"/>
  <c r="K191" i="5"/>
  <c r="K140" i="5"/>
  <c r="K3014" i="5"/>
  <c r="K2933" i="5"/>
  <c r="K2923" i="5"/>
  <c r="K2830" i="5"/>
  <c r="K2820" i="5"/>
  <c r="K2810" i="5"/>
  <c r="K2799" i="5"/>
  <c r="K2677" i="5"/>
  <c r="K2667" i="5"/>
  <c r="K2596" i="5"/>
  <c r="K2574" i="5"/>
  <c r="K2554" i="5"/>
  <c r="K2543" i="5"/>
  <c r="K2512" i="5"/>
  <c r="K2421" i="5"/>
  <c r="K2411" i="5"/>
  <c r="K2340" i="5"/>
  <c r="K2318" i="5"/>
  <c r="K2298" i="5"/>
  <c r="K2287" i="5"/>
  <c r="K2165" i="5"/>
  <c r="K2155" i="5"/>
  <c r="K2020" i="5"/>
  <c r="K1998" i="5"/>
  <c r="K1978" i="5"/>
  <c r="K1894" i="5"/>
  <c r="K1884" i="5"/>
  <c r="K1843" i="5"/>
  <c r="K1508" i="5"/>
  <c r="K1486" i="5"/>
  <c r="K1466" i="5"/>
  <c r="K1382" i="5"/>
  <c r="K1372" i="5"/>
  <c r="K1331" i="5"/>
  <c r="K996" i="5"/>
  <c r="K974" i="5"/>
  <c r="K954" i="5"/>
  <c r="K870" i="5"/>
  <c r="K860" i="5"/>
  <c r="K819" i="5"/>
  <c r="K484" i="5"/>
  <c r="K462" i="5"/>
  <c r="K442" i="5"/>
  <c r="K358" i="5"/>
  <c r="K348" i="5"/>
  <c r="K1850" i="5"/>
  <c r="K1839" i="5"/>
  <c r="K1797" i="5"/>
  <c r="K1787" i="5"/>
  <c r="K1661" i="5"/>
  <c r="K1494" i="5"/>
  <c r="K1484" i="5"/>
  <c r="K1338" i="5"/>
  <c r="K1149" i="5"/>
  <c r="K982" i="5"/>
  <c r="K972" i="5"/>
  <c r="K826" i="5"/>
  <c r="K637" i="5"/>
  <c r="K470" i="5"/>
  <c r="K460" i="5"/>
  <c r="K314" i="5"/>
  <c r="K126" i="5"/>
  <c r="K44" i="5"/>
  <c r="K3195" i="5"/>
  <c r="K3175" i="5"/>
  <c r="K3155" i="5"/>
  <c r="K2939" i="5"/>
  <c r="K2550" i="5"/>
  <c r="K1974" i="5"/>
  <c r="K1942" i="5"/>
  <c r="K3451" i="5"/>
  <c r="K3227" i="5"/>
  <c r="K2919" i="5"/>
  <c r="K2294" i="5"/>
  <c r="K1964" i="5"/>
  <c r="K1932" i="5"/>
  <c r="K3501" i="5"/>
  <c r="K3430" i="5"/>
  <c r="K3420" i="5"/>
  <c r="K3388" i="5"/>
  <c r="K3317" i="5"/>
  <c r="K3307" i="5"/>
  <c r="K3174" i="5"/>
  <c r="K3164" i="5"/>
  <c r="K3142" i="5"/>
  <c r="K3123" i="5"/>
  <c r="K3051" i="5"/>
  <c r="K3030" i="5"/>
  <c r="K3020" i="5"/>
  <c r="K2918" i="5"/>
  <c r="K2908" i="5"/>
  <c r="K2867" i="5"/>
  <c r="K2764" i="5"/>
  <c r="K2518" i="5"/>
  <c r="K2508" i="5"/>
  <c r="K2262" i="5"/>
  <c r="K2252" i="5"/>
  <c r="K1910" i="5"/>
  <c r="K1900" i="5"/>
  <c r="K1868" i="5"/>
  <c r="K3291" i="5"/>
  <c r="K3419" i="5"/>
  <c r="K3387" i="5"/>
  <c r="K3131" i="5"/>
  <c r="K3007" i="5"/>
  <c r="K2875" i="5"/>
  <c r="K2742" i="5"/>
  <c r="K2486" i="5"/>
  <c r="K2230" i="5"/>
  <c r="K2220" i="5"/>
  <c r="K1846" i="5"/>
  <c r="K1836" i="5"/>
  <c r="K1814" i="5"/>
  <c r="K3259" i="5"/>
  <c r="K2997" i="5"/>
  <c r="K2987" i="5"/>
  <c r="K2710" i="5"/>
  <c r="K2700" i="5"/>
  <c r="K2454" i="5"/>
  <c r="K2444" i="5"/>
  <c r="K2198" i="5"/>
  <c r="K2188" i="5"/>
  <c r="K1782" i="5"/>
  <c r="K1772" i="5"/>
  <c r="K1740" i="5"/>
  <c r="K3355" i="5"/>
  <c r="K3323" i="5"/>
  <c r="K3118" i="5"/>
  <c r="K3109" i="5"/>
  <c r="K3099" i="5"/>
  <c r="K2996" i="5"/>
  <c r="K2853" i="5"/>
  <c r="K2678" i="5"/>
  <c r="K2166" i="5"/>
  <c r="K2156" i="5"/>
  <c r="K1718" i="5"/>
  <c r="K1708" i="5"/>
  <c r="K1686" i="5"/>
  <c r="K1676" i="5"/>
  <c r="K3392" i="5"/>
  <c r="K3086" i="5"/>
  <c r="K3076" i="5"/>
  <c r="K2995" i="5"/>
  <c r="K2974" i="5"/>
  <c r="K2964" i="5"/>
  <c r="K2646" i="5"/>
  <c r="K2636" i="5"/>
  <c r="K2390" i="5"/>
  <c r="K2380" i="5"/>
  <c r="K2134" i="5"/>
  <c r="K2124" i="5"/>
  <c r="K1654" i="5"/>
  <c r="K1644" i="5"/>
  <c r="K2973" i="5"/>
  <c r="K2963" i="5"/>
  <c r="K2951" i="5"/>
  <c r="K2941" i="5"/>
  <c r="K2789" i="5"/>
  <c r="K2358" i="5"/>
  <c r="K2102" i="5"/>
  <c r="K2092" i="5"/>
  <c r="K2070" i="5"/>
  <c r="K2060" i="5"/>
  <c r="K54" i="5"/>
  <c r="K3431" i="5"/>
  <c r="K3421" i="5"/>
  <c r="K3411" i="5"/>
  <c r="K3399" i="5"/>
  <c r="K3389" i="5"/>
  <c r="K2847" i="5"/>
  <c r="K2837" i="5"/>
  <c r="K2827" i="5"/>
  <c r="K2815" i="5"/>
  <c r="K3379" i="5"/>
  <c r="K2795" i="5"/>
  <c r="K3367" i="5"/>
  <c r="K3357" i="5"/>
  <c r="K3347" i="5"/>
  <c r="K3335" i="5"/>
  <c r="K3325" i="5"/>
  <c r="K2763" i="5"/>
  <c r="K3499" i="5"/>
  <c r="K2741" i="5"/>
  <c r="K2731" i="5"/>
  <c r="K3487" i="5"/>
  <c r="K3303" i="5"/>
  <c r="K3283" i="5"/>
  <c r="K3271" i="5"/>
  <c r="K3261" i="5"/>
  <c r="K2975" i="5"/>
  <c r="K2965" i="5"/>
  <c r="K2943" i="5"/>
  <c r="K2719" i="5"/>
  <c r="K2709" i="5"/>
  <c r="K2699" i="5"/>
  <c r="K2687" i="5"/>
  <c r="K2453" i="5"/>
  <c r="K2443" i="5"/>
  <c r="K2197" i="5"/>
  <c r="K2187" i="5"/>
  <c r="K1781" i="5"/>
  <c r="K1771" i="5"/>
  <c r="K1759" i="5"/>
  <c r="K1749" i="5"/>
  <c r="K1739" i="5"/>
  <c r="K1727" i="5"/>
  <c r="K1269" i="5"/>
  <c r="K1259" i="5"/>
  <c r="K1247" i="5"/>
  <c r="K1237" i="5"/>
  <c r="K1227" i="5"/>
  <c r="K1215" i="5"/>
  <c r="K747" i="5"/>
  <c r="K735" i="5"/>
  <c r="K725" i="5"/>
  <c r="K715" i="5"/>
  <c r="K703" i="5"/>
  <c r="K3251" i="5"/>
  <c r="K3476" i="5"/>
  <c r="K3453" i="5"/>
  <c r="K3239" i="5"/>
  <c r="K2911" i="5"/>
  <c r="K2901" i="5"/>
  <c r="K2891" i="5"/>
  <c r="K2879" i="5"/>
  <c r="K2655" i="5"/>
  <c r="K2645" i="5"/>
  <c r="K2635" i="5"/>
  <c r="K2623" i="5"/>
  <c r="K2399" i="5"/>
  <c r="K2389" i="5"/>
  <c r="K2379" i="5"/>
  <c r="K2367" i="5"/>
  <c r="K2143" i="5"/>
  <c r="K2133" i="5"/>
  <c r="K2123" i="5"/>
  <c r="K2111" i="5"/>
  <c r="K1653" i="5"/>
  <c r="K1643" i="5"/>
  <c r="K1631" i="5"/>
  <c r="K1621" i="5"/>
  <c r="K1611" i="5"/>
  <c r="K1599" i="5"/>
  <c r="K2591" i="5"/>
  <c r="K2581" i="5"/>
  <c r="K2571" i="5"/>
  <c r="K2559" i="5"/>
  <c r="K2315" i="5"/>
  <c r="K2037" i="5"/>
  <c r="K2027" i="5"/>
  <c r="K2015" i="5"/>
  <c r="K2005" i="5"/>
  <c r="K1995" i="5"/>
  <c r="K1983" i="5"/>
  <c r="K1525" i="5"/>
  <c r="K1515" i="5"/>
  <c r="K1503" i="5"/>
  <c r="K1493" i="5"/>
  <c r="K1483" i="5"/>
  <c r="K1471" i="5"/>
  <c r="K1013" i="5"/>
  <c r="K1003" i="5"/>
  <c r="K991" i="5"/>
  <c r="K981" i="5"/>
  <c r="K971" i="5"/>
  <c r="K959" i="5"/>
  <c r="K491" i="5"/>
  <c r="K479" i="5"/>
  <c r="K469" i="5"/>
  <c r="K459" i="5"/>
  <c r="K447" i="5"/>
  <c r="K2549" i="5"/>
  <c r="K2539" i="5"/>
  <c r="K2283" i="5"/>
  <c r="K1973" i="5"/>
  <c r="K1963" i="5"/>
  <c r="K1941" i="5"/>
  <c r="K1931" i="5"/>
  <c r="K1461" i="5"/>
  <c r="K1451" i="5"/>
  <c r="K1439" i="5"/>
  <c r="K1429" i="5"/>
  <c r="K1419" i="5"/>
  <c r="K1407" i="5"/>
  <c r="K949" i="5"/>
  <c r="K939" i="5"/>
  <c r="K927" i="5"/>
  <c r="K917" i="5"/>
  <c r="K907" i="5"/>
  <c r="K895" i="5"/>
  <c r="K437" i="5"/>
  <c r="K427" i="5"/>
  <c r="K415" i="5"/>
  <c r="K405" i="5"/>
  <c r="K395" i="5"/>
  <c r="K383" i="5"/>
  <c r="K23" i="5"/>
  <c r="K2751" i="5"/>
  <c r="K2527" i="5"/>
  <c r="K2517" i="5"/>
  <c r="K2507" i="5"/>
  <c r="K2495" i="5"/>
  <c r="K2261" i="5"/>
  <c r="K2251" i="5"/>
  <c r="K1909" i="5"/>
  <c r="K1899" i="5"/>
  <c r="K1887" i="5"/>
  <c r="K1877" i="5"/>
  <c r="K1867" i="5"/>
  <c r="K1397" i="5"/>
  <c r="K1387" i="5"/>
  <c r="K1375" i="5"/>
  <c r="K1365" i="5"/>
  <c r="K1355" i="5"/>
  <c r="K1343" i="5"/>
  <c r="K885" i="5"/>
  <c r="K875" i="5"/>
  <c r="K863" i="5"/>
  <c r="K853" i="5"/>
  <c r="K843" i="5"/>
  <c r="K831" i="5"/>
  <c r="K363" i="5"/>
  <c r="K351" i="5"/>
  <c r="K341" i="5"/>
  <c r="K331" i="5"/>
  <c r="K319" i="5"/>
  <c r="K86" i="5"/>
  <c r="K2485" i="5"/>
  <c r="K2475" i="5"/>
  <c r="K2229" i="5"/>
  <c r="K2219" i="5"/>
  <c r="K1845" i="5"/>
  <c r="K1835" i="5"/>
  <c r="K1823" i="5"/>
  <c r="K1813" i="5"/>
  <c r="K1803" i="5"/>
  <c r="K1791" i="5"/>
  <c r="K1333" i="5"/>
  <c r="K1323" i="5"/>
  <c r="K1311" i="5"/>
  <c r="K1301" i="5"/>
  <c r="K1291" i="5"/>
  <c r="K1279" i="5"/>
  <c r="K821" i="5"/>
  <c r="K811" i="5"/>
  <c r="K799" i="5"/>
  <c r="K789" i="5"/>
  <c r="K779" i="5"/>
  <c r="K767" i="5"/>
  <c r="K299" i="5"/>
  <c r="K287" i="5"/>
  <c r="K277" i="5"/>
  <c r="K267" i="5"/>
  <c r="K255" i="5"/>
  <c r="K76" i="5"/>
  <c r="K1717" i="5"/>
  <c r="K1707" i="5"/>
  <c r="K1695" i="5"/>
  <c r="K1685" i="5"/>
  <c r="K1675" i="5"/>
  <c r="K1663" i="5"/>
  <c r="K1205" i="5"/>
  <c r="K1195" i="5"/>
  <c r="K1183" i="5"/>
  <c r="K1173" i="5"/>
  <c r="K1163" i="5"/>
  <c r="K1151" i="5"/>
  <c r="K683" i="5"/>
  <c r="K671" i="5"/>
  <c r="K661" i="5"/>
  <c r="K651" i="5"/>
  <c r="K639" i="5"/>
  <c r="K1141" i="5"/>
  <c r="K1131" i="5"/>
  <c r="K1119" i="5"/>
  <c r="K1109" i="5"/>
  <c r="K1099" i="5"/>
  <c r="K1087" i="5"/>
  <c r="K619" i="5"/>
  <c r="K607" i="5"/>
  <c r="K597" i="5"/>
  <c r="K587" i="5"/>
  <c r="K575" i="5"/>
  <c r="K118" i="5"/>
  <c r="K45" i="5"/>
  <c r="K2787" i="5"/>
  <c r="K2775" i="5"/>
  <c r="K2765" i="5"/>
  <c r="K2755" i="5"/>
  <c r="K2531" i="5"/>
  <c r="K2519" i="5"/>
  <c r="K2509" i="5"/>
  <c r="K2499" i="5"/>
  <c r="K33" i="5"/>
  <c r="K3479" i="5"/>
  <c r="K2723" i="5"/>
  <c r="K2711" i="5"/>
  <c r="K2701" i="5"/>
  <c r="K2691" i="5"/>
  <c r="K2467" i="5"/>
  <c r="K2455" i="5"/>
  <c r="K2445" i="5"/>
  <c r="K2435" i="5"/>
  <c r="K2211" i="5"/>
  <c r="K2199" i="5"/>
  <c r="K2189" i="5"/>
  <c r="K1783" i="5"/>
  <c r="K1773" i="5"/>
  <c r="K1763" i="5"/>
  <c r="K1751" i="5"/>
  <c r="K1741" i="5"/>
  <c r="K1731" i="5"/>
  <c r="K113" i="5"/>
  <c r="K49" i="5"/>
  <c r="K22" i="5"/>
  <c r="K13" i="5"/>
  <c r="K3468" i="5"/>
  <c r="K3375" i="5"/>
  <c r="K3324" i="5"/>
  <c r="K3315" i="5"/>
  <c r="K3284" i="5"/>
  <c r="K3150" i="5"/>
  <c r="K3119" i="5"/>
  <c r="K3068" i="5"/>
  <c r="K3059" i="5"/>
  <c r="K3028" i="5"/>
  <c r="K2863" i="5"/>
  <c r="K2679" i="5"/>
  <c r="K2669" i="5"/>
  <c r="K2423" i="5"/>
  <c r="K2413" i="5"/>
  <c r="K2167" i="5"/>
  <c r="K2157" i="5"/>
  <c r="K1719" i="5"/>
  <c r="K1709" i="5"/>
  <c r="K1699" i="5"/>
  <c r="K1687" i="5"/>
  <c r="K1677" i="5"/>
  <c r="K1667" i="5"/>
  <c r="K3477" i="5"/>
  <c r="K3467" i="5"/>
  <c r="K3415" i="5"/>
  <c r="K3333" i="5"/>
  <c r="K3293" i="5"/>
  <c r="K3242" i="5"/>
  <c r="K3211" i="5"/>
  <c r="K3159" i="5"/>
  <c r="K3077" i="5"/>
  <c r="K3037" i="5"/>
  <c r="K2955" i="5"/>
  <c r="K2903" i="5"/>
  <c r="K3496" i="5"/>
  <c r="K3302" i="5"/>
  <c r="K3240" i="5"/>
  <c r="K2984" i="5"/>
  <c r="K2728" i="5"/>
  <c r="K2615" i="5"/>
  <c r="K2605" i="5"/>
  <c r="K2472" i="5"/>
  <c r="K2359" i="5"/>
  <c r="K2349" i="5"/>
  <c r="K2216" i="5"/>
  <c r="K2093" i="5"/>
  <c r="K2083" i="5"/>
  <c r="K2071" i="5"/>
  <c r="K2061" i="5"/>
  <c r="K2051" i="5"/>
  <c r="K1591" i="5"/>
  <c r="K1581" i="5"/>
  <c r="K1571" i="5"/>
  <c r="K1559" i="5"/>
  <c r="K1549" i="5"/>
  <c r="K1539" i="5"/>
  <c r="K1079" i="5"/>
  <c r="K1069" i="5"/>
  <c r="K1059" i="5"/>
  <c r="K1047" i="5"/>
  <c r="K1037" i="5"/>
  <c r="K1027" i="5"/>
  <c r="K567" i="5"/>
  <c r="K557" i="5"/>
  <c r="K535" i="5"/>
  <c r="K525" i="5"/>
  <c r="K515" i="5"/>
  <c r="K1335" i="5"/>
  <c r="K1325" i="5"/>
  <c r="K1315" i="5"/>
  <c r="K1303" i="5"/>
  <c r="K1293" i="5"/>
  <c r="K1283" i="5"/>
  <c r="K1012" i="5"/>
  <c r="K990" i="5"/>
  <c r="K980" i="5"/>
  <c r="K958" i="5"/>
  <c r="K823" i="5"/>
  <c r="K813" i="5"/>
  <c r="K803" i="5"/>
  <c r="K791" i="5"/>
  <c r="K781" i="5"/>
  <c r="K771" i="5"/>
  <c r="K500" i="5"/>
  <c r="K478" i="5"/>
  <c r="K468" i="5"/>
  <c r="K446" i="5"/>
  <c r="K311" i="5"/>
  <c r="K301" i="5"/>
  <c r="K291" i="5"/>
  <c r="K279" i="5"/>
  <c r="K269" i="5"/>
  <c r="K259" i="5"/>
  <c r="K105" i="5"/>
  <c r="K41" i="5"/>
  <c r="K32" i="5"/>
  <c r="K1857" i="5"/>
  <c r="K1409" i="5"/>
  <c r="K897" i="5"/>
  <c r="K1332" i="5"/>
  <c r="K1310" i="5"/>
  <c r="K1300" i="5"/>
  <c r="K1278" i="5"/>
  <c r="K1143" i="5"/>
  <c r="K1133" i="5"/>
  <c r="K1123" i="5"/>
  <c r="K1111" i="5"/>
  <c r="K1101" i="5"/>
  <c r="K1091" i="5"/>
  <c r="K820" i="5"/>
  <c r="K798" i="5"/>
  <c r="K788" i="5"/>
  <c r="K766" i="5"/>
  <c r="K631" i="5"/>
  <c r="K621" i="5"/>
  <c r="K599" i="5"/>
  <c r="K589" i="5"/>
  <c r="K579" i="5"/>
  <c r="K308" i="5"/>
  <c r="K286" i="5"/>
  <c r="K254" i="5"/>
  <c r="K65" i="5"/>
  <c r="K244" i="5"/>
  <c r="K222" i="5"/>
  <c r="K190" i="5"/>
  <c r="K171" i="5"/>
  <c r="K159" i="5"/>
  <c r="K149" i="5"/>
  <c r="K110" i="5"/>
  <c r="K92" i="5"/>
  <c r="K83" i="5"/>
  <c r="K73" i="5"/>
  <c r="K46" i="5"/>
  <c r="K28" i="5"/>
  <c r="K19" i="5"/>
  <c r="K9" i="5"/>
  <c r="K180" i="5"/>
  <c r="K81" i="5"/>
  <c r="K72" i="5"/>
  <c r="K17" i="5"/>
  <c r="K8" i="5"/>
  <c r="K25" i="5"/>
  <c r="K3488" i="5"/>
  <c r="K3456" i="5"/>
  <c r="K3428" i="5"/>
  <c r="K3416" i="5"/>
  <c r="K3344" i="5"/>
  <c r="K3304" i="5"/>
  <c r="K3272" i="5"/>
  <c r="K3232" i="5"/>
  <c r="K3200" i="5"/>
  <c r="K3160" i="5"/>
  <c r="K3088" i="5"/>
  <c r="K3048" i="5"/>
  <c r="K3016" i="5"/>
  <c r="K2976" i="5"/>
  <c r="K2944" i="5"/>
  <c r="K2904" i="5"/>
  <c r="K2832" i="5"/>
  <c r="K2792" i="5"/>
  <c r="K2760" i="5"/>
  <c r="K2720" i="5"/>
  <c r="K2688" i="5"/>
  <c r="K2648" i="5"/>
  <c r="K2576" i="5"/>
  <c r="K2536" i="5"/>
  <c r="K2504" i="5"/>
  <c r="K2464" i="5"/>
  <c r="K2432" i="5"/>
  <c r="K2392" i="5"/>
  <c r="K2320" i="5"/>
  <c r="K2280" i="5"/>
  <c r="K2248" i="5"/>
  <c r="K2208" i="5"/>
  <c r="K2176" i="5"/>
  <c r="K2136" i="5"/>
  <c r="K2032" i="5"/>
  <c r="K2000" i="5"/>
  <c r="K1896" i="5"/>
  <c r="K1864" i="5"/>
  <c r="K1760" i="5"/>
  <c r="K1728" i="5"/>
  <c r="K1656" i="5"/>
  <c r="K3384" i="5"/>
  <c r="K3312" i="5"/>
  <c r="K3128" i="5"/>
  <c r="K3056" i="5"/>
  <c r="K2872" i="5"/>
  <c r="K2800" i="5"/>
  <c r="K2616" i="5"/>
  <c r="K2555" i="5"/>
  <c r="K2544" i="5"/>
  <c r="K2422" i="5"/>
  <c r="K2360" i="5"/>
  <c r="K2288" i="5"/>
  <c r="K2147" i="5"/>
  <c r="K2104" i="5"/>
  <c r="K2072" i="5"/>
  <c r="K2011" i="5"/>
  <c r="K1968" i="5"/>
  <c r="K1936" i="5"/>
  <c r="K1832" i="5"/>
  <c r="K1800" i="5"/>
  <c r="K1696" i="5"/>
  <c r="K1664" i="5"/>
  <c r="K3320" i="5"/>
  <c r="K3064" i="5"/>
  <c r="K2992" i="5"/>
  <c r="K2552" i="5"/>
  <c r="K2471" i="5"/>
  <c r="K2307" i="5"/>
  <c r="K2296" i="5"/>
  <c r="K2224" i="5"/>
  <c r="K2080" i="5"/>
  <c r="K2048" i="5"/>
  <c r="K1976" i="5"/>
  <c r="K1944" i="5"/>
  <c r="K1840" i="5"/>
  <c r="K1808" i="5"/>
  <c r="K1704" i="5"/>
  <c r="K1694" i="5"/>
  <c r="K1672" i="5"/>
  <c r="K1568" i="5"/>
  <c r="K1548" i="5"/>
  <c r="K1536" i="5"/>
  <c r="K1464" i="5"/>
  <c r="K1432" i="5"/>
  <c r="K1328" i="5"/>
  <c r="K1296" i="5"/>
  <c r="K1192" i="5"/>
  <c r="K1160" i="5"/>
  <c r="K1056" i="5"/>
  <c r="K1036" i="5"/>
  <c r="K1024" i="5"/>
  <c r="K952" i="5"/>
  <c r="K920" i="5"/>
  <c r="K890" i="5"/>
  <c r="K816" i="5"/>
  <c r="K680" i="5"/>
  <c r="K648" i="5"/>
  <c r="K544" i="5"/>
  <c r="K512" i="5"/>
  <c r="K440" i="5"/>
  <c r="K408" i="5"/>
  <c r="K378" i="5"/>
  <c r="K304" i="5"/>
  <c r="K272" i="5"/>
  <c r="K231" i="5"/>
  <c r="K168" i="5"/>
  <c r="K158" i="5"/>
  <c r="K136" i="5"/>
  <c r="K91" i="5"/>
  <c r="K27" i="5"/>
  <c r="K3248" i="5"/>
  <c r="K2808" i="5"/>
  <c r="K2736" i="5"/>
  <c r="K2480" i="5"/>
  <c r="K2461" i="5"/>
  <c r="K3472" i="5"/>
  <c r="K3432" i="5"/>
  <c r="K3412" i="5"/>
  <c r="K3400" i="5"/>
  <c r="K3360" i="5"/>
  <c r="K3328" i="5"/>
  <c r="K3300" i="5"/>
  <c r="K3288" i="5"/>
  <c r="K3216" i="5"/>
  <c r="K3176" i="5"/>
  <c r="K3144" i="5"/>
  <c r="K3104" i="5"/>
  <c r="K3072" i="5"/>
  <c r="K3032" i="5"/>
  <c r="K2960" i="5"/>
  <c r="K2920" i="5"/>
  <c r="K2888" i="5"/>
  <c r="K2848" i="5"/>
  <c r="K2816" i="5"/>
  <c r="K2776" i="5"/>
  <c r="K2704" i="5"/>
  <c r="K2664" i="5"/>
  <c r="K2632" i="5"/>
  <c r="K2592" i="5"/>
  <c r="K2560" i="5"/>
  <c r="K2520" i="5"/>
  <c r="K2448" i="5"/>
  <c r="K2408" i="5"/>
  <c r="K2376" i="5"/>
  <c r="K2336" i="5"/>
  <c r="K2304" i="5"/>
  <c r="K2264" i="5"/>
  <c r="K2192" i="5"/>
  <c r="K2152" i="5"/>
  <c r="K2120" i="5"/>
  <c r="K2016" i="5"/>
  <c r="K1984" i="5"/>
  <c r="K1912" i="5"/>
  <c r="K1880" i="5"/>
  <c r="K3184" i="5"/>
  <c r="K3000" i="5"/>
  <c r="K2275" i="5"/>
  <c r="K2088" i="5"/>
  <c r="K2056" i="5"/>
  <c r="K1920" i="5"/>
  <c r="K1848" i="5"/>
  <c r="K1816" i="5"/>
  <c r="K1712" i="5"/>
  <c r="K1680" i="5"/>
  <c r="K1576" i="5"/>
  <c r="K1566" i="5"/>
  <c r="K1544" i="5"/>
  <c r="K1440" i="5"/>
  <c r="K1420" i="5"/>
  <c r="K1408" i="5"/>
  <c r="K1336" i="5"/>
  <c r="K1304" i="5"/>
  <c r="K1200" i="5"/>
  <c r="K1168" i="5"/>
  <c r="K1064" i="5"/>
  <c r="K1032" i="5"/>
  <c r="K928" i="5"/>
  <c r="K908" i="5"/>
  <c r="K896" i="5"/>
  <c r="K824" i="5"/>
  <c r="K792" i="5"/>
  <c r="K688" i="5"/>
  <c r="K656" i="5"/>
  <c r="K552" i="5"/>
  <c r="K520" i="5"/>
  <c r="K416" i="5"/>
  <c r="K384" i="5"/>
  <c r="K312" i="5"/>
  <c r="K280" i="5"/>
  <c r="K176" i="5"/>
  <c r="K144" i="5"/>
  <c r="K107" i="5"/>
  <c r="K43" i="5"/>
  <c r="K2624" i="5"/>
  <c r="K2256" i="5"/>
  <c r="K3440" i="5"/>
  <c r="K2672" i="5"/>
  <c r="K2488" i="5"/>
  <c r="K2416" i="5"/>
  <c r="K2335" i="5"/>
  <c r="K2232" i="5"/>
  <c r="K2160" i="5"/>
  <c r="K3492" i="5"/>
  <c r="K3480" i="5"/>
  <c r="K3408" i="5"/>
  <c r="K3368" i="5"/>
  <c r="K3348" i="5"/>
  <c r="K3336" i="5"/>
  <c r="K3296" i="5"/>
  <c r="K3264" i="5"/>
  <c r="K3236" i="5"/>
  <c r="K3224" i="5"/>
  <c r="K3152" i="5"/>
  <c r="K3112" i="5"/>
  <c r="K3080" i="5"/>
  <c r="K3040" i="5"/>
  <c r="K3008" i="5"/>
  <c r="K2968" i="5"/>
  <c r="K2896" i="5"/>
  <c r="K2856" i="5"/>
  <c r="K2824" i="5"/>
  <c r="K2805" i="5"/>
  <c r="K2784" i="5"/>
  <c r="K2752" i="5"/>
  <c r="K2712" i="5"/>
  <c r="K2640" i="5"/>
  <c r="K2600" i="5"/>
  <c r="K2568" i="5"/>
  <c r="K2528" i="5"/>
  <c r="K2496" i="5"/>
  <c r="K2456" i="5"/>
  <c r="K2384" i="5"/>
  <c r="K2344" i="5"/>
  <c r="K2312" i="5"/>
  <c r="K2293" i="5"/>
  <c r="K2272" i="5"/>
  <c r="K2240" i="5"/>
  <c r="K2200" i="5"/>
  <c r="K2128" i="5"/>
  <c r="K2024" i="5"/>
  <c r="K1992" i="5"/>
  <c r="K1888" i="5"/>
  <c r="K1856" i="5"/>
  <c r="K1784" i="5"/>
  <c r="K1752" i="5"/>
  <c r="K3256" i="5"/>
  <c r="K2928" i="5"/>
  <c r="K2744" i="5"/>
  <c r="K2325" i="5"/>
  <c r="K2303" i="5"/>
  <c r="K1952" i="5"/>
  <c r="K3448" i="5"/>
  <c r="K3376" i="5"/>
  <c r="K3192" i="5"/>
  <c r="K3120" i="5"/>
  <c r="K2936" i="5"/>
  <c r="K2864" i="5"/>
  <c r="K2783" i="5"/>
  <c r="K2773" i="5"/>
  <c r="K2680" i="5"/>
  <c r="K2608" i="5"/>
  <c r="K2424" i="5"/>
  <c r="K2352" i="5"/>
  <c r="K2179" i="5"/>
  <c r="K2168" i="5"/>
  <c r="K2139" i="5"/>
  <c r="K2096" i="5"/>
  <c r="K2064" i="5"/>
  <c r="K1960" i="5"/>
  <c r="K1950" i="5"/>
  <c r="K1928" i="5"/>
  <c r="K1776" i="5"/>
  <c r="K1744" i="5"/>
  <c r="K1640" i="5"/>
  <c r="K1608" i="5"/>
  <c r="K1504" i="5"/>
  <c r="K1472" i="5"/>
  <c r="K1400" i="5"/>
  <c r="K1368" i="5"/>
  <c r="K1264" i="5"/>
  <c r="K1232" i="5"/>
  <c r="K1128" i="5"/>
  <c r="K1096" i="5"/>
  <c r="K992" i="5"/>
  <c r="K960" i="5"/>
  <c r="K888" i="5"/>
  <c r="K856" i="5"/>
  <c r="K752" i="5"/>
  <c r="K616" i="5"/>
  <c r="K584" i="5"/>
  <c r="K480" i="5"/>
  <c r="K448" i="5"/>
  <c r="K376" i="5"/>
  <c r="K344" i="5"/>
  <c r="K240" i="5"/>
  <c r="K208" i="5"/>
  <c r="K80" i="5"/>
  <c r="K1648" i="5"/>
  <c r="K1616" i="5"/>
  <c r="K1512" i="5"/>
  <c r="K1480" i="5"/>
  <c r="K1376" i="5"/>
  <c r="K1344" i="5"/>
  <c r="K1272" i="5"/>
  <c r="K1240" i="5"/>
  <c r="K1136" i="5"/>
  <c r="K1104" i="5"/>
  <c r="K1000" i="5"/>
  <c r="K968" i="5"/>
  <c r="K864" i="5"/>
  <c r="K832" i="5"/>
  <c r="K760" i="5"/>
  <c r="K728" i="5"/>
  <c r="K624" i="5"/>
  <c r="K592" i="5"/>
  <c r="K488" i="5"/>
  <c r="K456" i="5"/>
  <c r="K352" i="5"/>
  <c r="K320" i="5"/>
  <c r="K248" i="5"/>
  <c r="K216" i="5"/>
  <c r="K96" i="5"/>
  <c r="K1855" i="5"/>
  <c r="K1824" i="5"/>
  <c r="K1804" i="5"/>
  <c r="K1792" i="5"/>
  <c r="K1720" i="5"/>
  <c r="K1688" i="5"/>
  <c r="K1584" i="5"/>
  <c r="K1552" i="5"/>
  <c r="K1448" i="5"/>
  <c r="K1416" i="5"/>
  <c r="K1312" i="5"/>
  <c r="K1280" i="5"/>
  <c r="K1208" i="5"/>
  <c r="K1176" i="5"/>
  <c r="K1072" i="5"/>
  <c r="K1040" i="5"/>
  <c r="K936" i="5"/>
  <c r="K904" i="5"/>
  <c r="K800" i="5"/>
  <c r="K768" i="5"/>
  <c r="K696" i="5"/>
  <c r="K664" i="5"/>
  <c r="K560" i="5"/>
  <c r="K528" i="5"/>
  <c r="K424" i="5"/>
  <c r="K392" i="5"/>
  <c r="K288" i="5"/>
  <c r="K256" i="5"/>
  <c r="K184" i="5"/>
  <c r="K152" i="5"/>
  <c r="K104" i="5"/>
  <c r="K40" i="5"/>
  <c r="K1624" i="5"/>
  <c r="K1520" i="5"/>
  <c r="K1488" i="5"/>
  <c r="K1384" i="5"/>
  <c r="K1352" i="5"/>
  <c r="K1248" i="5"/>
  <c r="K1216" i="5"/>
  <c r="K1144" i="5"/>
  <c r="K1112" i="5"/>
  <c r="K1008" i="5"/>
  <c r="K976" i="5"/>
  <c r="K872" i="5"/>
  <c r="K840" i="5"/>
  <c r="K736" i="5"/>
  <c r="K704" i="5"/>
  <c r="K632" i="5"/>
  <c r="K600" i="5"/>
  <c r="K496" i="5"/>
  <c r="K464" i="5"/>
  <c r="K360" i="5"/>
  <c r="K328" i="5"/>
  <c r="K224" i="5"/>
  <c r="K192" i="5"/>
  <c r="K112" i="5"/>
  <c r="K48" i="5"/>
  <c r="K1592" i="5"/>
  <c r="K1560" i="5"/>
  <c r="K1456" i="5"/>
  <c r="K1424" i="5"/>
  <c r="K1320" i="5"/>
  <c r="K1288" i="5"/>
  <c r="K1184" i="5"/>
  <c r="K1152" i="5"/>
  <c r="K1080" i="5"/>
  <c r="K1048" i="5"/>
  <c r="K944" i="5"/>
  <c r="K912" i="5"/>
  <c r="K808" i="5"/>
  <c r="K776" i="5"/>
  <c r="K672" i="5"/>
  <c r="K640" i="5"/>
  <c r="K568" i="5"/>
  <c r="K536" i="5"/>
  <c r="K432" i="5"/>
  <c r="K400" i="5"/>
  <c r="K296" i="5"/>
  <c r="K264" i="5"/>
  <c r="K160" i="5"/>
  <c r="K120" i="5"/>
  <c r="K56" i="5"/>
  <c r="K1768" i="5"/>
  <c r="K1736" i="5"/>
  <c r="K1632" i="5"/>
  <c r="K1600" i="5"/>
  <c r="K1528" i="5"/>
  <c r="K1496" i="5"/>
  <c r="K1392" i="5"/>
  <c r="K1360" i="5"/>
  <c r="K1256" i="5"/>
  <c r="K1224" i="5"/>
  <c r="K1120" i="5"/>
  <c r="K1088" i="5"/>
  <c r="K1016" i="5"/>
  <c r="K984" i="5"/>
  <c r="K880" i="5"/>
  <c r="K848" i="5"/>
  <c r="K744" i="5"/>
  <c r="K712" i="5"/>
  <c r="K608" i="5"/>
  <c r="K576" i="5"/>
  <c r="K504" i="5"/>
  <c r="K472" i="5"/>
  <c r="K368" i="5"/>
  <c r="K336" i="5"/>
  <c r="K232" i="5"/>
  <c r="K200" i="5"/>
  <c r="K128" i="5"/>
  <c r="K64" i="5"/>
  <c r="K2823" i="5"/>
  <c r="K2732" i="5"/>
  <c r="K2567" i="5"/>
  <c r="K2476" i="5"/>
  <c r="K1991" i="5"/>
  <c r="K1479" i="5"/>
  <c r="K1324" i="5"/>
  <c r="K967" i="5"/>
  <c r="K812" i="5"/>
  <c r="K739" i="5"/>
  <c r="K455" i="5"/>
  <c r="K373" i="5"/>
  <c r="K300" i="5"/>
  <c r="K227" i="5"/>
  <c r="K95" i="5"/>
  <c r="K31" i="5"/>
  <c r="K1927" i="5"/>
  <c r="K1415" i="5"/>
  <c r="K1260" i="5"/>
  <c r="K903" i="5"/>
  <c r="K748" i="5"/>
  <c r="K675" i="5"/>
  <c r="K391" i="5"/>
  <c r="K309" i="5"/>
  <c r="K236" i="5"/>
  <c r="K163" i="5"/>
  <c r="K103" i="5"/>
  <c r="K39" i="5"/>
  <c r="K2759" i="5"/>
  <c r="K2668" i="5"/>
  <c r="K2503" i="5"/>
  <c r="K2412" i="5"/>
  <c r="K1351" i="5"/>
  <c r="K1196" i="5"/>
  <c r="K839" i="5"/>
  <c r="K757" i="5"/>
  <c r="K684" i="5"/>
  <c r="K611" i="5"/>
  <c r="K1799" i="5"/>
  <c r="K1287" i="5"/>
  <c r="K1132" i="5"/>
  <c r="K775" i="5"/>
  <c r="K693" i="5"/>
  <c r="K620" i="5"/>
  <c r="K547" i="5"/>
  <c r="K2695" i="5"/>
  <c r="K2604" i="5"/>
  <c r="K2348" i="5"/>
  <c r="K2183" i="5"/>
  <c r="K1735" i="5"/>
  <c r="K1223" i="5"/>
  <c r="K1068" i="5"/>
  <c r="K784" i="5"/>
  <c r="K711" i="5"/>
  <c r="K629" i="5"/>
  <c r="K556" i="5"/>
  <c r="K483" i="5"/>
  <c r="K199" i="5"/>
  <c r="K127" i="5"/>
  <c r="K63" i="5"/>
  <c r="K1671" i="5"/>
  <c r="K1159" i="5"/>
  <c r="K1004" i="5"/>
  <c r="K720" i="5"/>
  <c r="K647" i="5"/>
  <c r="K565" i="5"/>
  <c r="K492" i="5"/>
  <c r="K419" i="5"/>
  <c r="K135" i="5"/>
  <c r="K71" i="5"/>
  <c r="K7" i="5"/>
  <c r="K2439" i="5"/>
  <c r="K2796" i="5"/>
  <c r="K2631" i="5"/>
  <c r="K2540" i="5"/>
  <c r="K2284" i="5"/>
  <c r="K2119" i="5"/>
  <c r="K1607" i="5"/>
  <c r="K1452" i="5"/>
  <c r="K1095" i="5"/>
  <c r="K940" i="5"/>
  <c r="K583" i="5"/>
  <c r="K501" i="5"/>
  <c r="K428" i="5"/>
  <c r="K355" i="5"/>
  <c r="K79" i="5"/>
  <c r="K15" i="5"/>
  <c r="K1585" i="5"/>
  <c r="K1201" i="5"/>
  <c r="K881" i="5"/>
  <c r="K689" i="5"/>
  <c r="K561" i="5"/>
  <c r="K433" i="5"/>
  <c r="K369" i="5"/>
  <c r="K305" i="5"/>
  <c r="K241" i="5"/>
  <c r="K177" i="5"/>
  <c r="K2457" i="5"/>
  <c r="K1497" i="5"/>
  <c r="K1065" i="5"/>
  <c r="K745" i="5"/>
  <c r="K929" i="5"/>
  <c r="K380" i="5"/>
  <c r="K371" i="5"/>
  <c r="K349" i="5"/>
  <c r="K327" i="5"/>
  <c r="K276" i="5"/>
  <c r="K245" i="5"/>
  <c r="K203" i="5"/>
  <c r="K172" i="5"/>
  <c r="K111" i="5"/>
  <c r="K93" i="5"/>
  <c r="K47" i="5"/>
  <c r="K29" i="5"/>
  <c r="K2" i="5"/>
  <c r="K316" i="5"/>
  <c r="K307" i="5"/>
  <c r="K285" i="5"/>
  <c r="K263" i="5"/>
  <c r="K212" i="5"/>
  <c r="K181" i="5"/>
  <c r="K139" i="5"/>
  <c r="K119" i="5"/>
  <c r="K101" i="5"/>
  <c r="K55" i="5"/>
  <c r="K37" i="5"/>
  <c r="K3474" i="5"/>
  <c r="K3466" i="5"/>
  <c r="K3458" i="5"/>
  <c r="K3442" i="5"/>
  <c r="K3410" i="5"/>
  <c r="K3394" i="5"/>
  <c r="K3362" i="5"/>
  <c r="K3346" i="5"/>
  <c r="K3314" i="5"/>
  <c r="K3298" i="5"/>
  <c r="K3290" i="5"/>
  <c r="K3282" i="5"/>
  <c r="K3250" i="5"/>
  <c r="K3226" i="5"/>
  <c r="K3218" i="5"/>
  <c r="K3210" i="5"/>
  <c r="K3170" i="5"/>
  <c r="K3154" i="5"/>
  <c r="K3146" i="5"/>
  <c r="K3138" i="5"/>
  <c r="K3106" i="5"/>
  <c r="K3098" i="5"/>
  <c r="K3090" i="5"/>
  <c r="K3074" i="5"/>
  <c r="K3034" i="5"/>
  <c r="K3026" i="5"/>
  <c r="K3018" i="5"/>
  <c r="K2994" i="5"/>
  <c r="K2962" i="5"/>
  <c r="K2954" i="5"/>
  <c r="K2946" i="5"/>
  <c r="K2930" i="5"/>
  <c r="K2898" i="5"/>
  <c r="K2882" i="5"/>
  <c r="K2850" i="5"/>
  <c r="K2834" i="5"/>
  <c r="K2802" i="5"/>
  <c r="K2786" i="5"/>
  <c r="K2778" i="5"/>
  <c r="K2770" i="5"/>
  <c r="K2762" i="5"/>
  <c r="K2738" i="5"/>
  <c r="K2714" i="5"/>
  <c r="K2706" i="5"/>
  <c r="K2698" i="5"/>
  <c r="K2690" i="5"/>
  <c r="K2658" i="5"/>
  <c r="K2642" i="5"/>
  <c r="K2634" i="5"/>
  <c r="K2626" i="5"/>
  <c r="K2610" i="5"/>
  <c r="K2594" i="5"/>
  <c r="K2586" i="5"/>
  <c r="K2578" i="5"/>
  <c r="K2562" i="5"/>
  <c r="K2546" i="5"/>
  <c r="K2522" i="5"/>
  <c r="K2514" i="5"/>
  <c r="K2506" i="5"/>
  <c r="K2482" i="5"/>
  <c r="K2466" i="5"/>
  <c r="K2458" i="5"/>
  <c r="K2442" i="5"/>
  <c r="K2434" i="5"/>
  <c r="K2402" i="5"/>
  <c r="K2394" i="5"/>
  <c r="K2386" i="5"/>
  <c r="K2378" i="5"/>
  <c r="K2370" i="5"/>
  <c r="K2354" i="5"/>
  <c r="K2338" i="5"/>
  <c r="K2330" i="5"/>
  <c r="K2322" i="5"/>
  <c r="K2314" i="5"/>
  <c r="K2306" i="5"/>
  <c r="K2290" i="5"/>
  <c r="K2274" i="5"/>
  <c r="K2266" i="5"/>
  <c r="K2258" i="5"/>
  <c r="K2250" i="5"/>
  <c r="K2242" i="5"/>
  <c r="K2226" i="5"/>
  <c r="K2210" i="5"/>
  <c r="K2202" i="5"/>
  <c r="K2194" i="5"/>
  <c r="K2186" i="5"/>
  <c r="K2178" i="5"/>
  <c r="K2162" i="5"/>
  <c r="K2146" i="5"/>
  <c r="K2138" i="5"/>
  <c r="K2130" i="5"/>
  <c r="K2122" i="5"/>
  <c r="K2114" i="5"/>
  <c r="K2098" i="5"/>
  <c r="K2090" i="5"/>
  <c r="K2082" i="5"/>
  <c r="K2074" i="5"/>
  <c r="K2066" i="5"/>
  <c r="K2058" i="5"/>
  <c r="K2050" i="5"/>
  <c r="K2034" i="5"/>
  <c r="K2026" i="5"/>
  <c r="K2018" i="5"/>
  <c r="K2010" i="5"/>
  <c r="K2002" i="5"/>
  <c r="K1994" i="5"/>
  <c r="K1986" i="5"/>
  <c r="K1970" i="5"/>
  <c r="K1962" i="5"/>
  <c r="K1954" i="5"/>
  <c r="K1946" i="5"/>
  <c r="K1938" i="5"/>
  <c r="K1930" i="5"/>
  <c r="K1922" i="5"/>
  <c r="K1906" i="5"/>
  <c r="K1898" i="5"/>
  <c r="K1890" i="5"/>
  <c r="K1882" i="5"/>
  <c r="K1874" i="5"/>
  <c r="K1866" i="5"/>
  <c r="K1858" i="5"/>
  <c r="K1842" i="5"/>
  <c r="K1834" i="5"/>
  <c r="K1826" i="5"/>
  <c r="K1818" i="5"/>
  <c r="K1810" i="5"/>
  <c r="K1802" i="5"/>
  <c r="K1794" i="5"/>
  <c r="K1778" i="5"/>
  <c r="K1770" i="5"/>
  <c r="K1762" i="5"/>
  <c r="K1754" i="5"/>
  <c r="K1746" i="5"/>
  <c r="K1738" i="5"/>
  <c r="K1730" i="5"/>
  <c r="K1714" i="5"/>
  <c r="K1706" i="5"/>
  <c r="K1698" i="5"/>
  <c r="K1690" i="5"/>
  <c r="K1682" i="5"/>
  <c r="K1674" i="5"/>
  <c r="K1666" i="5"/>
  <c r="K1650" i="5"/>
  <c r="K1642" i="5"/>
  <c r="K1634" i="5"/>
  <c r="K1626" i="5"/>
  <c r="K1618" i="5"/>
  <c r="K1610" i="5"/>
  <c r="K1602" i="5"/>
  <c r="K1586" i="5"/>
  <c r="K1578" i="5"/>
  <c r="K1570" i="5"/>
  <c r="K1562" i="5"/>
  <c r="K1554" i="5"/>
  <c r="K1546" i="5"/>
  <c r="K1538" i="5"/>
  <c r="K1522" i="5"/>
  <c r="K1514" i="5"/>
  <c r="K1506" i="5"/>
  <c r="K1498" i="5"/>
  <c r="K1490" i="5"/>
  <c r="K1482" i="5"/>
  <c r="K1474" i="5"/>
  <c r="K1458" i="5"/>
  <c r="K1450" i="5"/>
  <c r="K1442" i="5"/>
  <c r="K1434" i="5"/>
  <c r="K1426" i="5"/>
  <c r="K1418" i="5"/>
  <c r="K1410" i="5"/>
  <c r="K1394" i="5"/>
  <c r="K1386" i="5"/>
  <c r="K1378" i="5"/>
  <c r="K1370" i="5"/>
  <c r="K1362" i="5"/>
  <c r="K1354" i="5"/>
  <c r="K1346" i="5"/>
  <c r="K1330" i="5"/>
  <c r="K1322" i="5"/>
  <c r="K1314" i="5"/>
  <c r="K1306" i="5"/>
  <c r="K1298" i="5"/>
  <c r="K1290" i="5"/>
  <c r="K1282" i="5"/>
  <c r="K1266" i="5"/>
  <c r="K1258" i="5"/>
  <c r="K1250" i="5"/>
  <c r="K1242" i="5"/>
  <c r="K1234" i="5"/>
  <c r="K1226" i="5"/>
  <c r="K1218" i="5"/>
  <c r="K1202" i="5"/>
  <c r="K1194" i="5"/>
  <c r="K1186" i="5"/>
  <c r="K1178" i="5"/>
  <c r="K1170" i="5"/>
  <c r="K1162" i="5"/>
  <c r="K1154" i="5"/>
  <c r="K1138" i="5"/>
  <c r="K1130" i="5"/>
  <c r="K1122" i="5"/>
  <c r="K1114" i="5"/>
  <c r="K1106" i="5"/>
  <c r="K1098" i="5"/>
  <c r="K1090" i="5"/>
  <c r="K1074" i="5"/>
  <c r="K1066" i="5"/>
  <c r="K1058" i="5"/>
  <c r="K1050" i="5"/>
  <c r="K1042" i="5"/>
  <c r="K1034" i="5"/>
  <c r="K1026" i="5"/>
  <c r="K1010" i="5"/>
  <c r="K1002" i="5"/>
  <c r="K994" i="5"/>
  <c r="K986" i="5"/>
  <c r="K978" i="5"/>
  <c r="K970" i="5"/>
  <c r="K962" i="5"/>
  <c r="K946" i="5"/>
  <c r="K938" i="5"/>
  <c r="K930" i="5"/>
  <c r="K922" i="5"/>
  <c r="K914" i="5"/>
  <c r="K906" i="5"/>
  <c r="K898" i="5"/>
  <c r="K882" i="5"/>
  <c r="K874" i="5"/>
  <c r="K866" i="5"/>
  <c r="K858" i="5"/>
  <c r="K850" i="5"/>
  <c r="K842" i="5"/>
  <c r="K834" i="5"/>
  <c r="K818" i="5"/>
  <c r="K810" i="5"/>
  <c r="K802" i="5"/>
  <c r="K794" i="5"/>
  <c r="K786" i="5"/>
  <c r="K778" i="5"/>
  <c r="K770" i="5"/>
  <c r="K1913" i="5"/>
  <c r="K1721" i="5"/>
  <c r="K1017" i="5"/>
  <c r="K754" i="5"/>
  <c r="K746" i="5"/>
  <c r="K738" i="5"/>
  <c r="K730" i="5"/>
  <c r="K722" i="5"/>
  <c r="K714" i="5"/>
  <c r="K706" i="5"/>
  <c r="K690" i="5"/>
  <c r="K682" i="5"/>
  <c r="K674" i="5"/>
  <c r="K666" i="5"/>
  <c r="K658" i="5"/>
  <c r="K650" i="5"/>
  <c r="K642" i="5"/>
  <c r="K626" i="5"/>
  <c r="K618" i="5"/>
  <c r="K610" i="5"/>
  <c r="K602" i="5"/>
  <c r="K594" i="5"/>
  <c r="K586" i="5"/>
  <c r="K578" i="5"/>
  <c r="K562" i="5"/>
  <c r="K554" i="5"/>
  <c r="K546" i="5"/>
  <c r="K538" i="5"/>
  <c r="K530" i="5"/>
  <c r="K522" i="5"/>
  <c r="K514" i="5"/>
  <c r="K498" i="5"/>
  <c r="K490" i="5"/>
  <c r="K482" i="5"/>
  <c r="K474" i="5"/>
  <c r="K466" i="5"/>
  <c r="K458" i="5"/>
  <c r="K450" i="5"/>
  <c r="K434" i="5"/>
  <c r="K426" i="5"/>
  <c r="K418" i="5"/>
  <c r="K410" i="5"/>
  <c r="K402" i="5"/>
  <c r="K394" i="5"/>
  <c r="K386" i="5"/>
  <c r="K370" i="5"/>
  <c r="K362" i="5"/>
  <c r="K354" i="5"/>
  <c r="K346" i="5"/>
  <c r="K338" i="5"/>
  <c r="K330" i="5"/>
  <c r="K322" i="5"/>
  <c r="K306" i="5"/>
  <c r="K298" i="5"/>
  <c r="K290" i="5"/>
  <c r="K282" i="5"/>
  <c r="K274" i="5"/>
  <c r="K266" i="5"/>
  <c r="K258" i="5"/>
  <c r="K242" i="5"/>
  <c r="K234" i="5"/>
  <c r="K226" i="5"/>
  <c r="K218" i="5"/>
  <c r="K210" i="5"/>
  <c r="K202" i="5"/>
  <c r="K194" i="5"/>
  <c r="K178" i="5"/>
  <c r="K170" i="5"/>
  <c r="K162" i="5"/>
  <c r="K154" i="5"/>
  <c r="K146" i="5"/>
  <c r="K138" i="5"/>
  <c r="K130" i="5"/>
  <c r="K122" i="5"/>
  <c r="K114" i="5"/>
  <c r="K106" i="5"/>
  <c r="K98" i="5"/>
  <c r="K90" i="5"/>
  <c r="K82" i="5"/>
  <c r="K74" i="5"/>
  <c r="K66" i="5"/>
  <c r="K58" i="5"/>
  <c r="K50" i="5"/>
  <c r="K42" i="5"/>
  <c r="K34" i="5"/>
  <c r="K26" i="5"/>
  <c r="K18" i="5"/>
  <c r="K10" i="5"/>
  <c r="K3473" i="5"/>
  <c r="K3345" i="5"/>
  <c r="K3217" i="5"/>
  <c r="K3089" i="5"/>
  <c r="K2961" i="5"/>
  <c r="K2833" i="5"/>
  <c r="K2705" i="5"/>
  <c r="K2577" i="5"/>
  <c r="K2321" i="5"/>
  <c r="K1809" i="5"/>
  <c r="K2185" i="5"/>
  <c r="K1481" i="5"/>
  <c r="K1225" i="5"/>
  <c r="K1033" i="5"/>
  <c r="K713" i="5"/>
  <c r="K649" i="5"/>
  <c r="K521" i="5"/>
  <c r="K393" i="5"/>
  <c r="K329" i="5"/>
  <c r="K265" i="5"/>
  <c r="K201" i="5"/>
  <c r="K137" i="5"/>
  <c r="K3498" i="5"/>
  <c r="K3490" i="5"/>
  <c r="K3482" i="5"/>
  <c r="K3450" i="5"/>
  <c r="K3426" i="5"/>
  <c r="K3418" i="5"/>
  <c r="K3402" i="5"/>
  <c r="K3378" i="5"/>
  <c r="K3354" i="5"/>
  <c r="K3338" i="5"/>
  <c r="K3330" i="5"/>
  <c r="K3306" i="5"/>
  <c r="K3274" i="5"/>
  <c r="K3266" i="5"/>
  <c r="K3258" i="5"/>
  <c r="K3234" i="5"/>
  <c r="K3202" i="5"/>
  <c r="K3194" i="5"/>
  <c r="K3186" i="5"/>
  <c r="K3162" i="5"/>
  <c r="K3130" i="5"/>
  <c r="K3122" i="5"/>
  <c r="K3114" i="5"/>
  <c r="K3082" i="5"/>
  <c r="K3058" i="5"/>
  <c r="K3050" i="5"/>
  <c r="K3042" i="5"/>
  <c r="K3010" i="5"/>
  <c r="K2986" i="5"/>
  <c r="K2978" i="5"/>
  <c r="K2970" i="5"/>
  <c r="K2938" i="5"/>
  <c r="K2914" i="5"/>
  <c r="K2906" i="5"/>
  <c r="K2890" i="5"/>
  <c r="K2866" i="5"/>
  <c r="K2842" i="5"/>
  <c r="K2826" i="5"/>
  <c r="K2818" i="5"/>
  <c r="K2794" i="5"/>
  <c r="K2754" i="5"/>
  <c r="K2746" i="5"/>
  <c r="K2722" i="5"/>
  <c r="K2682" i="5"/>
  <c r="K2674" i="5"/>
  <c r="K2650" i="5"/>
  <c r="K2602" i="5"/>
  <c r="K2570" i="5"/>
  <c r="K2530" i="5"/>
  <c r="K2498" i="5"/>
  <c r="K2450" i="5"/>
  <c r="K2418" i="5"/>
  <c r="K3" i="5"/>
  <c r="K3478" i="5"/>
  <c r="K3454" i="5"/>
  <c r="K3422" i="5"/>
  <c r="K3406" i="5"/>
  <c r="K3398" i="5"/>
  <c r="K3374" i="5"/>
  <c r="K3366" i="5"/>
  <c r="K3342" i="5"/>
  <c r="K3318" i="5"/>
  <c r="K3286" i="5"/>
  <c r="K3270" i="5"/>
  <c r="K3262" i="5"/>
  <c r="K3238" i="5"/>
  <c r="K3230" i="5"/>
  <c r="K3214" i="5"/>
  <c r="K3182" i="5"/>
  <c r="K3134" i="5"/>
  <c r="K3126" i="5"/>
  <c r="K3102" i="5"/>
  <c r="K3094" i="5"/>
  <c r="K3078" i="5"/>
  <c r="K3046" i="5"/>
  <c r="K3022" i="5"/>
  <c r="K2998" i="5"/>
  <c r="K2990" i="5"/>
  <c r="K2966" i="5"/>
  <c r="K2942" i="5"/>
  <c r="K2910" i="5"/>
  <c r="K2894" i="5"/>
  <c r="K2886" i="5"/>
  <c r="K2862" i="5"/>
  <c r="K2854" i="5"/>
  <c r="K2806" i="5"/>
  <c r="K2774" i="5"/>
  <c r="K2758" i="5"/>
  <c r="K2750" i="5"/>
  <c r="K2726" i="5"/>
  <c r="K2718" i="5"/>
  <c r="K2702" i="5"/>
  <c r="K2670" i="5"/>
  <c r="K2622" i="5"/>
  <c r="K2614" i="5"/>
  <c r="K2590" i="5"/>
  <c r="K2582" i="5"/>
  <c r="K2566" i="5"/>
  <c r="K2534" i="5"/>
  <c r="K2510" i="5"/>
  <c r="K2478" i="5"/>
  <c r="K2430" i="5"/>
  <c r="K2382" i="5"/>
  <c r="K2374" i="5"/>
  <c r="K2350" i="5"/>
  <c r="K2286" i="5"/>
  <c r="K1878" i="5"/>
  <c r="K1774" i="5"/>
  <c r="K1758" i="5"/>
  <c r="K1662" i="5"/>
  <c r="K3497" i="5"/>
  <c r="K3489" i="5"/>
  <c r="K3481" i="5"/>
  <c r="K3465" i="5"/>
  <c r="K3457" i="5"/>
  <c r="K3449" i="5"/>
  <c r="K3441" i="5"/>
  <c r="K3433" i="5"/>
  <c r="K3425" i="5"/>
  <c r="K3417" i="5"/>
  <c r="K3409" i="5"/>
  <c r="K3401" i="5"/>
  <c r="K3393" i="5"/>
  <c r="K3385" i="5"/>
  <c r="K3377" i="5"/>
  <c r="K3369" i="5"/>
  <c r="K3361" i="5"/>
  <c r="K3353" i="5"/>
  <c r="K3337" i="5"/>
  <c r="K3329" i="5"/>
  <c r="K3321" i="5"/>
  <c r="K3313" i="5"/>
  <c r="K3305" i="5"/>
  <c r="K3297" i="5"/>
  <c r="K3289" i="5"/>
  <c r="K3281" i="5"/>
  <c r="K3273" i="5"/>
  <c r="K3265" i="5"/>
  <c r="K3257" i="5"/>
  <c r="K3249" i="5"/>
  <c r="K3241" i="5"/>
  <c r="K3233" i="5"/>
  <c r="K3225" i="5"/>
  <c r="K3209" i="5"/>
  <c r="K3201" i="5"/>
  <c r="K3193" i="5"/>
  <c r="K3185" i="5"/>
  <c r="K3177" i="5"/>
  <c r="K3169" i="5"/>
  <c r="K3161" i="5"/>
  <c r="K3153" i="5"/>
  <c r="K3145" i="5"/>
  <c r="K3137" i="5"/>
  <c r="K3129" i="5"/>
  <c r="K3121" i="5"/>
  <c r="K3113" i="5"/>
  <c r="K3105" i="5"/>
  <c r="K3097" i="5"/>
  <c r="K3081" i="5"/>
  <c r="K3073" i="5"/>
  <c r="K3065" i="5"/>
  <c r="K3057" i="5"/>
  <c r="K3049" i="5"/>
  <c r="K3041" i="5"/>
  <c r="K3033" i="5"/>
  <c r="K3025" i="5"/>
  <c r="K3017" i="5"/>
  <c r="K3009" i="5"/>
  <c r="K3001" i="5"/>
  <c r="K2993" i="5"/>
  <c r="K2985" i="5"/>
  <c r="K2977" i="5"/>
  <c r="K2969" i="5"/>
  <c r="K2953" i="5"/>
  <c r="K2945" i="5"/>
  <c r="K2937" i="5"/>
  <c r="K2929" i="5"/>
  <c r="K2921" i="5"/>
  <c r="K2913" i="5"/>
  <c r="K2905" i="5"/>
  <c r="K2897" i="5"/>
  <c r="K2889" i="5"/>
  <c r="K2881" i="5"/>
  <c r="K2873" i="5"/>
  <c r="K2865" i="5"/>
  <c r="K2857" i="5"/>
  <c r="K2849" i="5"/>
  <c r="K2841" i="5"/>
  <c r="K2825" i="5"/>
  <c r="K2817" i="5"/>
  <c r="K2809" i="5"/>
  <c r="K2801" i="5"/>
  <c r="K2793" i="5"/>
  <c r="K2785" i="5"/>
  <c r="K2777" i="5"/>
  <c r="K2769" i="5"/>
  <c r="K2761" i="5"/>
  <c r="K2753" i="5"/>
  <c r="K2745" i="5"/>
  <c r="K2737" i="5"/>
  <c r="K2729" i="5"/>
  <c r="K2721" i="5"/>
  <c r="K2713" i="5"/>
  <c r="K2697" i="5"/>
  <c r="K2689" i="5"/>
  <c r="K2681" i="5"/>
  <c r="K2673" i="5"/>
  <c r="K2665" i="5"/>
  <c r="K2657" i="5"/>
  <c r="K2649" i="5"/>
  <c r="K2641" i="5"/>
  <c r="K2633" i="5"/>
  <c r="K2625" i="5"/>
  <c r="K2617" i="5"/>
  <c r="K2609" i="5"/>
  <c r="K2601" i="5"/>
  <c r="K2593" i="5"/>
  <c r="K2585" i="5"/>
  <c r="K2569" i="5"/>
  <c r="K2561" i="5"/>
  <c r="K2553" i="5"/>
  <c r="K2545" i="5"/>
  <c r="K2537" i="5"/>
  <c r="K2529" i="5"/>
  <c r="K2521" i="5"/>
  <c r="K2513" i="5"/>
  <c r="K2505" i="5"/>
  <c r="K2497" i="5"/>
  <c r="K2489" i="5"/>
  <c r="K2481" i="5"/>
  <c r="K2473" i="5"/>
  <c r="K2465" i="5"/>
  <c r="K2449" i="5"/>
  <c r="K2441" i="5"/>
  <c r="K2433" i="5"/>
  <c r="K2425" i="5"/>
  <c r="K2417" i="5"/>
  <c r="K2409" i="5"/>
  <c r="K2401" i="5"/>
  <c r="K2393" i="5"/>
  <c r="K2385" i="5"/>
  <c r="K2377" i="5"/>
  <c r="K2369" i="5"/>
  <c r="K2361" i="5"/>
  <c r="K2353" i="5"/>
  <c r="K2345" i="5"/>
  <c r="K2337" i="5"/>
  <c r="K2329" i="5"/>
  <c r="K2313" i="5"/>
  <c r="K2305" i="5"/>
  <c r="K2297" i="5"/>
  <c r="K2289" i="5"/>
  <c r="K2281" i="5"/>
  <c r="K2273" i="5"/>
  <c r="K2265" i="5"/>
  <c r="K2257" i="5"/>
  <c r="K2249" i="5"/>
  <c r="K2241" i="5"/>
  <c r="K2233" i="5"/>
  <c r="K2225" i="5"/>
  <c r="K2217" i="5"/>
  <c r="K2209" i="5"/>
  <c r="K2201" i="5"/>
  <c r="K2193" i="5"/>
  <c r="K2177" i="5"/>
  <c r="K2169" i="5"/>
  <c r="K2161" i="5"/>
  <c r="K2153" i="5"/>
  <c r="K2145" i="5"/>
  <c r="K2137" i="5"/>
  <c r="K2129" i="5"/>
  <c r="K2121" i="5"/>
  <c r="K2113" i="5"/>
  <c r="K2105" i="5"/>
  <c r="K2097" i="5"/>
  <c r="K2089" i="5"/>
  <c r="K2081" i="5"/>
  <c r="K2073" i="5"/>
  <c r="K2065" i="5"/>
  <c r="K2057" i="5"/>
  <c r="K2049" i="5"/>
  <c r="K2041" i="5"/>
  <c r="K2033" i="5"/>
  <c r="K2025" i="5"/>
  <c r="K2017" i="5"/>
  <c r="K2009" i="5"/>
  <c r="K2001" i="5"/>
  <c r="K1993" i="5"/>
  <c r="K1985" i="5"/>
  <c r="K1977" i="5"/>
  <c r="K1969" i="5"/>
  <c r="K1961" i="5"/>
  <c r="K1953" i="5"/>
  <c r="K1945" i="5"/>
  <c r="K1937" i="5"/>
  <c r="K1929" i="5"/>
  <c r="K1921" i="5"/>
  <c r="K1905" i="5"/>
  <c r="K1897" i="5"/>
  <c r="K1889" i="5"/>
  <c r="K1881" i="5"/>
  <c r="K1873" i="5"/>
  <c r="K1865" i="5"/>
  <c r="K1849" i="5"/>
  <c r="K1841" i="5"/>
  <c r="K1833" i="5"/>
  <c r="K1825" i="5"/>
  <c r="K1817" i="5"/>
  <c r="K1801" i="5"/>
  <c r="K1793" i="5"/>
  <c r="K1785" i="5"/>
  <c r="K1777" i="5"/>
  <c r="K1769" i="5"/>
  <c r="K1761" i="5"/>
  <c r="K1753" i="5"/>
  <c r="K1745" i="5"/>
  <c r="K1737" i="5"/>
  <c r="K1729" i="5"/>
  <c r="K1713" i="5"/>
  <c r="K1705" i="5"/>
  <c r="K1697" i="5"/>
  <c r="K1689" i="5"/>
  <c r="K1681" i="5"/>
  <c r="K1673" i="5"/>
  <c r="K1665" i="5"/>
  <c r="K1657" i="5"/>
  <c r="K1649" i="5"/>
  <c r="K1641" i="5"/>
  <c r="K1633" i="5"/>
  <c r="K1625" i="5"/>
  <c r="K1617" i="5"/>
  <c r="K1609" i="5"/>
  <c r="K1601" i="5"/>
  <c r="K1593" i="5"/>
  <c r="K1577" i="5"/>
  <c r="K1569" i="5"/>
  <c r="K1561" i="5"/>
  <c r="K1553" i="5"/>
  <c r="K1545" i="5"/>
  <c r="K1537" i="5"/>
  <c r="K1529" i="5"/>
  <c r="K1521" i="5"/>
  <c r="K1513" i="5"/>
  <c r="K1505" i="5"/>
  <c r="K1489" i="5"/>
  <c r="K1473" i="5"/>
  <c r="K1465" i="5"/>
  <c r="K1457" i="5"/>
  <c r="K1449" i="5"/>
  <c r="K1441" i="5"/>
  <c r="K1433" i="5"/>
  <c r="K1425" i="5"/>
  <c r="K1417" i="5"/>
  <c r="K1401" i="5"/>
  <c r="K1393" i="5"/>
  <c r="K1385" i="5"/>
  <c r="K1377" i="5"/>
  <c r="K1369" i="5"/>
  <c r="K1361" i="5"/>
  <c r="K1353" i="5"/>
  <c r="K1345" i="5"/>
  <c r="K1337" i="5"/>
  <c r="K1329" i="5"/>
  <c r="K1321" i="5"/>
  <c r="K1313" i="5"/>
  <c r="K1305" i="5"/>
  <c r="K1297" i="5"/>
  <c r="K1289" i="5"/>
  <c r="K1281" i="5"/>
  <c r="K1273" i="5"/>
  <c r="K1265" i="5"/>
  <c r="K1257" i="5"/>
  <c r="K1249" i="5"/>
  <c r="K1241" i="5"/>
  <c r="K1233" i="5"/>
  <c r="K1217" i="5"/>
  <c r="K1209" i="5"/>
  <c r="K1193" i="5"/>
  <c r="K1185" i="5"/>
  <c r="K1177" i="5"/>
  <c r="K1169" i="5"/>
  <c r="K1161" i="5"/>
  <c r="K1153" i="5"/>
  <c r="K1145" i="5"/>
  <c r="K1137" i="5"/>
  <c r="K1129" i="5"/>
  <c r="K1121" i="5"/>
  <c r="K1113" i="5"/>
  <c r="K1105" i="5"/>
  <c r="K1097" i="5"/>
  <c r="K1089" i="5"/>
  <c r="K1081" i="5"/>
  <c r="K1073" i="5"/>
  <c r="K1057" i="5"/>
  <c r="K1049" i="5"/>
  <c r="K1041" i="5"/>
  <c r="K1025" i="5"/>
  <c r="K1009" i="5"/>
  <c r="K1001" i="5"/>
  <c r="K993" i="5"/>
  <c r="K985" i="5"/>
  <c r="K977" i="5"/>
  <c r="K969" i="5"/>
  <c r="K961" i="5"/>
  <c r="K953" i="5"/>
  <c r="K945" i="5"/>
  <c r="K937" i="5"/>
  <c r="K921" i="5"/>
  <c r="K913" i="5"/>
  <c r="K905" i="5"/>
  <c r="K889" i="5"/>
  <c r="K873" i="5"/>
  <c r="K865" i="5"/>
  <c r="K857" i="5"/>
  <c r="K849" i="5"/>
  <c r="K841" i="5"/>
  <c r="K833" i="5"/>
  <c r="K825" i="5"/>
  <c r="K817" i="5"/>
  <c r="K809" i="5"/>
  <c r="K801" i="5"/>
  <c r="K793" i="5"/>
  <c r="K785" i="5"/>
  <c r="K777" i="5"/>
  <c r="K769" i="5"/>
  <c r="K761" i="5"/>
  <c r="K753" i="5"/>
  <c r="K737" i="5"/>
  <c r="K729" i="5"/>
  <c r="K721" i="5"/>
  <c r="K705" i="5"/>
  <c r="K697" i="5"/>
  <c r="K681" i="5"/>
  <c r="K673" i="5"/>
  <c r="K665" i="5"/>
  <c r="K657" i="5"/>
  <c r="K641" i="5"/>
  <c r="K633" i="5"/>
  <c r="K625" i="5"/>
  <c r="K617" i="5"/>
  <c r="K609" i="5"/>
  <c r="K601" i="5"/>
  <c r="K593" i="5"/>
  <c r="K585" i="5"/>
  <c r="K577" i="5"/>
  <c r="K569" i="5"/>
  <c r="K553" i="5"/>
  <c r="K545" i="5"/>
  <c r="K537" i="5"/>
  <c r="K529" i="5"/>
  <c r="K513" i="5"/>
  <c r="K505" i="5"/>
  <c r="K497" i="5"/>
  <c r="K489" i="5"/>
  <c r="K481" i="5"/>
  <c r="K473" i="5"/>
  <c r="K465" i="5"/>
  <c r="K457" i="5"/>
  <c r="K449" i="5"/>
  <c r="K441" i="5"/>
  <c r="K425" i="5"/>
  <c r="K417" i="5"/>
  <c r="K409" i="5"/>
  <c r="K401" i="5"/>
  <c r="K385" i="5"/>
  <c r="K377" i="5"/>
  <c r="K361" i="5"/>
  <c r="K353" i="5"/>
  <c r="K345" i="5"/>
  <c r="K337" i="5"/>
  <c r="K321" i="5"/>
  <c r="K313" i="5"/>
  <c r="K297" i="5"/>
  <c r="K289" i="5"/>
  <c r="K281" i="5"/>
  <c r="K273" i="5"/>
  <c r="K257" i="5"/>
  <c r="K249" i="5"/>
  <c r="K233" i="5"/>
  <c r="K225" i="5"/>
  <c r="K217" i="5"/>
  <c r="K209" i="5"/>
  <c r="K193" i="5"/>
  <c r="K185" i="5"/>
  <c r="K169" i="5"/>
  <c r="K161" i="5"/>
  <c r="K153" i="5"/>
  <c r="K145" i="5"/>
  <c r="K129" i="5"/>
  <c r="K121" i="5"/>
  <c r="K97" i="5"/>
  <c r="K89" i="5"/>
  <c r="K57" i="5"/>
  <c r="K2463" i="5"/>
  <c r="K2447" i="5"/>
  <c r="K2431" i="5"/>
  <c r="K2415" i="5"/>
  <c r="K2407" i="5"/>
  <c r="K2383" i="5"/>
  <c r="K2375" i="5"/>
  <c r="K2343" i="5"/>
  <c r="K2327" i="5"/>
  <c r="K2311" i="5"/>
  <c r="K2295" i="5"/>
  <c r="K2279" i="5"/>
  <c r="K2271" i="5"/>
  <c r="K2247" i="5"/>
  <c r="K2239" i="5"/>
  <c r="K2223" i="5"/>
  <c r="K2207" i="5"/>
  <c r="K2191" i="5"/>
  <c r="K2175" i="5"/>
  <c r="K2135" i="5"/>
  <c r="K2103" i="5"/>
  <c r="K2087" i="5"/>
  <c r="K2055" i="5"/>
  <c r="K2031" i="5"/>
  <c r="K1999" i="5"/>
  <c r="K1951" i="5"/>
  <c r="K1919" i="5"/>
  <c r="K1895" i="5"/>
  <c r="K186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8BDD66-6867-4950-97F1-83AA1810E404}" keepAlive="1" name="Query - customers_raw" description="Connection to the 'customers_raw' query in the workbook." type="5" refreshedVersion="8" background="1" saveData="1">
    <dbPr connection="Provider=Microsoft.Mashup.OleDb.1;Data Source=$Workbook$;Location=customers_raw;Extended Properties=&quot;&quot;" command="SELECT * FROM [customers_raw]"/>
  </connection>
  <connection id="2" xr16:uid="{C99A6188-6977-4450-A69A-D1B3741F3A93}" keepAlive="1" name="Query - marketing_events_raw" description="Connection to the 'marketing_events_raw' query in the workbook." type="5" refreshedVersion="8" background="1" saveData="1">
    <dbPr connection="Provider=Microsoft.Mashup.OleDb.1;Data Source=$Workbook$;Location=marketing_events_raw;Extended Properties=&quot;&quot;" command="SELECT * FROM [marketing_events_raw]"/>
  </connection>
  <connection id="3" xr16:uid="{34DDD61D-45C6-4FE1-9206-698A8F7775F8}" keepAlive="1" name="Query - payments_raw" description="Connection to the 'payments_raw' query in the workbook." type="5" refreshedVersion="8" background="1" saveData="1">
    <dbPr connection="Provider=Microsoft.Mashup.OleDb.1;Data Source=$Workbook$;Location=payments_raw;Extended Properties=&quot;&quot;" command="SELECT * FROM [payments_raw]"/>
  </connection>
  <connection id="4" xr16:uid="{E5FF11C0-5D37-41B4-A9A7-B6EBC8B01FD4}" keepAlive="1" name="Query - product_plans" description="Connection to the 'product_plans' query in the workbook." type="5" refreshedVersion="8" background="1" saveData="1">
    <dbPr connection="Provider=Microsoft.Mashup.OleDb.1;Data Source=$Workbook$;Location=product_plans;Extended Properties=&quot;&quot;" command="SELECT * FROM [product_plans]"/>
  </connection>
  <connection id="5" xr16:uid="{24E97108-1543-4C19-866F-669659E1AF55}" keepAlive="1" name="Query - subscriptions_raw" description="Connection to the 'subscriptions_raw' query in the workbook." type="5" refreshedVersion="8" background="1" saveData="1">
    <dbPr connection="Provider=Microsoft.Mashup.OleDb.1;Data Source=$Workbook$;Location=subscriptions_raw;Extended Properties=&quot;&quot;" command="SELECT * FROM [subscriptions_raw]"/>
  </connection>
</connections>
</file>

<file path=xl/sharedStrings.xml><?xml version="1.0" encoding="utf-8"?>
<sst xmlns="http://schemas.openxmlformats.org/spreadsheetml/2006/main" count="8156" uniqueCount="3505">
  <si>
    <t>customer_id</t>
  </si>
  <si>
    <t>customer_name</t>
  </si>
  <si>
    <t>email</t>
  </si>
  <si>
    <t>phone</t>
  </si>
  <si>
    <t>country</t>
  </si>
  <si>
    <t>signup_date</t>
  </si>
  <si>
    <t>Joseph Brown</t>
  </si>
  <si>
    <t>joseph.brown760@example.com</t>
  </si>
  <si>
    <t>428-342-2679</t>
  </si>
  <si>
    <t>Spain</t>
  </si>
  <si>
    <t>Helen Lopez</t>
  </si>
  <si>
    <t>helen.lopez605@example.com</t>
  </si>
  <si>
    <t>230-295-4582</t>
  </si>
  <si>
    <t>Brazil</t>
  </si>
  <si>
    <t>Eric Cox</t>
  </si>
  <si>
    <t>eric.cox28@example.com</t>
  </si>
  <si>
    <t>425-659-5557</t>
  </si>
  <si>
    <t>Germany</t>
  </si>
  <si>
    <t>James Lee</t>
  </si>
  <si>
    <t>james.lee715@example.com</t>
  </si>
  <si>
    <t>484-359-4527</t>
  </si>
  <si>
    <t>Carol Wilson</t>
  </si>
  <si>
    <t>carol.wilson95@example.com</t>
  </si>
  <si>
    <t>567-552-5333</t>
  </si>
  <si>
    <t>India</t>
  </si>
  <si>
    <t>Jennifer Collins</t>
  </si>
  <si>
    <t>jennifer.collins550@example.com</t>
  </si>
  <si>
    <t>280-765-5803</t>
  </si>
  <si>
    <t>Canada</t>
  </si>
  <si>
    <t>Samuel Richardson</t>
  </si>
  <si>
    <t>samuel.richardson907@example.com</t>
  </si>
  <si>
    <t>921-271-1750</t>
  </si>
  <si>
    <t>Australia</t>
  </si>
  <si>
    <t>Sandra Nguyen</t>
  </si>
  <si>
    <t>sandra.nguyen82@example.com</t>
  </si>
  <si>
    <t>589-484-8428</t>
  </si>
  <si>
    <t>France</t>
  </si>
  <si>
    <t>Edward Lee</t>
  </si>
  <si>
    <t>edward.lee380@example.com</t>
  </si>
  <si>
    <t>886-473-2169</t>
  </si>
  <si>
    <t>Samantha Perez</t>
  </si>
  <si>
    <t>samantha.perez547@example.com</t>
  </si>
  <si>
    <t>673-588-5422</t>
  </si>
  <si>
    <t>Patrick Bailey</t>
  </si>
  <si>
    <t>patrick.bailey225@example.com</t>
  </si>
  <si>
    <t>434-232-6168</t>
  </si>
  <si>
    <t>Netherlands</t>
  </si>
  <si>
    <t>Andrew Rodriguez</t>
  </si>
  <si>
    <t>andrew.rodriguez217@example.com</t>
  </si>
  <si>
    <t>871-711-7482</t>
  </si>
  <si>
    <t>Jacob Jackson</t>
  </si>
  <si>
    <t>jacob.jackson272@example.com</t>
  </si>
  <si>
    <t>962-774-9830</t>
  </si>
  <si>
    <t>Scott Diaz</t>
  </si>
  <si>
    <t>scott.diaz920@example.com</t>
  </si>
  <si>
    <t>424-341-9348</t>
  </si>
  <si>
    <t>Barbara Miller</t>
  </si>
  <si>
    <t>barbara.miller882@example.com</t>
  </si>
  <si>
    <t>842-363-7916</t>
  </si>
  <si>
    <t>William Roberts</t>
  </si>
  <si>
    <t>william.roberts391@example.com</t>
  </si>
  <si>
    <t>457-766-1188</t>
  </si>
  <si>
    <t>Mexico</t>
  </si>
  <si>
    <t>Joseph Mendoza</t>
  </si>
  <si>
    <t>joseph.mendoza907@example.com</t>
  </si>
  <si>
    <t>314-500-8123</t>
  </si>
  <si>
    <t>Jacob Smith</t>
  </si>
  <si>
    <t>jacob.smith977@example.com</t>
  </si>
  <si>
    <t>980-382-9317</t>
  </si>
  <si>
    <t>Samuel Hill</t>
  </si>
  <si>
    <t>samuel.hill862@example.com</t>
  </si>
  <si>
    <t>582-980-3646</t>
  </si>
  <si>
    <t>Angela Smith</t>
  </si>
  <si>
    <t>angela.smith614@example.com</t>
  </si>
  <si>
    <t>219-314-6947</t>
  </si>
  <si>
    <t>Michelle Walker</t>
  </si>
  <si>
    <t>michelle.walker60@example.com</t>
  </si>
  <si>
    <t>287-949-8962</t>
  </si>
  <si>
    <t>William Morgan</t>
  </si>
  <si>
    <t>william.morgan785@example.com</t>
  </si>
  <si>
    <t>875-686-3705</t>
  </si>
  <si>
    <t>Angela Cox</t>
  </si>
  <si>
    <t>angela.cox434@example.com</t>
  </si>
  <si>
    <t>930-519-7537</t>
  </si>
  <si>
    <t>Katherine Mitchell</t>
  </si>
  <si>
    <t>katherine.mitchell449@example.com</t>
  </si>
  <si>
    <t>453-430-2049</t>
  </si>
  <si>
    <t>John Ramos</t>
  </si>
  <si>
    <t>john.ramos568@example.com</t>
  </si>
  <si>
    <t>207-272-1964</t>
  </si>
  <si>
    <t>William Jones</t>
  </si>
  <si>
    <t>william.jones881@example.com</t>
  </si>
  <si>
    <t>726-443-5562</t>
  </si>
  <si>
    <t>Nicholas Ramirez</t>
  </si>
  <si>
    <t>nicholas.ramirez553@example.com</t>
  </si>
  <si>
    <t>448-684-7669</t>
  </si>
  <si>
    <t>Richard Gonzalez</t>
  </si>
  <si>
    <t>richard.gonzalez675@example.com</t>
  </si>
  <si>
    <t>633-620-8651</t>
  </si>
  <si>
    <t>Michael Gray</t>
  </si>
  <si>
    <t>michael.gray670@example.com</t>
  </si>
  <si>
    <t>612-945-6559</t>
  </si>
  <si>
    <t>Susan Young</t>
  </si>
  <si>
    <t>susan.young197@example.com</t>
  </si>
  <si>
    <t>343-632-4006</t>
  </si>
  <si>
    <t>Cynthia Young</t>
  </si>
  <si>
    <t>cynthia.young896@example.com</t>
  </si>
  <si>
    <t>763-300-1828</t>
  </si>
  <si>
    <t>Helen Johnson</t>
  </si>
  <si>
    <t>helen.johnson993@example.com</t>
  </si>
  <si>
    <t>370-616-8956</t>
  </si>
  <si>
    <t>Betty Phillips</t>
  </si>
  <si>
    <t>betty.phillips925@example.com</t>
  </si>
  <si>
    <t>588-202-7396</t>
  </si>
  <si>
    <t>Jacob Torres</t>
  </si>
  <si>
    <t>jacob.torres434@example.com</t>
  </si>
  <si>
    <t>394-503-4566</t>
  </si>
  <si>
    <t>Japan</t>
  </si>
  <si>
    <t>Scott Cooper</t>
  </si>
  <si>
    <t>scott.cooper63@example.com</t>
  </si>
  <si>
    <t>251-798-8811</t>
  </si>
  <si>
    <t>Angela Lee</t>
  </si>
  <si>
    <t>angela.lee59@example.com</t>
  </si>
  <si>
    <t>270-809-2113</t>
  </si>
  <si>
    <t>Steven Phillips</t>
  </si>
  <si>
    <t>steven.phillips123@example.com</t>
  </si>
  <si>
    <t>834-283-7868</t>
  </si>
  <si>
    <t>Scott Reed</t>
  </si>
  <si>
    <t>scott.reed536@example.com</t>
  </si>
  <si>
    <t>409-885-6147</t>
  </si>
  <si>
    <t>Kimberly Gomez</t>
  </si>
  <si>
    <t>kimberly.gomez135@example.com</t>
  </si>
  <si>
    <t>523-969-2188</t>
  </si>
  <si>
    <t>Italy</t>
  </si>
  <si>
    <t>Jacob Richardson</t>
  </si>
  <si>
    <t>jacob.richardson577@example.com</t>
  </si>
  <si>
    <t>750-418-9288</t>
  </si>
  <si>
    <t>Thomas Hall</t>
  </si>
  <si>
    <t>thomas.hall903@example.com</t>
  </si>
  <si>
    <t>578-491-3584</t>
  </si>
  <si>
    <t>Helen Hill</t>
  </si>
  <si>
    <t>helen.hill627@example.com</t>
  </si>
  <si>
    <t>879-306-3200</t>
  </si>
  <si>
    <t>United States</t>
  </si>
  <si>
    <t>Joseph Wilson</t>
  </si>
  <si>
    <t>joseph.wilson761@example.com</t>
  </si>
  <si>
    <t>488-819-4450</t>
  </si>
  <si>
    <t>Carol Clark</t>
  </si>
  <si>
    <t>carol.clark704@example.com</t>
  </si>
  <si>
    <t>700-457-1832</t>
  </si>
  <si>
    <t>Samantha Diaz</t>
  </si>
  <si>
    <t>samantha.diaz850@example.com</t>
  </si>
  <si>
    <t>203-541-3143</t>
  </si>
  <si>
    <t>Kimberly Lee</t>
  </si>
  <si>
    <t>kimberly.lee760@example.com</t>
  </si>
  <si>
    <t>774-209-2832</t>
  </si>
  <si>
    <t>Patrick Martin</t>
  </si>
  <si>
    <t>patrick.martin559@example.com</t>
  </si>
  <si>
    <t>796-765-3426</t>
  </si>
  <si>
    <t>Thomas Garcia</t>
  </si>
  <si>
    <t>thomas.garcia316@example.com</t>
  </si>
  <si>
    <t>566-415-5088</t>
  </si>
  <si>
    <t>Susan Rivera</t>
  </si>
  <si>
    <t>susan.rivera799@example.com</t>
  </si>
  <si>
    <t>442-366-3900</t>
  </si>
  <si>
    <t>Patricia Thompson</t>
  </si>
  <si>
    <t>patricia.thompson755@example.com</t>
  </si>
  <si>
    <t>885-952-5065</t>
  </si>
  <si>
    <t>Daniel Hughes</t>
  </si>
  <si>
    <t>daniel.hughes111@example.com</t>
  </si>
  <si>
    <t>681-427-4269</t>
  </si>
  <si>
    <t>Jacob Hall</t>
  </si>
  <si>
    <t>jacob.hall313@example.com</t>
  </si>
  <si>
    <t>224-875-4164</t>
  </si>
  <si>
    <t>Brian Scott</t>
  </si>
  <si>
    <t>brian.scott886@example.com</t>
  </si>
  <si>
    <t>559-856-9346</t>
  </si>
  <si>
    <t>Frank Morgan</t>
  </si>
  <si>
    <t>frank.morgan340@example.com</t>
  </si>
  <si>
    <t>467-382-5349</t>
  </si>
  <si>
    <t>Susan Kim</t>
  </si>
  <si>
    <t>susan.kim445@example.com</t>
  </si>
  <si>
    <t>646-820-9379</t>
  </si>
  <si>
    <t>Deborah Kelly</t>
  </si>
  <si>
    <t>deborah.kelly195@example.com</t>
  </si>
  <si>
    <t>925-646-1027</t>
  </si>
  <si>
    <t>Stephen Mendoza</t>
  </si>
  <si>
    <t>stephen.mendoza737@example.com</t>
  </si>
  <si>
    <t>641-271-6409</t>
  </si>
  <si>
    <t>Kevin James</t>
  </si>
  <si>
    <t>kevin.james869@example.com</t>
  </si>
  <si>
    <t>719-516-7691</t>
  </si>
  <si>
    <t>Stephanie Hughes</t>
  </si>
  <si>
    <t>stephanie.hughes303@example.com</t>
  </si>
  <si>
    <t>630-880-7211</t>
  </si>
  <si>
    <t>Matthew Ward</t>
  </si>
  <si>
    <t>matthew.ward583@example.com</t>
  </si>
  <si>
    <t/>
  </si>
  <si>
    <t>Mark Parker</t>
  </si>
  <si>
    <t>mark.parker805@example.com</t>
  </si>
  <si>
    <t>652-652-4501</t>
  </si>
  <si>
    <t>Gary Perez</t>
  </si>
  <si>
    <t>gary.perez675@example.com</t>
  </si>
  <si>
    <t>727-879-6491</t>
  </si>
  <si>
    <t>Steven Gray</t>
  </si>
  <si>
    <t>steven.gray318@example.com</t>
  </si>
  <si>
    <t>350-225-1757</t>
  </si>
  <si>
    <t>Gary Ward</t>
  </si>
  <si>
    <t>gary.ward871@example.com</t>
  </si>
  <si>
    <t>624-844-4185</t>
  </si>
  <si>
    <t>Rachel Roberts</t>
  </si>
  <si>
    <t>rachel.roberts507@example.com</t>
  </si>
  <si>
    <t>351-871-1090</t>
  </si>
  <si>
    <t>Susan Diaz</t>
  </si>
  <si>
    <t>susan.diaz225@example.com</t>
  </si>
  <si>
    <t>675-251-5082</t>
  </si>
  <si>
    <t>Jessica Collins</t>
  </si>
  <si>
    <t>jessica.collins137@example.com</t>
  </si>
  <si>
    <t>772-809-6198</t>
  </si>
  <si>
    <t>Ryan Ward</t>
  </si>
  <si>
    <t>ryan.ward835@example.com</t>
  </si>
  <si>
    <t>362-961-8777</t>
  </si>
  <si>
    <t>Kimberly Young</t>
  </si>
  <si>
    <t>kimberly.young861@example.com</t>
  </si>
  <si>
    <t>696-841-4919</t>
  </si>
  <si>
    <t>Ryan Martinez</t>
  </si>
  <si>
    <t>ryan.martinez731@example.com</t>
  </si>
  <si>
    <t>478-543-6238</t>
  </si>
  <si>
    <t>David Moore</t>
  </si>
  <si>
    <t>david.moore155@example.com</t>
  </si>
  <si>
    <t>910-356-4505</t>
  </si>
  <si>
    <t>Rebecca Evans</t>
  </si>
  <si>
    <t>rebecca.evans339@example.com</t>
  </si>
  <si>
    <t>263-411-7883</t>
  </si>
  <si>
    <t>Scott Hughes</t>
  </si>
  <si>
    <t>scott.hughes21@example.com</t>
  </si>
  <si>
    <t>206-560-5892</t>
  </si>
  <si>
    <t>Deborah Turner</t>
  </si>
  <si>
    <t>deborah.turner552@example.com</t>
  </si>
  <si>
    <t>424-479-8140</t>
  </si>
  <si>
    <t>Patricia Roberts</t>
  </si>
  <si>
    <t>patricia.roberts345@example.com</t>
  </si>
  <si>
    <t>678-330-9751</t>
  </si>
  <si>
    <t>Timothy Ramos</t>
  </si>
  <si>
    <t>timothy.ramos578@example.com</t>
  </si>
  <si>
    <t>858-638-3223</t>
  </si>
  <si>
    <t>Lisa Miller</t>
  </si>
  <si>
    <t>lisa.miller267@example.com</t>
  </si>
  <si>
    <t>416-665-6355</t>
  </si>
  <si>
    <t>Ronald Scott</t>
  </si>
  <si>
    <t>ronald.scott771@example.com</t>
  </si>
  <si>
    <t>283-681-1317</t>
  </si>
  <si>
    <t>Helen Miller</t>
  </si>
  <si>
    <t>helen.miller975@example.com</t>
  </si>
  <si>
    <t>865-270-1659</t>
  </si>
  <si>
    <t>Patricia Young</t>
  </si>
  <si>
    <t>patricia.young205@example.com</t>
  </si>
  <si>
    <t>444-329-8758</t>
  </si>
  <si>
    <t>Joseph Reed</t>
  </si>
  <si>
    <t>joseph.reed971@example.com</t>
  </si>
  <si>
    <t>916-462-7043</t>
  </si>
  <si>
    <t>Nicole Cox</t>
  </si>
  <si>
    <t>nicole.cox987@example.com</t>
  </si>
  <si>
    <t>Brenda Gray</t>
  </si>
  <si>
    <t>brenda.gray930@example.com</t>
  </si>
  <si>
    <t>932-403-2245</t>
  </si>
  <si>
    <t>Patrick Watson</t>
  </si>
  <si>
    <t>patrick.watson249@example.com</t>
  </si>
  <si>
    <t>900-814-2983</t>
  </si>
  <si>
    <t>Justin Garcia</t>
  </si>
  <si>
    <t>justin.garcia356@example.com</t>
  </si>
  <si>
    <t>270-718-6590</t>
  </si>
  <si>
    <t>Rebecca Morales</t>
  </si>
  <si>
    <t>rebecca.morales109@example.com</t>
  </si>
  <si>
    <t>850-670-3506</t>
  </si>
  <si>
    <t>Matthew Gutierrez</t>
  </si>
  <si>
    <t>matthew.gutierrez989@example.com</t>
  </si>
  <si>
    <t>676-646-5397</t>
  </si>
  <si>
    <t>Ashley Lopez</t>
  </si>
  <si>
    <t>ashley.lopez286@example.com</t>
  </si>
  <si>
    <t>968-675-7209</t>
  </si>
  <si>
    <t>Patricia Murphy</t>
  </si>
  <si>
    <t>patricia.murphy872@example.com</t>
  </si>
  <si>
    <t>699-417-6813</t>
  </si>
  <si>
    <t>Kimberly Baker</t>
  </si>
  <si>
    <t>kimberly.baker287@example.com</t>
  </si>
  <si>
    <t>729-395-2402</t>
  </si>
  <si>
    <t>Jason Morales</t>
  </si>
  <si>
    <t>jason.morales569@example.com</t>
  </si>
  <si>
    <t>861-928-9041</t>
  </si>
  <si>
    <t>John Lopez</t>
  </si>
  <si>
    <t>john.lopez302@example.com</t>
  </si>
  <si>
    <t>Scott Mitchell</t>
  </si>
  <si>
    <t>scott.mitchell485@example.com</t>
  </si>
  <si>
    <t>963-763-6419</t>
  </si>
  <si>
    <t>Rachel Collins</t>
  </si>
  <si>
    <t>rachel.collins278@example.com</t>
  </si>
  <si>
    <t>436-323-4155</t>
  </si>
  <si>
    <t>Jessica Morgan</t>
  </si>
  <si>
    <t>jessica.morgan974@example.com</t>
  </si>
  <si>
    <t>421-956-8933</t>
  </si>
  <si>
    <t>Pamela Ortiz</t>
  </si>
  <si>
    <t>pamela.ortiz612@example.com</t>
  </si>
  <si>
    <t>398-503-4727</t>
  </si>
  <si>
    <t>Matthew Hill</t>
  </si>
  <si>
    <t>matthew.hill15@example.com</t>
  </si>
  <si>
    <t>246-255-5786</t>
  </si>
  <si>
    <t>Thomas Brooks</t>
  </si>
  <si>
    <t>thomas.brooks890@example.com</t>
  </si>
  <si>
    <t>212-787-5658</t>
  </si>
  <si>
    <t>Kathleen Cruz</t>
  </si>
  <si>
    <t>kathleen.cruz349@example.com</t>
  </si>
  <si>
    <t>458-689-2869</t>
  </si>
  <si>
    <t>William Phillips</t>
  </si>
  <si>
    <t>william.phillips504@example.com</t>
  </si>
  <si>
    <t>355-352-5978</t>
  </si>
  <si>
    <t>Ashley Thomas</t>
  </si>
  <si>
    <t>ashley.thomas572@example.com</t>
  </si>
  <si>
    <t>994-735-7232</t>
  </si>
  <si>
    <t>Ryan Hill</t>
  </si>
  <si>
    <t>ryan.hill881@example.com</t>
  </si>
  <si>
    <t>782-835-1986</t>
  </si>
  <si>
    <t>Richard Clark</t>
  </si>
  <si>
    <t>richard.clark641@example.com</t>
  </si>
  <si>
    <t>876-283-3573</t>
  </si>
  <si>
    <t>Matthew Peterson</t>
  </si>
  <si>
    <t>matthew.peterson77@example.com</t>
  </si>
  <si>
    <t>618-661-8699</t>
  </si>
  <si>
    <t>Robert Robinson</t>
  </si>
  <si>
    <t>robert.robinson296@example.com</t>
  </si>
  <si>
    <t>272-903-4824</t>
  </si>
  <si>
    <t>Samuel Ramos</t>
  </si>
  <si>
    <t>samuel.ramos678@example.com</t>
  </si>
  <si>
    <t>317-757-4683</t>
  </si>
  <si>
    <t>Karen Wright</t>
  </si>
  <si>
    <t>karen.wright847@example.com</t>
  </si>
  <si>
    <t>261-369-6039</t>
  </si>
  <si>
    <t>Justin Torres</t>
  </si>
  <si>
    <t>justin.torres450@example.com</t>
  </si>
  <si>
    <t>905-511-7594</t>
  </si>
  <si>
    <t>Eric Cooper</t>
  </si>
  <si>
    <t>eric.cooper506@example.com</t>
  </si>
  <si>
    <t>812-240-8078</t>
  </si>
  <si>
    <t>Dorothy Cox</t>
  </si>
  <si>
    <t>dorothy.cox257@example.com</t>
  </si>
  <si>
    <t>434-890-1339</t>
  </si>
  <si>
    <t>Frank Wright</t>
  </si>
  <si>
    <t>frank.wright591@example.com</t>
  </si>
  <si>
    <t>681-731-8245</t>
  </si>
  <si>
    <t>Lisa Howard</t>
  </si>
  <si>
    <t>lisa.howard447@example.com</t>
  </si>
  <si>
    <t>681-556-7690</t>
  </si>
  <si>
    <t>Dorothy Bennett</t>
  </si>
  <si>
    <t>dorothy.bennett108@example.com</t>
  </si>
  <si>
    <t>621-910-9117</t>
  </si>
  <si>
    <t>Alexander Phillips</t>
  </si>
  <si>
    <t>alexander.phillips834@example.com</t>
  </si>
  <si>
    <t>290-522-5135</t>
  </si>
  <si>
    <t>Joseph Phillips</t>
  </si>
  <si>
    <t>joseph.phillips886@example.com</t>
  </si>
  <si>
    <t>623-255-4073</t>
  </si>
  <si>
    <t>Edward Richardson</t>
  </si>
  <si>
    <t>edward.richardson775@example.com</t>
  </si>
  <si>
    <t>978-252-4335</t>
  </si>
  <si>
    <t>Larry Taylor</t>
  </si>
  <si>
    <t>larry.taylor950@example.com</t>
  </si>
  <si>
    <t>915-696-2989</t>
  </si>
  <si>
    <t>Samuel Cox</t>
  </si>
  <si>
    <t>samuel.cox819@example.com</t>
  </si>
  <si>
    <t>518-764-1224</t>
  </si>
  <si>
    <t>Jason Lopez</t>
  </si>
  <si>
    <t>jason.lopez231@example.com</t>
  </si>
  <si>
    <t>320-863-3522</t>
  </si>
  <si>
    <t>Donna Rogers</t>
  </si>
  <si>
    <t>donna.rogers723@example.com</t>
  </si>
  <si>
    <t>694-683-4993</t>
  </si>
  <si>
    <t>Larry Jackson</t>
  </si>
  <si>
    <t>larry.jackson393@example.com</t>
  </si>
  <si>
    <t>964-339-2143</t>
  </si>
  <si>
    <t>Rebecca Baker</t>
  </si>
  <si>
    <t>rebecca.baker957@example.com</t>
  </si>
  <si>
    <t>489-943-5891</t>
  </si>
  <si>
    <t>Pamela Howard</t>
  </si>
  <si>
    <t>pamela.howard676@example.com</t>
  </si>
  <si>
    <t>Brian Peterson</t>
  </si>
  <si>
    <t>brian.peterson782@example.com</t>
  </si>
  <si>
    <t>529-393-4912</t>
  </si>
  <si>
    <t>Deborah Robinson</t>
  </si>
  <si>
    <t>deborah.robinson877@example.com</t>
  </si>
  <si>
    <t>525-962-8749</t>
  </si>
  <si>
    <t>Ronald Roberts</t>
  </si>
  <si>
    <t>ronald.roberts680@example.com</t>
  </si>
  <si>
    <t>237-329-9229</t>
  </si>
  <si>
    <t>Brian Gonzalez</t>
  </si>
  <si>
    <t>brian.gonzalez896@example.com</t>
  </si>
  <si>
    <t>738-667-1251</t>
  </si>
  <si>
    <t>Charles Evans</t>
  </si>
  <si>
    <t>charles.evans892@example.com</t>
  </si>
  <si>
    <t>680-471-6546</t>
  </si>
  <si>
    <t>United Kingdom</t>
  </si>
  <si>
    <t>Patrick Gomez</t>
  </si>
  <si>
    <t>patrick.gomez666@example.com</t>
  </si>
  <si>
    <t>890-746-7226</t>
  </si>
  <si>
    <t>Samuel Morales</t>
  </si>
  <si>
    <t>samuel.morales894@example.com</t>
  </si>
  <si>
    <t>440-846-5708</t>
  </si>
  <si>
    <t>Barbara Parker</t>
  </si>
  <si>
    <t>barbara.parker101@example.com</t>
  </si>
  <si>
    <t>370-910-5906</t>
  </si>
  <si>
    <t>Jennifer Adams</t>
  </si>
  <si>
    <t>jennifer.adams816@example.com</t>
  </si>
  <si>
    <t>567-583-8056</t>
  </si>
  <si>
    <t>Ashley Ortiz</t>
  </si>
  <si>
    <t>ashley.ortiz422@example.com</t>
  </si>
  <si>
    <t>379-280-7267</t>
  </si>
  <si>
    <t>Debra Walker</t>
  </si>
  <si>
    <t>debra.walker510@example.com</t>
  </si>
  <si>
    <t>672-853-5161</t>
  </si>
  <si>
    <t>Paul Bennett</t>
  </si>
  <si>
    <t>paul.bennett10@example.com</t>
  </si>
  <si>
    <t>893-759-3588</t>
  </si>
  <si>
    <t>Ryan Hall</t>
  </si>
  <si>
    <t>ryan.hall602@example.com</t>
  </si>
  <si>
    <t>906-456-8484</t>
  </si>
  <si>
    <t>Kenneth Sanchez</t>
  </si>
  <si>
    <t>kenneth.sanchez394@example.com</t>
  </si>
  <si>
    <t>442-590-6881</t>
  </si>
  <si>
    <t>Donna Hughes</t>
  </si>
  <si>
    <t>donna.hughes303@example.com</t>
  </si>
  <si>
    <t>481-208-1803</t>
  </si>
  <si>
    <t>Amy Torres</t>
  </si>
  <si>
    <t>amy.torres795@example.com</t>
  </si>
  <si>
    <t>424-851-4115</t>
  </si>
  <si>
    <t>Paul Gray</t>
  </si>
  <si>
    <t>paul.gray774@example.com</t>
  </si>
  <si>
    <t>842-861-1645</t>
  </si>
  <si>
    <t>Ryan Jones</t>
  </si>
  <si>
    <t>ryan.jones594@example.com</t>
  </si>
  <si>
    <t>292-502-6352</t>
  </si>
  <si>
    <t>Rebecca Thompson</t>
  </si>
  <si>
    <t>rebecca.thompson206@example.com</t>
  </si>
  <si>
    <t>743-713-5465</t>
  </si>
  <si>
    <t>Nancy Allen</t>
  </si>
  <si>
    <t>nancy.allen936@example.com</t>
  </si>
  <si>
    <t>964-546-2886</t>
  </si>
  <si>
    <t>Elizabeth Jackson</t>
  </si>
  <si>
    <t>elizabeth.jackson773@example.com</t>
  </si>
  <si>
    <t>770-574-2479</t>
  </si>
  <si>
    <t>Timothy Johnson</t>
  </si>
  <si>
    <t>timothy.johnson271@example.com</t>
  </si>
  <si>
    <t>577-888-5295</t>
  </si>
  <si>
    <t>Ronald Brooks</t>
  </si>
  <si>
    <t>ronald.brooks963@example.com</t>
  </si>
  <si>
    <t>891-439-8724</t>
  </si>
  <si>
    <t>Emma Bailey</t>
  </si>
  <si>
    <t>emma.bailey336@example.com</t>
  </si>
  <si>
    <t>850-675-5951</t>
  </si>
  <si>
    <t>Jason Anderson</t>
  </si>
  <si>
    <t>jason.anderson144@example.com</t>
  </si>
  <si>
    <t>511-704-2902</t>
  </si>
  <si>
    <t>Steven Morgan</t>
  </si>
  <si>
    <t>steven.morgan139@example.com</t>
  </si>
  <si>
    <t>579-886-9850</t>
  </si>
  <si>
    <t>Pamela Martin</t>
  </si>
  <si>
    <t>pamela.martin907@example.com</t>
  </si>
  <si>
    <t>701-830-7686</t>
  </si>
  <si>
    <t>Robert Ruiz</t>
  </si>
  <si>
    <t>robert.ruiz380@example.com</t>
  </si>
  <si>
    <t>655-441-6942</t>
  </si>
  <si>
    <t>Debra Mitchell</t>
  </si>
  <si>
    <t>debra.mitchell558@example.com</t>
  </si>
  <si>
    <t>607-482-4109</t>
  </si>
  <si>
    <t>Jacob Lopez</t>
  </si>
  <si>
    <t>jacob.lopez679@example.com</t>
  </si>
  <si>
    <t>251-541-4990</t>
  </si>
  <si>
    <t>Justin Clark</t>
  </si>
  <si>
    <t>justin.clark71@example.com</t>
  </si>
  <si>
    <t>438-536-3417</t>
  </si>
  <si>
    <t>Brandon Smith</t>
  </si>
  <si>
    <t>brandon.smith284@example.com</t>
  </si>
  <si>
    <t>Alexander Brown</t>
  </si>
  <si>
    <t>alexander.brown135@example.com</t>
  </si>
  <si>
    <t>443-802-6304</t>
  </si>
  <si>
    <t>Matthew King</t>
  </si>
  <si>
    <t>matthew.king54@example.com</t>
  </si>
  <si>
    <t>738-316-2041</t>
  </si>
  <si>
    <t>Sharon Campbell</t>
  </si>
  <si>
    <t>sharon.campbell526@example.com</t>
  </si>
  <si>
    <t>715-426-1710</t>
  </si>
  <si>
    <t>Alexander Gutierrez</t>
  </si>
  <si>
    <t>alexander.gutierrez309@example.com</t>
  </si>
  <si>
    <t>262-690-7580</t>
  </si>
  <si>
    <t>Debra Wilson</t>
  </si>
  <si>
    <t>debra.wilson503@example.com</t>
  </si>
  <si>
    <t>282-529-3430</t>
  </si>
  <si>
    <t>Thomas Scott</t>
  </si>
  <si>
    <t>thomas.scott640@example.com</t>
  </si>
  <si>
    <t>811-743-5831</t>
  </si>
  <si>
    <t>eric.cox441@example.com</t>
  </si>
  <si>
    <t>Sharon Robinson</t>
  </si>
  <si>
    <t>sharon.robinson424@example.com</t>
  </si>
  <si>
    <t>608-625-2557</t>
  </si>
  <si>
    <t>Jeffrey Green</t>
  </si>
  <si>
    <t>jeffrey.green682@example.com</t>
  </si>
  <si>
    <t>356-903-8770</t>
  </si>
  <si>
    <t>Barbara Hernandez</t>
  </si>
  <si>
    <t>barbara.hernandez96@example.com</t>
  </si>
  <si>
    <t>962-956-7105</t>
  </si>
  <si>
    <t>Thomas Bailey</t>
  </si>
  <si>
    <t>thomas.bailey62@example.com</t>
  </si>
  <si>
    <t>620-562-7929</t>
  </si>
  <si>
    <t>Michael Torres</t>
  </si>
  <si>
    <t>michael.torres615@example.com</t>
  </si>
  <si>
    <t>306-791-9313</t>
  </si>
  <si>
    <t>Karen James</t>
  </si>
  <si>
    <t>karen.james494@example.com</t>
  </si>
  <si>
    <t>558-769-7022</t>
  </si>
  <si>
    <t>Emily Kelly</t>
  </si>
  <si>
    <t>emily.kelly232@example.com</t>
  </si>
  <si>
    <t>823-873-5381</t>
  </si>
  <si>
    <t>Lisa Wright</t>
  </si>
  <si>
    <t>lisa.wright720@example.com</t>
  </si>
  <si>
    <t>559-206-3972</t>
  </si>
  <si>
    <t>Justin James</t>
  </si>
  <si>
    <t>justin.james411@example.com</t>
  </si>
  <si>
    <t>958-848-1502</t>
  </si>
  <si>
    <t>Angela Ramirez</t>
  </si>
  <si>
    <t>angela.ramirez386@example.com</t>
  </si>
  <si>
    <t>549-361-7062</t>
  </si>
  <si>
    <t>Dorothy Reed</t>
  </si>
  <si>
    <t>dorothy.reed611@example.com</t>
  </si>
  <si>
    <t>359-361-1815</t>
  </si>
  <si>
    <t>David Wright</t>
  </si>
  <si>
    <t>david.wright454@example.com</t>
  </si>
  <si>
    <t>821-652-7785</t>
  </si>
  <si>
    <t>Betty Rogers</t>
  </si>
  <si>
    <t>betty.rogers117@example.com</t>
  </si>
  <si>
    <t>313-490-8972</t>
  </si>
  <si>
    <t>Christine Flores</t>
  </si>
  <si>
    <t>christine.flores47@example.com</t>
  </si>
  <si>
    <t>813-256-1125</t>
  </si>
  <si>
    <t>Kenneth Ramirez</t>
  </si>
  <si>
    <t>kenneth.ramirez786@example.com</t>
  </si>
  <si>
    <t>Amy Parker</t>
  </si>
  <si>
    <t>amy.parker180@example.com</t>
  </si>
  <si>
    <t>745-920-4770</t>
  </si>
  <si>
    <t>Anna Bennett</t>
  </si>
  <si>
    <t>anna.bennett826@example.com</t>
  </si>
  <si>
    <t>606-959-1693</t>
  </si>
  <si>
    <t>John Collins</t>
  </si>
  <si>
    <t>john.collins944@example.com</t>
  </si>
  <si>
    <t>789-639-7626</t>
  </si>
  <si>
    <t>Samantha Turner</t>
  </si>
  <si>
    <t>samantha.turner297@example.com</t>
  </si>
  <si>
    <t>221-532-3815</t>
  </si>
  <si>
    <t>Emma Collins</t>
  </si>
  <si>
    <t>emma.collins852@example.com</t>
  </si>
  <si>
    <t>647-308-4986</t>
  </si>
  <si>
    <t>Pamela Phillips</t>
  </si>
  <si>
    <t>pamela.phillips537@example.com</t>
  </si>
  <si>
    <t>517-963-6562</t>
  </si>
  <si>
    <t>Brian Perez</t>
  </si>
  <si>
    <t>brian.perez79@example.com</t>
  </si>
  <si>
    <t>722-398-6724</t>
  </si>
  <si>
    <t>Gregory Jackson</t>
  </si>
  <si>
    <t>gregory.jackson242@example.com</t>
  </si>
  <si>
    <t>462-402-3842</t>
  </si>
  <si>
    <t>Karen Wood</t>
  </si>
  <si>
    <t>karen.wood78@example.com</t>
  </si>
  <si>
    <t>675-972-8354</t>
  </si>
  <si>
    <t>Justin Chavez</t>
  </si>
  <si>
    <t>justin.chavez651@example.com</t>
  </si>
  <si>
    <t>354-650-2118</t>
  </si>
  <si>
    <t>Ryan Watson</t>
  </si>
  <si>
    <t>ryan.watson311@example.com</t>
  </si>
  <si>
    <t>560-719-2215</t>
  </si>
  <si>
    <t>Cynthia Edwards</t>
  </si>
  <si>
    <t>cynthia.edwards39@example.com</t>
  </si>
  <si>
    <t>493-278-2479</t>
  </si>
  <si>
    <t>Brandon Cook</t>
  </si>
  <si>
    <t>brandon.cook394@example.com</t>
  </si>
  <si>
    <t>660-785-4084</t>
  </si>
  <si>
    <t>Nicole Stewart</t>
  </si>
  <si>
    <t>nicole.stewart514@example.com</t>
  </si>
  <si>
    <t>661-305-6626</t>
  </si>
  <si>
    <t>David Cook</t>
  </si>
  <si>
    <t>david.cook662@example.com</t>
  </si>
  <si>
    <t>453-924-8172</t>
  </si>
  <si>
    <t>Angela Gutierrez</t>
  </si>
  <si>
    <t>angela.gutierrez625@example.com</t>
  </si>
  <si>
    <t>581-489-7347</t>
  </si>
  <si>
    <t>Carol Gray</t>
  </si>
  <si>
    <t>carol.gray613@example.com</t>
  </si>
  <si>
    <t>267-537-2548</t>
  </si>
  <si>
    <t>Frank Roberts</t>
  </si>
  <si>
    <t>frank.roberts291@example.com</t>
  </si>
  <si>
    <t>Michelle Wood</t>
  </si>
  <si>
    <t>michelle.wood716@example.com</t>
  </si>
  <si>
    <t>809-925-2388</t>
  </si>
  <si>
    <t>Anna Carter</t>
  </si>
  <si>
    <t>anna.carter659@example.com</t>
  </si>
  <si>
    <t>886-919-9624</t>
  </si>
  <si>
    <t>Gregory Bennett</t>
  </si>
  <si>
    <t>gregory.bennett434@example.com</t>
  </si>
  <si>
    <t>571-516-3953</t>
  </si>
  <si>
    <t>Carol Morales</t>
  </si>
  <si>
    <t>carol.morales197@example.com</t>
  </si>
  <si>
    <t>358-279-5846</t>
  </si>
  <si>
    <t>Richard Cook</t>
  </si>
  <si>
    <t>richard.cook790@example.com</t>
  </si>
  <si>
    <t>984-832-3147</t>
  </si>
  <si>
    <t>Ronald Martin</t>
  </si>
  <si>
    <t>ronald.martin167@example.com</t>
  </si>
  <si>
    <t>938-648-1715</t>
  </si>
  <si>
    <t>Edward Gray</t>
  </si>
  <si>
    <t>edward.gray737@example.com</t>
  </si>
  <si>
    <t>825-491-8355</t>
  </si>
  <si>
    <t>Stephen Walker</t>
  </si>
  <si>
    <t>stephen.walker317@example.com</t>
  </si>
  <si>
    <t>Joshua Carter</t>
  </si>
  <si>
    <t>joshua.carter515@example.com</t>
  </si>
  <si>
    <t>404-819-3267</t>
  </si>
  <si>
    <t>Michael Chavez</t>
  </si>
  <si>
    <t>michael.chavez493@example.com</t>
  </si>
  <si>
    <t>928-728-3042</t>
  </si>
  <si>
    <t>David Lee</t>
  </si>
  <si>
    <t>david.lee280@example.com</t>
  </si>
  <si>
    <t>350-647-2502</t>
  </si>
  <si>
    <t>Sharon Hall</t>
  </si>
  <si>
    <t>sharon.hall953@example.com</t>
  </si>
  <si>
    <t>254-605-9224</t>
  </si>
  <si>
    <t>Steven Roberts</t>
  </si>
  <si>
    <t>steven.roberts84@example.com</t>
  </si>
  <si>
    <t>228-526-2623</t>
  </si>
  <si>
    <t>Katherine Nelson</t>
  </si>
  <si>
    <t>katherine.nelson811@example.com</t>
  </si>
  <si>
    <t>239-493-8740</t>
  </si>
  <si>
    <t>Sarah Stewart</t>
  </si>
  <si>
    <t>sarah.stewart460@example.com</t>
  </si>
  <si>
    <t>219-462-4533</t>
  </si>
  <si>
    <t>Karen Peterson</t>
  </si>
  <si>
    <t>karen.peterson963@example.com</t>
  </si>
  <si>
    <t>994-495-4893</t>
  </si>
  <si>
    <t>Jessica Miller</t>
  </si>
  <si>
    <t>jessica.miller245@example.com</t>
  </si>
  <si>
    <t>264-313-9189</t>
  </si>
  <si>
    <t>Stephen Williams</t>
  </si>
  <si>
    <t>stephen.williams648@example.com</t>
  </si>
  <si>
    <t>Amanda Walker</t>
  </si>
  <si>
    <t>amanda.walker585@example.com</t>
  </si>
  <si>
    <t>880-884-2402</t>
  </si>
  <si>
    <t>Edward Rodriguez</t>
  </si>
  <si>
    <t>edward.rodriguez977@example.com</t>
  </si>
  <si>
    <t>681-244-7338</t>
  </si>
  <si>
    <t>Paul Williams</t>
  </si>
  <si>
    <t>paul.williams366@example.com</t>
  </si>
  <si>
    <t>446-950-2698</t>
  </si>
  <si>
    <t>Scott Nelson</t>
  </si>
  <si>
    <t>scott.nelson137@example.com</t>
  </si>
  <si>
    <t>759-546-3868</t>
  </si>
  <si>
    <t>Debra Reyes</t>
  </si>
  <si>
    <t>debra.reyes713@example.com</t>
  </si>
  <si>
    <t>338-264-8498</t>
  </si>
  <si>
    <t>Donna Sanchez</t>
  </si>
  <si>
    <t>donna.sanchez45@example.com</t>
  </si>
  <si>
    <t>523-517-9444</t>
  </si>
  <si>
    <t>Helen Stewart</t>
  </si>
  <si>
    <t>helen.stewart260@example.com</t>
  </si>
  <si>
    <t>492-565-1783</t>
  </si>
  <si>
    <t>Brian Wright</t>
  </si>
  <si>
    <t>brian.wright128@example.com</t>
  </si>
  <si>
    <t>609-961-8204</t>
  </si>
  <si>
    <t>Carol White</t>
  </si>
  <si>
    <t>carol.white509@example.com</t>
  </si>
  <si>
    <t>731-473-2353</t>
  </si>
  <si>
    <t>Jeffrey Hernandez</t>
  </si>
  <si>
    <t>jeffrey.hernandez441@example.com</t>
  </si>
  <si>
    <t>528-305-2311</t>
  </si>
  <si>
    <t>Alexander Nguyen</t>
  </si>
  <si>
    <t>alexander.nguyen314@example.com</t>
  </si>
  <si>
    <t>370-906-8272</t>
  </si>
  <si>
    <t>Sharon Garcia</t>
  </si>
  <si>
    <t>sharon.garcia745@example.com</t>
  </si>
  <si>
    <t>481-854-1939</t>
  </si>
  <si>
    <t>Christine Brooks</t>
  </si>
  <si>
    <t>christine.brooks416@example.com</t>
  </si>
  <si>
    <t>967-895-3621</t>
  </si>
  <si>
    <t>Charles Cox</t>
  </si>
  <si>
    <t>charles.cox695@example.com</t>
  </si>
  <si>
    <t>329-268-4866</t>
  </si>
  <si>
    <t>Gregory Campbell</t>
  </si>
  <si>
    <t>gregory.campbell371@example.com</t>
  </si>
  <si>
    <t>819-357-8371</t>
  </si>
  <si>
    <t>Melissa Cruz</t>
  </si>
  <si>
    <t>melissa.cruz782@example.com</t>
  </si>
  <si>
    <t>742-575-7521</t>
  </si>
  <si>
    <t>Katherine Scott</t>
  </si>
  <si>
    <t>katherine.scott256@example.com</t>
  </si>
  <si>
    <t>953-390-9176</t>
  </si>
  <si>
    <t>Deborah Bailey</t>
  </si>
  <si>
    <t>deborah.bailey121@example.com</t>
  </si>
  <si>
    <t>920-656-4515</t>
  </si>
  <si>
    <t>Joshua Ruiz</t>
  </si>
  <si>
    <t>joshua.ruiz939@example.com</t>
  </si>
  <si>
    <t>325-338-2213</t>
  </si>
  <si>
    <t>Matthew Cruz</t>
  </si>
  <si>
    <t>matthew.cruz90@example.com</t>
  </si>
  <si>
    <t>926-266-9882</t>
  </si>
  <si>
    <t>Kenneth Lee</t>
  </si>
  <si>
    <t>kenneth.lee729@example.com</t>
  </si>
  <si>
    <t>720-429-2988</t>
  </si>
  <si>
    <t>Sarah Walker</t>
  </si>
  <si>
    <t>sarah.walker810@example.com</t>
  </si>
  <si>
    <t>569-767-7044</t>
  </si>
  <si>
    <t>larry.taylor627@example.com</t>
  </si>
  <si>
    <t>516-607-8842</t>
  </si>
  <si>
    <t>Jason Evans</t>
  </si>
  <si>
    <t>jason.evans844@example.com</t>
  </si>
  <si>
    <t>524-857-2215</t>
  </si>
  <si>
    <t>Cynthia Mendoza</t>
  </si>
  <si>
    <t>cynthia.mendoza530@example.com</t>
  </si>
  <si>
    <t>998-764-3981</t>
  </si>
  <si>
    <t>Thomas Parker</t>
  </si>
  <si>
    <t>thomas.parker515@example.com</t>
  </si>
  <si>
    <t>730-356-5982</t>
  </si>
  <si>
    <t>Daniel Adams</t>
  </si>
  <si>
    <t>daniel.adams958@example.com</t>
  </si>
  <si>
    <t>731-490-2292</t>
  </si>
  <si>
    <t>Margaret Brooks</t>
  </si>
  <si>
    <t>margaret.brooks980@example.com</t>
  </si>
  <si>
    <t>840-510-9740</t>
  </si>
  <si>
    <t>Eric Chavez</t>
  </si>
  <si>
    <t>eric.chavez173@example.com</t>
  </si>
  <si>
    <t>874-839-6531</t>
  </si>
  <si>
    <t>justin.garcia846@example.com</t>
  </si>
  <si>
    <t>246-856-5336</t>
  </si>
  <si>
    <t>Mark Kelly</t>
  </si>
  <si>
    <t>mark.kelly427@example.com</t>
  </si>
  <si>
    <t>842-758-5745</t>
  </si>
  <si>
    <t>Kenneth Morris</t>
  </si>
  <si>
    <t>kenneth.morris251@example.com</t>
  </si>
  <si>
    <t>664-274-1981</t>
  </si>
  <si>
    <t>Ryan Turner</t>
  </si>
  <si>
    <t>ryan.turner496@example.com</t>
  </si>
  <si>
    <t>548-821-3353</t>
  </si>
  <si>
    <t>Kevin Hall</t>
  </si>
  <si>
    <t>kevin.hall999@example.com</t>
  </si>
  <si>
    <t>978-579-9437</t>
  </si>
  <si>
    <t>Susan Green</t>
  </si>
  <si>
    <t>susan.green248@example.com</t>
  </si>
  <si>
    <t>473-660-5061</t>
  </si>
  <si>
    <t>Richard Miller</t>
  </si>
  <si>
    <t>richard.miller298@example.com</t>
  </si>
  <si>
    <t>454-363-6364</t>
  </si>
  <si>
    <t>Kevin Harris</t>
  </si>
  <si>
    <t>kevin.harris782@example.com</t>
  </si>
  <si>
    <t>727-678-9171</t>
  </si>
  <si>
    <t>Amy Williams</t>
  </si>
  <si>
    <t>amy.williams93@example.com</t>
  </si>
  <si>
    <t>668-446-4524</t>
  </si>
  <si>
    <t>Amanda Miller</t>
  </si>
  <si>
    <t>amanda.miller52@example.com</t>
  </si>
  <si>
    <t>811-869-8710</t>
  </si>
  <si>
    <t>Stephen Johnson</t>
  </si>
  <si>
    <t>stephen.johnson868@example.com</t>
  </si>
  <si>
    <t>337-470-6992</t>
  </si>
  <si>
    <t>Stephanie Campbell</t>
  </si>
  <si>
    <t>stephanie.campbell47@example.com</t>
  </si>
  <si>
    <t>783-775-4189</t>
  </si>
  <si>
    <t>Larry Torres</t>
  </si>
  <si>
    <t>larry.torres76@example.com</t>
  </si>
  <si>
    <t>661-982-5582</t>
  </si>
  <si>
    <t>Emma Mendoza</t>
  </si>
  <si>
    <t>emma.mendoza626@example.com</t>
  </si>
  <si>
    <t>299-603-7114</t>
  </si>
  <si>
    <t>Carol Bailey</t>
  </si>
  <si>
    <t>carol.bailey962@example.com</t>
  </si>
  <si>
    <t>403-816-9341</t>
  </si>
  <si>
    <t>Eric Garcia</t>
  </si>
  <si>
    <t>eric.garcia47@example.com</t>
  </si>
  <si>
    <t>930-541-8761</t>
  </si>
  <si>
    <t>Jacob Martin</t>
  </si>
  <si>
    <t>jacob.martin621@example.com</t>
  </si>
  <si>
    <t>827-526-3662</t>
  </si>
  <si>
    <t>Benjamin Hill</t>
  </si>
  <si>
    <t>benjamin.hill608@example.com</t>
  </si>
  <si>
    <t>721-745-9025</t>
  </si>
  <si>
    <t>Justin Hill</t>
  </si>
  <si>
    <t>justin.hill487@example.com</t>
  </si>
  <si>
    <t>539-889-2795</t>
  </si>
  <si>
    <t>Scott Flores</t>
  </si>
  <si>
    <t>scott.flores816@example.com</t>
  </si>
  <si>
    <t>471-871-4728</t>
  </si>
  <si>
    <t>Michael Howard</t>
  </si>
  <si>
    <t>michael.howard492@example.com</t>
  </si>
  <si>
    <t>844-938-7229</t>
  </si>
  <si>
    <t>Debra Young</t>
  </si>
  <si>
    <t>debra.young33@example.com</t>
  </si>
  <si>
    <t>219-651-6139</t>
  </si>
  <si>
    <t>Karen Evans</t>
  </si>
  <si>
    <t>karen.evans708@example.com</t>
  </si>
  <si>
    <t>713-993-8726</t>
  </si>
  <si>
    <t>Linda Moore</t>
  </si>
  <si>
    <t>linda.moore532@example.com</t>
  </si>
  <si>
    <t>878-689-9609</t>
  </si>
  <si>
    <t>Kevin Thompson</t>
  </si>
  <si>
    <t>kevin.thompson471@example.com</t>
  </si>
  <si>
    <t>892-990-5331</t>
  </si>
  <si>
    <t>Kathleen Harris</t>
  </si>
  <si>
    <t>kathleen.harris981@example.com</t>
  </si>
  <si>
    <t>771-505-4684</t>
  </si>
  <si>
    <t>Joshua Clark</t>
  </si>
  <si>
    <t>joshua.clark707@example.com</t>
  </si>
  <si>
    <t>691-557-5480</t>
  </si>
  <si>
    <t>Jessica Kelly</t>
  </si>
  <si>
    <t>jessica.kelly693@example.com</t>
  </si>
  <si>
    <t>553-991-3399</t>
  </si>
  <si>
    <t>Jennifer Torres</t>
  </si>
  <si>
    <t>jennifer.torres979@example.com</t>
  </si>
  <si>
    <t>652-871-5201</t>
  </si>
  <si>
    <t>Kathleen Ramirez</t>
  </si>
  <si>
    <t>kathleen.ramirez207@example.com</t>
  </si>
  <si>
    <t>340-311-4920</t>
  </si>
  <si>
    <t>Michael Bennett</t>
  </si>
  <si>
    <t>michael.bennett927@example.com</t>
  </si>
  <si>
    <t>253-302-7771</t>
  </si>
  <si>
    <t>Gary Gonzalez</t>
  </si>
  <si>
    <t>gary.gonzalez698@example.com</t>
  </si>
  <si>
    <t>763-361-7666</t>
  </si>
  <si>
    <t>Gary Morris</t>
  </si>
  <si>
    <t>gary.morris667@example.com</t>
  </si>
  <si>
    <t>528-492-1969</t>
  </si>
  <si>
    <t>Barbara Wood</t>
  </si>
  <si>
    <t>barbara.wood588@example.com</t>
  </si>
  <si>
    <t>956-940-1611</t>
  </si>
  <si>
    <t>rebecca.thompson957@example.com</t>
  </si>
  <si>
    <t>707-390-5742</t>
  </si>
  <si>
    <t>Mary Hill</t>
  </si>
  <si>
    <t>mary.hill582@example.com</t>
  </si>
  <si>
    <t>491-665-9901</t>
  </si>
  <si>
    <t>Amy Moore</t>
  </si>
  <si>
    <t>amy.moore872@example.com</t>
  </si>
  <si>
    <t>397-315-6417</t>
  </si>
  <si>
    <t>Jacob Chavez</t>
  </si>
  <si>
    <t>jacob.chavez264@example.com</t>
  </si>
  <si>
    <t>954-545-5833</t>
  </si>
  <si>
    <t>Frank Harris</t>
  </si>
  <si>
    <t>frank.harris180@example.com</t>
  </si>
  <si>
    <t>727-535-2421</t>
  </si>
  <si>
    <t>Christine Gonzalez</t>
  </si>
  <si>
    <t>christine.gonzalez190@example.com</t>
  </si>
  <si>
    <t>531-454-1111</t>
  </si>
  <si>
    <t>Deborah Walker</t>
  </si>
  <si>
    <t>deborah.walker458@example.com</t>
  </si>
  <si>
    <t>509-796-1187</t>
  </si>
  <si>
    <t>Katherine Campbell</t>
  </si>
  <si>
    <t>katherine.campbell710@example.com</t>
  </si>
  <si>
    <t>883-321-8625</t>
  </si>
  <si>
    <t>Daniel Phillips</t>
  </si>
  <si>
    <t>daniel.phillips703@example.com</t>
  </si>
  <si>
    <t>854-502-7021</t>
  </si>
  <si>
    <t>Donald Lewis</t>
  </si>
  <si>
    <t>donald.lewis981@example.com</t>
  </si>
  <si>
    <t>356-665-7121</t>
  </si>
  <si>
    <t>Rachel Peterson</t>
  </si>
  <si>
    <t>rachel.peterson935@example.com</t>
  </si>
  <si>
    <t>980-453-2341</t>
  </si>
  <si>
    <t>Sharon Ortiz</t>
  </si>
  <si>
    <t>sharon.ortiz721@example.com</t>
  </si>
  <si>
    <t>777-314-2011</t>
  </si>
  <si>
    <t>Larry Cook</t>
  </si>
  <si>
    <t>larry.cook208@example.com</t>
  </si>
  <si>
    <t>535-732-8239</t>
  </si>
  <si>
    <t>Debra Clark</t>
  </si>
  <si>
    <t>debra.clark735@example.com</t>
  </si>
  <si>
    <t>722-656-1911</t>
  </si>
  <si>
    <t>Thomas Rogers</t>
  </si>
  <si>
    <t>thomas.rogers426@example.com</t>
  </si>
  <si>
    <t>772-673-6049</t>
  </si>
  <si>
    <t>John Gomez</t>
  </si>
  <si>
    <t>john.gomez261@example.com</t>
  </si>
  <si>
    <t>792-274-1742</t>
  </si>
  <si>
    <t>George Hughes</t>
  </si>
  <si>
    <t>george.hughes66@example.com</t>
  </si>
  <si>
    <t>683-232-5703</t>
  </si>
  <si>
    <t>Lisa Moore</t>
  </si>
  <si>
    <t>lisa.moore785@example.com</t>
  </si>
  <si>
    <t>591-659-7184</t>
  </si>
  <si>
    <t>David Mendoza</t>
  </si>
  <si>
    <t>david.mendoza988@example.com</t>
  </si>
  <si>
    <t>321-382-9802</t>
  </si>
  <si>
    <t>Angela Taylor</t>
  </si>
  <si>
    <t>angela.taylor746@example.com</t>
  </si>
  <si>
    <t>974-223-5888</t>
  </si>
  <si>
    <t>Frank Cooper</t>
  </si>
  <si>
    <t>frank.cooper435@example.com</t>
  </si>
  <si>
    <t>453-671-6671</t>
  </si>
  <si>
    <t>Emily Harris</t>
  </si>
  <si>
    <t>emily.harris960@example.com</t>
  </si>
  <si>
    <t>876-629-1256</t>
  </si>
  <si>
    <t>Mark Rodriguez</t>
  </si>
  <si>
    <t>mark.rodriguez104@example.com</t>
  </si>
  <si>
    <t>812-888-1797</t>
  </si>
  <si>
    <t>Jennifer Phillips</t>
  </si>
  <si>
    <t>jennifer.phillips450@example.com</t>
  </si>
  <si>
    <t>972-994-1924</t>
  </si>
  <si>
    <t>Eric Nguyen</t>
  </si>
  <si>
    <t>eric.nguyen240@example.com</t>
  </si>
  <si>
    <t>442-509-3347</t>
  </si>
  <si>
    <t>Jonathan Lewis</t>
  </si>
  <si>
    <t>jonathan.lewis424@example.com</t>
  </si>
  <si>
    <t>262-770-3869</t>
  </si>
  <si>
    <t>Frank Diaz</t>
  </si>
  <si>
    <t>frank.diaz570@example.com</t>
  </si>
  <si>
    <t>552-858-7244</t>
  </si>
  <si>
    <t>Angela Green</t>
  </si>
  <si>
    <t>angela.green714@example.com</t>
  </si>
  <si>
    <t>352-507-7167</t>
  </si>
  <si>
    <t>Stephen Stewart</t>
  </si>
  <si>
    <t>stephen.stewart247@example.com</t>
  </si>
  <si>
    <t>924-347-8586</t>
  </si>
  <si>
    <t>Anna Evans</t>
  </si>
  <si>
    <t>anna.evans992@example.com</t>
  </si>
  <si>
    <t>337-597-4978</t>
  </si>
  <si>
    <t>Mark Nelson</t>
  </si>
  <si>
    <t>mark.nelson663@example.com</t>
  </si>
  <si>
    <t>579-294-9775</t>
  </si>
  <si>
    <t>Anthony Miller</t>
  </si>
  <si>
    <t>anthony.miller275@example.com</t>
  </si>
  <si>
    <t>274-392-4555</t>
  </si>
  <si>
    <t>mark.nelson311@example.com</t>
  </si>
  <si>
    <t>394-959-2922</t>
  </si>
  <si>
    <t>Kathleen Young</t>
  </si>
  <si>
    <t>kathleen.young713@example.com</t>
  </si>
  <si>
    <t>445-765-6269</t>
  </si>
  <si>
    <t>joshua.carter478@example.com</t>
  </si>
  <si>
    <t>467-568-9401</t>
  </si>
  <si>
    <t>Cynthia Gonzalez</t>
  </si>
  <si>
    <t>cynthia.gonzalez823@example.com</t>
  </si>
  <si>
    <t>408-579-6126</t>
  </si>
  <si>
    <t>Jennifer Reed</t>
  </si>
  <si>
    <t>jennifer.reed885@example.com</t>
  </si>
  <si>
    <t>216-467-7841</t>
  </si>
  <si>
    <t>Karen Sanchez</t>
  </si>
  <si>
    <t>karen.sanchez338@example.com</t>
  </si>
  <si>
    <t>783-451-9180</t>
  </si>
  <si>
    <t>Katherine Mendoza</t>
  </si>
  <si>
    <t>katherine.mendoza346@example.com</t>
  </si>
  <si>
    <t>940-857-9037</t>
  </si>
  <si>
    <t>Nancy Rivera</t>
  </si>
  <si>
    <t>nancy.rivera174@example.com</t>
  </si>
  <si>
    <t>388-755-1962</t>
  </si>
  <si>
    <t>Robert Martinez</t>
  </si>
  <si>
    <t>robert.martinez968@example.com</t>
  </si>
  <si>
    <t>Karen Johnson</t>
  </si>
  <si>
    <t>karen.johnson224@example.com</t>
  </si>
  <si>
    <t>261-832-8916</t>
  </si>
  <si>
    <t>Nicholas Williams</t>
  </si>
  <si>
    <t>nicholas.williams7@example.com</t>
  </si>
  <si>
    <t>217-742-5501</t>
  </si>
  <si>
    <t>Joshua Williams</t>
  </si>
  <si>
    <t>joshua.williams515@example.com</t>
  </si>
  <si>
    <t>309-298-9591</t>
  </si>
  <si>
    <t>Steven Harris</t>
  </si>
  <si>
    <t>steven.harris635@example.com</t>
  </si>
  <si>
    <t>473-606-2294</t>
  </si>
  <si>
    <t>Stephanie Collins</t>
  </si>
  <si>
    <t>stephanie.collins579@example.com</t>
  </si>
  <si>
    <t>507-900-2320</t>
  </si>
  <si>
    <t>Katherine Jones</t>
  </si>
  <si>
    <t>katherine.jones96@example.com</t>
  </si>
  <si>
    <t>586-765-8798</t>
  </si>
  <si>
    <t>Samantha Johnson</t>
  </si>
  <si>
    <t>samantha.johnson720@example.com</t>
  </si>
  <si>
    <t>711-644-6427</t>
  </si>
  <si>
    <t>Richard Ortiz</t>
  </si>
  <si>
    <t>richard.ortiz942@example.com</t>
  </si>
  <si>
    <t>416-908-8790</t>
  </si>
  <si>
    <t>Jennifer Martinez</t>
  </si>
  <si>
    <t>jennifer.martinez701@example.com</t>
  </si>
  <si>
    <t>383-522-1256</t>
  </si>
  <si>
    <t>Pamela Jackson</t>
  </si>
  <si>
    <t>pamela.jackson771@example.com</t>
  </si>
  <si>
    <t>Deborah Gray</t>
  </si>
  <si>
    <t>deborah.gray919@example.com</t>
  </si>
  <si>
    <t>973-957-3292</t>
  </si>
  <si>
    <t>Patrick Hernandez</t>
  </si>
  <si>
    <t>patrick.hernandez513@example.com</t>
  </si>
  <si>
    <t>300-647-4803</t>
  </si>
  <si>
    <t>Elizabeth Baker</t>
  </si>
  <si>
    <t>elizabeth.baker620@example.com</t>
  </si>
  <si>
    <t>230-849-5478</t>
  </si>
  <si>
    <t>Sharon Morales</t>
  </si>
  <si>
    <t>sharon.morales234@example.com</t>
  </si>
  <si>
    <t>642-390-7227</t>
  </si>
  <si>
    <t>Emma Nguyen</t>
  </si>
  <si>
    <t>emma.nguyen818@example.com</t>
  </si>
  <si>
    <t>284-474-3526</t>
  </si>
  <si>
    <t>Samantha Martin</t>
  </si>
  <si>
    <t>samantha.martin758@example.com</t>
  </si>
  <si>
    <t>569-309-2499</t>
  </si>
  <si>
    <t>Michelle Cruz</t>
  </si>
  <si>
    <t>michelle.cruz369@example.com</t>
  </si>
  <si>
    <t>335-289-4070</t>
  </si>
  <si>
    <t>Sharon Bailey</t>
  </si>
  <si>
    <t>sharon.bailey569@example.com</t>
  </si>
  <si>
    <t>226-291-6798</t>
  </si>
  <si>
    <t>Barbara Kim</t>
  </si>
  <si>
    <t>barbara.kim613@example.com</t>
  </si>
  <si>
    <t>212-498-7779</t>
  </si>
  <si>
    <t>David Bailey</t>
  </si>
  <si>
    <t>david.bailey927@example.com</t>
  </si>
  <si>
    <t>373-901-7237</t>
  </si>
  <si>
    <t>Sarah Wright</t>
  </si>
  <si>
    <t>sarah.wright309@example.com</t>
  </si>
  <si>
    <t>Emily Turner</t>
  </si>
  <si>
    <t>emily.turner307@example.com</t>
  </si>
  <si>
    <t>569-457-5040</t>
  </si>
  <si>
    <t>Samuel Murphy</t>
  </si>
  <si>
    <t>samuel.murphy609@example.com</t>
  </si>
  <si>
    <t>309-338-5991</t>
  </si>
  <si>
    <t>Timothy Nelson</t>
  </si>
  <si>
    <t>timothy.nelson862@example.com</t>
  </si>
  <si>
    <t>650-542-8055</t>
  </si>
  <si>
    <t>Katherine Kim</t>
  </si>
  <si>
    <t>katherine.kim140@example.com</t>
  </si>
  <si>
    <t>817-911-4290</t>
  </si>
  <si>
    <t>kevin.thompson988@example.com</t>
  </si>
  <si>
    <t>498-952-9044</t>
  </si>
  <si>
    <t>Ashley Adams</t>
  </si>
  <si>
    <t>ashley.adams386@example.com</t>
  </si>
  <si>
    <t>573-316-4273</t>
  </si>
  <si>
    <t>Helen White</t>
  </si>
  <si>
    <t>helen.white699@example.com</t>
  </si>
  <si>
    <t>925-414-8183</t>
  </si>
  <si>
    <t>Donna Ruiz</t>
  </si>
  <si>
    <t>donna.ruiz71@example.com</t>
  </si>
  <si>
    <t>342-848-5961</t>
  </si>
  <si>
    <t>Paul James</t>
  </si>
  <si>
    <t>paul.james158@example.com</t>
  </si>
  <si>
    <t>275-659-8851</t>
  </si>
  <si>
    <t>Stephanie Morgan</t>
  </si>
  <si>
    <t>stephanie.morgan519@example.com</t>
  </si>
  <si>
    <t>568-918-9796</t>
  </si>
  <si>
    <t>Samantha Hernandez</t>
  </si>
  <si>
    <t>samantha.hernandez112@example.com</t>
  </si>
  <si>
    <t>370-862-1725</t>
  </si>
  <si>
    <t>Gregory Gray</t>
  </si>
  <si>
    <t>gregory.gray663@example.com</t>
  </si>
  <si>
    <t>640-308-1172</t>
  </si>
  <si>
    <t>Kimberly Lewis</t>
  </si>
  <si>
    <t>kimberly.lewis523@example.com</t>
  </si>
  <si>
    <t>583-600-8586</t>
  </si>
  <si>
    <t>Frank Ramos</t>
  </si>
  <si>
    <t>frank.ramos708@example.com</t>
  </si>
  <si>
    <t>225-694-2712</t>
  </si>
  <si>
    <t>Rebecca Hernandez</t>
  </si>
  <si>
    <t>rebecca.hernandez119@example.com</t>
  </si>
  <si>
    <t>519-551-8460</t>
  </si>
  <si>
    <t>Mark Gutierrez</t>
  </si>
  <si>
    <t>mark.gutierrez495@example.com</t>
  </si>
  <si>
    <t>299-648-8412</t>
  </si>
  <si>
    <t>William Hill</t>
  </si>
  <si>
    <t>william.hill46@example.com</t>
  </si>
  <si>
    <t>551-863-2791</t>
  </si>
  <si>
    <t>Nancy Young</t>
  </si>
  <si>
    <t>nancy.young529@example.com</t>
  </si>
  <si>
    <t>538-773-7985</t>
  </si>
  <si>
    <t>Sandra Phillips</t>
  </si>
  <si>
    <t>sandra.phillips645@example.com</t>
  </si>
  <si>
    <t>855-873-8080</t>
  </si>
  <si>
    <t>Patricia Ward</t>
  </si>
  <si>
    <t>patricia.ward905@example.com</t>
  </si>
  <si>
    <t>806-639-7370</t>
  </si>
  <si>
    <t>Betty Clark</t>
  </si>
  <si>
    <t>betty.clark286@example.com</t>
  </si>
  <si>
    <t>749-391-6993</t>
  </si>
  <si>
    <t>Margaret Collins</t>
  </si>
  <si>
    <t>margaret.collins117@example.com</t>
  </si>
  <si>
    <t>Deborah Ward</t>
  </si>
  <si>
    <t>deborah.ward402@example.com</t>
  </si>
  <si>
    <t>560-668-3826</t>
  </si>
  <si>
    <t>Frank Hill</t>
  </si>
  <si>
    <t>frank.hill941@example.com</t>
  </si>
  <si>
    <t>520-320-4908</t>
  </si>
  <si>
    <t>Joseph White</t>
  </si>
  <si>
    <t>joseph.white383@example.com</t>
  </si>
  <si>
    <t>597-628-3258</t>
  </si>
  <si>
    <t>Deborah Diaz</t>
  </si>
  <si>
    <t>deborah.diaz191@example.com</t>
  </si>
  <si>
    <t>768-370-9022</t>
  </si>
  <si>
    <t>Sarah White</t>
  </si>
  <si>
    <t>sarah.white323@example.com</t>
  </si>
  <si>
    <t>567-209-8939</t>
  </si>
  <si>
    <t>Anthony Roberts</t>
  </si>
  <si>
    <t>anthony.roberts987@example.com</t>
  </si>
  <si>
    <t>901-703-7809</t>
  </si>
  <si>
    <t>Ryan Morales</t>
  </si>
  <si>
    <t>ryan.morales172@example.com</t>
  </si>
  <si>
    <t>979-425-5785</t>
  </si>
  <si>
    <t>Emily Lewis</t>
  </si>
  <si>
    <t>emily.lewis551@example.com</t>
  </si>
  <si>
    <t>999-668-9115</t>
  </si>
  <si>
    <t>Shirley Anderson</t>
  </si>
  <si>
    <t>shirley.anderson587@example.com</t>
  </si>
  <si>
    <t>993-756-7010</t>
  </si>
  <si>
    <t>Jennifer Cruz</t>
  </si>
  <si>
    <t>jennifer.cruz560@example.com</t>
  </si>
  <si>
    <t>304-953-5055</t>
  </si>
  <si>
    <t>Robert Edwards</t>
  </si>
  <si>
    <t>robert.edwards270@example.com</t>
  </si>
  <si>
    <t>649-320-4882</t>
  </si>
  <si>
    <t>Pamela Ruiz</t>
  </si>
  <si>
    <t>pamela.ruiz360@example.com</t>
  </si>
  <si>
    <t>830-342-4385</t>
  </si>
  <si>
    <t>Mark Davis</t>
  </si>
  <si>
    <t>mark.davis584@example.com</t>
  </si>
  <si>
    <t>487-811-9827</t>
  </si>
  <si>
    <t>Dorothy Nguyen</t>
  </si>
  <si>
    <t>dorothy.nguyen297@example.com</t>
  </si>
  <si>
    <t>895-297-3221</t>
  </si>
  <si>
    <t>Jason Davis</t>
  </si>
  <si>
    <t>jason.davis284@example.com</t>
  </si>
  <si>
    <t>455-349-6277</t>
  </si>
  <si>
    <t>Ashley Gray</t>
  </si>
  <si>
    <t>ashley.gray403@example.com</t>
  </si>
  <si>
    <t>791-847-5402</t>
  </si>
  <si>
    <t>Rebecca Carter</t>
  </si>
  <si>
    <t>rebecca.carter463@example.com</t>
  </si>
  <si>
    <t>612-727-5558</t>
  </si>
  <si>
    <t>Melissa Collins</t>
  </si>
  <si>
    <t>melissa.collins974@example.com</t>
  </si>
  <si>
    <t>795-202-2526</t>
  </si>
  <si>
    <t>Jacob Brooks</t>
  </si>
  <si>
    <t>jacob.brooks681@example.com</t>
  </si>
  <si>
    <t>747-607-4568</t>
  </si>
  <si>
    <t>Betty Murphy</t>
  </si>
  <si>
    <t>betty.murphy275@example.com</t>
  </si>
  <si>
    <t>545-760-3139</t>
  </si>
  <si>
    <t>Nicholas Baker</t>
  </si>
  <si>
    <t>nicholas.baker916@example.com</t>
  </si>
  <si>
    <t>Jessica Lee</t>
  </si>
  <si>
    <t>jessica.lee452@example.com</t>
  </si>
  <si>
    <t>638-407-3161</t>
  </si>
  <si>
    <t>kenneth.lee896@example.com</t>
  </si>
  <si>
    <t>870-569-5102</t>
  </si>
  <si>
    <t>Melissa Bennett</t>
  </si>
  <si>
    <t>melissa.bennett926@example.com</t>
  </si>
  <si>
    <t>605-840-6005</t>
  </si>
  <si>
    <t>Rachel Robinson</t>
  </si>
  <si>
    <t>rachel.robinson440@example.com</t>
  </si>
  <si>
    <t>Thomas Ramos</t>
  </si>
  <si>
    <t>thomas.ramos232@example.com</t>
  </si>
  <si>
    <t>208-912-6629</t>
  </si>
  <si>
    <t>Jessica Diaz</t>
  </si>
  <si>
    <t>jessica.diaz711@example.com</t>
  </si>
  <si>
    <t>272-434-7276</t>
  </si>
  <si>
    <t>Susan Wilson</t>
  </si>
  <si>
    <t>susan.wilson321@example.com</t>
  </si>
  <si>
    <t>340-591-3181</t>
  </si>
  <si>
    <t>Frank Jackson</t>
  </si>
  <si>
    <t>frank.jackson71@example.com</t>
  </si>
  <si>
    <t>650-559-4490</t>
  </si>
  <si>
    <t>karen.evans631@example.com</t>
  </si>
  <si>
    <t>288-302-3293</t>
  </si>
  <si>
    <t>Jessica Ramos</t>
  </si>
  <si>
    <t>jessica.ramos748@example.com</t>
  </si>
  <si>
    <t>639-522-3290</t>
  </si>
  <si>
    <t>Emily Chavez</t>
  </si>
  <si>
    <t>emily.chavez87@example.com</t>
  </si>
  <si>
    <t>997-907-1439</t>
  </si>
  <si>
    <t>Alexander Hill</t>
  </si>
  <si>
    <t>alexander.hill211@example.com</t>
  </si>
  <si>
    <t>502-861-1894</t>
  </si>
  <si>
    <t>Steven Murphy</t>
  </si>
  <si>
    <t>steven.murphy396@example.com</t>
  </si>
  <si>
    <t>711-853-2163</t>
  </si>
  <si>
    <t>Mary Campbell</t>
  </si>
  <si>
    <t>mary.campbell957@example.com</t>
  </si>
  <si>
    <t>596-782-7895</t>
  </si>
  <si>
    <t>Helen Mendoza</t>
  </si>
  <si>
    <t>helen.mendoza177@example.com</t>
  </si>
  <si>
    <t>Kimberly Ramirez</t>
  </si>
  <si>
    <t>kimberly.ramirez41@example.com</t>
  </si>
  <si>
    <t>718-493-9209</t>
  </si>
  <si>
    <t>Rebecca Diaz</t>
  </si>
  <si>
    <t>rebecca.diaz719@example.com</t>
  </si>
  <si>
    <t>855-749-9808</t>
  </si>
  <si>
    <t>Karen Scott</t>
  </si>
  <si>
    <t>karen.scott86@example.com</t>
  </si>
  <si>
    <t>723-408-3545</t>
  </si>
  <si>
    <t>Dorothy Gomez</t>
  </si>
  <si>
    <t>dorothy.gomez601@example.com</t>
  </si>
  <si>
    <t>915-647-4909</t>
  </si>
  <si>
    <t>ashley.lopez947@example.com</t>
  </si>
  <si>
    <t>664-826-1901</t>
  </si>
  <si>
    <t>Christine James</t>
  </si>
  <si>
    <t>christine.james759@example.com</t>
  </si>
  <si>
    <t>Mary Lee</t>
  </si>
  <si>
    <t>mary.lee509@example.com</t>
  </si>
  <si>
    <t>729-938-5247</t>
  </si>
  <si>
    <t>Melissa Taylor</t>
  </si>
  <si>
    <t>melissa.taylor768@example.com</t>
  </si>
  <si>
    <t>989-230-6488</t>
  </si>
  <si>
    <t>Jeffrey Wright</t>
  </si>
  <si>
    <t>jeffrey.wright537@example.com</t>
  </si>
  <si>
    <t>929-790-2262</t>
  </si>
  <si>
    <t>Jacob Rogers</t>
  </si>
  <si>
    <t>jacob.rogers369@example.com</t>
  </si>
  <si>
    <t>780-370-7024</t>
  </si>
  <si>
    <t>Paul Wilson</t>
  </si>
  <si>
    <t>paul.wilson916@example.com</t>
  </si>
  <si>
    <t>958-721-1042</t>
  </si>
  <si>
    <t>Mary Young</t>
  </si>
  <si>
    <t>mary.young48@example.com</t>
  </si>
  <si>
    <t>592-353-3932</t>
  </si>
  <si>
    <t>Robert Peterson</t>
  </si>
  <si>
    <t>robert.peterson823@example.com</t>
  </si>
  <si>
    <t>529-454-7819</t>
  </si>
  <si>
    <t>Kevin Wright</t>
  </si>
  <si>
    <t>kevin.wright846@example.com</t>
  </si>
  <si>
    <t>322-714-1862</t>
  </si>
  <si>
    <t>Donald Gutierrez</t>
  </si>
  <si>
    <t>donald.gutierrez48@example.com</t>
  </si>
  <si>
    <t>676-489-6090</t>
  </si>
  <si>
    <t>Barbara Peterson</t>
  </si>
  <si>
    <t>barbara.peterson468@example.com</t>
  </si>
  <si>
    <t>405-498-5979</t>
  </si>
  <si>
    <t>Emma Young</t>
  </si>
  <si>
    <t>emma.young476@example.com</t>
  </si>
  <si>
    <t>991-994-4201</t>
  </si>
  <si>
    <t>Helen Young</t>
  </si>
  <si>
    <t>helen.young155@example.com</t>
  </si>
  <si>
    <t>224-438-9872</t>
  </si>
  <si>
    <t>Samantha Ruiz</t>
  </si>
  <si>
    <t>samantha.ruiz899@example.com</t>
  </si>
  <si>
    <t>201-977-7164</t>
  </si>
  <si>
    <t>Michelle Wilson</t>
  </si>
  <si>
    <t>michelle.wilson211@example.com</t>
  </si>
  <si>
    <t>703-261-3332</t>
  </si>
  <si>
    <t>Emily Lopez</t>
  </si>
  <si>
    <t>emily.lopez45@example.com</t>
  </si>
  <si>
    <t>622-917-7102</t>
  </si>
  <si>
    <t>David Howard</t>
  </si>
  <si>
    <t>david.howard98@example.com</t>
  </si>
  <si>
    <t>276-806-2020</t>
  </si>
  <si>
    <t>Alexander Taylor</t>
  </si>
  <si>
    <t>alexander.taylor243@example.com</t>
  </si>
  <si>
    <t>522-602-6345</t>
  </si>
  <si>
    <t>Sharon Wright</t>
  </si>
  <si>
    <t>sharon.wright240@example.com</t>
  </si>
  <si>
    <t>339-998-2785</t>
  </si>
  <si>
    <t>Susan Perez</t>
  </si>
  <si>
    <t>susan.perez461@example.com</t>
  </si>
  <si>
    <t>616-323-9780</t>
  </si>
  <si>
    <t>Mark Edwards</t>
  </si>
  <si>
    <t>mark.edwards316@example.com</t>
  </si>
  <si>
    <t>322-292-3582</t>
  </si>
  <si>
    <t>Debra Hill</t>
  </si>
  <si>
    <t>debra.hill847@example.com</t>
  </si>
  <si>
    <t>535-351-2494</t>
  </si>
  <si>
    <t>Ashley Rivera</t>
  </si>
  <si>
    <t>ashley.rivera406@example.com</t>
  </si>
  <si>
    <t>466-378-1509</t>
  </si>
  <si>
    <t>sharon.bailey767@example.com</t>
  </si>
  <si>
    <t>673-304-3290</t>
  </si>
  <si>
    <t>Mary Davis</t>
  </si>
  <si>
    <t>mary.davis851@example.com</t>
  </si>
  <si>
    <t>402-610-7098</t>
  </si>
  <si>
    <t>Samuel Chavez</t>
  </si>
  <si>
    <t>samuel.chavez87@example.com</t>
  </si>
  <si>
    <t>222-266-4239</t>
  </si>
  <si>
    <t>Ryan Taylor</t>
  </si>
  <si>
    <t>ryan.taylor95@example.com</t>
  </si>
  <si>
    <t>243-672-1829</t>
  </si>
  <si>
    <t>Brenda Parker</t>
  </si>
  <si>
    <t>brenda.parker842@example.com</t>
  </si>
  <si>
    <t>230-591-7990</t>
  </si>
  <si>
    <t>Amanda Ramirez</t>
  </si>
  <si>
    <t>amanda.ramirez931@example.com</t>
  </si>
  <si>
    <t>486-656-3435</t>
  </si>
  <si>
    <t>Benjamin Richardson</t>
  </si>
  <si>
    <t>benjamin.richardson632@example.com</t>
  </si>
  <si>
    <t>710-621-8848</t>
  </si>
  <si>
    <t>Barbara Scott</t>
  </si>
  <si>
    <t>barbara.scott393@example.com</t>
  </si>
  <si>
    <t>404-858-9614</t>
  </si>
  <si>
    <t>Samuel Cooper</t>
  </si>
  <si>
    <t>samuel.cooper814@example.com</t>
  </si>
  <si>
    <t>930-567-8859</t>
  </si>
  <si>
    <t>Nicholas Hall</t>
  </si>
  <si>
    <t>nicholas.hall935@example.com</t>
  </si>
  <si>
    <t>476-384-1427</t>
  </si>
  <si>
    <t>Brandon Lewis</t>
  </si>
  <si>
    <t>brandon.lewis31@example.com</t>
  </si>
  <si>
    <t>683-742-6856</t>
  </si>
  <si>
    <t>Scott Robinson</t>
  </si>
  <si>
    <t>scott.robinson998@example.com</t>
  </si>
  <si>
    <t>453-872-4951</t>
  </si>
  <si>
    <t>Stephen Davis</t>
  </si>
  <si>
    <t>stephen.davis783@example.com</t>
  </si>
  <si>
    <t>563-377-3885</t>
  </si>
  <si>
    <t>Pamela Green</t>
  </si>
  <si>
    <t>pamela.green826@example.com</t>
  </si>
  <si>
    <t>920-917-6761</t>
  </si>
  <si>
    <t>Justin Jackson</t>
  </si>
  <si>
    <t>justin.jackson577@example.com</t>
  </si>
  <si>
    <t>755-516-3876</t>
  </si>
  <si>
    <t>Robert Lopez</t>
  </si>
  <si>
    <t>robert.lopez58@example.com</t>
  </si>
  <si>
    <t>220-739-8831</t>
  </si>
  <si>
    <t>Brian Ward</t>
  </si>
  <si>
    <t>brian.ward207@example.com</t>
  </si>
  <si>
    <t>John Jackson</t>
  </si>
  <si>
    <t>john.jackson601@example.com</t>
  </si>
  <si>
    <t>738-573-2188</t>
  </si>
  <si>
    <t>Alexander Gomez</t>
  </si>
  <si>
    <t>alexander.gomez601@example.com</t>
  </si>
  <si>
    <t>509-530-3235</t>
  </si>
  <si>
    <t>Laura Brooks</t>
  </si>
  <si>
    <t>laura.brooks984@example.com</t>
  </si>
  <si>
    <t>378-924-6846</t>
  </si>
  <si>
    <t>Christine Ramos</t>
  </si>
  <si>
    <t>christine.ramos835@example.com</t>
  </si>
  <si>
    <t>514-951-5825</t>
  </si>
  <si>
    <t>Matthew Smith</t>
  </si>
  <si>
    <t>matthew.smith972@example.com</t>
  </si>
  <si>
    <t>386-816-6213</t>
  </si>
  <si>
    <t>Benjamin Lewis</t>
  </si>
  <si>
    <t>benjamin.lewis655@example.com</t>
  </si>
  <si>
    <t>344-539-2274</t>
  </si>
  <si>
    <t>George Green</t>
  </si>
  <si>
    <t>george.green172@example.com</t>
  </si>
  <si>
    <t>657-211-5345</t>
  </si>
  <si>
    <t>Ashley Ruiz</t>
  </si>
  <si>
    <t>ashley.ruiz70@example.com</t>
  </si>
  <si>
    <t>310-937-1020</t>
  </si>
  <si>
    <t>Deborah Cruz</t>
  </si>
  <si>
    <t>deborah.cruz751@example.com</t>
  </si>
  <si>
    <t>623-704-7204</t>
  </si>
  <si>
    <t>Helen Carter</t>
  </si>
  <si>
    <t>helen.carter104@example.com</t>
  </si>
  <si>
    <t>366-662-2207</t>
  </si>
  <si>
    <t>Robert Nguyen</t>
  </si>
  <si>
    <t>robert.nguyen21@example.com</t>
  </si>
  <si>
    <t>307-275-6600</t>
  </si>
  <si>
    <t>Ronald Lee</t>
  </si>
  <si>
    <t>ronald.lee750@example.com</t>
  </si>
  <si>
    <t>546-808-8909</t>
  </si>
  <si>
    <t>Patricia Parker</t>
  </si>
  <si>
    <t>patricia.parker966@example.com</t>
  </si>
  <si>
    <t>360-254-2659</t>
  </si>
  <si>
    <t>Mark Harris</t>
  </si>
  <si>
    <t>mark.harris420@example.com</t>
  </si>
  <si>
    <t>504-443-2571</t>
  </si>
  <si>
    <t>Timothy Kelly</t>
  </si>
  <si>
    <t>timothy.kelly563@example.com</t>
  </si>
  <si>
    <t>255-569-1062</t>
  </si>
  <si>
    <t>Barbara Nguyen</t>
  </si>
  <si>
    <t>barbara.nguyen844@example.com</t>
  </si>
  <si>
    <t>299-226-4390</t>
  </si>
  <si>
    <t>Samantha Nguyen</t>
  </si>
  <si>
    <t>samantha.nguyen84@example.com</t>
  </si>
  <si>
    <t>515-607-8715</t>
  </si>
  <si>
    <t>Alexander King</t>
  </si>
  <si>
    <t>alexander.king94@example.com</t>
  </si>
  <si>
    <t>579-590-7052</t>
  </si>
  <si>
    <t>sharon.garcia270@example.com</t>
  </si>
  <si>
    <t>469-431-5400</t>
  </si>
  <si>
    <t>Linda Martin</t>
  </si>
  <si>
    <t>linda.martin771@example.com</t>
  </si>
  <si>
    <t>884-552-9871</t>
  </si>
  <si>
    <t>Pamela Robinson</t>
  </si>
  <si>
    <t>pamela.robinson567@example.com</t>
  </si>
  <si>
    <t>735-628-9773</t>
  </si>
  <si>
    <t>Gary Kelly</t>
  </si>
  <si>
    <t>gary.kelly903@example.com</t>
  </si>
  <si>
    <t>506-280-7468</t>
  </si>
  <si>
    <t>Robert Cook</t>
  </si>
  <si>
    <t>robert.cook585@example.com</t>
  </si>
  <si>
    <t>975-659-3832</t>
  </si>
  <si>
    <t>Betty Harris</t>
  </si>
  <si>
    <t>betty.harris130@example.com</t>
  </si>
  <si>
    <t>280-899-8133</t>
  </si>
  <si>
    <t>Samuel Jackson</t>
  </si>
  <si>
    <t>samuel.jackson855@example.com</t>
  </si>
  <si>
    <t>944-268-2425</t>
  </si>
  <si>
    <t>Anna Gomez</t>
  </si>
  <si>
    <t>anna.gomez566@example.com</t>
  </si>
  <si>
    <t>732-669-1202</t>
  </si>
  <si>
    <t>Rachel Richardson</t>
  </si>
  <si>
    <t>rachel.richardson602@example.com</t>
  </si>
  <si>
    <t>624-353-3428</t>
  </si>
  <si>
    <t>pamela.howard777@example.com</t>
  </si>
  <si>
    <t>776-998-2654</t>
  </si>
  <si>
    <t>Joshua Morgan</t>
  </si>
  <si>
    <t>joshua.morgan902@example.com</t>
  </si>
  <si>
    <t>470-592-8955</t>
  </si>
  <si>
    <t>nicole.stewart39@example.com</t>
  </si>
  <si>
    <t>612-347-7581</t>
  </si>
  <si>
    <t>timothy.nelson708@example.com</t>
  </si>
  <si>
    <t>963-686-5400</t>
  </si>
  <si>
    <t>John Baker</t>
  </si>
  <si>
    <t>john.baker838@example.com</t>
  </si>
  <si>
    <t>487-703-2609</t>
  </si>
  <si>
    <t>Sarah Hill</t>
  </si>
  <si>
    <t>sarah.hill998@example.com</t>
  </si>
  <si>
    <t>475-946-7828</t>
  </si>
  <si>
    <t>Gregory Lopez</t>
  </si>
  <si>
    <t>gregory.lopez193@example.com</t>
  </si>
  <si>
    <t>616-958-8937</t>
  </si>
  <si>
    <t>Jonathan Mitchell</t>
  </si>
  <si>
    <t>jonathan.mitchell841@example.com</t>
  </si>
  <si>
    <t>362-267-6097</t>
  </si>
  <si>
    <t>Eric Phillips</t>
  </si>
  <si>
    <t>eric.phillips139@example.com</t>
  </si>
  <si>
    <t>397-405-1944</t>
  </si>
  <si>
    <t>Robert Collins</t>
  </si>
  <si>
    <t>robert.collins52@example.com</t>
  </si>
  <si>
    <t>480-577-8605</t>
  </si>
  <si>
    <t>Timothy Brooks</t>
  </si>
  <si>
    <t>timothy.brooks946@example.com</t>
  </si>
  <si>
    <t>447-581-9008</t>
  </si>
  <si>
    <t>Sharon Thompson</t>
  </si>
  <si>
    <t>sharon.thompson984@example.com</t>
  </si>
  <si>
    <t>552-367-5237</t>
  </si>
  <si>
    <t>Patrick Lopez</t>
  </si>
  <si>
    <t>patrick.lopez292@example.com</t>
  </si>
  <si>
    <t>250-366-4511</t>
  </si>
  <si>
    <t>Donald Chavez</t>
  </si>
  <si>
    <t>donald.chavez231@example.com</t>
  </si>
  <si>
    <t>867-619-9409</t>
  </si>
  <si>
    <t>Debra Johnson</t>
  </si>
  <si>
    <t>debra.johnson486@example.com</t>
  </si>
  <si>
    <t>815-208-4666</t>
  </si>
  <si>
    <t>Nicole Flores</t>
  </si>
  <si>
    <t>nicole.flores730@example.com</t>
  </si>
  <si>
    <t>585-557-8520</t>
  </si>
  <si>
    <t>Betty Reyes</t>
  </si>
  <si>
    <t>betty.reyes310@example.com</t>
  </si>
  <si>
    <t>Gregory Kim</t>
  </si>
  <si>
    <t>gregory.kim624@example.com</t>
  </si>
  <si>
    <t>900-310-8892</t>
  </si>
  <si>
    <t>Carol Scott</t>
  </si>
  <si>
    <t>carol.scott656@example.com</t>
  </si>
  <si>
    <t>467-871-5895</t>
  </si>
  <si>
    <t>Karen Gutierrez</t>
  </si>
  <si>
    <t>karen.gutierrez784@example.com</t>
  </si>
  <si>
    <t>814-613-6236</t>
  </si>
  <si>
    <t>Sarah Brown</t>
  </si>
  <si>
    <t>sarah.brown672@example.com</t>
  </si>
  <si>
    <t>465-628-7628</t>
  </si>
  <si>
    <t>Robert Howard</t>
  </si>
  <si>
    <t>robert.howard726@example.com</t>
  </si>
  <si>
    <t>943-930-4643</t>
  </si>
  <si>
    <t>Stephen Brooks</t>
  </si>
  <si>
    <t>stephen.brooks804@example.com</t>
  </si>
  <si>
    <t>719-507-3785</t>
  </si>
  <si>
    <t>Alexander Bailey</t>
  </si>
  <si>
    <t>alexander.bailey186@example.com</t>
  </si>
  <si>
    <t>682-331-5237</t>
  </si>
  <si>
    <t>Anna White</t>
  </si>
  <si>
    <t>anna.white970@example.com</t>
  </si>
  <si>
    <t>Michelle Turner</t>
  </si>
  <si>
    <t>michelle.turner808@example.com</t>
  </si>
  <si>
    <t>466-799-5817</t>
  </si>
  <si>
    <t>Jessica Stewart</t>
  </si>
  <si>
    <t>jessica.stewart55@example.com</t>
  </si>
  <si>
    <t>Ronald Ortiz</t>
  </si>
  <si>
    <t>ronald.ortiz306@example.com</t>
  </si>
  <si>
    <t>354-340-4281</t>
  </si>
  <si>
    <t>Jason Reed</t>
  </si>
  <si>
    <t>jason.reed915@example.com</t>
  </si>
  <si>
    <t>523-932-3954</t>
  </si>
  <si>
    <t>David Morales</t>
  </si>
  <si>
    <t>david.morales341@example.com</t>
  </si>
  <si>
    <t>849-259-1077</t>
  </si>
  <si>
    <t>Emily Clark</t>
  </si>
  <si>
    <t>emily.clark780@example.com</t>
  </si>
  <si>
    <t>701-981-2442</t>
  </si>
  <si>
    <t>Benjamin Parker</t>
  </si>
  <si>
    <t>benjamin.parker649@example.com</t>
  </si>
  <si>
    <t>639-688-7280</t>
  </si>
  <si>
    <t>Robert Morgan</t>
  </si>
  <si>
    <t>robert.morgan205@example.com</t>
  </si>
  <si>
    <t>529-975-9700</t>
  </si>
  <si>
    <t>John Gray</t>
  </si>
  <si>
    <t>john.gray5@example.com</t>
  </si>
  <si>
    <t>910-552-6113</t>
  </si>
  <si>
    <t>Susan Roberts</t>
  </si>
  <si>
    <t>susan.roberts516@example.com</t>
  </si>
  <si>
    <t>266-246-5885</t>
  </si>
  <si>
    <t>Jacob Gutierrez</t>
  </si>
  <si>
    <t>jacob.gutierrez611@example.com</t>
  </si>
  <si>
    <t>903-337-6615</t>
  </si>
  <si>
    <t>Amanda Harris</t>
  </si>
  <si>
    <t>amanda.harris169@example.com</t>
  </si>
  <si>
    <t>433-429-3149</t>
  </si>
  <si>
    <t>john.ramos517@example.com</t>
  </si>
  <si>
    <t>575-928-1612</t>
  </si>
  <si>
    <t>Samantha Allen</t>
  </si>
  <si>
    <t>samantha.allen790@example.com</t>
  </si>
  <si>
    <t>877-310-1323</t>
  </si>
  <si>
    <t>Patrick Anderson</t>
  </si>
  <si>
    <t>patrick.anderson427@example.com</t>
  </si>
  <si>
    <t>Rachel Martin</t>
  </si>
  <si>
    <t>rachel.martin211@example.com</t>
  </si>
  <si>
    <t>630-877-2654</t>
  </si>
  <si>
    <t>Jonathan Wright</t>
  </si>
  <si>
    <t>jonathan.wright638@example.com</t>
  </si>
  <si>
    <t>307-723-2928</t>
  </si>
  <si>
    <t>joseph.wilson510@example.com</t>
  </si>
  <si>
    <t>Amanda Evans</t>
  </si>
  <si>
    <t>amanda.evans303@example.com</t>
  </si>
  <si>
    <t>761-708-4402</t>
  </si>
  <si>
    <t>Kathleen Nelson</t>
  </si>
  <si>
    <t>kathleen.nelson241@example.com</t>
  </si>
  <si>
    <t>887-291-2809</t>
  </si>
  <si>
    <t>Brenda Bennett</t>
  </si>
  <si>
    <t>brenda.bennett506@example.com</t>
  </si>
  <si>
    <t>998-723-2229</t>
  </si>
  <si>
    <t>Richard Allen</t>
  </si>
  <si>
    <t>richard.allen660@example.com</t>
  </si>
  <si>
    <t>503-470-8606</t>
  </si>
  <si>
    <t>Richard Thompson</t>
  </si>
  <si>
    <t>richard.thompson896@example.com</t>
  </si>
  <si>
    <t>Joseph Gonzalez</t>
  </si>
  <si>
    <t>joseph.gonzalez872@example.com</t>
  </si>
  <si>
    <t>341-879-3793</t>
  </si>
  <si>
    <t>Amanda Cruz</t>
  </si>
  <si>
    <t>amanda.cruz979@example.com</t>
  </si>
  <si>
    <t>581-550-3996</t>
  </si>
  <si>
    <t>Stephanie Phillips</t>
  </si>
  <si>
    <t>stephanie.phillips986@example.com</t>
  </si>
  <si>
    <t>Rebecca Wood</t>
  </si>
  <si>
    <t>rebecca.wood908@example.com</t>
  </si>
  <si>
    <t>335-912-1960</t>
  </si>
  <si>
    <t>Daniel Wilson</t>
  </si>
  <si>
    <t>daniel.wilson427@example.com</t>
  </si>
  <si>
    <t>385-825-7221</t>
  </si>
  <si>
    <t>Amanda Ward</t>
  </si>
  <si>
    <t>amanda.ward30@example.com</t>
  </si>
  <si>
    <t>699-315-7738</t>
  </si>
  <si>
    <t>Jennifer Rodriguez</t>
  </si>
  <si>
    <t>jennifer.rodriguez268@example.com</t>
  </si>
  <si>
    <t>921-894-9598</t>
  </si>
  <si>
    <t>Brenda Reed</t>
  </si>
  <si>
    <t>brenda.reed230@example.com</t>
  </si>
  <si>
    <t>735-904-2560</t>
  </si>
  <si>
    <t>Alexander Young</t>
  </si>
  <si>
    <t>alexander.young494@example.com</t>
  </si>
  <si>
    <t>352-771-1894</t>
  </si>
  <si>
    <t>Gregory Lee</t>
  </si>
  <si>
    <t>gregory.lee518@example.com</t>
  </si>
  <si>
    <t>369-276-9055</t>
  </si>
  <si>
    <t>Steven Nelson</t>
  </si>
  <si>
    <t>steven.nelson994@example.com</t>
  </si>
  <si>
    <t>Steven Hernandez</t>
  </si>
  <si>
    <t>steven.hernandez471@example.com</t>
  </si>
  <si>
    <t>290-710-8324</t>
  </si>
  <si>
    <t>Jessica Murphy</t>
  </si>
  <si>
    <t>jessica.murphy764@example.com</t>
  </si>
  <si>
    <t>613-622-1587</t>
  </si>
  <si>
    <t>Larry Smith</t>
  </si>
  <si>
    <t>larry.smith846@example.com</t>
  </si>
  <si>
    <t>720-775-4389</t>
  </si>
  <si>
    <t>Christine Collins</t>
  </si>
  <si>
    <t>christine.collins974@example.com</t>
  </si>
  <si>
    <t>255-428-8445</t>
  </si>
  <si>
    <t>Anna Richardson</t>
  </si>
  <si>
    <t>anna.richardson615@example.com</t>
  </si>
  <si>
    <t>933-663-2868</t>
  </si>
  <si>
    <t>Alexander Lewis</t>
  </si>
  <si>
    <t>alexander.lewis3@example.com</t>
  </si>
  <si>
    <t>848-498-9973</t>
  </si>
  <si>
    <t>Melissa Hughes</t>
  </si>
  <si>
    <t>melissa.hughes109@example.com</t>
  </si>
  <si>
    <t>Paul Ward</t>
  </si>
  <si>
    <t>paul.ward201@example.com</t>
  </si>
  <si>
    <t>602-420-8488</t>
  </si>
  <si>
    <t>Anthony Baker</t>
  </si>
  <si>
    <t>anthony.baker111@example.com</t>
  </si>
  <si>
    <t>848-888-3018</t>
  </si>
  <si>
    <t>Sharon Collins</t>
  </si>
  <si>
    <t>sharon.collins675@example.com</t>
  </si>
  <si>
    <t>Laura Howard</t>
  </si>
  <si>
    <t>laura.howard495@example.com</t>
  </si>
  <si>
    <t>948-331-2696</t>
  </si>
  <si>
    <t>Alexander Kim</t>
  </si>
  <si>
    <t>alexander.kim621@example.com</t>
  </si>
  <si>
    <t>593-628-5067</t>
  </si>
  <si>
    <t>Timothy Baker</t>
  </si>
  <si>
    <t>timothy.baker994@example.com</t>
  </si>
  <si>
    <t>336-341-7762</t>
  </si>
  <si>
    <t>Rachel Rogers</t>
  </si>
  <si>
    <t>rachel.rogers307@example.com</t>
  </si>
  <si>
    <t>405-414-5760</t>
  </si>
  <si>
    <t>George Gray</t>
  </si>
  <si>
    <t>george.gray136@example.com</t>
  </si>
  <si>
    <t>755-910-6281</t>
  </si>
  <si>
    <t>Joseph Rivera</t>
  </si>
  <si>
    <t>joseph.rivera576@example.com</t>
  </si>
  <si>
    <t>Jeffrey Johnson</t>
  </si>
  <si>
    <t>jeffrey.johnson536@example.com</t>
  </si>
  <si>
    <t>590-348-1869</t>
  </si>
  <si>
    <t>Linda Sanchez</t>
  </si>
  <si>
    <t>linda.sanchez274@example.com</t>
  </si>
  <si>
    <t>899-456-3399</t>
  </si>
  <si>
    <t>Linda Ruiz</t>
  </si>
  <si>
    <t>linda.ruiz804@example.com</t>
  </si>
  <si>
    <t>971-754-1529</t>
  </si>
  <si>
    <t>Sharon Wilson</t>
  </si>
  <si>
    <t>sharon.wilson631@example.com</t>
  </si>
  <si>
    <t>443-723-5712</t>
  </si>
  <si>
    <t>Christine Miller</t>
  </si>
  <si>
    <t>christine.miller949@example.com</t>
  </si>
  <si>
    <t>626-901-6122</t>
  </si>
  <si>
    <t>Michael Johnson</t>
  </si>
  <si>
    <t>michael.johnson762@example.com</t>
  </si>
  <si>
    <t>835-999-8259</t>
  </si>
  <si>
    <t>Donald Brooks</t>
  </si>
  <si>
    <t>donald.brooks722@example.com</t>
  </si>
  <si>
    <t>994-942-4170</t>
  </si>
  <si>
    <t>sharon.thompson700@example.com</t>
  </si>
  <si>
    <t>377-952-9418</t>
  </si>
  <si>
    <t>Ronald Garcia</t>
  </si>
  <si>
    <t>ronald.garcia439@example.com</t>
  </si>
  <si>
    <t>333-364-5178</t>
  </si>
  <si>
    <t>Brian Reyes</t>
  </si>
  <si>
    <t>brian.reyes727@example.com</t>
  </si>
  <si>
    <t>357-530-1833</t>
  </si>
  <si>
    <t>Samuel Ward</t>
  </si>
  <si>
    <t>samuel.ward864@example.com</t>
  </si>
  <si>
    <t>786-763-6866</t>
  </si>
  <si>
    <t>Kevin Ortiz</t>
  </si>
  <si>
    <t>kevin.ortiz226@example.com</t>
  </si>
  <si>
    <t>269-717-3611</t>
  </si>
  <si>
    <t>Helen Morgan</t>
  </si>
  <si>
    <t>helen.morgan414@example.com</t>
  </si>
  <si>
    <t>426-418-6437</t>
  </si>
  <si>
    <t>Edward Nguyen</t>
  </si>
  <si>
    <t>edward.nguyen224@example.com</t>
  </si>
  <si>
    <t>317-884-6668</t>
  </si>
  <si>
    <t>Steven Chavez</t>
  </si>
  <si>
    <t>steven.chavez629@example.com</t>
  </si>
  <si>
    <t>898-528-7248</t>
  </si>
  <si>
    <t>Joseph Roberts</t>
  </si>
  <si>
    <t>joseph.roberts263@example.com</t>
  </si>
  <si>
    <t>729-988-7143</t>
  </si>
  <si>
    <t>Shirley Edwards</t>
  </si>
  <si>
    <t>shirley.edwards499@example.com</t>
  </si>
  <si>
    <t>867-397-6248</t>
  </si>
  <si>
    <t>David Gonzalez</t>
  </si>
  <si>
    <t>david.gonzalez172@example.com</t>
  </si>
  <si>
    <t>415-886-4492</t>
  </si>
  <si>
    <t>Jeffrey Wilson</t>
  </si>
  <si>
    <t>jeffrey.wilson211@example.com</t>
  </si>
  <si>
    <t>964-902-3519</t>
  </si>
  <si>
    <t>Jacob Nelson</t>
  </si>
  <si>
    <t>jacob.nelson39@example.com</t>
  </si>
  <si>
    <t>255-382-5127</t>
  </si>
  <si>
    <t>Elizabeth Kelly</t>
  </si>
  <si>
    <t>elizabeth.kelly842@example.com</t>
  </si>
  <si>
    <t>617-597-8391</t>
  </si>
  <si>
    <t>Stephanie Parker</t>
  </si>
  <si>
    <t>stephanie.parker324@example.com</t>
  </si>
  <si>
    <t>889-321-9762</t>
  </si>
  <si>
    <t>Gregory Richardson</t>
  </si>
  <si>
    <t>gregory.richardson65@example.com</t>
  </si>
  <si>
    <t>566-714-2738</t>
  </si>
  <si>
    <t>debra.hill622@example.com</t>
  </si>
  <si>
    <t>983-648-7249</t>
  </si>
  <si>
    <t>alexander.brown486@example.com</t>
  </si>
  <si>
    <t>425-339-7406</t>
  </si>
  <si>
    <t>Helen Nguyen</t>
  </si>
  <si>
    <t>helen.nguyen984@example.com</t>
  </si>
  <si>
    <t>893-946-7113</t>
  </si>
  <si>
    <t>Larry Bailey</t>
  </si>
  <si>
    <t>larry.bailey145@example.com</t>
  </si>
  <si>
    <t>205-786-7456</t>
  </si>
  <si>
    <t>Larry Hernandez</t>
  </si>
  <si>
    <t>larry.hernandez313@example.com</t>
  </si>
  <si>
    <t>416-622-9397</t>
  </si>
  <si>
    <t>Daniel White</t>
  </si>
  <si>
    <t>daniel.white227@example.com</t>
  </si>
  <si>
    <t>317-385-1891</t>
  </si>
  <si>
    <t>Larry Reyes</t>
  </si>
  <si>
    <t>larry.reyes661@example.com</t>
  </si>
  <si>
    <t>887-268-5107</t>
  </si>
  <si>
    <t>Margaret Howard</t>
  </si>
  <si>
    <t>margaret.howard499@example.com</t>
  </si>
  <si>
    <t>331-887-4842</t>
  </si>
  <si>
    <t>Joshua Richardson</t>
  </si>
  <si>
    <t>joshua.richardson72@example.com</t>
  </si>
  <si>
    <t>697-661-6379</t>
  </si>
  <si>
    <t>Alexander Flores</t>
  </si>
  <si>
    <t>alexander.flores711@example.com</t>
  </si>
  <si>
    <t>523-638-3762</t>
  </si>
  <si>
    <t>Kevin Young</t>
  </si>
  <si>
    <t>kevin.young805@example.com</t>
  </si>
  <si>
    <t>483-568-3200</t>
  </si>
  <si>
    <t>Brian Morris</t>
  </si>
  <si>
    <t>brian.morris474@example.com</t>
  </si>
  <si>
    <t>993-512-8978</t>
  </si>
  <si>
    <t>Susan Thompson</t>
  </si>
  <si>
    <t>susan.thompson662@example.com</t>
  </si>
  <si>
    <t>343-751-4218</t>
  </si>
  <si>
    <t>Samuel Martinez</t>
  </si>
  <si>
    <t>samuel.martinez745@example.com</t>
  </si>
  <si>
    <t>719-846-1511</t>
  </si>
  <si>
    <t>Scott Howard</t>
  </si>
  <si>
    <t>scott.howard415@example.com</t>
  </si>
  <si>
    <t>764-466-9904</t>
  </si>
  <si>
    <t>Gary Wood</t>
  </si>
  <si>
    <t>gary.wood794@example.com</t>
  </si>
  <si>
    <t>601-428-5767</t>
  </si>
  <si>
    <t>Cynthia Cook</t>
  </si>
  <si>
    <t>cynthia.cook523@example.com</t>
  </si>
  <si>
    <t>572-714-1173</t>
  </si>
  <si>
    <t>Steven Ward</t>
  </si>
  <si>
    <t>steven.ward701@example.com</t>
  </si>
  <si>
    <t>343-656-3608</t>
  </si>
  <si>
    <t>Justin Reed</t>
  </si>
  <si>
    <t>justin.reed676@example.com</t>
  </si>
  <si>
    <t>567-241-4585</t>
  </si>
  <si>
    <t>Nicholas Robinson</t>
  </si>
  <si>
    <t>nicholas.robinson65@example.com</t>
  </si>
  <si>
    <t>439-243-4387</t>
  </si>
  <si>
    <t>Edward Roberts</t>
  </si>
  <si>
    <t>edward.roberts481@example.com</t>
  </si>
  <si>
    <t>240-864-6309</t>
  </si>
  <si>
    <t>Jonathan Brooks</t>
  </si>
  <si>
    <t>jonathan.brooks850@example.com</t>
  </si>
  <si>
    <t>792-757-3848</t>
  </si>
  <si>
    <t>Katherine Carter</t>
  </si>
  <si>
    <t>katherine.carter375@example.com</t>
  </si>
  <si>
    <t>457-585-4651</t>
  </si>
  <si>
    <t>Stephanie Rivera</t>
  </si>
  <si>
    <t>stephanie.rivera837@example.com</t>
  </si>
  <si>
    <t>693-818-1108</t>
  </si>
  <si>
    <t>Sarah Cruz</t>
  </si>
  <si>
    <t>sarah.cruz170@example.com</t>
  </si>
  <si>
    <t>726-858-5600</t>
  </si>
  <si>
    <t>Karen White</t>
  </si>
  <si>
    <t>karen.white162@example.com</t>
  </si>
  <si>
    <t>876-435-7793</t>
  </si>
  <si>
    <t>Brian Anderson</t>
  </si>
  <si>
    <t>brian.anderson494@example.com</t>
  </si>
  <si>
    <t>415-804-3641</t>
  </si>
  <si>
    <t>Jason Williams</t>
  </si>
  <si>
    <t>jason.williams250@example.com</t>
  </si>
  <si>
    <t>787-806-3639</t>
  </si>
  <si>
    <t>Samuel Rogers</t>
  </si>
  <si>
    <t>samuel.rogers41@example.com</t>
  </si>
  <si>
    <t>370-464-3949</t>
  </si>
  <si>
    <t>Stephanie Kim</t>
  </si>
  <si>
    <t>stephanie.kim993@example.com</t>
  </si>
  <si>
    <t>287-421-8359</t>
  </si>
  <si>
    <t>gary.morris175@example.com</t>
  </si>
  <si>
    <t>815-346-3979</t>
  </si>
  <si>
    <t>Alexander Rogers</t>
  </si>
  <si>
    <t>alexander.rogers271@example.com</t>
  </si>
  <si>
    <t>664-810-2127</t>
  </si>
  <si>
    <t>ronald.roberts136@example.com</t>
  </si>
  <si>
    <t>407-735-9263</t>
  </si>
  <si>
    <t>Rebecca Martin</t>
  </si>
  <si>
    <t>rebecca.martin621@example.com</t>
  </si>
  <si>
    <t>Stephen Cook</t>
  </si>
  <si>
    <t>stephen.cook771@example.com</t>
  </si>
  <si>
    <t>693-875-3135</t>
  </si>
  <si>
    <t>Helen Smith</t>
  </si>
  <si>
    <t>helen.smith919@example.com</t>
  </si>
  <si>
    <t>630-579-1711</t>
  </si>
  <si>
    <t>Angela Diaz</t>
  </si>
  <si>
    <t>angela.diaz235@example.com</t>
  </si>
  <si>
    <t>558-803-2600</t>
  </si>
  <si>
    <t>Sarah Allen</t>
  </si>
  <si>
    <t>sarah.allen489@example.com</t>
  </si>
  <si>
    <t>Paul Harris</t>
  </si>
  <si>
    <t>paul.harris6@example.com</t>
  </si>
  <si>
    <t>320-732-1117</t>
  </si>
  <si>
    <t>Katherine Clark</t>
  </si>
  <si>
    <t>katherine.clark705@example.com</t>
  </si>
  <si>
    <t>570-309-3535</t>
  </si>
  <si>
    <t>Katherine Howard</t>
  </si>
  <si>
    <t>katherine.howard260@example.com</t>
  </si>
  <si>
    <t>778-574-5514</t>
  </si>
  <si>
    <t>Timothy Clark</t>
  </si>
  <si>
    <t>timothy.clark424@example.com</t>
  </si>
  <si>
    <t>579-772-8925</t>
  </si>
  <si>
    <t>Michelle Kelly</t>
  </si>
  <si>
    <t>michelle.kelly353@example.com</t>
  </si>
  <si>
    <t>875-321-4764</t>
  </si>
  <si>
    <t>Rachel Lee</t>
  </si>
  <si>
    <t>rachel.lee103@example.com</t>
  </si>
  <si>
    <t>610-546-1852</t>
  </si>
  <si>
    <t>Deborah Brooks</t>
  </si>
  <si>
    <t>deborah.brooks6@example.com</t>
  </si>
  <si>
    <t>682-814-8133</t>
  </si>
  <si>
    <t>William King</t>
  </si>
  <si>
    <t>william.king228@example.com</t>
  </si>
  <si>
    <t>823-238-7296</t>
  </si>
  <si>
    <t>Benjamin Wood</t>
  </si>
  <si>
    <t>benjamin.wood534@example.com</t>
  </si>
  <si>
    <t>992-379-9099</t>
  </si>
  <si>
    <t>Mary Sanchez</t>
  </si>
  <si>
    <t>mary.sanchez871@example.com</t>
  </si>
  <si>
    <t>234-813-9364</t>
  </si>
  <si>
    <t>rachel.robinson630@example.com</t>
  </si>
  <si>
    <t>barbara.scott799@example.com</t>
  </si>
  <si>
    <t>885-604-7642</t>
  </si>
  <si>
    <t>Margaret Gutierrez</t>
  </si>
  <si>
    <t>margaret.gutierrez16@example.com</t>
  </si>
  <si>
    <t>762-491-6703</t>
  </si>
  <si>
    <t>emily.lewis621@example.com</t>
  </si>
  <si>
    <t>613-788-1076</t>
  </si>
  <si>
    <t>Matthew Evans</t>
  </si>
  <si>
    <t>matthew.evans519@example.com</t>
  </si>
  <si>
    <t>715-501-6570</t>
  </si>
  <si>
    <t>Shirley Allen</t>
  </si>
  <si>
    <t>shirley.allen898@example.com</t>
  </si>
  <si>
    <t>586-776-8923</t>
  </si>
  <si>
    <t>Ashley Baker</t>
  </si>
  <si>
    <t>ashley.baker985@example.com</t>
  </si>
  <si>
    <t>800-228-8896</t>
  </si>
  <si>
    <t>Kimberly Rodriguez</t>
  </si>
  <si>
    <t>kimberly.rodriguez392@example.com</t>
  </si>
  <si>
    <t>523-622-6785</t>
  </si>
  <si>
    <t>stephen.johnson718@example.com</t>
  </si>
  <si>
    <t>494-295-7536</t>
  </si>
  <si>
    <t>Carol Martinez</t>
  </si>
  <si>
    <t>carol.martinez568@example.com</t>
  </si>
  <si>
    <t>521-562-4580</t>
  </si>
  <si>
    <t>Andrew White</t>
  </si>
  <si>
    <t>andrew.white970@example.com</t>
  </si>
  <si>
    <t>954-404-4847</t>
  </si>
  <si>
    <t>Steven King</t>
  </si>
  <si>
    <t>steven.king212@example.com</t>
  </si>
  <si>
    <t>Susan Thomas</t>
  </si>
  <si>
    <t>susan.thomas943@example.com</t>
  </si>
  <si>
    <t>828-206-9871</t>
  </si>
  <si>
    <t>Kathleen Mitchell</t>
  </si>
  <si>
    <t>kathleen.mitchell636@example.com</t>
  </si>
  <si>
    <t>788-481-9041</t>
  </si>
  <si>
    <t>Shirley Scott</t>
  </si>
  <si>
    <t>shirley.scott408@example.com</t>
  </si>
  <si>
    <t>255-738-7933</t>
  </si>
  <si>
    <t>Helen Jones</t>
  </si>
  <si>
    <t>helen.jones515@example.com</t>
  </si>
  <si>
    <t>902-994-3863</t>
  </si>
  <si>
    <t>Jessica Hughes</t>
  </si>
  <si>
    <t>jessica.hughes531@example.com</t>
  </si>
  <si>
    <t>905-208-1193</t>
  </si>
  <si>
    <t>Mark Carter</t>
  </si>
  <si>
    <t>mark.carter595@example.com</t>
  </si>
  <si>
    <t>570-827-5254</t>
  </si>
  <si>
    <t>Larry King</t>
  </si>
  <si>
    <t>larry.king243@example.com</t>
  </si>
  <si>
    <t>827-551-6995</t>
  </si>
  <si>
    <t>Amy Diaz</t>
  </si>
  <si>
    <t>amy.diaz216@example.com</t>
  </si>
  <si>
    <t>573-610-5581</t>
  </si>
  <si>
    <t>Lisa Kelly</t>
  </si>
  <si>
    <t>lisa.kelly135@example.com</t>
  </si>
  <si>
    <t>938-476-4863</t>
  </si>
  <si>
    <t>Laura Carter</t>
  </si>
  <si>
    <t>laura.carter201@example.com</t>
  </si>
  <si>
    <t>684-209-3893</t>
  </si>
  <si>
    <t>amy.moore915@example.com</t>
  </si>
  <si>
    <t>507-456-1781</t>
  </si>
  <si>
    <t>Richard Ruiz</t>
  </si>
  <si>
    <t>richard.ruiz168@example.com</t>
  </si>
  <si>
    <t>460-687-2577</t>
  </si>
  <si>
    <t>Brian King</t>
  </si>
  <si>
    <t>brian.king370@example.com</t>
  </si>
  <si>
    <t>552-220-7746</t>
  </si>
  <si>
    <t>george.gray987@example.com</t>
  </si>
  <si>
    <t>999-491-6818</t>
  </si>
  <si>
    <t>Frank Rogers</t>
  </si>
  <si>
    <t>frank.rogers500@example.com</t>
  </si>
  <si>
    <t>590-828-5694</t>
  </si>
  <si>
    <t>samuel.jackson890@example.com</t>
  </si>
  <si>
    <t>631-846-7631</t>
  </si>
  <si>
    <t>Elizabeth Hernandez</t>
  </si>
  <si>
    <t>elizabeth.hernandez166@example.com</t>
  </si>
  <si>
    <t>Andrew Cox</t>
  </si>
  <si>
    <t>andrew.cox661@example.com</t>
  </si>
  <si>
    <t>655-999-6950</t>
  </si>
  <si>
    <t>Pamela Gutierrez</t>
  </si>
  <si>
    <t>pamela.gutierrez989@example.com</t>
  </si>
  <si>
    <t>371-388-1378</t>
  </si>
  <si>
    <t>Steven James</t>
  </si>
  <si>
    <t>steven.james258@example.com</t>
  </si>
  <si>
    <t>370-606-2687</t>
  </si>
  <si>
    <t>William Stewart</t>
  </si>
  <si>
    <t>william.stewart562@example.com</t>
  </si>
  <si>
    <t>989-606-9584</t>
  </si>
  <si>
    <t>David Wilson</t>
  </si>
  <si>
    <t>david.wilson269@example.com</t>
  </si>
  <si>
    <t>870-599-6068</t>
  </si>
  <si>
    <t>Ashley Torres</t>
  </si>
  <si>
    <t>ashley.torres454@example.com</t>
  </si>
  <si>
    <t>739-374-1468</t>
  </si>
  <si>
    <t>Alexander Rivera</t>
  </si>
  <si>
    <t>alexander.rivera882@example.com</t>
  </si>
  <si>
    <t>678-753-5463</t>
  </si>
  <si>
    <t>Ryan Moore</t>
  </si>
  <si>
    <t>ryan.moore993@example.com</t>
  </si>
  <si>
    <t>846-966-8126</t>
  </si>
  <si>
    <t>Samantha Brooks</t>
  </si>
  <si>
    <t>samantha.brooks547@example.com</t>
  </si>
  <si>
    <t>693-752-4721</t>
  </si>
  <si>
    <t>Barbara Cruz</t>
  </si>
  <si>
    <t>barbara.cruz316@example.com</t>
  </si>
  <si>
    <t>466-359-5973</t>
  </si>
  <si>
    <t>James Gutierrez</t>
  </si>
  <si>
    <t>james.gutierrez835@example.com</t>
  </si>
  <si>
    <t>493-680-9767</t>
  </si>
  <si>
    <t>Patrick Morales</t>
  </si>
  <si>
    <t>patrick.morales970@example.com</t>
  </si>
  <si>
    <t>209-984-8052</t>
  </si>
  <si>
    <t>Donna Kim</t>
  </si>
  <si>
    <t>donna.kim237@example.com</t>
  </si>
  <si>
    <t>393-621-8161</t>
  </si>
  <si>
    <t>Ashley Lee</t>
  </si>
  <si>
    <t>ashley.lee733@example.com</t>
  </si>
  <si>
    <t>425-469-2297</t>
  </si>
  <si>
    <t>Samuel Walker</t>
  </si>
  <si>
    <t>samuel.walker530@example.com</t>
  </si>
  <si>
    <t>864-960-9715</t>
  </si>
  <si>
    <t>Andrew Evans</t>
  </si>
  <si>
    <t>andrew.evans193@example.com</t>
  </si>
  <si>
    <t>339-496-2808</t>
  </si>
  <si>
    <t>jacob.richardson464@example.com</t>
  </si>
  <si>
    <t>392-528-1317</t>
  </si>
  <si>
    <t>Michael Morgan</t>
  </si>
  <si>
    <t>michael.morgan23@example.com</t>
  </si>
  <si>
    <t>488-475-3048</t>
  </si>
  <si>
    <t>Ryan Johnson</t>
  </si>
  <si>
    <t>ryan.johnson239@example.com</t>
  </si>
  <si>
    <t>215-705-4558</t>
  </si>
  <si>
    <t>Rebecca Flores</t>
  </si>
  <si>
    <t>rebecca.flores805@example.com</t>
  </si>
  <si>
    <t>David Jackson</t>
  </si>
  <si>
    <t>david.jackson58@example.com</t>
  </si>
  <si>
    <t>273-756-8702</t>
  </si>
  <si>
    <t>Anthony Allen</t>
  </si>
  <si>
    <t>anthony.allen837@example.com</t>
  </si>
  <si>
    <t>324-986-5078</t>
  </si>
  <si>
    <t>Ryan Young</t>
  </si>
  <si>
    <t>ryan.young756@example.com</t>
  </si>
  <si>
    <t>671-952-2539</t>
  </si>
  <si>
    <t>Christine Clark</t>
  </si>
  <si>
    <t>christine.clark485@example.com</t>
  </si>
  <si>
    <t>530-362-1691</t>
  </si>
  <si>
    <t>Larry Gutierrez</t>
  </si>
  <si>
    <t>larry.gutierrez126@example.com</t>
  </si>
  <si>
    <t>853-505-4255</t>
  </si>
  <si>
    <t>michael.bennett224@example.com</t>
  </si>
  <si>
    <t>848-644-6316</t>
  </si>
  <si>
    <t>Nancy Scott</t>
  </si>
  <si>
    <t>nancy.scott599@example.com</t>
  </si>
  <si>
    <t>448-209-1688</t>
  </si>
  <si>
    <t>Patrick Stewart</t>
  </si>
  <si>
    <t>patrick.stewart705@example.com</t>
  </si>
  <si>
    <t>989-291-5075</t>
  </si>
  <si>
    <t>Amy Lopez</t>
  </si>
  <si>
    <t>amy.lopez703@example.com</t>
  </si>
  <si>
    <t>261-564-3521</t>
  </si>
  <si>
    <t>Stephen Wilson</t>
  </si>
  <si>
    <t>stephen.wilson129@example.com</t>
  </si>
  <si>
    <t>524-771-6690</t>
  </si>
  <si>
    <t>Ryan Harris</t>
  </si>
  <si>
    <t>ryan.harris22@example.com</t>
  </si>
  <si>
    <t>941-337-5107</t>
  </si>
  <si>
    <t>Nicholas Cruz</t>
  </si>
  <si>
    <t>nicholas.cruz573@example.com</t>
  </si>
  <si>
    <t>394-780-4057</t>
  </si>
  <si>
    <t>George Adams</t>
  </si>
  <si>
    <t>george.adams750@example.com</t>
  </si>
  <si>
    <t>813-767-3627</t>
  </si>
  <si>
    <t>Angela Martin</t>
  </si>
  <si>
    <t>angela.martin461@example.com</t>
  </si>
  <si>
    <t>754-575-8439</t>
  </si>
  <si>
    <t>Samantha Cook</t>
  </si>
  <si>
    <t>samantha.cook389@example.com</t>
  </si>
  <si>
    <t>834-572-4912</t>
  </si>
  <si>
    <t>William James</t>
  </si>
  <si>
    <t>william.james991@example.com</t>
  </si>
  <si>
    <t>736-899-9151</t>
  </si>
  <si>
    <t>Larry Martin</t>
  </si>
  <si>
    <t>larry.martin628@example.com</t>
  </si>
  <si>
    <t>619-856-6276</t>
  </si>
  <si>
    <t>Richard Gutierrez</t>
  </si>
  <si>
    <t>richard.gutierrez675@example.com</t>
  </si>
  <si>
    <t>332-382-1512</t>
  </si>
  <si>
    <t>Susan Morales</t>
  </si>
  <si>
    <t>susan.morales197@example.com</t>
  </si>
  <si>
    <t>784-857-7366</t>
  </si>
  <si>
    <t>Nicholas Ortiz</t>
  </si>
  <si>
    <t>nicholas.ortiz639@example.com</t>
  </si>
  <si>
    <t>575-426-2161</t>
  </si>
  <si>
    <t>Mark Wood</t>
  </si>
  <si>
    <t>mark.wood504@example.com</t>
  </si>
  <si>
    <t>854-262-6913</t>
  </si>
  <si>
    <t>Rebecca Mitchell</t>
  </si>
  <si>
    <t>rebecca.mitchell814@example.com</t>
  </si>
  <si>
    <t>741-241-2153</t>
  </si>
  <si>
    <t>Kenneth Martinez</t>
  </si>
  <si>
    <t>kenneth.martinez968@example.com</t>
  </si>
  <si>
    <t>299-303-4784</t>
  </si>
  <si>
    <t>Deborah Harris</t>
  </si>
  <si>
    <t>deborah.harris198@example.com</t>
  </si>
  <si>
    <t>771-967-7802</t>
  </si>
  <si>
    <t>Susan Brooks</t>
  </si>
  <si>
    <t>susan.brooks591@example.com</t>
  </si>
  <si>
    <t>919-881-7997</t>
  </si>
  <si>
    <t>Nancy White</t>
  </si>
  <si>
    <t>nancy.white564@example.com</t>
  </si>
  <si>
    <t>545-873-3591</t>
  </si>
  <si>
    <t>Brandon Cruz</t>
  </si>
  <si>
    <t>brandon.cruz956@example.com</t>
  </si>
  <si>
    <t>Samantha Parker</t>
  </si>
  <si>
    <t>samantha.parker846@example.com</t>
  </si>
  <si>
    <t>776-758-4504</t>
  </si>
  <si>
    <t>Larry Allen</t>
  </si>
  <si>
    <t>larry.allen369@example.com</t>
  </si>
  <si>
    <t>606-200-1567</t>
  </si>
  <si>
    <t>Brandon Williams</t>
  </si>
  <si>
    <t>brandon.williams531@example.com</t>
  </si>
  <si>
    <t>206-507-4635</t>
  </si>
  <si>
    <t>Kevin Williams</t>
  </si>
  <si>
    <t>kevin.williams791@example.com</t>
  </si>
  <si>
    <t>769-784-3534</t>
  </si>
  <si>
    <t>robert.collins365@example.com</t>
  </si>
  <si>
    <t>471-575-5093</t>
  </si>
  <si>
    <t>Paul Hill</t>
  </si>
  <si>
    <t>paul.hill95@example.com</t>
  </si>
  <si>
    <t>951-279-6319</t>
  </si>
  <si>
    <t>Kathleen Thompson</t>
  </si>
  <si>
    <t>kathleen.thompson500@example.com</t>
  </si>
  <si>
    <t>238-948-7251</t>
  </si>
  <si>
    <t>Linda Nelson</t>
  </si>
  <si>
    <t>linda.nelson357@example.com</t>
  </si>
  <si>
    <t>323-988-4714</t>
  </si>
  <si>
    <t>Katherine Cox</t>
  </si>
  <si>
    <t>katherine.cox951@example.com</t>
  </si>
  <si>
    <t>255-512-9591</t>
  </si>
  <si>
    <t>Kevin Cooper</t>
  </si>
  <si>
    <t>kevin.cooper579@example.com</t>
  </si>
  <si>
    <t>714-914-4617</t>
  </si>
  <si>
    <t>michael.gray750@example.com</t>
  </si>
  <si>
    <t>970-809-9269</t>
  </si>
  <si>
    <t>Donald Parker</t>
  </si>
  <si>
    <t>donald.parker297@example.com</t>
  </si>
  <si>
    <t>335-544-2352</t>
  </si>
  <si>
    <t>Brenda Miller</t>
  </si>
  <si>
    <t>brenda.miller562@example.com</t>
  </si>
  <si>
    <t>Rachel Taylor</t>
  </si>
  <si>
    <t>rachel.taylor781@example.com</t>
  </si>
  <si>
    <t>772-402-8993</t>
  </si>
  <si>
    <t>Katherine Kelly</t>
  </si>
  <si>
    <t>katherine.kelly201@example.com</t>
  </si>
  <si>
    <t>273-472-8046</t>
  </si>
  <si>
    <t>Debra Kelly</t>
  </si>
  <si>
    <t>debra.kelly92@example.com</t>
  </si>
  <si>
    <t>633-574-6706</t>
  </si>
  <si>
    <t>Dorothy Hall</t>
  </si>
  <si>
    <t>dorothy.hall609@example.com</t>
  </si>
  <si>
    <t>373-558-8245</t>
  </si>
  <si>
    <t>Charles Cruz</t>
  </si>
  <si>
    <t>charles.cruz46@example.com</t>
  </si>
  <si>
    <t>901-582-3555</t>
  </si>
  <si>
    <t>David Anderson</t>
  </si>
  <si>
    <t>david.anderson758@example.com</t>
  </si>
  <si>
    <t>835-351-5713</t>
  </si>
  <si>
    <t>Carol Ruiz</t>
  </si>
  <si>
    <t>carol.ruiz824@example.com</t>
  </si>
  <si>
    <t>660-682-1372</t>
  </si>
  <si>
    <t>Mark Morgan</t>
  </si>
  <si>
    <t>mark.morgan217@example.com</t>
  </si>
  <si>
    <t>968-464-9991</t>
  </si>
  <si>
    <t>Emma Jackson</t>
  </si>
  <si>
    <t>emma.jackson712@example.com</t>
  </si>
  <si>
    <t>796-879-9631</t>
  </si>
  <si>
    <t>Paul Perez</t>
  </si>
  <si>
    <t>paul.perez62@example.com</t>
  </si>
  <si>
    <t>913-832-5444</t>
  </si>
  <si>
    <t>Cynthia Wood</t>
  </si>
  <si>
    <t>cynthia.wood968@example.com</t>
  </si>
  <si>
    <t>597-876-5445</t>
  </si>
  <si>
    <t>Alexander Campbell</t>
  </si>
  <si>
    <t>alexander.campbell886@example.com</t>
  </si>
  <si>
    <t>499-864-7332</t>
  </si>
  <si>
    <t>Ronald Rogers</t>
  </si>
  <si>
    <t>ronald.rogers727@example.com</t>
  </si>
  <si>
    <t>696-811-9709</t>
  </si>
  <si>
    <t>Lisa Sanchez</t>
  </si>
  <si>
    <t>lisa.sanchez513@example.com</t>
  </si>
  <si>
    <t>240-453-9673</t>
  </si>
  <si>
    <t>Brian Morales</t>
  </si>
  <si>
    <t>brian.morales403@example.com</t>
  </si>
  <si>
    <t>555-900-6765</t>
  </si>
  <si>
    <t>samuel.hill242@example.com</t>
  </si>
  <si>
    <t>Patricia Bailey</t>
  </si>
  <si>
    <t>patricia.bailey972@example.com</t>
  </si>
  <si>
    <t>355-549-7436</t>
  </si>
  <si>
    <t>Sarah Lopez</t>
  </si>
  <si>
    <t>sarah.lopez748@example.com</t>
  </si>
  <si>
    <t>894-827-4726</t>
  </si>
  <si>
    <t>Steven Kelly</t>
  </si>
  <si>
    <t>steven.kelly157@example.com</t>
  </si>
  <si>
    <t>819-537-8359</t>
  </si>
  <si>
    <t>Thomas Clark</t>
  </si>
  <si>
    <t>thomas.clark669@example.com</t>
  </si>
  <si>
    <t>341-516-9582</t>
  </si>
  <si>
    <t>Laura Jackson</t>
  </si>
  <si>
    <t>laura.jackson672@example.com</t>
  </si>
  <si>
    <t>269-770-9732</t>
  </si>
  <si>
    <t>Jessica White</t>
  </si>
  <si>
    <t>jessica.white326@example.com</t>
  </si>
  <si>
    <t>983-526-7783</t>
  </si>
  <si>
    <t>Kenneth Cruz</t>
  </si>
  <si>
    <t>kenneth.cruz764@example.com</t>
  </si>
  <si>
    <t>997-392-2749</t>
  </si>
  <si>
    <t>Lisa Brown</t>
  </si>
  <si>
    <t>lisa.brown781@example.com</t>
  </si>
  <si>
    <t>810-437-4783</t>
  </si>
  <si>
    <t>Patricia Rivera</t>
  </si>
  <si>
    <t>patricia.rivera82@example.com</t>
  </si>
  <si>
    <t>714-819-8680</t>
  </si>
  <si>
    <t>katherine.mitchell189@example.com</t>
  </si>
  <si>
    <t>685-340-3683</t>
  </si>
  <si>
    <t>Donald Jones</t>
  </si>
  <si>
    <t>donald.jones419@example.com</t>
  </si>
  <si>
    <t>622-427-4323</t>
  </si>
  <si>
    <t>mark.rodriguez182@example.com</t>
  </si>
  <si>
    <t>904-532-8496</t>
  </si>
  <si>
    <t>Jeffrey Phillips</t>
  </si>
  <si>
    <t>jeffrey.phillips795@example.com</t>
  </si>
  <si>
    <t>937-520-7457</t>
  </si>
  <si>
    <t>Brenda Kim</t>
  </si>
  <si>
    <t>brenda.kim550@example.com</t>
  </si>
  <si>
    <t>Jennifer Young</t>
  </si>
  <si>
    <t>jennifer.young532@example.com</t>
  </si>
  <si>
    <t>771-596-9456</t>
  </si>
  <si>
    <t>Samuel Miller</t>
  </si>
  <si>
    <t>samuel.miller195@example.com</t>
  </si>
  <si>
    <t>607-511-5684</t>
  </si>
  <si>
    <t>Nancy Diaz</t>
  </si>
  <si>
    <t>nancy.diaz302@example.com</t>
  </si>
  <si>
    <t>345-674-8400</t>
  </si>
  <si>
    <t>Eric Anderson</t>
  </si>
  <si>
    <t>eric.anderson185@example.com</t>
  </si>
  <si>
    <t>623-531-8387</t>
  </si>
  <si>
    <t>Matthew Collins</t>
  </si>
  <si>
    <t>matthew.collins605@example.com</t>
  </si>
  <si>
    <t>292-456-6309</t>
  </si>
  <si>
    <t>Katherine Lee</t>
  </si>
  <si>
    <t>katherine.lee736@example.com</t>
  </si>
  <si>
    <t>316-923-8362</t>
  </si>
  <si>
    <t>Edward Hernandez</t>
  </si>
  <si>
    <t>edward.hernandez537@example.com</t>
  </si>
  <si>
    <t>826-363-7204</t>
  </si>
  <si>
    <t>ronald.garcia787@example.com</t>
  </si>
  <si>
    <t>779-875-3459</t>
  </si>
  <si>
    <t>Charles Thompson</t>
  </si>
  <si>
    <t>charles.thompson788@example.com</t>
  </si>
  <si>
    <t>515-516-8311</t>
  </si>
  <si>
    <t>Samuel White</t>
  </si>
  <si>
    <t>samuel.white121@example.com</t>
  </si>
  <si>
    <t>203-837-5146</t>
  </si>
  <si>
    <t>Jacob Murphy</t>
  </si>
  <si>
    <t>jacob.murphy876@example.com</t>
  </si>
  <si>
    <t>822-705-4897</t>
  </si>
  <si>
    <t>Pamela James</t>
  </si>
  <si>
    <t>pamela.james488@example.com</t>
  </si>
  <si>
    <t>652-281-1107</t>
  </si>
  <si>
    <t>Larry Scott</t>
  </si>
  <si>
    <t>larry.scott635@example.com</t>
  </si>
  <si>
    <t>389-351-1902</t>
  </si>
  <si>
    <t>George Jones</t>
  </si>
  <si>
    <t>george.jones149@example.com</t>
  </si>
  <si>
    <t>539-289-1803</t>
  </si>
  <si>
    <t>rebecca.thompson166@example.com</t>
  </si>
  <si>
    <t>666-967-6901</t>
  </si>
  <si>
    <t>Barbara Hill</t>
  </si>
  <si>
    <t>barbara.hill331@example.com</t>
  </si>
  <si>
    <t>269-976-8001</t>
  </si>
  <si>
    <t>Larry Rodriguez</t>
  </si>
  <si>
    <t>larry.rodriguez300@example.com</t>
  </si>
  <si>
    <t>324-911-5496</t>
  </si>
  <si>
    <t>Angela Evans</t>
  </si>
  <si>
    <t>angela.evans538@example.com</t>
  </si>
  <si>
    <t>826-259-2790</t>
  </si>
  <si>
    <t>Samuel Ortiz</t>
  </si>
  <si>
    <t>samuel.ortiz90@example.com</t>
  </si>
  <si>
    <t>637-823-6185</t>
  </si>
  <si>
    <t>Angela Kelly</t>
  </si>
  <si>
    <t>angela.kelly639@example.com</t>
  </si>
  <si>
    <t>829-776-9132</t>
  </si>
  <si>
    <t>samuel.murphy505@example.com</t>
  </si>
  <si>
    <t>925-497-4171</t>
  </si>
  <si>
    <t>Jessica Brown</t>
  </si>
  <si>
    <t>jessica.brown477@example.com</t>
  </si>
  <si>
    <t>830-624-7783</t>
  </si>
  <si>
    <t>Brian Hall</t>
  </si>
  <si>
    <t>brian.hall574@example.com</t>
  </si>
  <si>
    <t>855-406-5614</t>
  </si>
  <si>
    <t>William Flores</t>
  </si>
  <si>
    <t>william.flores308@example.com</t>
  </si>
  <si>
    <t>316-902-6460</t>
  </si>
  <si>
    <t>Timothy Reed</t>
  </si>
  <si>
    <t>timothy.reed631@example.com</t>
  </si>
  <si>
    <t>398-538-6536</t>
  </si>
  <si>
    <t>Kathleen Stewart</t>
  </si>
  <si>
    <t>kathleen.stewart817@example.com</t>
  </si>
  <si>
    <t>693-359-8546</t>
  </si>
  <si>
    <t>brian.reyes803@example.com</t>
  </si>
  <si>
    <t>733-506-6169</t>
  </si>
  <si>
    <t>stephen.williams214@example.com</t>
  </si>
  <si>
    <t>267-352-5595</t>
  </si>
  <si>
    <t>Patricia Baker</t>
  </si>
  <si>
    <t>patricia.baker385@example.com</t>
  </si>
  <si>
    <t>391-809-2914</t>
  </si>
  <si>
    <t>Michelle Green</t>
  </si>
  <si>
    <t>michelle.green727@example.com</t>
  </si>
  <si>
    <t>623-288-9143</t>
  </si>
  <si>
    <t>Melissa Edwards</t>
  </si>
  <si>
    <t>melissa.edwards850@example.com</t>
  </si>
  <si>
    <t>737-509-3867</t>
  </si>
  <si>
    <t>Melissa Jones</t>
  </si>
  <si>
    <t>melissa.jones797@example.com</t>
  </si>
  <si>
    <t>654-718-1408</t>
  </si>
  <si>
    <t>Kathleen Cook</t>
  </si>
  <si>
    <t>kathleen.cook158@example.com</t>
  </si>
  <si>
    <t>695-950-9579</t>
  </si>
  <si>
    <t>Dorothy Jackson</t>
  </si>
  <si>
    <t>dorothy.jackson788@example.com</t>
  </si>
  <si>
    <t>892-335-4361</t>
  </si>
  <si>
    <t>robert.collins397@example.com</t>
  </si>
  <si>
    <t>518-245-2426</t>
  </si>
  <si>
    <t>Cynthia Garcia</t>
  </si>
  <si>
    <t>cynthia.garcia106@example.com</t>
  </si>
  <si>
    <t>791-976-6114</t>
  </si>
  <si>
    <t>Mark Adams</t>
  </si>
  <si>
    <t>mark.adams206@example.com</t>
  </si>
  <si>
    <t>483-745-6228</t>
  </si>
  <si>
    <t>Ryan Bennett</t>
  </si>
  <si>
    <t>ryan.bennett121@example.com</t>
  </si>
  <si>
    <t>361-480-2875</t>
  </si>
  <si>
    <t>emma.bailey527@example.com</t>
  </si>
  <si>
    <t>Charles Torres</t>
  </si>
  <si>
    <t>charles.torres588@example.com</t>
  </si>
  <si>
    <t>272-518-6549</t>
  </si>
  <si>
    <t>Ryan Miller</t>
  </si>
  <si>
    <t>ryan.miller134@example.com</t>
  </si>
  <si>
    <t>891-251-2735</t>
  </si>
  <si>
    <t>Michael Lopez</t>
  </si>
  <si>
    <t>michael.lopez437@example.com</t>
  </si>
  <si>
    <t>921-810-8304</t>
  </si>
  <si>
    <t>Amanda Flores</t>
  </si>
  <si>
    <t>amanda.flores341@example.com</t>
  </si>
  <si>
    <t>280-973-8629</t>
  </si>
  <si>
    <t>Thomas Lopez</t>
  </si>
  <si>
    <t>thomas.lopez833@example.com</t>
  </si>
  <si>
    <t>666-517-8625</t>
  </si>
  <si>
    <t>Sandra Lewis</t>
  </si>
  <si>
    <t>sandra.lewis148@example.com</t>
  </si>
  <si>
    <t>601-387-6412</t>
  </si>
  <si>
    <t>Dorothy Collins</t>
  </si>
  <si>
    <t>dorothy.collins500@example.com</t>
  </si>
  <si>
    <t>686-315-6758</t>
  </si>
  <si>
    <t>Cynthia Perez</t>
  </si>
  <si>
    <t>cynthia.perez290@example.com</t>
  </si>
  <si>
    <t>720-305-7646</t>
  </si>
  <si>
    <t>Susan Adams</t>
  </si>
  <si>
    <t>susan.adams570@example.com</t>
  </si>
  <si>
    <t>745-672-7566</t>
  </si>
  <si>
    <t>Jason Walker</t>
  </si>
  <si>
    <t>jason.walker636@example.com</t>
  </si>
  <si>
    <t>693-593-2082</t>
  </si>
  <si>
    <t>Mark Ruiz</t>
  </si>
  <si>
    <t>mark.ruiz606@example.com</t>
  </si>
  <si>
    <t>780-550-9921</t>
  </si>
  <si>
    <t>Steven Thompson</t>
  </si>
  <si>
    <t>steven.thompson679@example.com</t>
  </si>
  <si>
    <t>317-806-8584</t>
  </si>
  <si>
    <t>Anna Gonzalez</t>
  </si>
  <si>
    <t>anna.gonzalez842@example.com</t>
  </si>
  <si>
    <t>Susan Mendoza</t>
  </si>
  <si>
    <t>susan.mendoza834@example.com</t>
  </si>
  <si>
    <t>706-860-2007</t>
  </si>
  <si>
    <t>Betty Moore</t>
  </si>
  <si>
    <t>betty.moore909@example.com</t>
  </si>
  <si>
    <t>876-352-8421</t>
  </si>
  <si>
    <t>Donna Roberts</t>
  </si>
  <si>
    <t>donna.roberts631@example.com</t>
  </si>
  <si>
    <t>410-897-6187</t>
  </si>
  <si>
    <t>Justin Gray</t>
  </si>
  <si>
    <t>justin.gray312@example.com</t>
  </si>
  <si>
    <t>291-796-1133</t>
  </si>
  <si>
    <t>Shirley Phillips</t>
  </si>
  <si>
    <t>shirley.phillips868@example.com</t>
  </si>
  <si>
    <t>263-578-9992</t>
  </si>
  <si>
    <t>James Bailey</t>
  </si>
  <si>
    <t>james.bailey841@example.com</t>
  </si>
  <si>
    <t>488-231-4854</t>
  </si>
  <si>
    <t>Rachel Ramos</t>
  </si>
  <si>
    <t>rachel.ramos404@example.com</t>
  </si>
  <si>
    <t>615-590-8130</t>
  </si>
  <si>
    <t>Betty James</t>
  </si>
  <si>
    <t>betty.james178@example.com</t>
  </si>
  <si>
    <t>392-768-7301</t>
  </si>
  <si>
    <t>Edward Turner</t>
  </si>
  <si>
    <t>edward.turner158@example.com</t>
  </si>
  <si>
    <t>337-211-2175</t>
  </si>
  <si>
    <t>john.jackson739@example.com</t>
  </si>
  <si>
    <t>339-286-3248</t>
  </si>
  <si>
    <t>Rebecca Collins</t>
  </si>
  <si>
    <t>rebecca.collins916@example.com</t>
  </si>
  <si>
    <t>665-721-7948</t>
  </si>
  <si>
    <t>Sharon Roberts</t>
  </si>
  <si>
    <t>sharon.roberts364@example.com</t>
  </si>
  <si>
    <t>634-819-1121</t>
  </si>
  <si>
    <t>Amy Walker</t>
  </si>
  <si>
    <t>amy.walker730@example.com</t>
  </si>
  <si>
    <t>759-790-7012</t>
  </si>
  <si>
    <t>Robert Reed</t>
  </si>
  <si>
    <t>robert.reed495@example.com</t>
  </si>
  <si>
    <t>794-693-2311</t>
  </si>
  <si>
    <t>Angela Scott</t>
  </si>
  <si>
    <t>angela.scott477@example.com</t>
  </si>
  <si>
    <t>824-290-5017</t>
  </si>
  <si>
    <t>Samuel James</t>
  </si>
  <si>
    <t>samuel.james984@example.com</t>
  </si>
  <si>
    <t>827-254-6628</t>
  </si>
  <si>
    <t>Mary Stewart</t>
  </si>
  <si>
    <t>mary.stewart465@example.com</t>
  </si>
  <si>
    <t>631-561-5827</t>
  </si>
  <si>
    <t>Nancy Jones</t>
  </si>
  <si>
    <t>nancy.jones712@example.com</t>
  </si>
  <si>
    <t>262-844-8752</t>
  </si>
  <si>
    <t>Nancy Kelly</t>
  </si>
  <si>
    <t>nancy.kelly53@example.com</t>
  </si>
  <si>
    <t>493-696-2351</t>
  </si>
  <si>
    <t>Eric Martinez</t>
  </si>
  <si>
    <t>eric.martinez872@example.com</t>
  </si>
  <si>
    <t>335-830-5603</t>
  </si>
  <si>
    <t>Paul Johnson</t>
  </si>
  <si>
    <t>paul.johnson760@example.com</t>
  </si>
  <si>
    <t>805-956-3476</t>
  </si>
  <si>
    <t>Sharon Mitchell</t>
  </si>
  <si>
    <t>sharon.mitchell828@example.com</t>
  </si>
  <si>
    <t>917-441-8944</t>
  </si>
  <si>
    <t>Angela Jones</t>
  </si>
  <si>
    <t>angela.jones352@example.com</t>
  </si>
  <si>
    <t>809-357-9125</t>
  </si>
  <si>
    <t>Jason Roberts</t>
  </si>
  <si>
    <t>jason.roberts244@example.com</t>
  </si>
  <si>
    <t>415-791-6653</t>
  </si>
  <si>
    <t>Gregory King</t>
  </si>
  <si>
    <t>gregory.king774@example.com</t>
  </si>
  <si>
    <t>Kenneth Stewart</t>
  </si>
  <si>
    <t>kenneth.stewart765@example.com</t>
  </si>
  <si>
    <t>899-922-7390</t>
  </si>
  <si>
    <t>Kimberly Jackson</t>
  </si>
  <si>
    <t>kimberly.jackson544@example.com</t>
  </si>
  <si>
    <t>495-659-7258</t>
  </si>
  <si>
    <t>kevin.ortiz700@example.com</t>
  </si>
  <si>
    <t>744-852-6797</t>
  </si>
  <si>
    <t>Laura Ward</t>
  </si>
  <si>
    <t>laura.ward941@example.com</t>
  </si>
  <si>
    <t>katherine.howard401@example.com</t>
  </si>
  <si>
    <t>951-888-4193</t>
  </si>
  <si>
    <t>carol.gray707@example.com</t>
  </si>
  <si>
    <t>760-210-1138</t>
  </si>
  <si>
    <t>William Johnson</t>
  </si>
  <si>
    <t>william.johnson422@example.com</t>
  </si>
  <si>
    <t>306-901-8306</t>
  </si>
  <si>
    <t>Donald Torres</t>
  </si>
  <si>
    <t>donald.torres258@example.com</t>
  </si>
  <si>
    <t>224-834-2506</t>
  </si>
  <si>
    <t>Brandon James</t>
  </si>
  <si>
    <t>brandon.james916@example.com</t>
  </si>
  <si>
    <t>Nicole Taylor</t>
  </si>
  <si>
    <t>nicole.taylor385@example.com</t>
  </si>
  <si>
    <t>912-388-5150</t>
  </si>
  <si>
    <t>Cynthia James</t>
  </si>
  <si>
    <t>cynthia.james959@example.com</t>
  </si>
  <si>
    <t>483-987-7995</t>
  </si>
  <si>
    <t>Christine Adams</t>
  </si>
  <si>
    <t>christine.adams264@example.com</t>
  </si>
  <si>
    <t>483-995-2022</t>
  </si>
  <si>
    <t>Deborah Nelson</t>
  </si>
  <si>
    <t>deborah.nelson62@example.com</t>
  </si>
  <si>
    <t>382-651-2137</t>
  </si>
  <si>
    <t>Margaret Ward</t>
  </si>
  <si>
    <t>margaret.ward403@example.com</t>
  </si>
  <si>
    <t>311-347-9857</t>
  </si>
  <si>
    <t>Laura Ramirez</t>
  </si>
  <si>
    <t>laura.ramirez629@example.com</t>
  </si>
  <si>
    <t>932-465-2692</t>
  </si>
  <si>
    <t>Elizabeth Martinez</t>
  </si>
  <si>
    <t>elizabeth.martinez586@example.com</t>
  </si>
  <si>
    <t>219-709-3438</t>
  </si>
  <si>
    <t>Samantha Smith</t>
  </si>
  <si>
    <t>samantha.smith956@example.com</t>
  </si>
  <si>
    <t>472-355-6403</t>
  </si>
  <si>
    <t>Brenda Smith</t>
  </si>
  <si>
    <t>brenda.smith528@example.com</t>
  </si>
  <si>
    <t>646-613-2148</t>
  </si>
  <si>
    <t>Donald Smith</t>
  </si>
  <si>
    <t>donald.smith394@example.com</t>
  </si>
  <si>
    <t>780-748-6880</t>
  </si>
  <si>
    <t>debra.hill411@example.com</t>
  </si>
  <si>
    <t>574-747-6571</t>
  </si>
  <si>
    <t>Jacob Nguyen</t>
  </si>
  <si>
    <t>jacob.nguyen664@example.com</t>
  </si>
  <si>
    <t>767-240-7294</t>
  </si>
  <si>
    <t>Anthony Hill</t>
  </si>
  <si>
    <t>anthony.hill713@example.com</t>
  </si>
  <si>
    <t>845-905-6886</t>
  </si>
  <si>
    <t>David Watson</t>
  </si>
  <si>
    <t>david.watson449@example.com</t>
  </si>
  <si>
    <t>236-397-1415</t>
  </si>
  <si>
    <t>Pamela Walker</t>
  </si>
  <si>
    <t>pamela.walker501@example.com</t>
  </si>
  <si>
    <t>753-858-6041</t>
  </si>
  <si>
    <t>Stephen Edwards</t>
  </si>
  <si>
    <t>stephen.edwards990@example.com</t>
  </si>
  <si>
    <t>547-257-6533</t>
  </si>
  <si>
    <t>jennifer.phillips122@example.com</t>
  </si>
  <si>
    <t>669-894-9791</t>
  </si>
  <si>
    <t>scott.robinson948@example.com</t>
  </si>
  <si>
    <t>953-344-9010</t>
  </si>
  <si>
    <t>John Stewart</t>
  </si>
  <si>
    <t>john.stewart929@example.com</t>
  </si>
  <si>
    <t>918-864-3138</t>
  </si>
  <si>
    <t>Matthew Watson</t>
  </si>
  <si>
    <t>matthew.watson52@example.com</t>
  </si>
  <si>
    <t>667-825-3796</t>
  </si>
  <si>
    <t>Pamela Rodriguez</t>
  </si>
  <si>
    <t>pamela.rodriguez838@example.com</t>
  </si>
  <si>
    <t>709-809-4613</t>
  </si>
  <si>
    <t>Margaret Diaz</t>
  </si>
  <si>
    <t>margaret.diaz346@example.com</t>
  </si>
  <si>
    <t>323-900-9943</t>
  </si>
  <si>
    <t>Dorothy Ramirez</t>
  </si>
  <si>
    <t>dorothy.ramirez783@example.com</t>
  </si>
  <si>
    <t>543-264-2978</t>
  </si>
  <si>
    <t>Charles Turner</t>
  </si>
  <si>
    <t>charles.turner173@example.com</t>
  </si>
  <si>
    <t>649-449-1666</t>
  </si>
  <si>
    <t>Richard Watson</t>
  </si>
  <si>
    <t>richard.watson628@example.com</t>
  </si>
  <si>
    <t>216-698-2322</t>
  </si>
  <si>
    <t>James Thompson</t>
  </si>
  <si>
    <t>james.thompson949@example.com</t>
  </si>
  <si>
    <t>626-910-8798</t>
  </si>
  <si>
    <t>thomas.clark147@example.com</t>
  </si>
  <si>
    <t>661-621-4919</t>
  </si>
  <si>
    <t>Benjamin Ruiz</t>
  </si>
  <si>
    <t>benjamin.ruiz39@example.com</t>
  </si>
  <si>
    <t>826-290-5934</t>
  </si>
  <si>
    <t>Rebecca Smith</t>
  </si>
  <si>
    <t>rebecca.smith572@example.com</t>
  </si>
  <si>
    <t>320-742-2567</t>
  </si>
  <si>
    <t>Edward Cooper</t>
  </si>
  <si>
    <t>edward.cooper520@example.com</t>
  </si>
  <si>
    <t>988-841-4409</t>
  </si>
  <si>
    <t>Michael Harris</t>
  </si>
  <si>
    <t>michael.harris116@example.com</t>
  </si>
  <si>
    <t>709-380-3617</t>
  </si>
  <si>
    <t>Jennifer Miller</t>
  </si>
  <si>
    <t>jennifer.miller661@example.com</t>
  </si>
  <si>
    <t>Benjamin Collins</t>
  </si>
  <si>
    <t>benjamin.collins45@example.com</t>
  </si>
  <si>
    <t>750-380-3589</t>
  </si>
  <si>
    <t>Patricia Morales</t>
  </si>
  <si>
    <t>patricia.morales528@example.com</t>
  </si>
  <si>
    <t>440-938-8287</t>
  </si>
  <si>
    <t>Scott Adams</t>
  </si>
  <si>
    <t>scott.adams430@example.com</t>
  </si>
  <si>
    <t>435-997-2804</t>
  </si>
  <si>
    <t>Sandra Gonzalez</t>
  </si>
  <si>
    <t>sandra.gonzalez243@example.com</t>
  </si>
  <si>
    <t>584-425-2204</t>
  </si>
  <si>
    <t>Scott Morales</t>
  </si>
  <si>
    <t>scott.morales56@example.com</t>
  </si>
  <si>
    <t>421-824-8454</t>
  </si>
  <si>
    <t>Deborah Mitchell</t>
  </si>
  <si>
    <t>deborah.mitchell140@example.com</t>
  </si>
  <si>
    <t>847-567-5418</t>
  </si>
  <si>
    <t>Brian Taylor</t>
  </si>
  <si>
    <t>brian.taylor33@example.com</t>
  </si>
  <si>
    <t>339-313-8627</t>
  </si>
  <si>
    <t>Rebecca Perez</t>
  </si>
  <si>
    <t>rebecca.perez779@example.com</t>
  </si>
  <si>
    <t>502-818-3568</t>
  </si>
  <si>
    <t>Samantha Ward</t>
  </si>
  <si>
    <t>samantha.ward928@example.com</t>
  </si>
  <si>
    <t>288-621-9548</t>
  </si>
  <si>
    <t>Betty Ramos</t>
  </si>
  <si>
    <t>betty.ramos485@example.com</t>
  </si>
  <si>
    <t>214-947-8014</t>
  </si>
  <si>
    <t>Ashley Young</t>
  </si>
  <si>
    <t>ashley.young336@example.com</t>
  </si>
  <si>
    <t>Jennifer Garcia</t>
  </si>
  <si>
    <t>jennifer.garcia482@example.com</t>
  </si>
  <si>
    <t>743-603-8852</t>
  </si>
  <si>
    <t>Rachel Gonzalez</t>
  </si>
  <si>
    <t>rachel.gonzalez464@example.com</t>
  </si>
  <si>
    <t>285-771-1203</t>
  </si>
  <si>
    <t>Jason Ramirez</t>
  </si>
  <si>
    <t>jason.ramirez136@example.com</t>
  </si>
  <si>
    <t>444-863-2486</t>
  </si>
  <si>
    <t>Kathleen Bennett</t>
  </si>
  <si>
    <t>kathleen.bennett313@example.com</t>
  </si>
  <si>
    <t>784-965-1399</t>
  </si>
  <si>
    <t>Cynthia Moore</t>
  </si>
  <si>
    <t>cynthia.moore896@example.com</t>
  </si>
  <si>
    <t>579-841-8607</t>
  </si>
  <si>
    <t>samantha.smith882@example.com</t>
  </si>
  <si>
    <t>907-540-9698</t>
  </si>
  <si>
    <t>Donna Diaz</t>
  </si>
  <si>
    <t>donna.diaz771@example.com</t>
  </si>
  <si>
    <t>901-282-6500</t>
  </si>
  <si>
    <t>Linda Rogers</t>
  </si>
  <si>
    <t>linda.rogers969@example.com</t>
  </si>
  <si>
    <t>313-592-6989</t>
  </si>
  <si>
    <t>Emma Garcia</t>
  </si>
  <si>
    <t>emma.garcia375@example.com</t>
  </si>
  <si>
    <t>863-772-2097</t>
  </si>
  <si>
    <t>Mark Moore</t>
  </si>
  <si>
    <t>mark.moore343@example.com</t>
  </si>
  <si>
    <t>864-689-4437</t>
  </si>
  <si>
    <t>Donald Adams</t>
  </si>
  <si>
    <t>donald.adams362@example.com</t>
  </si>
  <si>
    <t>896-633-5540</t>
  </si>
  <si>
    <t>William Mitchell</t>
  </si>
  <si>
    <t>william.mitchell354@example.com</t>
  </si>
  <si>
    <t>Stephen Gray</t>
  </si>
  <si>
    <t>stephen.gray846@example.com</t>
  </si>
  <si>
    <t>835-576-2075</t>
  </si>
  <si>
    <t>jacob.lopez83@example.com</t>
  </si>
  <si>
    <t>495-278-2791</t>
  </si>
  <si>
    <t>Emily Anderson</t>
  </si>
  <si>
    <t>emily.anderson714@example.com</t>
  </si>
  <si>
    <t>354-409-9530</t>
  </si>
  <si>
    <t>John Nguyen</t>
  </si>
  <si>
    <t>john.nguyen427@example.com</t>
  </si>
  <si>
    <t>555-630-8272</t>
  </si>
  <si>
    <t>Gregory Williams</t>
  </si>
  <si>
    <t>gregory.williams299@example.com</t>
  </si>
  <si>
    <t>222-437-9513</t>
  </si>
  <si>
    <t>Brian Evans</t>
  </si>
  <si>
    <t>brian.evans593@example.com</t>
  </si>
  <si>
    <t>697-807-9686</t>
  </si>
  <si>
    <t>Larry Cruz</t>
  </si>
  <si>
    <t>larry.cruz469@example.com</t>
  </si>
  <si>
    <t>513-375-5259</t>
  </si>
  <si>
    <t>kathleen.mitchell995@example.com</t>
  </si>
  <si>
    <t>351-561-5659</t>
  </si>
  <si>
    <t>Nancy Richardson</t>
  </si>
  <si>
    <t>nancy.richardson947@example.com</t>
  </si>
  <si>
    <t>492-386-3873</t>
  </si>
  <si>
    <t>Patrick Bennett</t>
  </si>
  <si>
    <t>patrick.bennett814@example.com</t>
  </si>
  <si>
    <t>443-319-1674</t>
  </si>
  <si>
    <t>Brenda Taylor</t>
  </si>
  <si>
    <t>brenda.taylor452@example.com</t>
  </si>
  <si>
    <t>388-410-1568</t>
  </si>
  <si>
    <t>kevin.hall152@example.com</t>
  </si>
  <si>
    <t>752-366-9743</t>
  </si>
  <si>
    <t>jessica.brown415@example.com</t>
  </si>
  <si>
    <t>669-527-3556</t>
  </si>
  <si>
    <t>Helen Cook</t>
  </si>
  <si>
    <t>helen.cook340@example.com</t>
  </si>
  <si>
    <t>496-972-3409</t>
  </si>
  <si>
    <t>Justin Cruz</t>
  </si>
  <si>
    <t>justin.cruz347@example.com</t>
  </si>
  <si>
    <t>241-342-2914</t>
  </si>
  <si>
    <t>Patricia Phillips</t>
  </si>
  <si>
    <t>patricia.phillips633@example.com</t>
  </si>
  <si>
    <t>Nicole Chavez</t>
  </si>
  <si>
    <t>nicole.chavez200@example.com</t>
  </si>
  <si>
    <t>400-223-2369</t>
  </si>
  <si>
    <t>Sharon Gray</t>
  </si>
  <si>
    <t>sharon.gray688@example.com</t>
  </si>
  <si>
    <t>603-399-9035</t>
  </si>
  <si>
    <t>nicole.cox524@example.com</t>
  </si>
  <si>
    <t>607-351-8006</t>
  </si>
  <si>
    <t>deborah.mitchell13@example.com</t>
  </si>
  <si>
    <t>559-515-8300</t>
  </si>
  <si>
    <t>Barbara Ramirez</t>
  </si>
  <si>
    <t>barbara.ramirez746@example.com</t>
  </si>
  <si>
    <t>653-495-3683</t>
  </si>
  <si>
    <t>Jeffrey Turner</t>
  </si>
  <si>
    <t>jeffrey.turner143@example.com</t>
  </si>
  <si>
    <t>412-510-8776</t>
  </si>
  <si>
    <t>Brian Rodriguez</t>
  </si>
  <si>
    <t>brian.rodriguez956@example.com</t>
  </si>
  <si>
    <t>206-619-5478</t>
  </si>
  <si>
    <t>Matthew Bailey</t>
  </si>
  <si>
    <t>matthew.bailey474@example.com</t>
  </si>
  <si>
    <t>390-590-5742</t>
  </si>
  <si>
    <t>Nicholas Garcia</t>
  </si>
  <si>
    <t>nicholas.garcia843@example.com</t>
  </si>
  <si>
    <t>705-772-8593</t>
  </si>
  <si>
    <t>Patricia Smith</t>
  </si>
  <si>
    <t>patricia.smith158@example.com</t>
  </si>
  <si>
    <t>855-851-8742</t>
  </si>
  <si>
    <t>Katherine Bennett</t>
  </si>
  <si>
    <t>katherine.bennett915@example.com</t>
  </si>
  <si>
    <t>383-703-5009</t>
  </si>
  <si>
    <t>Jessica Scott</t>
  </si>
  <si>
    <t>jessica.scott505@example.com</t>
  </si>
  <si>
    <t>795-692-8144</t>
  </si>
  <si>
    <t>Samuel Mendoza</t>
  </si>
  <si>
    <t>samuel.mendoza488@example.com</t>
  </si>
  <si>
    <t>724-950-1287</t>
  </si>
  <si>
    <t>kimberly.lee596@example.com</t>
  </si>
  <si>
    <t>527-672-3219</t>
  </si>
  <si>
    <t>Daniel Miller</t>
  </si>
  <si>
    <t>daniel.miller280@example.com</t>
  </si>
  <si>
    <t>851-564-1798</t>
  </si>
  <si>
    <t>Donna Ortiz</t>
  </si>
  <si>
    <t>donna.ortiz655@example.com</t>
  </si>
  <si>
    <t>Richard Kim</t>
  </si>
  <si>
    <t>richard.kim771@example.com</t>
  </si>
  <si>
    <t>523-901-5932</t>
  </si>
  <si>
    <t>Debra Hughes</t>
  </si>
  <si>
    <t>debra.hughes705@example.com</t>
  </si>
  <si>
    <t>747-793-6761</t>
  </si>
  <si>
    <t>Charles Johnson</t>
  </si>
  <si>
    <t>charles.johnson141@example.com</t>
  </si>
  <si>
    <t>997-696-7750</t>
  </si>
  <si>
    <t>daniel.wilson224@example.com</t>
  </si>
  <si>
    <t>426-392-9612</t>
  </si>
  <si>
    <t>Stephen Peterson</t>
  </si>
  <si>
    <t>stephen.peterson720@example.com</t>
  </si>
  <si>
    <t>671-278-2909</t>
  </si>
  <si>
    <t>Thomas Williams</t>
  </si>
  <si>
    <t>thomas.williams492@example.com</t>
  </si>
  <si>
    <t>907-571-3277</t>
  </si>
  <si>
    <t>Ryan Kim</t>
  </si>
  <si>
    <t>ryan.kim536@example.com</t>
  </si>
  <si>
    <t>926-511-1471</t>
  </si>
  <si>
    <t>Jessica Lewis</t>
  </si>
  <si>
    <t>jessica.lewis132@example.com</t>
  </si>
  <si>
    <t>514-328-4438</t>
  </si>
  <si>
    <t>David Diaz</t>
  </si>
  <si>
    <t>david.diaz708@example.com</t>
  </si>
  <si>
    <t>219-993-8934</t>
  </si>
  <si>
    <t>Laura Garcia</t>
  </si>
  <si>
    <t>laura.garcia202@example.com</t>
  </si>
  <si>
    <t>875-725-1971</t>
  </si>
  <si>
    <t>Jessica Allen</t>
  </si>
  <si>
    <t>jessica.allen45@example.com</t>
  </si>
  <si>
    <t>883-210-2581</t>
  </si>
  <si>
    <t>Jessica Cox</t>
  </si>
  <si>
    <t>jessica.cox211@example.com</t>
  </si>
  <si>
    <t>886-559-1479</t>
  </si>
  <si>
    <t>Charles Scott</t>
  </si>
  <si>
    <t>charles.scott972@example.com</t>
  </si>
  <si>
    <t>364-712-4962</t>
  </si>
  <si>
    <t>Justin Rodriguez</t>
  </si>
  <si>
    <t>justin.rodriguez102@example.com</t>
  </si>
  <si>
    <t>422-932-4138</t>
  </si>
  <si>
    <t>Nancy Morgan</t>
  </si>
  <si>
    <t>nancy.morgan5@example.com</t>
  </si>
  <si>
    <t>716-924-8777</t>
  </si>
  <si>
    <t>rachel.ramos190@example.com</t>
  </si>
  <si>
    <t>385-563-7219</t>
  </si>
  <si>
    <t>betty.rogers234@example.com</t>
  </si>
  <si>
    <t>979-521-3025</t>
  </si>
  <si>
    <t>Joseph Gutierrez</t>
  </si>
  <si>
    <t>joseph.gutierrez140@example.com</t>
  </si>
  <si>
    <t>921-495-1665</t>
  </si>
  <si>
    <t>Dorothy Murphy</t>
  </si>
  <si>
    <t>dorothy.murphy119@example.com</t>
  </si>
  <si>
    <t>667-814-6111</t>
  </si>
  <si>
    <t>Ryan Lewis</t>
  </si>
  <si>
    <t>ryan.lewis568@example.com</t>
  </si>
  <si>
    <t>638-393-2140</t>
  </si>
  <si>
    <t>Gary Gray</t>
  </si>
  <si>
    <t>gary.gray377@example.com</t>
  </si>
  <si>
    <t>890-703-2723</t>
  </si>
  <si>
    <t>Ryan Gutierrez</t>
  </si>
  <si>
    <t>ryan.gutierrez675@example.com</t>
  </si>
  <si>
    <t>346-604-7563</t>
  </si>
  <si>
    <t>Pamela Wilson</t>
  </si>
  <si>
    <t>pamela.wilson760@example.com</t>
  </si>
  <si>
    <t>572-403-6548</t>
  </si>
  <si>
    <t>Brandon Phillips</t>
  </si>
  <si>
    <t>brandon.phillips126@example.com</t>
  </si>
  <si>
    <t>942-711-5563</t>
  </si>
  <si>
    <t>Scott Ramos</t>
  </si>
  <si>
    <t>scott.ramos280@example.com</t>
  </si>
  <si>
    <t>687-882-7626</t>
  </si>
  <si>
    <t>shirley.scott151@example.com</t>
  </si>
  <si>
    <t>325-456-9017</t>
  </si>
  <si>
    <t>Sandra Watson</t>
  </si>
  <si>
    <t>sandra.watson966@example.com</t>
  </si>
  <si>
    <t>301-955-1865</t>
  </si>
  <si>
    <t>William Murphy</t>
  </si>
  <si>
    <t>william.murphy695@example.com</t>
  </si>
  <si>
    <t>591-819-6356</t>
  </si>
  <si>
    <t>Kenneth Richardson</t>
  </si>
  <si>
    <t>kenneth.richardson639@example.com</t>
  </si>
  <si>
    <t>876-969-9518</t>
  </si>
  <si>
    <t>Amy Reyes</t>
  </si>
  <si>
    <t>amy.reyes207@example.com</t>
  </si>
  <si>
    <t>Carol Cooper</t>
  </si>
  <si>
    <t>carol.cooper560@example.com</t>
  </si>
  <si>
    <t>640-321-7285</t>
  </si>
  <si>
    <t>Kevin Carter</t>
  </si>
  <si>
    <t>kevin.carter454@example.com</t>
  </si>
  <si>
    <t>233-381-5965</t>
  </si>
  <si>
    <t>Nancy Morales</t>
  </si>
  <si>
    <t>nancy.morales442@example.com</t>
  </si>
  <si>
    <t>932-598-8986</t>
  </si>
  <si>
    <t>joseph.reed692@example.com</t>
  </si>
  <si>
    <t>687-775-3560</t>
  </si>
  <si>
    <t>Linda Gomez</t>
  </si>
  <si>
    <t>linda.gomez270@example.com</t>
  </si>
  <si>
    <t>831-892-6779</t>
  </si>
  <si>
    <t>Joshua Adams</t>
  </si>
  <si>
    <t>joshua.adams63@example.com</t>
  </si>
  <si>
    <t>331-575-6715</t>
  </si>
  <si>
    <t>Scott Brown</t>
  </si>
  <si>
    <t>scott.brown784@example.com</t>
  </si>
  <si>
    <t>299-638-6654</t>
  </si>
  <si>
    <t>Jason Hall</t>
  </si>
  <si>
    <t>jason.hall58@example.com</t>
  </si>
  <si>
    <t>440-863-6113</t>
  </si>
  <si>
    <t>David Ruiz</t>
  </si>
  <si>
    <t>david.ruiz68@example.com</t>
  </si>
  <si>
    <t>545-373-1322</t>
  </si>
  <si>
    <t>Dorothy Jones</t>
  </si>
  <si>
    <t>dorothy.jones472@example.com</t>
  </si>
  <si>
    <t>631-473-1334</t>
  </si>
  <si>
    <t>Gary Ramos</t>
  </si>
  <si>
    <t>gary.ramos23@example.com</t>
  </si>
  <si>
    <t>784-599-6282</t>
  </si>
  <si>
    <t>Richard Morales</t>
  </si>
  <si>
    <t>richard.morales103@example.com</t>
  </si>
  <si>
    <t>708-714-6563</t>
  </si>
  <si>
    <t>benjamin.hill373@example.com</t>
  </si>
  <si>
    <t>708-850-2234</t>
  </si>
  <si>
    <t>Stephen Ramirez</t>
  </si>
  <si>
    <t>stephen.ramirez295@example.com</t>
  </si>
  <si>
    <t>504-787-7586</t>
  </si>
  <si>
    <t>Donald Richardson</t>
  </si>
  <si>
    <t>donald.richardson761@example.com</t>
  </si>
  <si>
    <t>806-544-5478</t>
  </si>
  <si>
    <t>Justin Ortiz</t>
  </si>
  <si>
    <t>justin.ortiz487@example.com</t>
  </si>
  <si>
    <t>555-278-5945</t>
  </si>
  <si>
    <t>Kenneth Parker</t>
  </si>
  <si>
    <t>kenneth.parker680@example.com</t>
  </si>
  <si>
    <t>624-611-5116</t>
  </si>
  <si>
    <t>Shirley Collins</t>
  </si>
  <si>
    <t>shirley.collins688@example.com</t>
  </si>
  <si>
    <t>842-920-9457</t>
  </si>
  <si>
    <t>Brenda Murphy</t>
  </si>
  <si>
    <t>brenda.murphy219@example.com</t>
  </si>
  <si>
    <t>853-745-8106</t>
  </si>
  <si>
    <t>Samuel Davis</t>
  </si>
  <si>
    <t>samuel.davis535@example.com</t>
  </si>
  <si>
    <t>673-351-4938</t>
  </si>
  <si>
    <t>debra.hill865@example.com</t>
  </si>
  <si>
    <t>526-265-4335</t>
  </si>
  <si>
    <t>Jason Wright</t>
  </si>
  <si>
    <t>jason.wright844@example.com</t>
  </si>
  <si>
    <t>462-903-4868</t>
  </si>
  <si>
    <t>Steven Anderson</t>
  </si>
  <si>
    <t>steven.anderson154@example.com</t>
  </si>
  <si>
    <t>451-517-8604</t>
  </si>
  <si>
    <t>Anna Parker</t>
  </si>
  <si>
    <t>anna.parker433@example.com</t>
  </si>
  <si>
    <t>363-479-3235</t>
  </si>
  <si>
    <t>Kimberly Scott</t>
  </si>
  <si>
    <t>kimberly.scott675@example.com</t>
  </si>
  <si>
    <t>939-697-1326</t>
  </si>
  <si>
    <t>David Green</t>
  </si>
  <si>
    <t>david.green617@example.com</t>
  </si>
  <si>
    <t>616-572-2479</t>
  </si>
  <si>
    <t>sarah.walker115@example.com</t>
  </si>
  <si>
    <t>880-794-9605</t>
  </si>
  <si>
    <t>amy.lopez244@example.com</t>
  </si>
  <si>
    <t>537-798-7388</t>
  </si>
  <si>
    <t>Steven Diaz</t>
  </si>
  <si>
    <t>steven.diaz224@example.com</t>
  </si>
  <si>
    <t>379-419-5498</t>
  </si>
  <si>
    <t>Jason Allen</t>
  </si>
  <si>
    <t>jason.allen884@example.com</t>
  </si>
  <si>
    <t>746-583-2850</t>
  </si>
  <si>
    <t>Helen Diaz</t>
  </si>
  <si>
    <t>helen.diaz487@example.com</t>
  </si>
  <si>
    <t>348-571-8786</t>
  </si>
  <si>
    <t>Melissa Flores</t>
  </si>
  <si>
    <t>melissa.flores22@example.com</t>
  </si>
  <si>
    <t>907-887-4926</t>
  </si>
  <si>
    <t>Larry Roberts</t>
  </si>
  <si>
    <t>larry.roberts317@example.com</t>
  </si>
  <si>
    <t>747-442-8248</t>
  </si>
  <si>
    <t>Mary Gomez</t>
  </si>
  <si>
    <t>mary.gomez950@example.com</t>
  </si>
  <si>
    <t>292-974-4857</t>
  </si>
  <si>
    <t>Mark Lee</t>
  </si>
  <si>
    <t>mark.lee938@example.com</t>
  </si>
  <si>
    <t>985-859-7656</t>
  </si>
  <si>
    <t>Robert Scott</t>
  </si>
  <si>
    <t>robert.scott888@example.com</t>
  </si>
  <si>
    <t>682-954-7765</t>
  </si>
  <si>
    <t>Brian Diaz</t>
  </si>
  <si>
    <t>brian.diaz898@example.com</t>
  </si>
  <si>
    <t>915-467-9295</t>
  </si>
  <si>
    <t>Amanda Turner</t>
  </si>
  <si>
    <t>amanda.turner617@example.com</t>
  </si>
  <si>
    <t>911-228-1853</t>
  </si>
  <si>
    <t>Gregory White</t>
  </si>
  <si>
    <t>gregory.white646@example.com</t>
  </si>
  <si>
    <t>203-610-4278</t>
  </si>
  <si>
    <t>michelle.green590@example.com</t>
  </si>
  <si>
    <t>361-455-9460</t>
  </si>
  <si>
    <t>Katherine Taylor</t>
  </si>
  <si>
    <t>katherine.taylor868@example.com</t>
  </si>
  <si>
    <t>662-689-3187</t>
  </si>
  <si>
    <t>Matthew Mendoza</t>
  </si>
  <si>
    <t>matthew.mendoza608@example.com</t>
  </si>
  <si>
    <t>403-286-7791</t>
  </si>
  <si>
    <t>Lisa Gomez</t>
  </si>
  <si>
    <t>lisa.gomez898@example.com</t>
  </si>
  <si>
    <t>221-223-4747</t>
  </si>
  <si>
    <t>Cynthia Sanchez</t>
  </si>
  <si>
    <t>cynthia.sanchez269@example.com</t>
  </si>
  <si>
    <t>610-832-8027</t>
  </si>
  <si>
    <t>Kimberly Martin</t>
  </si>
  <si>
    <t>kimberly.martin92@example.com</t>
  </si>
  <si>
    <t>780-320-1231</t>
  </si>
  <si>
    <t>Angela Parker</t>
  </si>
  <si>
    <t>angela.parker792@example.com</t>
  </si>
  <si>
    <t>321-429-4328</t>
  </si>
  <si>
    <t>Andrew Torres</t>
  </si>
  <si>
    <t>andrew.torres765@example.com</t>
  </si>
  <si>
    <t>333-641-4385</t>
  </si>
  <si>
    <t>Betty Torres</t>
  </si>
  <si>
    <t>betty.torres745@example.com</t>
  </si>
  <si>
    <t>384-618-3391</t>
  </si>
  <si>
    <t>Donna King</t>
  </si>
  <si>
    <t>donna.king242@example.com</t>
  </si>
  <si>
    <t>578-796-8506</t>
  </si>
  <si>
    <t>mary.stewart137@example.com</t>
  </si>
  <si>
    <t>903-417-7283</t>
  </si>
  <si>
    <t>Jeffrey Kim</t>
  </si>
  <si>
    <t>jeffrey.kim263@example.com</t>
  </si>
  <si>
    <t>770-260-1853</t>
  </si>
  <si>
    <t>Steven Stewart</t>
  </si>
  <si>
    <t>steven.stewart931@example.com</t>
  </si>
  <si>
    <t>205-459-9266</t>
  </si>
  <si>
    <t>Ronald Hill</t>
  </si>
  <si>
    <t>ronald.hill405@example.com</t>
  </si>
  <si>
    <t>772-242-3938</t>
  </si>
  <si>
    <t>Nancy Cook</t>
  </si>
  <si>
    <t>nancy.cook505@example.com</t>
  </si>
  <si>
    <t>335-291-6198</t>
  </si>
  <si>
    <t>angela.parker146@example.com</t>
  </si>
  <si>
    <t>520-245-3095</t>
  </si>
  <si>
    <t>Emily Campbell</t>
  </si>
  <si>
    <t>emily.campbell949@example.com</t>
  </si>
  <si>
    <t>469-827-5321</t>
  </si>
  <si>
    <t>Kevin Parker</t>
  </si>
  <si>
    <t>kevin.parker915@example.com</t>
  </si>
  <si>
    <t>954-703-3478</t>
  </si>
  <si>
    <t>Alexander Brooks</t>
  </si>
  <si>
    <t>alexander.brooks818@example.com</t>
  </si>
  <si>
    <t>393-352-1894</t>
  </si>
  <si>
    <t>Lisa Jones</t>
  </si>
  <si>
    <t>lisa.jones482@example.com</t>
  </si>
  <si>
    <t>922-678-8150</t>
  </si>
  <si>
    <t>Amy Garcia</t>
  </si>
  <si>
    <t>amy.garcia453@example.com</t>
  </si>
  <si>
    <t>668-704-2843</t>
  </si>
  <si>
    <t>Charles Thomas</t>
  </si>
  <si>
    <t>charles.thomas358@example.com</t>
  </si>
  <si>
    <t>490-384-3757</t>
  </si>
  <si>
    <t>Shirley Wright</t>
  </si>
  <si>
    <t>shirley.wright577@example.com</t>
  </si>
  <si>
    <t>738-985-3958</t>
  </si>
  <si>
    <t>Elizabeth Young</t>
  </si>
  <si>
    <t>elizabeth.young787@example.com</t>
  </si>
  <si>
    <t>536-226-5657</t>
  </si>
  <si>
    <t>Debra Thomas</t>
  </si>
  <si>
    <t>debra.thomas404@example.com</t>
  </si>
  <si>
    <t>531-357-1473</t>
  </si>
  <si>
    <t>Jacob James</t>
  </si>
  <si>
    <t>jacob.james492@example.com</t>
  </si>
  <si>
    <t>808-873-1095</t>
  </si>
  <si>
    <t>Jennifer Wood</t>
  </si>
  <si>
    <t>jennifer.wood638@example.com</t>
  </si>
  <si>
    <t>949-951-3118</t>
  </si>
  <si>
    <t>michael.chavez290@example.com</t>
  </si>
  <si>
    <t>961-272-9964</t>
  </si>
  <si>
    <t>Ronald Lopez</t>
  </si>
  <si>
    <t>ronald.lopez409@example.com</t>
  </si>
  <si>
    <t>445-989-7535</t>
  </si>
  <si>
    <t>John Clark</t>
  </si>
  <si>
    <t>john.clark167@example.com</t>
  </si>
  <si>
    <t>491-862-3525</t>
  </si>
  <si>
    <t>Kenneth Morales</t>
  </si>
  <si>
    <t>kenneth.morales821@example.com</t>
  </si>
  <si>
    <t>901-817-3151</t>
  </si>
  <si>
    <t>christine.gonzalez853@example.com</t>
  </si>
  <si>
    <t>404-701-8298</t>
  </si>
  <si>
    <t>Gary Wright</t>
  </si>
  <si>
    <t>gary.wright577@example.com</t>
  </si>
  <si>
    <t>974-632-7033</t>
  </si>
  <si>
    <t>Lisa Parker</t>
  </si>
  <si>
    <t>lisa.parker646@example.com</t>
  </si>
  <si>
    <t>241-725-6599</t>
  </si>
  <si>
    <t>Frank Lewis</t>
  </si>
  <si>
    <t>frank.lewis664@example.com</t>
  </si>
  <si>
    <t>739-844-9596</t>
  </si>
  <si>
    <t>Donna Reyes</t>
  </si>
  <si>
    <t>donna.reyes448@example.com</t>
  </si>
  <si>
    <t>507-352-3093</t>
  </si>
  <si>
    <t>Kenneth Young</t>
  </si>
  <si>
    <t>kenneth.young536@example.com</t>
  </si>
  <si>
    <t>782-248-2253</t>
  </si>
  <si>
    <t>Shirley Wilson</t>
  </si>
  <si>
    <t>shirley.wilson523@example.com</t>
  </si>
  <si>
    <t>296-675-5151</t>
  </si>
  <si>
    <t>Paul Howard</t>
  </si>
  <si>
    <t>paul.howard84@example.com</t>
  </si>
  <si>
    <t>958-877-8583</t>
  </si>
  <si>
    <t>lisa.gomez47@example.com</t>
  </si>
  <si>
    <t>921-504-6143</t>
  </si>
  <si>
    <t>Jacob Bennett</t>
  </si>
  <si>
    <t>jacob.bennett461@example.com</t>
  </si>
  <si>
    <t>Nicole King</t>
  </si>
  <si>
    <t>nicole.king893@example.com</t>
  </si>
  <si>
    <t>747-218-1095</t>
  </si>
  <si>
    <t>Joseph Johnson</t>
  </si>
  <si>
    <t>joseph.johnson176@example.com</t>
  </si>
  <si>
    <t>908-614-8974</t>
  </si>
  <si>
    <t>Emma Ward</t>
  </si>
  <si>
    <t>emma.ward370@example.com</t>
  </si>
  <si>
    <t>289-328-3213</t>
  </si>
  <si>
    <t>Anthony Anderson</t>
  </si>
  <si>
    <t>anthony.anderson836@example.com</t>
  </si>
  <si>
    <t>Charles Wood</t>
  </si>
  <si>
    <t>charles.wood248@example.com</t>
  </si>
  <si>
    <t>288-508-8592</t>
  </si>
  <si>
    <t>Gary Diaz</t>
  </si>
  <si>
    <t>gary.diaz23@example.com</t>
  </si>
  <si>
    <t>356-956-8295</t>
  </si>
  <si>
    <t>Gary Williams</t>
  </si>
  <si>
    <t>gary.williams881@example.com</t>
  </si>
  <si>
    <t>406-501-7418</t>
  </si>
  <si>
    <t>Brian Johnson</t>
  </si>
  <si>
    <t>brian.johnson106@example.com</t>
  </si>
  <si>
    <t>707-954-5764</t>
  </si>
  <si>
    <t>Nicholas Phillips</t>
  </si>
  <si>
    <t>nicholas.phillips498@example.com</t>
  </si>
  <si>
    <t>931-262-9655</t>
  </si>
  <si>
    <t>Jeffrey Kelly</t>
  </si>
  <si>
    <t>jeffrey.kelly324@example.com</t>
  </si>
  <si>
    <t>863-627-8755</t>
  </si>
  <si>
    <t>Amy Richardson</t>
  </si>
  <si>
    <t>amy.richardson962@example.com</t>
  </si>
  <si>
    <t>914-646-1340</t>
  </si>
  <si>
    <t>Joshua Harris</t>
  </si>
  <si>
    <t>joshua.harris481@example.com</t>
  </si>
  <si>
    <t>437-719-4599</t>
  </si>
  <si>
    <t>Debra Baker</t>
  </si>
  <si>
    <t>debra.baker944@example.com</t>
  </si>
  <si>
    <t>500-940-7395</t>
  </si>
  <si>
    <t>Frank Wood</t>
  </si>
  <si>
    <t>frank.wood753@example.com</t>
  </si>
  <si>
    <t>365-836-4394</t>
  </si>
  <si>
    <t>patrick.lopez684@example.com</t>
  </si>
  <si>
    <t>377-404-3561</t>
  </si>
  <si>
    <t>Nicholas Gonzalez</t>
  </si>
  <si>
    <t>nicholas.gonzalez813@example.com</t>
  </si>
  <si>
    <t>510-440-4431</t>
  </si>
  <si>
    <t>Michael Williams</t>
  </si>
  <si>
    <t>michael.williams368@example.com</t>
  </si>
  <si>
    <t>893-362-3862</t>
  </si>
  <si>
    <t>Eric Jones</t>
  </si>
  <si>
    <t>eric.jones827@example.com</t>
  </si>
  <si>
    <t>640-316-4714</t>
  </si>
  <si>
    <t>Anna Lewis</t>
  </si>
  <si>
    <t>anna.lewis499@example.com</t>
  </si>
  <si>
    <t>563-987-1764</t>
  </si>
  <si>
    <t>Anna Wright</t>
  </si>
  <si>
    <t>anna.wright918@example.com</t>
  </si>
  <si>
    <t>818-885-2706</t>
  </si>
  <si>
    <t>Michael Cruz</t>
  </si>
  <si>
    <t>michael.cruz819@example.com</t>
  </si>
  <si>
    <t>308-825-2669</t>
  </si>
  <si>
    <t>Anna Garcia</t>
  </si>
  <si>
    <t>anna.garcia520@example.com</t>
  </si>
  <si>
    <t>845-320-4365</t>
  </si>
  <si>
    <t>Daniel Nguyen</t>
  </si>
  <si>
    <t>daniel.nguyen726@example.com</t>
  </si>
  <si>
    <t>710-950-2626</t>
  </si>
  <si>
    <t>gregory.campbell343@example.com</t>
  </si>
  <si>
    <t>406-649-7811</t>
  </si>
  <si>
    <t>James Young</t>
  </si>
  <si>
    <t>james.young855@example.com</t>
  </si>
  <si>
    <t>Andrew Mitchell</t>
  </si>
  <si>
    <t>andrew.mitchell733@example.com</t>
  </si>
  <si>
    <t>844-880-5021</t>
  </si>
  <si>
    <t>Angela Turner</t>
  </si>
  <si>
    <t>angela.turner807@example.com</t>
  </si>
  <si>
    <t>639-623-7706</t>
  </si>
  <si>
    <t>Jonathan Mendoza</t>
  </si>
  <si>
    <t>jonathan.mendoza371@example.com</t>
  </si>
  <si>
    <t>349-988-1162</t>
  </si>
  <si>
    <t>Jonathan Rodriguez</t>
  </si>
  <si>
    <t>jonathan.rodriguez87@example.com</t>
  </si>
  <si>
    <t>611-990-3692</t>
  </si>
  <si>
    <t>linda.gomez778@example.com</t>
  </si>
  <si>
    <t>788-259-9516</t>
  </si>
  <si>
    <t>Rebecca Phillips</t>
  </si>
  <si>
    <t>rebecca.phillips908@example.com</t>
  </si>
  <si>
    <t>552-208-5583</t>
  </si>
  <si>
    <t>Benjamin Jackson</t>
  </si>
  <si>
    <t>benjamin.jackson718@example.com</t>
  </si>
  <si>
    <t>859-410-9919</t>
  </si>
  <si>
    <t>Emma Wood</t>
  </si>
  <si>
    <t>emma.wood453@example.com</t>
  </si>
  <si>
    <t>994-402-5940</t>
  </si>
  <si>
    <t>robert.morgan343@example.com</t>
  </si>
  <si>
    <t>732-753-5651</t>
  </si>
  <si>
    <t>Barbara Rogers</t>
  </si>
  <si>
    <t>barbara.rogers566@example.com</t>
  </si>
  <si>
    <t>548-975-3621</t>
  </si>
  <si>
    <t>Patricia Cooper</t>
  </si>
  <si>
    <t>patricia.cooper607@example.com</t>
  </si>
  <si>
    <t>992-511-7926</t>
  </si>
  <si>
    <t>Joseph Davis</t>
  </si>
  <si>
    <t>joseph.davis862@example.com</t>
  </si>
  <si>
    <t>842-719-6807</t>
  </si>
  <si>
    <t>Michael Wood</t>
  </si>
  <si>
    <t>michael.wood964@example.com</t>
  </si>
  <si>
    <t>505-786-1085</t>
  </si>
  <si>
    <t>Carol Walker</t>
  </si>
  <si>
    <t>carol.walker825@example.com</t>
  </si>
  <si>
    <t>506-491-3293</t>
  </si>
  <si>
    <t>Ronald Gutierrez</t>
  </si>
  <si>
    <t>ronald.gutierrez756@example.com</t>
  </si>
  <si>
    <t>535-728-4154</t>
  </si>
  <si>
    <t>Edward Collins</t>
  </si>
  <si>
    <t>edward.collins101@example.com</t>
  </si>
  <si>
    <t>621-283-2511</t>
  </si>
  <si>
    <t>Jeffrey Taylor</t>
  </si>
  <si>
    <t>jeffrey.taylor488@example.com</t>
  </si>
  <si>
    <t>279-578-9622</t>
  </si>
  <si>
    <t>Pamela Bailey</t>
  </si>
  <si>
    <t>pamela.bailey532@example.com</t>
  </si>
  <si>
    <t>798-710-7937</t>
  </si>
  <si>
    <t>patrick.morales750@example.com</t>
  </si>
  <si>
    <t>347-717-3082</t>
  </si>
  <si>
    <t>Jacob Taylor</t>
  </si>
  <si>
    <t>jacob.taylor992@example.com</t>
  </si>
  <si>
    <t>666-684-1534</t>
  </si>
  <si>
    <t>Daniel Bailey</t>
  </si>
  <si>
    <t>daniel.bailey379@example.com</t>
  </si>
  <si>
    <t>312-323-7055</t>
  </si>
  <si>
    <t>Donna Garcia</t>
  </si>
  <si>
    <t>donna.garcia536@example.com</t>
  </si>
  <si>
    <t>580-512-7135</t>
  </si>
  <si>
    <t>Donna Morales</t>
  </si>
  <si>
    <t>donna.morales29@example.com</t>
  </si>
  <si>
    <t>803-631-1797</t>
  </si>
  <si>
    <t>Joshua Ramirez</t>
  </si>
  <si>
    <t>joshua.ramirez188@example.com</t>
  </si>
  <si>
    <t>325-760-6712</t>
  </si>
  <si>
    <t>Jennifer Turner</t>
  </si>
  <si>
    <t>jennifer.turner493@example.com</t>
  </si>
  <si>
    <t>545-586-8786</t>
  </si>
  <si>
    <t>nicole.taylor781@example.com</t>
  </si>
  <si>
    <t>851-671-8371</t>
  </si>
  <si>
    <t>Sharon Martin</t>
  </si>
  <si>
    <t>sharon.martin888@example.com</t>
  </si>
  <si>
    <t>839-880-7711</t>
  </si>
  <si>
    <t>Sandra Gomez</t>
  </si>
  <si>
    <t>sandra.gomez348@example.com</t>
  </si>
  <si>
    <t>953-484-2450</t>
  </si>
  <si>
    <t>Patricia Kelly</t>
  </si>
  <si>
    <t>patricia.kelly646@example.com</t>
  </si>
  <si>
    <t>859-772-2395</t>
  </si>
  <si>
    <t>Emma Cooper</t>
  </si>
  <si>
    <t>emma.cooper591@example.com</t>
  </si>
  <si>
    <t>393-968-8796</t>
  </si>
  <si>
    <t>John Thomas</t>
  </si>
  <si>
    <t>john.thomas675@example.com</t>
  </si>
  <si>
    <t>481-410-5018</t>
  </si>
  <si>
    <t>Scott Cruz</t>
  </si>
  <si>
    <t>scott.cruz87@example.com</t>
  </si>
  <si>
    <t>803-246-9052</t>
  </si>
  <si>
    <t>Carol Parker</t>
  </si>
  <si>
    <t>carol.parker185@example.com</t>
  </si>
  <si>
    <t>740-524-7258</t>
  </si>
  <si>
    <t>Barbara Anderson</t>
  </si>
  <si>
    <t>barbara.anderson102@example.com</t>
  </si>
  <si>
    <t>347-387-5187</t>
  </si>
  <si>
    <t>Barbara Martin</t>
  </si>
  <si>
    <t>barbara.martin315@example.com</t>
  </si>
  <si>
    <t>260-829-6329</t>
  </si>
  <si>
    <t>Patricia Davis</t>
  </si>
  <si>
    <t>patricia.davis306@example.com</t>
  </si>
  <si>
    <t>527-345-7763</t>
  </si>
  <si>
    <t>Kimberly Carter</t>
  </si>
  <si>
    <t>kimberly.carter965@example.com</t>
  </si>
  <si>
    <t>407-445-4874</t>
  </si>
  <si>
    <t>Shirley Cook</t>
  </si>
  <si>
    <t>shirley.cook395@example.com</t>
  </si>
  <si>
    <t>262-525-8615</t>
  </si>
  <si>
    <t>Jason Rodriguez</t>
  </si>
  <si>
    <t>jason.rodriguez496@example.com</t>
  </si>
  <si>
    <t>848-439-1305</t>
  </si>
  <si>
    <t>Larry Ramos</t>
  </si>
  <si>
    <t>larry.ramos692@example.com</t>
  </si>
  <si>
    <t>981-768-3057</t>
  </si>
  <si>
    <t>Justin Evans</t>
  </si>
  <si>
    <t>justin.evans457@example.com</t>
  </si>
  <si>
    <t>408-345-7116</t>
  </si>
  <si>
    <t>nancy.young551@example.com</t>
  </si>
  <si>
    <t>242-201-8612</t>
  </si>
  <si>
    <t>emma.nguyen669@example.com</t>
  </si>
  <si>
    <t>261-693-5477</t>
  </si>
  <si>
    <t>Paul Mendoza</t>
  </si>
  <si>
    <t>paul.mendoza390@example.com</t>
  </si>
  <si>
    <t>799-722-5609</t>
  </si>
  <si>
    <t>Daniel Morgan</t>
  </si>
  <si>
    <t>daniel.morgan577@example.com</t>
  </si>
  <si>
    <t>291-604-3014</t>
  </si>
  <si>
    <t>Sarah Bailey</t>
  </si>
  <si>
    <t>sarah.bailey287@example.com</t>
  </si>
  <si>
    <t>825-716-6215</t>
  </si>
  <si>
    <t>Carol Brooks</t>
  </si>
  <si>
    <t>carol.brooks268@example.com</t>
  </si>
  <si>
    <t>451-878-6269</t>
  </si>
  <si>
    <t>Mark Collins</t>
  </si>
  <si>
    <t>mark.collins983@example.com</t>
  </si>
  <si>
    <t>Gary Smith</t>
  </si>
  <si>
    <t>gary.smith924@example.com</t>
  </si>
  <si>
    <t>623-769-9011</t>
  </si>
  <si>
    <t>Timothy Morgan</t>
  </si>
  <si>
    <t>timothy.morgan84@example.com</t>
  </si>
  <si>
    <t>887-655-3022</t>
  </si>
  <si>
    <t>Ronald Kim</t>
  </si>
  <si>
    <t>ronald.kim367@example.com</t>
  </si>
  <si>
    <t>986-913-1138</t>
  </si>
  <si>
    <t>Cynthia Mitchell</t>
  </si>
  <si>
    <t>cynthia.mitchell959@example.com</t>
  </si>
  <si>
    <t>209-426-1324</t>
  </si>
  <si>
    <t>Emily Mendoza</t>
  </si>
  <si>
    <t>emily.mendoza944@example.com</t>
  </si>
  <si>
    <t>292-828-5967</t>
  </si>
  <si>
    <t>Donald Robinson</t>
  </si>
  <si>
    <t>donald.robinson506@example.com</t>
  </si>
  <si>
    <t>487-704-4425</t>
  </si>
  <si>
    <t>margaret.brooks406@example.com</t>
  </si>
  <si>
    <t>782-712-9093</t>
  </si>
  <si>
    <t>Larry Harris</t>
  </si>
  <si>
    <t>larry.harris676@example.com</t>
  </si>
  <si>
    <t>802-331-2065</t>
  </si>
  <si>
    <t>Kimberly Reed</t>
  </si>
  <si>
    <t>kimberly.reed877@example.com</t>
  </si>
  <si>
    <t>946-480-4143</t>
  </si>
  <si>
    <t>Frank Williams</t>
  </si>
  <si>
    <t>frank.williams994@example.com</t>
  </si>
  <si>
    <t>202-637-1849</t>
  </si>
  <si>
    <t>Dorothy Parker</t>
  </si>
  <si>
    <t>dorothy.parker865@example.com</t>
  </si>
  <si>
    <t>324-896-9491</t>
  </si>
  <si>
    <t>Amy Campbell</t>
  </si>
  <si>
    <t>amy.campbell530@example.com</t>
  </si>
  <si>
    <t>248-484-7882</t>
  </si>
  <si>
    <t>Sharon Green</t>
  </si>
  <si>
    <t>sharon.green6@example.com</t>
  </si>
  <si>
    <t>542-283-1415</t>
  </si>
  <si>
    <t>Donald Ruiz</t>
  </si>
  <si>
    <t>donald.ruiz434@example.com</t>
  </si>
  <si>
    <t>401-368-6394</t>
  </si>
  <si>
    <t>William Watson</t>
  </si>
  <si>
    <t>william.watson641@example.com</t>
  </si>
  <si>
    <t>691-642-1393</t>
  </si>
  <si>
    <t>Samuel Nelson</t>
  </si>
  <si>
    <t>samuel.nelson861@example.com</t>
  </si>
  <si>
    <t>310-684-4905</t>
  </si>
  <si>
    <t>Michael Nelson</t>
  </si>
  <si>
    <t>michael.nelson533@example.com</t>
  </si>
  <si>
    <t>994-814-8184</t>
  </si>
  <si>
    <t>richard.watson458@example.com</t>
  </si>
  <si>
    <t>262-234-7183</t>
  </si>
  <si>
    <t>Patrick Rodriguez</t>
  </si>
  <si>
    <t>patrick.rodriguez802@example.com</t>
  </si>
  <si>
    <t>Samuel Parker</t>
  </si>
  <si>
    <t>samuel.parker68@example.com</t>
  </si>
  <si>
    <t>772-253-5831</t>
  </si>
  <si>
    <t>Ronald Phillips</t>
  </si>
  <si>
    <t>ronald.phillips99@example.com</t>
  </si>
  <si>
    <t>813-875-1173</t>
  </si>
  <si>
    <t>Deborah Reyes</t>
  </si>
  <si>
    <t>deborah.reyes815@example.com</t>
  </si>
  <si>
    <t>547-866-1425</t>
  </si>
  <si>
    <t>Jonathan Nelson</t>
  </si>
  <si>
    <t>jonathan.nelson602@example.com</t>
  </si>
  <si>
    <t>305-212-2106</t>
  </si>
  <si>
    <t>Anthony Kelly</t>
  </si>
  <si>
    <t>anthony.kelly130@example.com</t>
  </si>
  <si>
    <t>631-692-8284</t>
  </si>
  <si>
    <t>Ashley Moore</t>
  </si>
  <si>
    <t>ashley.moore817@example.com</t>
  </si>
  <si>
    <t>330-519-8140</t>
  </si>
  <si>
    <t>Katherine Rivera</t>
  </si>
  <si>
    <t>katherine.rivera319@example.com</t>
  </si>
  <si>
    <t>680-516-6618</t>
  </si>
  <si>
    <t>Melissa Johnson</t>
  </si>
  <si>
    <t>melissa.johnson531@example.com</t>
  </si>
  <si>
    <t>443-719-1894</t>
  </si>
  <si>
    <t>George Sanchez</t>
  </si>
  <si>
    <t>george.sanchez206@example.com</t>
  </si>
  <si>
    <t>549-393-8794</t>
  </si>
  <si>
    <t>Patrick Reyes</t>
  </si>
  <si>
    <t>patrick.reyes615@example.com</t>
  </si>
  <si>
    <t>830-506-7859</t>
  </si>
  <si>
    <t>daniel.wilson466@example.com</t>
  </si>
  <si>
    <t>424-203-4654</t>
  </si>
  <si>
    <t>Sandra Reyes</t>
  </si>
  <si>
    <t>sandra.reyes639@example.com</t>
  </si>
  <si>
    <t>692-952-6431</t>
  </si>
  <si>
    <t>Ronald Clark</t>
  </si>
  <si>
    <t>ronald.clark410@example.com</t>
  </si>
  <si>
    <t>571-210-2208</t>
  </si>
  <si>
    <t>patricia.bailey118@example.com</t>
  </si>
  <si>
    <t>650-399-6896</t>
  </si>
  <si>
    <t>Patricia Sanchez</t>
  </si>
  <si>
    <t>patricia.sanchez203@example.com</t>
  </si>
  <si>
    <t>424-468-3855</t>
  </si>
  <si>
    <t>Larry Young</t>
  </si>
  <si>
    <t>larry.young183@example.com</t>
  </si>
  <si>
    <t>380-468-2657</t>
  </si>
  <si>
    <t>Frank Moore</t>
  </si>
  <si>
    <t>frank.moore389@example.com</t>
  </si>
  <si>
    <t>415-512-8474</t>
  </si>
  <si>
    <t>Melissa Mitchell</t>
  </si>
  <si>
    <t>melissa.mitchell677@example.com</t>
  </si>
  <si>
    <t>838-644-2071</t>
  </si>
  <si>
    <t>Charles Taylor</t>
  </si>
  <si>
    <t>charles.taylor814@example.com</t>
  </si>
  <si>
    <t>745-587-7131</t>
  </si>
  <si>
    <t>Brandon Diaz</t>
  </si>
  <si>
    <t>brandon.diaz652@example.com</t>
  </si>
  <si>
    <t>981-830-4098</t>
  </si>
  <si>
    <t>Stephen Nguyen</t>
  </si>
  <si>
    <t>stephen.nguyen809@example.com</t>
  </si>
  <si>
    <t>Shirley Howard</t>
  </si>
  <si>
    <t>shirley.howard908@example.com</t>
  </si>
  <si>
    <t>944-283-8711</t>
  </si>
  <si>
    <t>Alexander Ward</t>
  </si>
  <si>
    <t>alexander.ward67@example.com</t>
  </si>
  <si>
    <t>597-969-9342</t>
  </si>
  <si>
    <t>Amy Gutierrez</t>
  </si>
  <si>
    <t>amy.gutierrez476@example.com</t>
  </si>
  <si>
    <t>929-582-9609</t>
  </si>
  <si>
    <t>Kathleen Murphy</t>
  </si>
  <si>
    <t>kathleen.murphy486@example.com</t>
  </si>
  <si>
    <t>853-797-1599</t>
  </si>
  <si>
    <t>Donald Sanchez</t>
  </si>
  <si>
    <t>donald.sanchez463@example.com</t>
  </si>
  <si>
    <t>423-513-7963</t>
  </si>
  <si>
    <t>Brenda Lee</t>
  </si>
  <si>
    <t>brenda.lee958@example.com</t>
  </si>
  <si>
    <t>David Nguyen</t>
  </si>
  <si>
    <t>david.nguyen456@example.com</t>
  </si>
  <si>
    <t>797-242-8622</t>
  </si>
  <si>
    <t>Emma Baker</t>
  </si>
  <si>
    <t>emma.baker437@example.com</t>
  </si>
  <si>
    <t>642-618-7021</t>
  </si>
  <si>
    <t>Amy Green</t>
  </si>
  <si>
    <t>amy.green280@example.com</t>
  </si>
  <si>
    <t>383-652-4830</t>
  </si>
  <si>
    <t>Gregory Martinez</t>
  </si>
  <si>
    <t>gregory.martinez368@example.com</t>
  </si>
  <si>
    <t>713-725-9956</t>
  </si>
  <si>
    <t>David Scott</t>
  </si>
  <si>
    <t>david.scott949@example.com</t>
  </si>
  <si>
    <t>321-273-6902</t>
  </si>
  <si>
    <t>Helen Sanchez</t>
  </si>
  <si>
    <t>helen.sanchez342@example.com</t>
  </si>
  <si>
    <t>456-509-5496</t>
  </si>
  <si>
    <t>Nicole Moore</t>
  </si>
  <si>
    <t>nicole.moore876@example.com</t>
  </si>
  <si>
    <t>988-506-5617</t>
  </si>
  <si>
    <t>George Phillips</t>
  </si>
  <si>
    <t>george.phillips969@example.com</t>
  </si>
  <si>
    <t>683-869-9399</t>
  </si>
  <si>
    <t>Karen Gomez</t>
  </si>
  <si>
    <t>karen.gomez234@example.com</t>
  </si>
  <si>
    <t>685-439-9451</t>
  </si>
  <si>
    <t>larry.reyes740@example.com</t>
  </si>
  <si>
    <t>287-520-4077</t>
  </si>
  <si>
    <t>Rachel Turner</t>
  </si>
  <si>
    <t>rachel.turner215@example.com</t>
  </si>
  <si>
    <t>771-230-7139</t>
  </si>
  <si>
    <t>brenda.taylor313@example.com</t>
  </si>
  <si>
    <t>874-563-6567</t>
  </si>
  <si>
    <t>rebecca.diaz703@example.com</t>
  </si>
  <si>
    <t>533-801-1380</t>
  </si>
  <si>
    <t>Robert Moore</t>
  </si>
  <si>
    <t>robert.moore158@example.com</t>
  </si>
  <si>
    <t>590-409-7400</t>
  </si>
  <si>
    <t>Stephen Roberts</t>
  </si>
  <si>
    <t>stephen.roberts193@example.com</t>
  </si>
  <si>
    <t>536-783-8397</t>
  </si>
  <si>
    <t>Kenneth Lopez</t>
  </si>
  <si>
    <t>kenneth.lopez176@example.com</t>
  </si>
  <si>
    <t>232-905-9005</t>
  </si>
  <si>
    <t>lisa.sanchez72@example.com</t>
  </si>
  <si>
    <t>410-438-5769</t>
  </si>
  <si>
    <t>Angela Rodriguez</t>
  </si>
  <si>
    <t>angela.rodriguez466@example.com</t>
  </si>
  <si>
    <t>Jason Gomez</t>
  </si>
  <si>
    <t>jason.gomez161@example.com</t>
  </si>
  <si>
    <t>749-628-8835</t>
  </si>
  <si>
    <t>william.roberts979@example.com</t>
  </si>
  <si>
    <t>Christine Stewart</t>
  </si>
  <si>
    <t>christine.stewart163@example.com</t>
  </si>
  <si>
    <t>714-933-8519</t>
  </si>
  <si>
    <t>Margaret Smith</t>
  </si>
  <si>
    <t>margaret.smith147@example.com</t>
  </si>
  <si>
    <t>608-819-5044</t>
  </si>
  <si>
    <t>Brian Reed</t>
  </si>
  <si>
    <t>brian.reed901@example.com</t>
  </si>
  <si>
    <t>673-789-1640</t>
  </si>
  <si>
    <t>Barbara Torres</t>
  </si>
  <si>
    <t>barbara.torres662@example.com</t>
  </si>
  <si>
    <t>917-928-5873</t>
  </si>
  <si>
    <t>Benjamin Thompson</t>
  </si>
  <si>
    <t>benjamin.thompson426@example.com</t>
  </si>
  <si>
    <t>832-950-8079</t>
  </si>
  <si>
    <t>Deborah James</t>
  </si>
  <si>
    <t>deborah.james188@example.com</t>
  </si>
  <si>
    <t>915-244-4927</t>
  </si>
  <si>
    <t>Emily Watson</t>
  </si>
  <si>
    <t>emily.watson551@example.com</t>
  </si>
  <si>
    <t>914-943-4559</t>
  </si>
  <si>
    <t>Jason Peterson</t>
  </si>
  <si>
    <t>jason.peterson125@example.com</t>
  </si>
  <si>
    <t>973-307-9264</t>
  </si>
  <si>
    <t>Dorothy Evans</t>
  </si>
  <si>
    <t>dorothy.evans462@example.com</t>
  </si>
  <si>
    <t>412-718-1731</t>
  </si>
  <si>
    <t>Patricia Martinez</t>
  </si>
  <si>
    <t>patricia.martinez655@example.com</t>
  </si>
  <si>
    <t>551-963-7542</t>
  </si>
  <si>
    <t>Anthony Gomez</t>
  </si>
  <si>
    <t>anthony.gomez39@example.com</t>
  </si>
  <si>
    <t>317-926-3236</t>
  </si>
  <si>
    <t>Christine Reyes</t>
  </si>
  <si>
    <t>christine.reyes497@example.com</t>
  </si>
  <si>
    <t>284-761-4969</t>
  </si>
  <si>
    <t>ryan.moore483@example.com</t>
  </si>
  <si>
    <t>374-218-2646</t>
  </si>
  <si>
    <t>Donna Thomas</t>
  </si>
  <si>
    <t>donna.thomas548@example.com</t>
  </si>
  <si>
    <t>279-887-1183</t>
  </si>
  <si>
    <t>Andrew Martin</t>
  </si>
  <si>
    <t>andrew.martin452@example.com</t>
  </si>
  <si>
    <t>421-931-1564</t>
  </si>
  <si>
    <t>stephen.ramirez453@example.com</t>
  </si>
  <si>
    <t>856-878-2684</t>
  </si>
  <si>
    <t>Patrick Flores</t>
  </si>
  <si>
    <t>patrick.flores455@example.com</t>
  </si>
  <si>
    <t>249-990-7183</t>
  </si>
  <si>
    <t>Margaret Young</t>
  </si>
  <si>
    <t>margaret.young384@example.com</t>
  </si>
  <si>
    <t>293-216-7908</t>
  </si>
  <si>
    <t>Mary Baker</t>
  </si>
  <si>
    <t>mary.baker841@example.com</t>
  </si>
  <si>
    <t>425-298-3750</t>
  </si>
  <si>
    <t>Nancy Garcia</t>
  </si>
  <si>
    <t>nancy.garcia426@example.com</t>
  </si>
  <si>
    <t>530-775-4105</t>
  </si>
  <si>
    <t>Mark Cooper</t>
  </si>
  <si>
    <t>mark.cooper405@example.com</t>
  </si>
  <si>
    <t>437-418-2734</t>
  </si>
  <si>
    <t>Dorothy Thompson</t>
  </si>
  <si>
    <t>dorothy.thompson16@example.com</t>
  </si>
  <si>
    <t>212-598-4485</t>
  </si>
  <si>
    <t>Donald Rodriguez</t>
  </si>
  <si>
    <t>donald.rodriguez674@example.com</t>
  </si>
  <si>
    <t>244-268-4580</t>
  </si>
  <si>
    <t>Kenneth Kim</t>
  </si>
  <si>
    <t>kenneth.kim512@example.com</t>
  </si>
  <si>
    <t>457-297-6314</t>
  </si>
  <si>
    <t>rachel.roberts695@example.com</t>
  </si>
  <si>
    <t>379-850-6209</t>
  </si>
  <si>
    <t>Christine Morris</t>
  </si>
  <si>
    <t>christine.morris70@example.com</t>
  </si>
  <si>
    <t>823-799-8354</t>
  </si>
  <si>
    <t>Shirley Brooks</t>
  </si>
  <si>
    <t>shirley.brooks760@example.com</t>
  </si>
  <si>
    <t>801-921-1217</t>
  </si>
  <si>
    <t>John Ward</t>
  </si>
  <si>
    <t>john.ward778@example.com</t>
  </si>
  <si>
    <t>442-955-8020</t>
  </si>
  <si>
    <t>Ashley Richardson</t>
  </si>
  <si>
    <t>ashley.richardson82@example.com</t>
  </si>
  <si>
    <t>583-710-5859</t>
  </si>
  <si>
    <t>Karen Carter</t>
  </si>
  <si>
    <t>karen.carter210@example.com</t>
  </si>
  <si>
    <t>942-812-8270</t>
  </si>
  <si>
    <t>Brian Moore</t>
  </si>
  <si>
    <t>brian.moore285@example.com</t>
  </si>
  <si>
    <t>733-624-5726</t>
  </si>
  <si>
    <t>Patricia Robinson</t>
  </si>
  <si>
    <t>patricia.robinson868@example.com</t>
  </si>
  <si>
    <t>448-410-9836</t>
  </si>
  <si>
    <t>Christine Young</t>
  </si>
  <si>
    <t>christine.young821@example.com</t>
  </si>
  <si>
    <t>733-529-4007</t>
  </si>
  <si>
    <t>Samuel Smith</t>
  </si>
  <si>
    <t>samuel.smith67@example.com</t>
  </si>
  <si>
    <t>397-253-3318</t>
  </si>
  <si>
    <t>thomas.lopez178@example.com</t>
  </si>
  <si>
    <t>719-280-7983</t>
  </si>
  <si>
    <t>Cynthia Flores</t>
  </si>
  <si>
    <t>cynthia.flores169@example.com</t>
  </si>
  <si>
    <t>634-380-5079</t>
  </si>
  <si>
    <t>Joshua Kelly</t>
  </si>
  <si>
    <t>joshua.kelly460@example.com</t>
  </si>
  <si>
    <t>692-281-6891</t>
  </si>
  <si>
    <t>Ronald Perez</t>
  </si>
  <si>
    <t>ronald.perez483@example.com</t>
  </si>
  <si>
    <t>717-824-8101</t>
  </si>
  <si>
    <t>Karen Morris</t>
  </si>
  <si>
    <t>karen.morris21@example.com</t>
  </si>
  <si>
    <t>285-977-5918</t>
  </si>
  <si>
    <t>Stephen Martin</t>
  </si>
  <si>
    <t>stephen.martin567@example.com</t>
  </si>
  <si>
    <t>589-674-6011</t>
  </si>
  <si>
    <t>joshua.carter576@example.com</t>
  </si>
  <si>
    <t>541-339-8688</t>
  </si>
  <si>
    <t>Karen Harris</t>
  </si>
  <si>
    <t>karen.harris5@example.com</t>
  </si>
  <si>
    <t>947-942-7131</t>
  </si>
  <si>
    <t>Stephanie Turner</t>
  </si>
  <si>
    <t>stephanie.turner963@example.com</t>
  </si>
  <si>
    <t>593-701-6043</t>
  </si>
  <si>
    <t>Pamela Martinez</t>
  </si>
  <si>
    <t>pamela.martinez419@example.com</t>
  </si>
  <si>
    <t>594-779-3660</t>
  </si>
  <si>
    <t>Laura Allen</t>
  </si>
  <si>
    <t>laura.allen790@example.com</t>
  </si>
  <si>
    <t>926-700-7032</t>
  </si>
  <si>
    <t>plan_id</t>
  </si>
  <si>
    <t>plan_name</t>
  </si>
  <si>
    <t>billing_cycle</t>
  </si>
  <si>
    <t>price</t>
  </si>
  <si>
    <t>Basic</t>
  </si>
  <si>
    <t>Monthly</t>
  </si>
  <si>
    <t>Annual</t>
  </si>
  <si>
    <t>Standard</t>
  </si>
  <si>
    <t>Pro</t>
  </si>
  <si>
    <t>Team</t>
  </si>
  <si>
    <t>Enterprise</t>
  </si>
  <si>
    <t>subscription_id</t>
  </si>
  <si>
    <t>start_date</t>
  </si>
  <si>
    <t>end_date</t>
  </si>
  <si>
    <t>status</t>
  </si>
  <si>
    <t>churned</t>
  </si>
  <si>
    <t>active</t>
  </si>
  <si>
    <t>payment_id</t>
  </si>
  <si>
    <t>payment_date</t>
  </si>
  <si>
    <t>amount</t>
  </si>
  <si>
    <t>event_id</t>
  </si>
  <si>
    <t>event_date</t>
  </si>
  <si>
    <t>channel</t>
  </si>
  <si>
    <t>Organic Search</t>
  </si>
  <si>
    <t>Partner</t>
  </si>
  <si>
    <t>Facebook Ads</t>
  </si>
  <si>
    <t>Google Ads</t>
  </si>
  <si>
    <t>LinkedIn Ads</t>
  </si>
  <si>
    <t>Referral</t>
  </si>
  <si>
    <t>YouTube</t>
  </si>
  <si>
    <t>customer_exists</t>
  </si>
  <si>
    <t>end_before_start</t>
  </si>
  <si>
    <t>status_end_mismatch</t>
  </si>
  <si>
    <t>is_valid_subscription</t>
  </si>
  <si>
    <t>subscription_exists</t>
  </si>
  <si>
    <t>sub_start_date</t>
  </si>
  <si>
    <t>sub_end_date</t>
  </si>
  <si>
    <t>before_start</t>
  </si>
  <si>
    <t>after_end</t>
  </si>
  <si>
    <t>invalid_amount</t>
  </si>
  <si>
    <t>is_valid_payment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</si>
</sst>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82CDCD-A6DF-4735-8D29-191739FE88FB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country" tableColumnId="5"/>
      <queryTableField id="6" name="signup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4E12C88-F0F7-4EFF-8756-888203F63181}" autoFormatId="16" applyNumberFormats="0" applyBorderFormats="0" applyFontFormats="0" applyPatternFormats="0" applyAlignmentFormats="0" applyWidthHeightFormats="0">
  <queryTableRefresh nextId="5">
    <queryTableFields count="4">
      <queryTableField id="1" name="plan_id" tableColumnId="1"/>
      <queryTableField id="2" name="plan_name" tableColumnId="2"/>
      <queryTableField id="3" name="billing_cycle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C5FC0B9-E843-4453-BF3B-86125ED0C6FF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subscription_id" tableColumnId="1"/>
      <queryTableField id="2" name="customer_id" tableColumnId="2"/>
      <queryTableField id="3" name="plan_id" tableColumnId="3"/>
      <queryTableField id="4" name="start_date" tableColumnId="4"/>
      <queryTableField id="5" name="end_date" tableColumnId="5"/>
      <queryTableField id="6" name="status" tableColumnId="6"/>
      <queryTableField id="7" dataBound="0" tableColumnId="9"/>
      <queryTableField id="8" dataBound="0" tableColumnId="10"/>
      <queryTableField id="9" dataBound="0" tableColumnId="11"/>
      <queryTableField id="10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C33751E-2964-4989-9069-2CE752A1E5BF}" autoFormatId="16" applyNumberFormats="0" applyBorderFormats="0" applyFontFormats="0" applyPatternFormats="0" applyAlignmentFormats="0" applyWidthHeightFormats="0">
  <queryTableRefresh nextId="12" unboundColumnsRight="7">
    <queryTableFields count="11">
      <queryTableField id="1" name="payment_id" tableColumnId="1"/>
      <queryTableField id="2" name="subscription_id" tableColumnId="2"/>
      <queryTableField id="3" name="payment_date" tableColumnId="3"/>
      <queryTableField id="4" name="amount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668995-12B3-4FB6-835B-351054450BB7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event_id" tableColumnId="1"/>
      <queryTableField id="2" name="customer_id" tableColumnId="2"/>
      <queryTableField id="3" name="event_date" tableColumnId="3"/>
      <queryTableField id="4" name="channel" tableColumnId="4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1F603-FE72-47A6-9394-2411D4D87A6F}" name="customers" displayName="customers" ref="A1:F1201" tableType="queryTable" totalsRowShown="0">
  <autoFilter ref="A1:F1201" xr:uid="{E141F603-FE72-47A6-9394-2411D4D87A6F}"/>
  <tableColumns count="6">
    <tableColumn id="1" xr3:uid="{802FD069-586D-4AFB-8A9F-B04100FC6EE9}" uniqueName="1" name="customer_id" queryTableFieldId="1"/>
    <tableColumn id="2" xr3:uid="{97375C3E-51FF-45C7-AD26-52FED599349D}" uniqueName="2" name="customer_name" queryTableFieldId="2" dataDxfId="24"/>
    <tableColumn id="3" xr3:uid="{5E06BB3B-5CE5-43D8-BB0B-46EBA16F462A}" uniqueName="3" name="email" queryTableFieldId="3" dataDxfId="23"/>
    <tableColumn id="4" xr3:uid="{E8E7FA9B-F86E-478A-9D40-3442055412EE}" uniqueName="4" name="phone" queryTableFieldId="4" dataDxfId="22"/>
    <tableColumn id="5" xr3:uid="{5A26EE9E-700A-4437-8562-0F5ADE1FB86A}" uniqueName="5" name="country" queryTableFieldId="5" dataDxfId="21"/>
    <tableColumn id="6" xr3:uid="{DAE03B19-7D2B-4119-BD9D-3B2EDB615AC2}" uniqueName="6" name="signup_date" queryTableFieldId="6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0AE8B-D3CB-40F9-A75C-BF30DA551A06}" name="product_plans" displayName="product_plans" ref="A1:D11" tableType="queryTable" totalsRowShown="0">
  <autoFilter ref="A1:D11" xr:uid="{EF90AE8B-D3CB-40F9-A75C-BF30DA551A06}"/>
  <tableColumns count="4">
    <tableColumn id="1" xr3:uid="{FD79AC56-9604-4108-9506-C20CB1EDADC2}" uniqueName="1" name="plan_id" queryTableFieldId="1"/>
    <tableColumn id="2" xr3:uid="{246D442E-0992-4D11-BE2C-8D79413ECD08}" uniqueName="2" name="plan_name" queryTableFieldId="2" dataDxfId="19"/>
    <tableColumn id="3" xr3:uid="{FD233242-A455-4ABB-84D6-6CDEC7AF20D8}" uniqueName="3" name="billing_cycle" queryTableFieldId="3" dataDxfId="18"/>
    <tableColumn id="4" xr3:uid="{B6434BC3-E05C-4C82-AF5B-F5374CC47C98}" uniqueName="4" name="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3622D-960E-41A8-BE0F-2CED27633FAA}" name="subscriptions" displayName="subscriptions" ref="A1:J1501" tableType="queryTable" totalsRowShown="0">
  <autoFilter ref="A1:J1501" xr:uid="{94F3622D-960E-41A8-BE0F-2CED27633FAA}"/>
  <tableColumns count="10">
    <tableColumn id="1" xr3:uid="{99771AD5-8115-4503-9F26-7ED980B4AB03}" uniqueName="1" name="subscription_id" queryTableFieldId="1"/>
    <tableColumn id="2" xr3:uid="{CD5EF6B1-9B7E-4FAD-BDE9-188139D6F94F}" uniqueName="2" name="customer_id" queryTableFieldId="2"/>
    <tableColumn id="3" xr3:uid="{08C8BA17-FBBA-4D89-87B2-9A50D0E4D63A}" uniqueName="3" name="plan_id" queryTableFieldId="3"/>
    <tableColumn id="4" xr3:uid="{FC8CBA89-540D-4D1B-AFCA-8388EB6650C9}" uniqueName="4" name="start_date" queryTableFieldId="4" dataDxfId="17"/>
    <tableColumn id="5" xr3:uid="{739F7FE5-B7B9-4439-9856-FAC2082FCFA0}" uniqueName="5" name="end_date" queryTableFieldId="5" dataDxfId="16"/>
    <tableColumn id="6" xr3:uid="{9BD003FF-D13E-4857-A75A-FE307D0D63AE}" uniqueName="6" name="status" queryTableFieldId="6" dataDxfId="15"/>
    <tableColumn id="9" xr3:uid="{152423D4-1101-4987-824D-8EB62426E5EB}" uniqueName="9" name="customer_exists" queryTableFieldId="7" dataDxfId="14">
      <calculatedColumnFormula>IF(ISNA(_xlfn.XLOOKUP(subscriptions[[#This Row],[customer_id]], customers[customer_id], customers[customer_id])), "NO", "YES")</calculatedColumnFormula>
    </tableColumn>
    <tableColumn id="10" xr3:uid="{54F6750E-2502-4728-BEB3-6C02B846773F}" uniqueName="10" name="end_before_start" queryTableFieldId="8" dataDxfId="13">
      <calculatedColumnFormula>IF(AND(subscriptions[[#This Row],[end_date]]&lt;&gt;"", subscriptions[[#This Row],[end_date]] &lt; subscriptions[[#This Row],[start_date]]), 1, 0)</calculatedColumnFormula>
    </tableColumn>
    <tableColumn id="11" xr3:uid="{66BA0C2B-0A3D-417E-9429-01FC37D8880E}" uniqueName="11" name="status_end_mismatch" queryTableFieldId="9" dataDxfId="12">
      <calculatedColumnFormula>IF(
  OR(
    AND(subscriptions[[#This Row],[status]]="active", subscriptions[[#This Row],[end_date]]&lt;&gt;""),
    AND(subscriptions[[#This Row],[status]]="churned", subscriptions[[#This Row],[end_date]]="")
  ),
  1,
  0
)</calculatedColumnFormula>
    </tableColumn>
    <tableColumn id="12" xr3:uid="{F3D97196-0F76-4798-96BA-9752520B0821}" uniqueName="12" name="is_valid_subscription" queryTableFieldId="10" dataDxfId="11">
      <calculatedColumnFormula>IF(
  AND(subscriptions[[#This Row],[end_before_start]]=0, subscriptions[[#This Row],[status_end_mismatch]]=0),
  1,
  0
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4618F-396E-4521-98AF-1BEF95F0FE48}" name="payments_raw" displayName="payments_raw" ref="A1:K3501" tableType="queryTable" totalsRowShown="0">
  <autoFilter ref="A1:K3501" xr:uid="{78A4618F-396E-4521-98AF-1BEF95F0FE48}"/>
  <tableColumns count="11">
    <tableColumn id="1" xr3:uid="{A1F7B27B-F2D1-4D80-8E6A-213F44637A82}" uniqueName="1" name="payment_id" queryTableFieldId="1"/>
    <tableColumn id="2" xr3:uid="{B09B941C-7832-4547-99F7-B8C940AAD165}" uniqueName="2" name="subscription_id" queryTableFieldId="2"/>
    <tableColumn id="3" xr3:uid="{0F51F848-DA22-4BF3-8696-5D8C62D663DB}" uniqueName="3" name="payment_date" queryTableFieldId="3" dataDxfId="10"/>
    <tableColumn id="4" xr3:uid="{878B5A36-C75F-415D-B324-0A1F82DD3C05}" uniqueName="4" name="amount" queryTableFieldId="4"/>
    <tableColumn id="5" xr3:uid="{B0F9809D-A3F4-4CAF-8C0D-58E42CBBA2FE}" uniqueName="5" name="subscription_exists" queryTableFieldId="5" dataDxfId="5">
      <calculatedColumnFormula>IF(
  ISNA(
    _xlfn.XLOOKUP(
      payments_raw[[#This Row],[subscription_id]],
      subscriptions[subscription_id],
      subscriptions[subscription_id]
    )
  ),
  0,
  1
)</calculatedColumnFormula>
    </tableColumn>
    <tableColumn id="6" xr3:uid="{6B8E24CF-D410-45C7-B44A-2BD32F33FCF4}" uniqueName="6" name="sub_start_date" queryTableFieldId="6" dataDxfId="4">
      <calculatedColumnFormula>_xlfn.XLOOKUP(payments_raw[[#This Row],[subscription_id]], subscriptions[subscription_id], subscriptions[start_date])</calculatedColumnFormula>
    </tableColumn>
    <tableColumn id="7" xr3:uid="{505A6F1B-CCF8-4DA8-BDF2-DC33B6FC7408}" uniqueName="7" name="sub_end_date" queryTableFieldId="7" dataDxfId="3">
      <calculatedColumnFormula>IF(_xlfn.XLOOKUP(payments_raw[[#This Row],[subscription_id]], subscriptions[subscription_id], subscriptions[end_date])=0,"",_xlfn.XLOOKUP(payments_raw[[#This Row],[subscription_id]], subscriptions[subscription_id], subscriptions[end_date]))</calculatedColumnFormula>
    </tableColumn>
    <tableColumn id="8" xr3:uid="{3D0F2263-2A8B-4374-A80B-2BE98C206CC5}" uniqueName="8" name="before_start" queryTableFieldId="8" dataDxfId="9">
      <calculatedColumnFormula>IF(payments_raw[[#This Row],[payment_date]] &lt; payments_raw[[#This Row],[sub_start_date]], 1, 0)</calculatedColumnFormula>
    </tableColumn>
    <tableColumn id="9" xr3:uid="{DF68C7BD-54D4-47E0-B0F2-55C7C526D439}" uniqueName="9" name="after_end" queryTableFieldId="9" dataDxfId="8">
      <calculatedColumnFormula>IF(AND(payments_raw[[#This Row],[sub_end_date]]&lt;&gt;"", payments_raw[[#This Row],[payment_date]] &gt; payments_raw[[#This Row],[sub_end_date]]), 1, 0)</calculatedColumnFormula>
    </tableColumn>
    <tableColumn id="10" xr3:uid="{055F55A1-AD99-4154-8C72-D8089D47B239}" uniqueName="10" name="invalid_amount" queryTableFieldId="10" dataDxfId="7">
      <calculatedColumnFormula>IF(payments_raw[[#This Row],[amount]] &lt;= 0, 1, 0)</calculatedColumnFormula>
    </tableColumn>
    <tableColumn id="11" xr3:uid="{8ACA365E-6B62-47DB-819F-44EB4EF95159}" uniqueName="11" name="is_valid_payment" queryTableFieldId="11" dataDxfId="6">
      <calculatedColumnFormula>IF(
  AND(
    payments_raw[[#This Row],[subscription_exists]]=1,
    payments_raw[[#This Row],[before_start]]=0,
    payments_raw[[#This Row],[after_end]]=0,
    payments_raw[[#This Row],[invalid_amount]]=0
  ),
  1,
  0
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74D4B5-BE4B-41EE-AF5F-AE1655CAE8D7}" name="marketing_events_raw" displayName="marketing_events_raw" ref="A1:E1801" tableType="queryTable" totalsRowShown="0">
  <autoFilter ref="A1:E1801" xr:uid="{7174D4B5-BE4B-41EE-AF5F-AE1655CAE8D7}"/>
  <tableColumns count="5">
    <tableColumn id="1" xr3:uid="{21A44D54-611C-4D38-AC5F-8157C2912EE6}" uniqueName="1" name="event_id" queryTableFieldId="1"/>
    <tableColumn id="2" xr3:uid="{ACEC5F6D-E55F-48DA-8F25-E8D39E925CEE}" uniqueName="2" name="customer_id" queryTableFieldId="2"/>
    <tableColumn id="3" xr3:uid="{5F8E6C5E-8255-451B-A0DB-F7E3E0103559}" uniqueName="3" name="event_date" queryTableFieldId="3" dataDxfId="2"/>
    <tableColumn id="4" xr3:uid="{3D3720B4-0F11-4EB6-A12F-D6E21AFBAA19}" uniqueName="4" name="channel" queryTableFieldId="4" dataDxfId="1"/>
    <tableColumn id="6" xr3:uid="{F70B4495-E210-456B-8803-FA7F7C6937F7}" uniqueName="6" name="customer_exists" queryTableFieldId="6" dataDxfId="0">
      <calculatedColumnFormula>IF(ISNUMBER(MATCH(marketing_events_raw[[#This Row],[customer_id]], customers_clean!A:A, 0)),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77F7-B2A3-400A-B931-C8D3619E913B}">
  <dimension ref="A1:F1201"/>
  <sheetViews>
    <sheetView workbookViewId="0">
      <selection activeCell="R544" sqref="R544"/>
    </sheetView>
  </sheetViews>
  <sheetFormatPr defaultRowHeight="14.4" x14ac:dyDescent="0.3"/>
  <cols>
    <col min="1" max="1" width="13.5546875" bestFit="1" customWidth="1"/>
    <col min="2" max="2" width="18.44140625" bestFit="1" customWidth="1"/>
    <col min="3" max="3" width="34.21875" bestFit="1" customWidth="1"/>
    <col min="4" max="4" width="12.33203125" bestFit="1" customWidth="1"/>
    <col min="5" max="5" width="13.5546875" bestFit="1" customWidth="1"/>
    <col min="6" max="6" width="13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770487</v>
      </c>
      <c r="B2" t="s">
        <v>6</v>
      </c>
      <c r="C2" t="s">
        <v>7</v>
      </c>
      <c r="D2" t="s">
        <v>8</v>
      </c>
      <c r="E2" t="s">
        <v>9</v>
      </c>
      <c r="F2" s="1">
        <v>45063</v>
      </c>
    </row>
    <row r="3" spans="1:6" x14ac:dyDescent="0.3">
      <c r="A3">
        <v>809570</v>
      </c>
      <c r="B3" t="s">
        <v>10</v>
      </c>
      <c r="C3" t="s">
        <v>11</v>
      </c>
      <c r="D3" t="s">
        <v>12</v>
      </c>
      <c r="E3" t="s">
        <v>13</v>
      </c>
      <c r="F3" s="1">
        <v>44627</v>
      </c>
    </row>
    <row r="4" spans="1:6" x14ac:dyDescent="0.3">
      <c r="A4">
        <v>343962</v>
      </c>
      <c r="B4" t="s">
        <v>14</v>
      </c>
      <c r="C4" t="s">
        <v>15</v>
      </c>
      <c r="D4" t="s">
        <v>16</v>
      </c>
      <c r="E4" t="s">
        <v>17</v>
      </c>
      <c r="F4" s="1">
        <v>45421</v>
      </c>
    </row>
    <row r="5" spans="1:6" x14ac:dyDescent="0.3">
      <c r="A5">
        <v>948749</v>
      </c>
      <c r="B5" t="s">
        <v>18</v>
      </c>
      <c r="C5" t="s">
        <v>19</v>
      </c>
      <c r="D5" t="s">
        <v>20</v>
      </c>
      <c r="E5" t="s">
        <v>13</v>
      </c>
      <c r="F5" s="1">
        <v>45258</v>
      </c>
    </row>
    <row r="6" spans="1:6" x14ac:dyDescent="0.3">
      <c r="A6">
        <v>900581</v>
      </c>
      <c r="B6" t="s">
        <v>21</v>
      </c>
      <c r="C6" t="s">
        <v>22</v>
      </c>
      <c r="D6" t="s">
        <v>23</v>
      </c>
      <c r="E6" t="s">
        <v>24</v>
      </c>
      <c r="F6" s="1">
        <v>44760</v>
      </c>
    </row>
    <row r="7" spans="1:6" x14ac:dyDescent="0.3">
      <c r="A7">
        <v>946335</v>
      </c>
      <c r="B7" t="s">
        <v>25</v>
      </c>
      <c r="C7" t="s">
        <v>26</v>
      </c>
      <c r="D7" t="s">
        <v>27</v>
      </c>
      <c r="E7" t="s">
        <v>28</v>
      </c>
      <c r="F7" s="1">
        <v>45337</v>
      </c>
    </row>
    <row r="8" spans="1:6" x14ac:dyDescent="0.3">
      <c r="A8">
        <v>969693</v>
      </c>
      <c r="B8" t="s">
        <v>29</v>
      </c>
      <c r="C8" t="s">
        <v>30</v>
      </c>
      <c r="D8" t="s">
        <v>31</v>
      </c>
      <c r="E8" t="s">
        <v>32</v>
      </c>
      <c r="F8" s="1">
        <v>44955</v>
      </c>
    </row>
    <row r="9" spans="1:6" x14ac:dyDescent="0.3">
      <c r="A9">
        <v>793384</v>
      </c>
      <c r="B9" t="s">
        <v>33</v>
      </c>
      <c r="C9" t="s">
        <v>34</v>
      </c>
      <c r="D9" t="s">
        <v>35</v>
      </c>
      <c r="E9" t="s">
        <v>36</v>
      </c>
      <c r="F9" s="1">
        <v>44768</v>
      </c>
    </row>
    <row r="10" spans="1:6" x14ac:dyDescent="0.3">
      <c r="A10">
        <v>766563</v>
      </c>
      <c r="B10" t="s">
        <v>37</v>
      </c>
      <c r="C10" t="s">
        <v>38</v>
      </c>
      <c r="D10" t="s">
        <v>39</v>
      </c>
      <c r="E10" t="s">
        <v>32</v>
      </c>
      <c r="F10" s="1">
        <v>44991</v>
      </c>
    </row>
    <row r="11" spans="1:6" x14ac:dyDescent="0.3">
      <c r="A11">
        <v>738720</v>
      </c>
      <c r="B11" t="s">
        <v>40</v>
      </c>
      <c r="C11" t="s">
        <v>41</v>
      </c>
      <c r="D11" t="s">
        <v>42</v>
      </c>
      <c r="E11" t="s">
        <v>36</v>
      </c>
      <c r="F11" s="1">
        <v>44896</v>
      </c>
    </row>
    <row r="12" spans="1:6" x14ac:dyDescent="0.3">
      <c r="A12">
        <v>771088</v>
      </c>
      <c r="B12" t="s">
        <v>43</v>
      </c>
      <c r="C12" t="s">
        <v>44</v>
      </c>
      <c r="D12" t="s">
        <v>45</v>
      </c>
      <c r="E12" t="s">
        <v>46</v>
      </c>
      <c r="F12" s="1">
        <v>44676</v>
      </c>
    </row>
    <row r="13" spans="1:6" x14ac:dyDescent="0.3">
      <c r="A13">
        <v>520651</v>
      </c>
      <c r="B13" t="s">
        <v>47</v>
      </c>
      <c r="C13" t="s">
        <v>48</v>
      </c>
      <c r="D13" t="s">
        <v>49</v>
      </c>
      <c r="E13" t="s">
        <v>46</v>
      </c>
      <c r="F13" s="1">
        <v>44997</v>
      </c>
    </row>
    <row r="14" spans="1:6" x14ac:dyDescent="0.3">
      <c r="A14">
        <v>774079</v>
      </c>
      <c r="B14" t="s">
        <v>50</v>
      </c>
      <c r="C14" t="s">
        <v>51</v>
      </c>
      <c r="D14" t="s">
        <v>52</v>
      </c>
      <c r="E14" t="s">
        <v>399</v>
      </c>
      <c r="F14" s="1">
        <v>45067</v>
      </c>
    </row>
    <row r="15" spans="1:6" x14ac:dyDescent="0.3">
      <c r="A15">
        <v>375504</v>
      </c>
      <c r="B15" t="s">
        <v>53</v>
      </c>
      <c r="C15" t="s">
        <v>54</v>
      </c>
      <c r="D15" t="s">
        <v>55</v>
      </c>
      <c r="E15" t="s">
        <v>24</v>
      </c>
      <c r="F15" s="1">
        <v>45303</v>
      </c>
    </row>
    <row r="16" spans="1:6" x14ac:dyDescent="0.3">
      <c r="A16">
        <v>617488</v>
      </c>
      <c r="B16" t="s">
        <v>56</v>
      </c>
      <c r="C16" t="s">
        <v>57</v>
      </c>
      <c r="D16" t="s">
        <v>58</v>
      </c>
      <c r="E16" t="s">
        <v>28</v>
      </c>
      <c r="F16" s="1">
        <v>44875</v>
      </c>
    </row>
    <row r="17" spans="1:6" x14ac:dyDescent="0.3">
      <c r="A17">
        <v>725380</v>
      </c>
      <c r="B17" t="s">
        <v>59</v>
      </c>
      <c r="C17" t="s">
        <v>60</v>
      </c>
      <c r="D17" t="s">
        <v>61</v>
      </c>
      <c r="E17" t="s">
        <v>62</v>
      </c>
      <c r="F17" s="1">
        <v>45645</v>
      </c>
    </row>
    <row r="18" spans="1:6" x14ac:dyDescent="0.3">
      <c r="A18">
        <v>813328</v>
      </c>
      <c r="B18" t="s">
        <v>63</v>
      </c>
      <c r="C18" t="s">
        <v>64</v>
      </c>
      <c r="D18" t="s">
        <v>65</v>
      </c>
      <c r="E18" t="s">
        <v>9</v>
      </c>
      <c r="F18" s="1">
        <v>45258</v>
      </c>
    </row>
    <row r="19" spans="1:6" x14ac:dyDescent="0.3">
      <c r="A19">
        <v>265840</v>
      </c>
      <c r="B19" t="s">
        <v>66</v>
      </c>
      <c r="C19" t="s">
        <v>67</v>
      </c>
      <c r="D19" t="s">
        <v>68</v>
      </c>
      <c r="E19" t="s">
        <v>9</v>
      </c>
      <c r="F19" s="1">
        <v>45587</v>
      </c>
    </row>
    <row r="20" spans="1:6" x14ac:dyDescent="0.3">
      <c r="A20">
        <v>211579</v>
      </c>
      <c r="B20" t="s">
        <v>69</v>
      </c>
      <c r="C20" t="s">
        <v>70</v>
      </c>
      <c r="D20" t="s">
        <v>71</v>
      </c>
      <c r="E20" t="s">
        <v>17</v>
      </c>
      <c r="F20" s="1">
        <v>44875</v>
      </c>
    </row>
    <row r="21" spans="1:6" x14ac:dyDescent="0.3">
      <c r="A21">
        <v>665579</v>
      </c>
      <c r="B21" t="s">
        <v>72</v>
      </c>
      <c r="C21" t="s">
        <v>73</v>
      </c>
      <c r="D21" t="s">
        <v>74</v>
      </c>
      <c r="E21" t="s">
        <v>46</v>
      </c>
      <c r="F21" s="1">
        <v>45562</v>
      </c>
    </row>
    <row r="22" spans="1:6" x14ac:dyDescent="0.3">
      <c r="A22">
        <v>972064</v>
      </c>
      <c r="B22" t="s">
        <v>75</v>
      </c>
      <c r="C22" t="s">
        <v>76</v>
      </c>
      <c r="D22" t="s">
        <v>77</v>
      </c>
      <c r="E22" t="s">
        <v>36</v>
      </c>
      <c r="F22" s="1">
        <v>44723</v>
      </c>
    </row>
    <row r="23" spans="1:6" x14ac:dyDescent="0.3">
      <c r="A23">
        <v>955662</v>
      </c>
      <c r="B23" t="s">
        <v>78</v>
      </c>
      <c r="C23" t="s">
        <v>79</v>
      </c>
      <c r="D23" t="s">
        <v>80</v>
      </c>
      <c r="E23" t="s">
        <v>399</v>
      </c>
      <c r="F23" s="1">
        <v>44824</v>
      </c>
    </row>
    <row r="24" spans="1:6" x14ac:dyDescent="0.3">
      <c r="A24">
        <v>377932</v>
      </c>
      <c r="B24" t="s">
        <v>81</v>
      </c>
      <c r="C24" t="s">
        <v>82</v>
      </c>
      <c r="D24" t="s">
        <v>83</v>
      </c>
      <c r="E24" t="s">
        <v>17</v>
      </c>
      <c r="F24" s="1">
        <v>44973</v>
      </c>
    </row>
    <row r="25" spans="1:6" x14ac:dyDescent="0.3">
      <c r="A25">
        <v>804314</v>
      </c>
      <c r="B25" t="s">
        <v>84</v>
      </c>
      <c r="C25" t="s">
        <v>85</v>
      </c>
      <c r="D25" t="s">
        <v>86</v>
      </c>
      <c r="E25" t="s">
        <v>62</v>
      </c>
      <c r="F25" s="1">
        <v>44809</v>
      </c>
    </row>
    <row r="26" spans="1:6" x14ac:dyDescent="0.3">
      <c r="A26">
        <v>454508</v>
      </c>
      <c r="B26" t="s">
        <v>87</v>
      </c>
      <c r="C26" t="s">
        <v>88</v>
      </c>
      <c r="D26" t="s">
        <v>89</v>
      </c>
      <c r="E26" t="s">
        <v>36</v>
      </c>
      <c r="F26" s="1">
        <v>45013</v>
      </c>
    </row>
    <row r="27" spans="1:6" x14ac:dyDescent="0.3">
      <c r="A27">
        <v>340062</v>
      </c>
      <c r="B27" t="s">
        <v>90</v>
      </c>
      <c r="C27" t="s">
        <v>91</v>
      </c>
      <c r="D27" t="s">
        <v>92</v>
      </c>
      <c r="E27" t="s">
        <v>46</v>
      </c>
      <c r="F27" s="1">
        <v>44707</v>
      </c>
    </row>
    <row r="28" spans="1:6" x14ac:dyDescent="0.3">
      <c r="A28">
        <v>801474</v>
      </c>
      <c r="B28" t="s">
        <v>93</v>
      </c>
      <c r="C28" t="s">
        <v>94</v>
      </c>
      <c r="D28" t="s">
        <v>95</v>
      </c>
      <c r="E28" t="s">
        <v>399</v>
      </c>
      <c r="F28" s="1">
        <v>45530</v>
      </c>
    </row>
    <row r="29" spans="1:6" x14ac:dyDescent="0.3">
      <c r="A29">
        <v>299659</v>
      </c>
      <c r="B29" t="s">
        <v>96</v>
      </c>
      <c r="C29" t="s">
        <v>97</v>
      </c>
      <c r="D29" t="s">
        <v>98</v>
      </c>
      <c r="E29" t="s">
        <v>13</v>
      </c>
      <c r="F29" s="1">
        <v>45287</v>
      </c>
    </row>
    <row r="30" spans="1:6" x14ac:dyDescent="0.3">
      <c r="A30">
        <v>864491</v>
      </c>
      <c r="B30" t="s">
        <v>99</v>
      </c>
      <c r="C30" t="s">
        <v>100</v>
      </c>
      <c r="D30" t="s">
        <v>101</v>
      </c>
      <c r="E30" t="s">
        <v>28</v>
      </c>
      <c r="F30" s="1">
        <v>44686</v>
      </c>
    </row>
    <row r="31" spans="1:6" x14ac:dyDescent="0.3">
      <c r="A31">
        <v>939482</v>
      </c>
      <c r="B31" t="s">
        <v>102</v>
      </c>
      <c r="C31" t="s">
        <v>103</v>
      </c>
      <c r="D31" t="s">
        <v>104</v>
      </c>
      <c r="E31" t="s">
        <v>17</v>
      </c>
      <c r="F31" s="1">
        <v>45480</v>
      </c>
    </row>
    <row r="32" spans="1:6" x14ac:dyDescent="0.3">
      <c r="A32">
        <v>392075</v>
      </c>
      <c r="B32" t="s">
        <v>105</v>
      </c>
      <c r="C32" t="s">
        <v>106</v>
      </c>
      <c r="D32" t="s">
        <v>107</v>
      </c>
      <c r="E32" t="s">
        <v>143</v>
      </c>
      <c r="F32" s="1">
        <v>45469</v>
      </c>
    </row>
    <row r="33" spans="1:6" x14ac:dyDescent="0.3">
      <c r="A33">
        <v>783823</v>
      </c>
      <c r="B33" t="s">
        <v>108</v>
      </c>
      <c r="C33" t="s">
        <v>109</v>
      </c>
      <c r="D33" t="s">
        <v>110</v>
      </c>
      <c r="E33" t="s">
        <v>143</v>
      </c>
      <c r="F33" s="1">
        <v>45046</v>
      </c>
    </row>
    <row r="34" spans="1:6" x14ac:dyDescent="0.3">
      <c r="A34">
        <v>604740</v>
      </c>
      <c r="B34" t="s">
        <v>111</v>
      </c>
      <c r="C34" t="s">
        <v>112</v>
      </c>
      <c r="D34" t="s">
        <v>113</v>
      </c>
      <c r="E34" t="s">
        <v>143</v>
      </c>
      <c r="F34" s="1">
        <v>44899</v>
      </c>
    </row>
    <row r="35" spans="1:6" x14ac:dyDescent="0.3">
      <c r="A35">
        <v>378085</v>
      </c>
      <c r="B35" t="s">
        <v>114</v>
      </c>
      <c r="C35" t="s">
        <v>115</v>
      </c>
      <c r="D35" t="s">
        <v>116</v>
      </c>
      <c r="E35" t="s">
        <v>117</v>
      </c>
      <c r="F35" s="1">
        <v>44879</v>
      </c>
    </row>
    <row r="36" spans="1:6" x14ac:dyDescent="0.3">
      <c r="A36">
        <v>161324</v>
      </c>
      <c r="B36" t="s">
        <v>118</v>
      </c>
      <c r="C36" t="s">
        <v>119</v>
      </c>
      <c r="D36" t="s">
        <v>120</v>
      </c>
      <c r="E36" t="s">
        <v>46</v>
      </c>
      <c r="F36" s="1">
        <v>44679</v>
      </c>
    </row>
    <row r="37" spans="1:6" x14ac:dyDescent="0.3">
      <c r="A37">
        <v>627276</v>
      </c>
      <c r="B37" t="s">
        <v>121</v>
      </c>
      <c r="C37" t="s">
        <v>122</v>
      </c>
      <c r="D37" t="s">
        <v>123</v>
      </c>
      <c r="E37" t="s">
        <v>143</v>
      </c>
      <c r="F37" s="1">
        <v>44942</v>
      </c>
    </row>
    <row r="38" spans="1:6" x14ac:dyDescent="0.3">
      <c r="A38">
        <v>808011</v>
      </c>
      <c r="B38" t="s">
        <v>124</v>
      </c>
      <c r="C38" t="s">
        <v>125</v>
      </c>
      <c r="D38" t="s">
        <v>126</v>
      </c>
      <c r="E38" t="s">
        <v>36</v>
      </c>
      <c r="F38" s="1">
        <v>44643</v>
      </c>
    </row>
    <row r="39" spans="1:6" x14ac:dyDescent="0.3">
      <c r="A39">
        <v>789305</v>
      </c>
      <c r="B39" t="s">
        <v>127</v>
      </c>
      <c r="C39" t="s">
        <v>128</v>
      </c>
      <c r="D39" t="s">
        <v>129</v>
      </c>
      <c r="E39" t="s">
        <v>46</v>
      </c>
      <c r="F39" s="1">
        <v>45096</v>
      </c>
    </row>
    <row r="40" spans="1:6" x14ac:dyDescent="0.3">
      <c r="A40">
        <v>350280</v>
      </c>
      <c r="B40" t="s">
        <v>130</v>
      </c>
      <c r="C40" t="s">
        <v>131</v>
      </c>
      <c r="D40" t="s">
        <v>132</v>
      </c>
      <c r="E40" t="s">
        <v>133</v>
      </c>
      <c r="F40" s="1">
        <v>45498</v>
      </c>
    </row>
    <row r="41" spans="1:6" x14ac:dyDescent="0.3">
      <c r="A41">
        <v>109767</v>
      </c>
      <c r="B41" t="s">
        <v>134</v>
      </c>
      <c r="C41" t="s">
        <v>135</v>
      </c>
      <c r="D41" t="s">
        <v>136</v>
      </c>
      <c r="E41" t="s">
        <v>28</v>
      </c>
      <c r="F41" s="1">
        <v>44712</v>
      </c>
    </row>
    <row r="42" spans="1:6" x14ac:dyDescent="0.3">
      <c r="A42">
        <v>378082</v>
      </c>
      <c r="B42" t="s">
        <v>137</v>
      </c>
      <c r="C42" t="s">
        <v>138</v>
      </c>
      <c r="D42" t="s">
        <v>139</v>
      </c>
      <c r="E42" t="s">
        <v>143</v>
      </c>
      <c r="F42" s="1">
        <v>45062</v>
      </c>
    </row>
    <row r="43" spans="1:6" x14ac:dyDescent="0.3">
      <c r="A43">
        <v>559469</v>
      </c>
      <c r="B43" t="s">
        <v>140</v>
      </c>
      <c r="C43" t="s">
        <v>141</v>
      </c>
      <c r="D43" t="s">
        <v>142</v>
      </c>
      <c r="E43" t="s">
        <v>143</v>
      </c>
      <c r="F43" s="1">
        <v>45175</v>
      </c>
    </row>
    <row r="44" spans="1:6" x14ac:dyDescent="0.3">
      <c r="A44">
        <v>377312</v>
      </c>
      <c r="B44" t="s">
        <v>144</v>
      </c>
      <c r="C44" t="s">
        <v>145</v>
      </c>
      <c r="D44" t="s">
        <v>146</v>
      </c>
      <c r="E44" t="s">
        <v>399</v>
      </c>
      <c r="F44" s="1">
        <v>45119</v>
      </c>
    </row>
    <row r="45" spans="1:6" x14ac:dyDescent="0.3">
      <c r="A45">
        <v>852470</v>
      </c>
      <c r="B45" t="s">
        <v>147</v>
      </c>
      <c r="C45" t="s">
        <v>148</v>
      </c>
      <c r="D45" t="s">
        <v>149</v>
      </c>
      <c r="E45" t="s">
        <v>9</v>
      </c>
      <c r="F45" s="1">
        <v>45597</v>
      </c>
    </row>
    <row r="46" spans="1:6" x14ac:dyDescent="0.3">
      <c r="A46">
        <v>196781</v>
      </c>
      <c r="B46" t="s">
        <v>150</v>
      </c>
      <c r="C46" t="s">
        <v>151</v>
      </c>
      <c r="D46" t="s">
        <v>152</v>
      </c>
      <c r="E46" t="s">
        <v>9</v>
      </c>
      <c r="F46" s="1">
        <v>44652</v>
      </c>
    </row>
    <row r="47" spans="1:6" x14ac:dyDescent="0.3">
      <c r="A47">
        <v>768061</v>
      </c>
      <c r="B47" t="s">
        <v>153</v>
      </c>
      <c r="C47" t="s">
        <v>154</v>
      </c>
      <c r="D47" t="s">
        <v>155</v>
      </c>
      <c r="E47" t="s">
        <v>62</v>
      </c>
      <c r="F47" s="1">
        <v>45437</v>
      </c>
    </row>
    <row r="48" spans="1:6" x14ac:dyDescent="0.3">
      <c r="A48">
        <v>178898</v>
      </c>
      <c r="B48" t="s">
        <v>156</v>
      </c>
      <c r="C48" t="s">
        <v>157</v>
      </c>
      <c r="D48" t="s">
        <v>158</v>
      </c>
      <c r="E48" t="s">
        <v>143</v>
      </c>
      <c r="F48" s="1">
        <v>45318</v>
      </c>
    </row>
    <row r="49" spans="1:6" x14ac:dyDescent="0.3">
      <c r="A49">
        <v>550664</v>
      </c>
      <c r="B49" t="s">
        <v>159</v>
      </c>
      <c r="C49" t="s">
        <v>160</v>
      </c>
      <c r="D49" t="s">
        <v>161</v>
      </c>
      <c r="E49" t="s">
        <v>32</v>
      </c>
      <c r="F49" s="1">
        <v>44643</v>
      </c>
    </row>
    <row r="50" spans="1:6" x14ac:dyDescent="0.3">
      <c r="A50">
        <v>799330</v>
      </c>
      <c r="B50" t="s">
        <v>162</v>
      </c>
      <c r="C50" t="s">
        <v>163</v>
      </c>
      <c r="D50" t="s">
        <v>164</v>
      </c>
      <c r="E50" t="s">
        <v>13</v>
      </c>
      <c r="F50" s="1">
        <v>44878</v>
      </c>
    </row>
    <row r="51" spans="1:6" x14ac:dyDescent="0.3">
      <c r="A51">
        <v>532322</v>
      </c>
      <c r="B51" t="s">
        <v>165</v>
      </c>
      <c r="C51" t="s">
        <v>166</v>
      </c>
      <c r="D51" t="s">
        <v>167</v>
      </c>
      <c r="E51" t="s">
        <v>46</v>
      </c>
      <c r="F51" s="1">
        <v>45405</v>
      </c>
    </row>
    <row r="52" spans="1:6" x14ac:dyDescent="0.3">
      <c r="A52">
        <v>379766</v>
      </c>
      <c r="B52" t="s">
        <v>168</v>
      </c>
      <c r="C52" t="s">
        <v>169</v>
      </c>
      <c r="D52" t="s">
        <v>170</v>
      </c>
      <c r="E52" t="s">
        <v>24</v>
      </c>
      <c r="F52" s="1">
        <v>44641</v>
      </c>
    </row>
    <row r="53" spans="1:6" x14ac:dyDescent="0.3">
      <c r="A53">
        <v>956253</v>
      </c>
      <c r="B53" t="s">
        <v>171</v>
      </c>
      <c r="C53" t="s">
        <v>172</v>
      </c>
      <c r="D53" t="s">
        <v>173</v>
      </c>
      <c r="E53" t="s">
        <v>36</v>
      </c>
      <c r="F53" s="1">
        <v>45018</v>
      </c>
    </row>
    <row r="54" spans="1:6" x14ac:dyDescent="0.3">
      <c r="A54">
        <v>517821</v>
      </c>
      <c r="B54" t="s">
        <v>174</v>
      </c>
      <c r="C54" t="s">
        <v>175</v>
      </c>
      <c r="D54" t="s">
        <v>176</v>
      </c>
      <c r="E54" t="s">
        <v>143</v>
      </c>
      <c r="F54" s="1">
        <v>45133</v>
      </c>
    </row>
    <row r="55" spans="1:6" x14ac:dyDescent="0.3">
      <c r="A55">
        <v>519093</v>
      </c>
      <c r="B55" t="s">
        <v>177</v>
      </c>
      <c r="C55" t="s">
        <v>178</v>
      </c>
      <c r="D55" t="s">
        <v>179</v>
      </c>
      <c r="E55" t="s">
        <v>143</v>
      </c>
      <c r="F55" s="1">
        <v>44798</v>
      </c>
    </row>
    <row r="56" spans="1:6" x14ac:dyDescent="0.3">
      <c r="A56">
        <v>140115</v>
      </c>
      <c r="B56" t="s">
        <v>180</v>
      </c>
      <c r="C56" t="s">
        <v>181</v>
      </c>
      <c r="D56" t="s">
        <v>182</v>
      </c>
      <c r="E56" t="s">
        <v>32</v>
      </c>
      <c r="F56" s="1">
        <v>45204</v>
      </c>
    </row>
    <row r="57" spans="1:6" x14ac:dyDescent="0.3">
      <c r="A57">
        <v>221263</v>
      </c>
      <c r="B57" t="s">
        <v>183</v>
      </c>
      <c r="C57" t="s">
        <v>184</v>
      </c>
      <c r="D57" t="s">
        <v>185</v>
      </c>
      <c r="E57" t="s">
        <v>9</v>
      </c>
      <c r="F57" s="1">
        <v>44652</v>
      </c>
    </row>
    <row r="58" spans="1:6" x14ac:dyDescent="0.3">
      <c r="A58">
        <v>645175</v>
      </c>
      <c r="B58" t="s">
        <v>186</v>
      </c>
      <c r="C58" t="s">
        <v>187</v>
      </c>
      <c r="D58" t="s">
        <v>188</v>
      </c>
      <c r="E58" t="s">
        <v>17</v>
      </c>
      <c r="F58" s="1">
        <v>45307</v>
      </c>
    </row>
    <row r="59" spans="1:6" x14ac:dyDescent="0.3">
      <c r="A59">
        <v>753425</v>
      </c>
      <c r="B59" t="s">
        <v>189</v>
      </c>
      <c r="C59" t="s">
        <v>190</v>
      </c>
      <c r="D59" t="s">
        <v>191</v>
      </c>
      <c r="E59" t="s">
        <v>28</v>
      </c>
      <c r="F59" s="1">
        <v>45177</v>
      </c>
    </row>
    <row r="60" spans="1:6" x14ac:dyDescent="0.3">
      <c r="A60">
        <v>442027</v>
      </c>
      <c r="B60" t="s">
        <v>192</v>
      </c>
      <c r="C60" t="s">
        <v>193</v>
      </c>
      <c r="D60" t="s">
        <v>194</v>
      </c>
      <c r="E60" t="s">
        <v>399</v>
      </c>
      <c r="F60" s="1">
        <v>44954</v>
      </c>
    </row>
    <row r="61" spans="1:6" x14ac:dyDescent="0.3">
      <c r="A61">
        <v>810219</v>
      </c>
      <c r="B61" t="s">
        <v>195</v>
      </c>
      <c r="C61" t="s">
        <v>196</v>
      </c>
      <c r="D61" t="s">
        <v>197</v>
      </c>
      <c r="E61" t="s">
        <v>133</v>
      </c>
      <c r="F61" s="1">
        <v>45393</v>
      </c>
    </row>
    <row r="62" spans="1:6" x14ac:dyDescent="0.3">
      <c r="A62">
        <v>400850</v>
      </c>
      <c r="B62" t="s">
        <v>198</v>
      </c>
      <c r="C62" t="s">
        <v>199</v>
      </c>
      <c r="D62" t="s">
        <v>200</v>
      </c>
      <c r="E62" t="s">
        <v>46</v>
      </c>
      <c r="F62" s="1">
        <v>45514</v>
      </c>
    </row>
    <row r="63" spans="1:6" x14ac:dyDescent="0.3">
      <c r="A63">
        <v>636004</v>
      </c>
      <c r="B63" t="s">
        <v>201</v>
      </c>
      <c r="C63" t="s">
        <v>202</v>
      </c>
      <c r="D63" t="s">
        <v>203</v>
      </c>
      <c r="E63" t="s">
        <v>143</v>
      </c>
      <c r="F63" s="1">
        <v>45143</v>
      </c>
    </row>
    <row r="64" spans="1:6" x14ac:dyDescent="0.3">
      <c r="A64">
        <v>197923</v>
      </c>
      <c r="B64" t="s">
        <v>204</v>
      </c>
      <c r="C64" t="s">
        <v>205</v>
      </c>
      <c r="D64" t="s">
        <v>206</v>
      </c>
      <c r="E64" t="s">
        <v>36</v>
      </c>
      <c r="F64" s="1">
        <v>44969</v>
      </c>
    </row>
    <row r="65" spans="1:6" x14ac:dyDescent="0.3">
      <c r="A65">
        <v>356736</v>
      </c>
      <c r="B65" t="s">
        <v>207</v>
      </c>
      <c r="C65" t="s">
        <v>208</v>
      </c>
      <c r="D65" t="s">
        <v>209</v>
      </c>
      <c r="E65" t="s">
        <v>143</v>
      </c>
      <c r="F65" s="1">
        <v>45494</v>
      </c>
    </row>
    <row r="66" spans="1:6" x14ac:dyDescent="0.3">
      <c r="A66">
        <v>853240</v>
      </c>
      <c r="B66" t="s">
        <v>210</v>
      </c>
      <c r="C66" t="s">
        <v>211</v>
      </c>
      <c r="D66" t="s">
        <v>212</v>
      </c>
      <c r="E66" t="s">
        <v>24</v>
      </c>
      <c r="F66" s="1">
        <v>45061</v>
      </c>
    </row>
    <row r="67" spans="1:6" x14ac:dyDescent="0.3">
      <c r="A67">
        <v>887443</v>
      </c>
      <c r="B67" t="s">
        <v>213</v>
      </c>
      <c r="C67" t="s">
        <v>214</v>
      </c>
      <c r="D67" t="s">
        <v>215</v>
      </c>
      <c r="E67" t="s">
        <v>399</v>
      </c>
      <c r="F67" s="1">
        <v>45622</v>
      </c>
    </row>
    <row r="68" spans="1:6" x14ac:dyDescent="0.3">
      <c r="A68">
        <v>989545</v>
      </c>
      <c r="B68" t="s">
        <v>216</v>
      </c>
      <c r="C68" t="s">
        <v>217</v>
      </c>
      <c r="D68" t="s">
        <v>218</v>
      </c>
      <c r="E68" t="s">
        <v>62</v>
      </c>
      <c r="F68" s="1">
        <v>45649</v>
      </c>
    </row>
    <row r="69" spans="1:6" x14ac:dyDescent="0.3">
      <c r="A69">
        <v>891937</v>
      </c>
      <c r="B69" t="s">
        <v>219</v>
      </c>
      <c r="C69" t="s">
        <v>220</v>
      </c>
      <c r="D69" t="s">
        <v>221</v>
      </c>
      <c r="E69" t="s">
        <v>13</v>
      </c>
      <c r="F69" s="1">
        <v>45475</v>
      </c>
    </row>
    <row r="70" spans="1:6" x14ac:dyDescent="0.3">
      <c r="A70">
        <v>571932</v>
      </c>
      <c r="B70" t="s">
        <v>222</v>
      </c>
      <c r="C70" t="s">
        <v>223</v>
      </c>
      <c r="D70" t="s">
        <v>224</v>
      </c>
      <c r="E70" t="s">
        <v>9</v>
      </c>
      <c r="F70" s="1">
        <v>45629</v>
      </c>
    </row>
    <row r="71" spans="1:6" x14ac:dyDescent="0.3">
      <c r="A71">
        <v>387936</v>
      </c>
      <c r="B71" t="s">
        <v>225</v>
      </c>
      <c r="C71" t="s">
        <v>226</v>
      </c>
      <c r="D71" t="s">
        <v>227</v>
      </c>
      <c r="E71" t="s">
        <v>133</v>
      </c>
      <c r="F71" s="1">
        <v>45042</v>
      </c>
    </row>
    <row r="72" spans="1:6" x14ac:dyDescent="0.3">
      <c r="A72">
        <v>666390</v>
      </c>
      <c r="B72" t="s">
        <v>228</v>
      </c>
      <c r="C72" t="s">
        <v>229</v>
      </c>
      <c r="D72" t="s">
        <v>230</v>
      </c>
      <c r="E72" t="s">
        <v>36</v>
      </c>
      <c r="F72" s="1">
        <v>45346</v>
      </c>
    </row>
    <row r="73" spans="1:6" x14ac:dyDescent="0.3">
      <c r="A73">
        <v>167348</v>
      </c>
      <c r="B73" t="s">
        <v>231</v>
      </c>
      <c r="C73" t="s">
        <v>232</v>
      </c>
      <c r="D73" t="s">
        <v>233</v>
      </c>
      <c r="E73" t="s">
        <v>62</v>
      </c>
      <c r="F73" s="1">
        <v>45413</v>
      </c>
    </row>
    <row r="74" spans="1:6" x14ac:dyDescent="0.3">
      <c r="A74">
        <v>508396</v>
      </c>
      <c r="B74" t="s">
        <v>234</v>
      </c>
      <c r="C74" t="s">
        <v>235</v>
      </c>
      <c r="D74" t="s">
        <v>236</v>
      </c>
      <c r="E74" t="s">
        <v>24</v>
      </c>
      <c r="F74" s="1">
        <v>45538</v>
      </c>
    </row>
    <row r="75" spans="1:6" x14ac:dyDescent="0.3">
      <c r="A75">
        <v>890075</v>
      </c>
      <c r="B75" t="s">
        <v>237</v>
      </c>
      <c r="C75" t="s">
        <v>238</v>
      </c>
      <c r="D75" t="s">
        <v>239</v>
      </c>
      <c r="E75" t="s">
        <v>36</v>
      </c>
      <c r="F75" s="1">
        <v>45561</v>
      </c>
    </row>
    <row r="76" spans="1:6" x14ac:dyDescent="0.3">
      <c r="A76">
        <v>609232</v>
      </c>
      <c r="B76" t="s">
        <v>240</v>
      </c>
      <c r="C76" t="s">
        <v>241</v>
      </c>
      <c r="D76" t="s">
        <v>242</v>
      </c>
      <c r="E76" t="s">
        <v>24</v>
      </c>
      <c r="F76" s="1">
        <v>44900</v>
      </c>
    </row>
    <row r="77" spans="1:6" x14ac:dyDescent="0.3">
      <c r="A77">
        <v>128276</v>
      </c>
      <c r="B77" t="s">
        <v>243</v>
      </c>
      <c r="C77" t="s">
        <v>244</v>
      </c>
      <c r="D77" t="s">
        <v>245</v>
      </c>
      <c r="E77" t="s">
        <v>143</v>
      </c>
      <c r="F77" s="1">
        <v>44733</v>
      </c>
    </row>
    <row r="78" spans="1:6" x14ac:dyDescent="0.3">
      <c r="A78">
        <v>584125</v>
      </c>
      <c r="B78" t="s">
        <v>246</v>
      </c>
      <c r="C78" t="s">
        <v>247</v>
      </c>
      <c r="D78" t="s">
        <v>248</v>
      </c>
      <c r="E78" t="s">
        <v>24</v>
      </c>
      <c r="F78" s="1">
        <v>45232</v>
      </c>
    </row>
    <row r="79" spans="1:6" x14ac:dyDescent="0.3">
      <c r="A79">
        <v>453894</v>
      </c>
      <c r="B79" t="s">
        <v>249</v>
      </c>
      <c r="C79" t="s">
        <v>250</v>
      </c>
      <c r="D79" t="s">
        <v>251</v>
      </c>
      <c r="E79" t="s">
        <v>13</v>
      </c>
      <c r="F79" s="1">
        <v>45078</v>
      </c>
    </row>
    <row r="80" spans="1:6" x14ac:dyDescent="0.3">
      <c r="A80">
        <v>885408</v>
      </c>
      <c r="B80" t="s">
        <v>252</v>
      </c>
      <c r="C80" t="s">
        <v>253</v>
      </c>
      <c r="D80" t="s">
        <v>254</v>
      </c>
      <c r="E80" t="s">
        <v>32</v>
      </c>
      <c r="F80" s="1">
        <v>45021</v>
      </c>
    </row>
    <row r="81" spans="1:6" x14ac:dyDescent="0.3">
      <c r="A81">
        <v>890870</v>
      </c>
      <c r="B81" t="s">
        <v>255</v>
      </c>
      <c r="C81" t="s">
        <v>256</v>
      </c>
      <c r="D81" t="s">
        <v>257</v>
      </c>
      <c r="E81" t="s">
        <v>143</v>
      </c>
      <c r="F81" s="1">
        <v>44874</v>
      </c>
    </row>
    <row r="82" spans="1:6" x14ac:dyDescent="0.3">
      <c r="A82">
        <v>801978</v>
      </c>
      <c r="B82" t="s">
        <v>258</v>
      </c>
      <c r="C82" t="s">
        <v>259</v>
      </c>
      <c r="D82" t="s">
        <v>260</v>
      </c>
      <c r="E82" t="s">
        <v>17</v>
      </c>
      <c r="F82" s="1">
        <v>45514</v>
      </c>
    </row>
    <row r="83" spans="1:6" x14ac:dyDescent="0.3">
      <c r="A83">
        <v>275939</v>
      </c>
      <c r="B83" t="s">
        <v>261</v>
      </c>
      <c r="C83" t="s">
        <v>262</v>
      </c>
      <c r="D83" t="s">
        <v>197</v>
      </c>
      <c r="E83" t="s">
        <v>28</v>
      </c>
      <c r="F83" s="1">
        <v>44897</v>
      </c>
    </row>
    <row r="84" spans="1:6" x14ac:dyDescent="0.3">
      <c r="A84">
        <v>427110</v>
      </c>
      <c r="B84" t="s">
        <v>263</v>
      </c>
      <c r="C84" t="s">
        <v>264</v>
      </c>
      <c r="D84" t="s">
        <v>265</v>
      </c>
      <c r="E84" t="s">
        <v>24</v>
      </c>
      <c r="F84" s="1">
        <v>45374</v>
      </c>
    </row>
    <row r="85" spans="1:6" x14ac:dyDescent="0.3">
      <c r="A85">
        <v>720859</v>
      </c>
      <c r="B85" t="s">
        <v>266</v>
      </c>
      <c r="C85" t="s">
        <v>267</v>
      </c>
      <c r="D85" t="s">
        <v>268</v>
      </c>
      <c r="E85" t="s">
        <v>28</v>
      </c>
      <c r="F85" s="1">
        <v>45179</v>
      </c>
    </row>
    <row r="86" spans="1:6" x14ac:dyDescent="0.3">
      <c r="A86">
        <v>934904</v>
      </c>
      <c r="B86" t="s">
        <v>269</v>
      </c>
      <c r="C86" t="s">
        <v>270</v>
      </c>
      <c r="D86" t="s">
        <v>271</v>
      </c>
      <c r="E86" t="s">
        <v>13</v>
      </c>
      <c r="F86" s="1">
        <v>45320</v>
      </c>
    </row>
    <row r="87" spans="1:6" x14ac:dyDescent="0.3">
      <c r="A87">
        <v>113266</v>
      </c>
      <c r="B87" t="s">
        <v>272</v>
      </c>
      <c r="C87" t="s">
        <v>273</v>
      </c>
      <c r="D87" t="s">
        <v>274</v>
      </c>
      <c r="E87" t="s">
        <v>13</v>
      </c>
      <c r="F87" s="1">
        <v>45303</v>
      </c>
    </row>
    <row r="88" spans="1:6" x14ac:dyDescent="0.3">
      <c r="A88">
        <v>556641</v>
      </c>
      <c r="B88" t="s">
        <v>275</v>
      </c>
      <c r="C88" t="s">
        <v>276</v>
      </c>
      <c r="D88" t="s">
        <v>277</v>
      </c>
      <c r="E88" t="s">
        <v>9</v>
      </c>
      <c r="F88" s="1">
        <v>45552</v>
      </c>
    </row>
    <row r="89" spans="1:6" x14ac:dyDescent="0.3">
      <c r="A89">
        <v>437960</v>
      </c>
      <c r="B89" t="s">
        <v>278</v>
      </c>
      <c r="C89" t="s">
        <v>279</v>
      </c>
      <c r="D89" t="s">
        <v>280</v>
      </c>
      <c r="E89" t="s">
        <v>62</v>
      </c>
      <c r="F89" s="1">
        <v>45061</v>
      </c>
    </row>
    <row r="90" spans="1:6" x14ac:dyDescent="0.3">
      <c r="A90">
        <v>452737</v>
      </c>
      <c r="B90" t="s">
        <v>281</v>
      </c>
      <c r="C90" t="s">
        <v>282</v>
      </c>
      <c r="D90" t="s">
        <v>283</v>
      </c>
      <c r="E90" t="s">
        <v>46</v>
      </c>
      <c r="F90" s="1">
        <v>44934</v>
      </c>
    </row>
    <row r="91" spans="1:6" x14ac:dyDescent="0.3">
      <c r="A91">
        <v>936587</v>
      </c>
      <c r="B91" t="s">
        <v>284</v>
      </c>
      <c r="C91" t="s">
        <v>285</v>
      </c>
      <c r="D91" t="s">
        <v>286</v>
      </c>
      <c r="E91" t="s">
        <v>9</v>
      </c>
      <c r="F91" s="1">
        <v>44582</v>
      </c>
    </row>
    <row r="92" spans="1:6" x14ac:dyDescent="0.3">
      <c r="A92">
        <v>353080</v>
      </c>
      <c r="B92" t="s">
        <v>287</v>
      </c>
      <c r="C92" t="s">
        <v>288</v>
      </c>
      <c r="D92" t="s">
        <v>289</v>
      </c>
      <c r="E92" t="s">
        <v>36</v>
      </c>
      <c r="F92" s="1">
        <v>45537</v>
      </c>
    </row>
    <row r="93" spans="1:6" x14ac:dyDescent="0.3">
      <c r="A93">
        <v>569945</v>
      </c>
      <c r="B93" t="s">
        <v>290</v>
      </c>
      <c r="C93" t="s">
        <v>291</v>
      </c>
      <c r="D93" t="s">
        <v>197</v>
      </c>
      <c r="E93" t="s">
        <v>36</v>
      </c>
      <c r="F93" s="1">
        <v>45390</v>
      </c>
    </row>
    <row r="94" spans="1:6" x14ac:dyDescent="0.3">
      <c r="A94">
        <v>796212</v>
      </c>
      <c r="B94" t="s">
        <v>292</v>
      </c>
      <c r="C94" t="s">
        <v>293</v>
      </c>
      <c r="D94" t="s">
        <v>294</v>
      </c>
      <c r="E94" t="s">
        <v>32</v>
      </c>
      <c r="F94" s="1">
        <v>45433</v>
      </c>
    </row>
    <row r="95" spans="1:6" x14ac:dyDescent="0.3">
      <c r="A95">
        <v>468900</v>
      </c>
      <c r="B95" t="s">
        <v>295</v>
      </c>
      <c r="C95" t="s">
        <v>296</v>
      </c>
      <c r="D95" t="s">
        <v>297</v>
      </c>
      <c r="E95" t="s">
        <v>133</v>
      </c>
      <c r="F95" s="1">
        <v>45076</v>
      </c>
    </row>
    <row r="96" spans="1:6" x14ac:dyDescent="0.3">
      <c r="A96">
        <v>430876</v>
      </c>
      <c r="B96" t="s">
        <v>298</v>
      </c>
      <c r="C96" t="s">
        <v>299</v>
      </c>
      <c r="D96" t="s">
        <v>300</v>
      </c>
      <c r="E96" t="s">
        <v>399</v>
      </c>
      <c r="F96" s="1">
        <v>44954</v>
      </c>
    </row>
    <row r="97" spans="1:6" x14ac:dyDescent="0.3">
      <c r="A97">
        <v>389930</v>
      </c>
      <c r="B97" t="s">
        <v>301</v>
      </c>
      <c r="C97" t="s">
        <v>302</v>
      </c>
      <c r="D97" t="s">
        <v>303</v>
      </c>
      <c r="E97" t="s">
        <v>133</v>
      </c>
      <c r="F97" s="1">
        <v>44767</v>
      </c>
    </row>
    <row r="98" spans="1:6" x14ac:dyDescent="0.3">
      <c r="A98">
        <v>478411</v>
      </c>
      <c r="B98" t="s">
        <v>304</v>
      </c>
      <c r="C98" t="s">
        <v>305</v>
      </c>
      <c r="D98" t="s">
        <v>306</v>
      </c>
      <c r="E98" t="s">
        <v>399</v>
      </c>
      <c r="F98" s="1">
        <v>45123</v>
      </c>
    </row>
    <row r="99" spans="1:6" x14ac:dyDescent="0.3">
      <c r="A99">
        <v>831295</v>
      </c>
      <c r="B99" t="s">
        <v>307</v>
      </c>
      <c r="C99" t="s">
        <v>308</v>
      </c>
      <c r="D99" t="s">
        <v>309</v>
      </c>
      <c r="E99" t="s">
        <v>117</v>
      </c>
      <c r="F99" s="1">
        <v>44772</v>
      </c>
    </row>
    <row r="100" spans="1:6" x14ac:dyDescent="0.3">
      <c r="A100">
        <v>592198</v>
      </c>
      <c r="B100" t="s">
        <v>310</v>
      </c>
      <c r="C100" t="s">
        <v>311</v>
      </c>
      <c r="D100" t="s">
        <v>312</v>
      </c>
      <c r="E100" t="s">
        <v>399</v>
      </c>
      <c r="F100" s="1">
        <v>44667</v>
      </c>
    </row>
    <row r="101" spans="1:6" x14ac:dyDescent="0.3">
      <c r="A101">
        <v>962050</v>
      </c>
      <c r="B101" t="s">
        <v>313</v>
      </c>
      <c r="C101" t="s">
        <v>314</v>
      </c>
      <c r="D101" t="s">
        <v>315</v>
      </c>
      <c r="E101" t="s">
        <v>143</v>
      </c>
      <c r="F101" s="1">
        <v>44671</v>
      </c>
    </row>
    <row r="102" spans="1:6" x14ac:dyDescent="0.3">
      <c r="A102">
        <v>189318</v>
      </c>
      <c r="B102" t="s">
        <v>316</v>
      </c>
      <c r="C102" t="s">
        <v>317</v>
      </c>
      <c r="D102" t="s">
        <v>318</v>
      </c>
      <c r="E102" t="s">
        <v>13</v>
      </c>
      <c r="F102" s="1">
        <v>45024</v>
      </c>
    </row>
    <row r="103" spans="1:6" x14ac:dyDescent="0.3">
      <c r="A103">
        <v>572398</v>
      </c>
      <c r="B103" t="s">
        <v>319</v>
      </c>
      <c r="C103" t="s">
        <v>320</v>
      </c>
      <c r="D103" t="s">
        <v>321</v>
      </c>
      <c r="E103" t="s">
        <v>13</v>
      </c>
      <c r="F103" s="1">
        <v>45187</v>
      </c>
    </row>
    <row r="104" spans="1:6" x14ac:dyDescent="0.3">
      <c r="A104">
        <v>739244</v>
      </c>
      <c r="B104" t="s">
        <v>322</v>
      </c>
      <c r="C104" t="s">
        <v>323</v>
      </c>
      <c r="D104" t="s">
        <v>324</v>
      </c>
      <c r="E104" t="s">
        <v>17</v>
      </c>
      <c r="F104" s="1">
        <v>45103</v>
      </c>
    </row>
    <row r="105" spans="1:6" x14ac:dyDescent="0.3">
      <c r="A105">
        <v>351516</v>
      </c>
      <c r="B105" t="s">
        <v>325</v>
      </c>
      <c r="C105" t="s">
        <v>326</v>
      </c>
      <c r="D105" t="s">
        <v>327</v>
      </c>
      <c r="E105" t="s">
        <v>399</v>
      </c>
      <c r="F105" s="1">
        <v>44567</v>
      </c>
    </row>
    <row r="106" spans="1:6" x14ac:dyDescent="0.3">
      <c r="A106">
        <v>405407</v>
      </c>
      <c r="B106" t="s">
        <v>328</v>
      </c>
      <c r="C106" t="s">
        <v>329</v>
      </c>
      <c r="D106" t="s">
        <v>330</v>
      </c>
      <c r="E106" t="s">
        <v>133</v>
      </c>
      <c r="F106" s="1">
        <v>45491</v>
      </c>
    </row>
    <row r="107" spans="1:6" x14ac:dyDescent="0.3">
      <c r="A107">
        <v>377405</v>
      </c>
      <c r="B107" t="s">
        <v>331</v>
      </c>
      <c r="C107" t="s">
        <v>332</v>
      </c>
      <c r="D107" t="s">
        <v>333</v>
      </c>
      <c r="E107" t="s">
        <v>17</v>
      </c>
      <c r="F107" s="1">
        <v>45432</v>
      </c>
    </row>
    <row r="108" spans="1:6" x14ac:dyDescent="0.3">
      <c r="A108">
        <v>779094</v>
      </c>
      <c r="B108" t="s">
        <v>334</v>
      </c>
      <c r="C108" t="s">
        <v>335</v>
      </c>
      <c r="D108" t="s">
        <v>336</v>
      </c>
      <c r="E108" t="s">
        <v>399</v>
      </c>
      <c r="F108" s="1">
        <v>44708</v>
      </c>
    </row>
    <row r="109" spans="1:6" x14ac:dyDescent="0.3">
      <c r="A109">
        <v>723948</v>
      </c>
      <c r="B109" t="s">
        <v>337</v>
      </c>
      <c r="C109" t="s">
        <v>338</v>
      </c>
      <c r="D109" t="s">
        <v>339</v>
      </c>
      <c r="E109" t="s">
        <v>28</v>
      </c>
      <c r="F109" s="1">
        <v>45521</v>
      </c>
    </row>
    <row r="110" spans="1:6" x14ac:dyDescent="0.3">
      <c r="A110">
        <v>385470</v>
      </c>
      <c r="B110" t="s">
        <v>340</v>
      </c>
      <c r="C110" t="s">
        <v>341</v>
      </c>
      <c r="D110" t="s">
        <v>342</v>
      </c>
      <c r="E110" t="s">
        <v>62</v>
      </c>
      <c r="F110" s="1">
        <v>44726</v>
      </c>
    </row>
    <row r="111" spans="1:6" x14ac:dyDescent="0.3">
      <c r="A111">
        <v>870214</v>
      </c>
      <c r="B111" t="s">
        <v>343</v>
      </c>
      <c r="C111" t="s">
        <v>344</v>
      </c>
      <c r="D111" t="s">
        <v>345</v>
      </c>
      <c r="E111" t="s">
        <v>143</v>
      </c>
      <c r="F111" s="1">
        <v>44749</v>
      </c>
    </row>
    <row r="112" spans="1:6" x14ac:dyDescent="0.3">
      <c r="A112">
        <v>901909</v>
      </c>
      <c r="B112" t="s">
        <v>346</v>
      </c>
      <c r="C112" t="s">
        <v>347</v>
      </c>
      <c r="D112" t="s">
        <v>348</v>
      </c>
      <c r="E112" t="s">
        <v>143</v>
      </c>
      <c r="F112" s="1">
        <v>44920</v>
      </c>
    </row>
    <row r="113" spans="1:6" x14ac:dyDescent="0.3">
      <c r="A113">
        <v>391668</v>
      </c>
      <c r="B113" t="s">
        <v>349</v>
      </c>
      <c r="C113" t="s">
        <v>350</v>
      </c>
      <c r="D113" t="s">
        <v>351</v>
      </c>
      <c r="E113" t="s">
        <v>117</v>
      </c>
      <c r="F113" s="1">
        <v>44748</v>
      </c>
    </row>
    <row r="114" spans="1:6" x14ac:dyDescent="0.3">
      <c r="A114">
        <v>449499</v>
      </c>
      <c r="B114" t="s">
        <v>352</v>
      </c>
      <c r="C114" t="s">
        <v>353</v>
      </c>
      <c r="D114" t="s">
        <v>354</v>
      </c>
      <c r="E114" t="s">
        <v>399</v>
      </c>
      <c r="F114" s="1">
        <v>45237</v>
      </c>
    </row>
    <row r="115" spans="1:6" x14ac:dyDescent="0.3">
      <c r="A115">
        <v>402218</v>
      </c>
      <c r="B115" t="s">
        <v>355</v>
      </c>
      <c r="C115" t="s">
        <v>356</v>
      </c>
      <c r="D115" t="s">
        <v>357</v>
      </c>
      <c r="E115" t="s">
        <v>143</v>
      </c>
      <c r="F115" s="1">
        <v>45493</v>
      </c>
    </row>
    <row r="116" spans="1:6" x14ac:dyDescent="0.3">
      <c r="A116">
        <v>438977</v>
      </c>
      <c r="B116" t="s">
        <v>358</v>
      </c>
      <c r="C116" t="s">
        <v>359</v>
      </c>
      <c r="D116" t="s">
        <v>360</v>
      </c>
      <c r="E116" t="s">
        <v>143</v>
      </c>
      <c r="F116" s="1">
        <v>45508</v>
      </c>
    </row>
    <row r="117" spans="1:6" x14ac:dyDescent="0.3">
      <c r="A117">
        <v>643623</v>
      </c>
      <c r="B117" t="s">
        <v>361</v>
      </c>
      <c r="C117" t="s">
        <v>362</v>
      </c>
      <c r="D117" t="s">
        <v>363</v>
      </c>
      <c r="E117" t="s">
        <v>117</v>
      </c>
      <c r="F117" s="1">
        <v>45467</v>
      </c>
    </row>
    <row r="118" spans="1:6" x14ac:dyDescent="0.3">
      <c r="A118">
        <v>380028</v>
      </c>
      <c r="B118" t="s">
        <v>364</v>
      </c>
      <c r="C118" t="s">
        <v>365</v>
      </c>
      <c r="D118" t="s">
        <v>366</v>
      </c>
      <c r="E118" t="s">
        <v>133</v>
      </c>
      <c r="F118" s="1">
        <v>45459</v>
      </c>
    </row>
    <row r="119" spans="1:6" x14ac:dyDescent="0.3">
      <c r="A119">
        <v>130271</v>
      </c>
      <c r="B119" t="s">
        <v>367</v>
      </c>
      <c r="C119" t="s">
        <v>368</v>
      </c>
      <c r="D119" t="s">
        <v>369</v>
      </c>
      <c r="E119" t="s">
        <v>36</v>
      </c>
      <c r="F119" s="1">
        <v>44886</v>
      </c>
    </row>
    <row r="120" spans="1:6" x14ac:dyDescent="0.3">
      <c r="A120">
        <v>679077</v>
      </c>
      <c r="B120" t="s">
        <v>370</v>
      </c>
      <c r="C120" t="s">
        <v>371</v>
      </c>
      <c r="D120" t="s">
        <v>372</v>
      </c>
      <c r="E120" t="s">
        <v>28</v>
      </c>
      <c r="F120" s="1">
        <v>45507</v>
      </c>
    </row>
    <row r="121" spans="1:6" x14ac:dyDescent="0.3">
      <c r="A121">
        <v>622584</v>
      </c>
      <c r="B121" t="s">
        <v>373</v>
      </c>
      <c r="C121" t="s">
        <v>374</v>
      </c>
      <c r="D121" t="s">
        <v>375</v>
      </c>
      <c r="E121" t="s">
        <v>9</v>
      </c>
      <c r="F121" s="1">
        <v>45412</v>
      </c>
    </row>
    <row r="122" spans="1:6" x14ac:dyDescent="0.3">
      <c r="A122">
        <v>578975</v>
      </c>
      <c r="B122" t="s">
        <v>376</v>
      </c>
      <c r="C122" t="s">
        <v>377</v>
      </c>
      <c r="D122" t="s">
        <v>378</v>
      </c>
      <c r="E122" t="s">
        <v>17</v>
      </c>
      <c r="F122" s="1">
        <v>45602</v>
      </c>
    </row>
    <row r="123" spans="1:6" x14ac:dyDescent="0.3">
      <c r="A123">
        <v>389666</v>
      </c>
      <c r="B123" t="s">
        <v>379</v>
      </c>
      <c r="C123" t="s">
        <v>380</v>
      </c>
      <c r="D123" t="s">
        <v>381</v>
      </c>
      <c r="E123" t="s">
        <v>9</v>
      </c>
      <c r="F123" s="1">
        <v>44567</v>
      </c>
    </row>
    <row r="124" spans="1:6" x14ac:dyDescent="0.3">
      <c r="A124">
        <v>978157</v>
      </c>
      <c r="B124" t="s">
        <v>382</v>
      </c>
      <c r="C124" t="s">
        <v>383</v>
      </c>
      <c r="D124" t="s">
        <v>197</v>
      </c>
      <c r="E124" t="s">
        <v>117</v>
      </c>
      <c r="F124" s="1">
        <v>44866</v>
      </c>
    </row>
    <row r="125" spans="1:6" x14ac:dyDescent="0.3">
      <c r="A125">
        <v>461888</v>
      </c>
      <c r="B125" t="s">
        <v>384</v>
      </c>
      <c r="C125" t="s">
        <v>385</v>
      </c>
      <c r="D125" t="s">
        <v>386</v>
      </c>
      <c r="E125" t="s">
        <v>24</v>
      </c>
      <c r="F125" s="1">
        <v>45494</v>
      </c>
    </row>
    <row r="126" spans="1:6" x14ac:dyDescent="0.3">
      <c r="A126">
        <v>699573</v>
      </c>
      <c r="B126" t="s">
        <v>387</v>
      </c>
      <c r="C126" t="s">
        <v>388</v>
      </c>
      <c r="D126" t="s">
        <v>389</v>
      </c>
      <c r="E126" t="s">
        <v>13</v>
      </c>
      <c r="F126" s="1">
        <v>44651</v>
      </c>
    </row>
    <row r="127" spans="1:6" x14ac:dyDescent="0.3">
      <c r="A127">
        <v>839485</v>
      </c>
      <c r="B127" t="s">
        <v>390</v>
      </c>
      <c r="C127" t="s">
        <v>391</v>
      </c>
      <c r="D127" t="s">
        <v>392</v>
      </c>
      <c r="E127" t="s">
        <v>399</v>
      </c>
      <c r="F127" s="1">
        <v>45576</v>
      </c>
    </row>
    <row r="128" spans="1:6" x14ac:dyDescent="0.3">
      <c r="A128">
        <v>718849</v>
      </c>
      <c r="B128" t="s">
        <v>393</v>
      </c>
      <c r="C128" t="s">
        <v>394</v>
      </c>
      <c r="D128" t="s">
        <v>395</v>
      </c>
      <c r="E128" t="s">
        <v>62</v>
      </c>
      <c r="F128" s="1">
        <v>44766</v>
      </c>
    </row>
    <row r="129" spans="1:6" x14ac:dyDescent="0.3">
      <c r="A129">
        <v>857537</v>
      </c>
      <c r="B129" t="s">
        <v>396</v>
      </c>
      <c r="C129" t="s">
        <v>397</v>
      </c>
      <c r="D129" t="s">
        <v>398</v>
      </c>
      <c r="E129" t="s">
        <v>399</v>
      </c>
      <c r="F129" s="1">
        <v>44715</v>
      </c>
    </row>
    <row r="130" spans="1:6" x14ac:dyDescent="0.3">
      <c r="A130">
        <v>753534</v>
      </c>
      <c r="B130" t="s">
        <v>400</v>
      </c>
      <c r="C130" t="s">
        <v>401</v>
      </c>
      <c r="D130" t="s">
        <v>402</v>
      </c>
      <c r="E130" t="s">
        <v>143</v>
      </c>
      <c r="F130" s="1">
        <v>45234</v>
      </c>
    </row>
    <row r="131" spans="1:6" x14ac:dyDescent="0.3">
      <c r="A131">
        <v>432043</v>
      </c>
      <c r="B131" t="s">
        <v>403</v>
      </c>
      <c r="C131" t="s">
        <v>404</v>
      </c>
      <c r="D131" t="s">
        <v>405</v>
      </c>
      <c r="E131" t="s">
        <v>143</v>
      </c>
      <c r="F131" s="1">
        <v>44702</v>
      </c>
    </row>
    <row r="132" spans="1:6" x14ac:dyDescent="0.3">
      <c r="A132">
        <v>338536</v>
      </c>
      <c r="B132" t="s">
        <v>406</v>
      </c>
      <c r="C132" t="s">
        <v>407</v>
      </c>
      <c r="D132" t="s">
        <v>408</v>
      </c>
      <c r="E132" t="s">
        <v>28</v>
      </c>
      <c r="F132" s="1">
        <v>45470</v>
      </c>
    </row>
    <row r="133" spans="1:6" x14ac:dyDescent="0.3">
      <c r="A133">
        <v>130353</v>
      </c>
      <c r="B133" t="s">
        <v>409</v>
      </c>
      <c r="C133" t="s">
        <v>410</v>
      </c>
      <c r="D133" t="s">
        <v>411</v>
      </c>
      <c r="E133" t="s">
        <v>143</v>
      </c>
      <c r="F133" s="1">
        <v>45162</v>
      </c>
    </row>
    <row r="134" spans="1:6" x14ac:dyDescent="0.3">
      <c r="A134">
        <v>252640</v>
      </c>
      <c r="B134" t="s">
        <v>412</v>
      </c>
      <c r="C134" t="s">
        <v>413</v>
      </c>
      <c r="D134" t="s">
        <v>414</v>
      </c>
      <c r="E134" t="s">
        <v>399</v>
      </c>
      <c r="F134" s="1">
        <v>44910</v>
      </c>
    </row>
    <row r="135" spans="1:6" x14ac:dyDescent="0.3">
      <c r="A135">
        <v>749813</v>
      </c>
      <c r="B135" t="s">
        <v>415</v>
      </c>
      <c r="C135" t="s">
        <v>416</v>
      </c>
      <c r="D135" t="s">
        <v>417</v>
      </c>
      <c r="E135" t="s">
        <v>399</v>
      </c>
      <c r="F135" s="1">
        <v>45037</v>
      </c>
    </row>
    <row r="136" spans="1:6" x14ac:dyDescent="0.3">
      <c r="A136">
        <v>581894</v>
      </c>
      <c r="B136" t="s">
        <v>418</v>
      </c>
      <c r="C136" t="s">
        <v>419</v>
      </c>
      <c r="D136" t="s">
        <v>420</v>
      </c>
      <c r="E136" t="s">
        <v>62</v>
      </c>
      <c r="F136" s="1">
        <v>45151</v>
      </c>
    </row>
    <row r="137" spans="1:6" x14ac:dyDescent="0.3">
      <c r="A137">
        <v>177449</v>
      </c>
      <c r="B137" t="s">
        <v>421</v>
      </c>
      <c r="C137" t="s">
        <v>422</v>
      </c>
      <c r="D137" t="s">
        <v>423</v>
      </c>
      <c r="E137" t="s">
        <v>133</v>
      </c>
      <c r="F137" s="1">
        <v>45430</v>
      </c>
    </row>
    <row r="138" spans="1:6" x14ac:dyDescent="0.3">
      <c r="A138">
        <v>986365</v>
      </c>
      <c r="B138" t="s">
        <v>424</v>
      </c>
      <c r="C138" t="s">
        <v>425</v>
      </c>
      <c r="D138" t="s">
        <v>426</v>
      </c>
      <c r="E138" t="s">
        <v>117</v>
      </c>
      <c r="F138" s="1">
        <v>44780</v>
      </c>
    </row>
    <row r="139" spans="1:6" x14ac:dyDescent="0.3">
      <c r="A139">
        <v>702733</v>
      </c>
      <c r="B139" t="s">
        <v>427</v>
      </c>
      <c r="C139" t="s">
        <v>428</v>
      </c>
      <c r="D139" t="s">
        <v>429</v>
      </c>
      <c r="E139" t="s">
        <v>143</v>
      </c>
      <c r="F139" s="1">
        <v>45372</v>
      </c>
    </row>
    <row r="140" spans="1:6" x14ac:dyDescent="0.3">
      <c r="A140">
        <v>735863</v>
      </c>
      <c r="B140" t="s">
        <v>430</v>
      </c>
      <c r="C140" t="s">
        <v>431</v>
      </c>
      <c r="D140" t="s">
        <v>432</v>
      </c>
      <c r="E140" t="s">
        <v>36</v>
      </c>
      <c r="F140" s="1">
        <v>45283</v>
      </c>
    </row>
    <row r="141" spans="1:6" x14ac:dyDescent="0.3">
      <c r="A141">
        <v>751051</v>
      </c>
      <c r="B141" t="s">
        <v>433</v>
      </c>
      <c r="C141" t="s">
        <v>434</v>
      </c>
      <c r="D141" t="s">
        <v>435</v>
      </c>
      <c r="E141" t="s">
        <v>399</v>
      </c>
      <c r="F141" s="1">
        <v>44760</v>
      </c>
    </row>
    <row r="142" spans="1:6" x14ac:dyDescent="0.3">
      <c r="A142">
        <v>423939</v>
      </c>
      <c r="B142" t="s">
        <v>436</v>
      </c>
      <c r="C142" t="s">
        <v>437</v>
      </c>
      <c r="D142" t="s">
        <v>438</v>
      </c>
      <c r="E142" t="s">
        <v>32</v>
      </c>
      <c r="F142" s="1">
        <v>44831</v>
      </c>
    </row>
    <row r="143" spans="1:6" x14ac:dyDescent="0.3">
      <c r="A143">
        <v>883790</v>
      </c>
      <c r="B143" t="s">
        <v>439</v>
      </c>
      <c r="C143" t="s">
        <v>440</v>
      </c>
      <c r="D143" t="s">
        <v>441</v>
      </c>
      <c r="E143" t="s">
        <v>399</v>
      </c>
      <c r="F143" s="1">
        <v>45311</v>
      </c>
    </row>
    <row r="144" spans="1:6" x14ac:dyDescent="0.3">
      <c r="A144">
        <v>970813</v>
      </c>
      <c r="B144" t="s">
        <v>442</v>
      </c>
      <c r="C144" t="s">
        <v>443</v>
      </c>
      <c r="D144" t="s">
        <v>444</v>
      </c>
      <c r="E144" t="s">
        <v>117</v>
      </c>
      <c r="F144" s="1">
        <v>45166</v>
      </c>
    </row>
    <row r="145" spans="1:6" x14ac:dyDescent="0.3">
      <c r="A145">
        <v>591081</v>
      </c>
      <c r="B145" t="s">
        <v>445</v>
      </c>
      <c r="C145" t="s">
        <v>446</v>
      </c>
      <c r="D145" t="s">
        <v>447</v>
      </c>
      <c r="E145" t="s">
        <v>36</v>
      </c>
      <c r="F145" s="1">
        <v>45375</v>
      </c>
    </row>
    <row r="146" spans="1:6" x14ac:dyDescent="0.3">
      <c r="A146">
        <v>929090</v>
      </c>
      <c r="B146" t="s">
        <v>448</v>
      </c>
      <c r="C146" t="s">
        <v>449</v>
      </c>
      <c r="D146" t="s">
        <v>450</v>
      </c>
      <c r="E146" t="s">
        <v>28</v>
      </c>
      <c r="F146" s="1">
        <v>45493</v>
      </c>
    </row>
    <row r="147" spans="1:6" x14ac:dyDescent="0.3">
      <c r="A147">
        <v>712955</v>
      </c>
      <c r="B147" t="s">
        <v>451</v>
      </c>
      <c r="C147" t="s">
        <v>452</v>
      </c>
      <c r="D147" t="s">
        <v>453</v>
      </c>
      <c r="E147" t="s">
        <v>32</v>
      </c>
      <c r="F147" s="1">
        <v>44783</v>
      </c>
    </row>
    <row r="148" spans="1:6" x14ac:dyDescent="0.3">
      <c r="A148">
        <v>126240</v>
      </c>
      <c r="B148" t="s">
        <v>454</v>
      </c>
      <c r="C148" t="s">
        <v>455</v>
      </c>
      <c r="D148" t="s">
        <v>456</v>
      </c>
      <c r="E148" t="s">
        <v>36</v>
      </c>
      <c r="F148" s="1">
        <v>44691</v>
      </c>
    </row>
    <row r="149" spans="1:6" x14ac:dyDescent="0.3">
      <c r="A149">
        <v>780776</v>
      </c>
      <c r="B149" t="s">
        <v>457</v>
      </c>
      <c r="C149" t="s">
        <v>458</v>
      </c>
      <c r="D149" t="s">
        <v>459</v>
      </c>
      <c r="E149" t="s">
        <v>143</v>
      </c>
      <c r="F149" s="1">
        <v>44638</v>
      </c>
    </row>
    <row r="150" spans="1:6" x14ac:dyDescent="0.3">
      <c r="A150">
        <v>201913</v>
      </c>
      <c r="B150" t="s">
        <v>460</v>
      </c>
      <c r="C150" t="s">
        <v>461</v>
      </c>
      <c r="D150" t="s">
        <v>462</v>
      </c>
      <c r="E150" t="s">
        <v>24</v>
      </c>
      <c r="F150" s="1">
        <v>45491</v>
      </c>
    </row>
    <row r="151" spans="1:6" x14ac:dyDescent="0.3">
      <c r="A151">
        <v>539486</v>
      </c>
      <c r="B151" t="s">
        <v>463</v>
      </c>
      <c r="C151" t="s">
        <v>464</v>
      </c>
      <c r="D151" t="s">
        <v>465</v>
      </c>
      <c r="E151" t="s">
        <v>13</v>
      </c>
      <c r="F151" s="1">
        <v>44764</v>
      </c>
    </row>
    <row r="152" spans="1:6" x14ac:dyDescent="0.3">
      <c r="A152">
        <v>393328</v>
      </c>
      <c r="B152" t="s">
        <v>466</v>
      </c>
      <c r="C152" t="s">
        <v>467</v>
      </c>
      <c r="D152" t="s">
        <v>468</v>
      </c>
      <c r="E152" t="s">
        <v>17</v>
      </c>
      <c r="F152" s="1">
        <v>45470</v>
      </c>
    </row>
    <row r="153" spans="1:6" x14ac:dyDescent="0.3">
      <c r="A153">
        <v>204180</v>
      </c>
      <c r="B153" t="s">
        <v>469</v>
      </c>
      <c r="C153" t="s">
        <v>470</v>
      </c>
      <c r="D153" t="s">
        <v>471</v>
      </c>
      <c r="E153" t="s">
        <v>32</v>
      </c>
      <c r="F153" s="1">
        <v>44686</v>
      </c>
    </row>
    <row r="154" spans="1:6" x14ac:dyDescent="0.3">
      <c r="A154">
        <v>228093</v>
      </c>
      <c r="B154" t="s">
        <v>472</v>
      </c>
      <c r="C154" t="s">
        <v>473</v>
      </c>
      <c r="D154" t="s">
        <v>474</v>
      </c>
      <c r="E154" t="s">
        <v>17</v>
      </c>
      <c r="F154" s="1">
        <v>44605</v>
      </c>
    </row>
    <row r="155" spans="1:6" x14ac:dyDescent="0.3">
      <c r="A155">
        <v>232040</v>
      </c>
      <c r="B155" t="s">
        <v>475</v>
      </c>
      <c r="C155" t="s">
        <v>476</v>
      </c>
      <c r="D155" t="s">
        <v>477</v>
      </c>
      <c r="E155" t="s">
        <v>17</v>
      </c>
      <c r="F155" s="1">
        <v>45004</v>
      </c>
    </row>
    <row r="156" spans="1:6" x14ac:dyDescent="0.3">
      <c r="A156">
        <v>926952</v>
      </c>
      <c r="B156" t="s">
        <v>478</v>
      </c>
      <c r="C156" t="s">
        <v>479</v>
      </c>
      <c r="D156" t="s">
        <v>197</v>
      </c>
      <c r="E156" t="s">
        <v>399</v>
      </c>
      <c r="F156" s="1">
        <v>44828</v>
      </c>
    </row>
    <row r="157" spans="1:6" x14ac:dyDescent="0.3">
      <c r="A157">
        <v>215266</v>
      </c>
      <c r="B157" t="s">
        <v>480</v>
      </c>
      <c r="C157" t="s">
        <v>481</v>
      </c>
      <c r="D157" t="s">
        <v>482</v>
      </c>
      <c r="E157" t="s">
        <v>143</v>
      </c>
      <c r="F157" s="1">
        <v>45295</v>
      </c>
    </row>
    <row r="158" spans="1:6" x14ac:dyDescent="0.3">
      <c r="A158">
        <v>116547</v>
      </c>
      <c r="B158" t="s">
        <v>483</v>
      </c>
      <c r="C158" t="s">
        <v>484</v>
      </c>
      <c r="D158" t="s">
        <v>485</v>
      </c>
      <c r="E158" t="s">
        <v>399</v>
      </c>
      <c r="F158" s="1">
        <v>45424</v>
      </c>
    </row>
    <row r="159" spans="1:6" x14ac:dyDescent="0.3">
      <c r="A159">
        <v>599380</v>
      </c>
      <c r="B159" t="s">
        <v>486</v>
      </c>
      <c r="C159" t="s">
        <v>487</v>
      </c>
      <c r="D159" t="s">
        <v>488</v>
      </c>
      <c r="E159" t="s">
        <v>28</v>
      </c>
      <c r="F159" s="1">
        <v>45487</v>
      </c>
    </row>
    <row r="160" spans="1:6" x14ac:dyDescent="0.3">
      <c r="A160">
        <v>862569</v>
      </c>
      <c r="B160" t="s">
        <v>489</v>
      </c>
      <c r="C160" t="s">
        <v>490</v>
      </c>
      <c r="D160" t="s">
        <v>491</v>
      </c>
      <c r="E160" t="s">
        <v>62</v>
      </c>
      <c r="F160" s="1">
        <v>44625</v>
      </c>
    </row>
    <row r="161" spans="1:6" x14ac:dyDescent="0.3">
      <c r="A161">
        <v>546980</v>
      </c>
      <c r="B161" t="s">
        <v>492</v>
      </c>
      <c r="C161" t="s">
        <v>493</v>
      </c>
      <c r="D161" t="s">
        <v>494</v>
      </c>
      <c r="E161" t="s">
        <v>62</v>
      </c>
      <c r="F161" s="1">
        <v>44712</v>
      </c>
    </row>
    <row r="162" spans="1:6" x14ac:dyDescent="0.3">
      <c r="A162">
        <v>168872</v>
      </c>
      <c r="B162" t="s">
        <v>495</v>
      </c>
      <c r="C162" t="s">
        <v>496</v>
      </c>
      <c r="D162" t="s">
        <v>497</v>
      </c>
      <c r="E162" t="s">
        <v>46</v>
      </c>
      <c r="F162" s="1">
        <v>45342</v>
      </c>
    </row>
    <row r="163" spans="1:6" x14ac:dyDescent="0.3">
      <c r="A163">
        <v>575755</v>
      </c>
      <c r="B163" t="s">
        <v>14</v>
      </c>
      <c r="C163" t="s">
        <v>498</v>
      </c>
      <c r="D163" t="s">
        <v>197</v>
      </c>
      <c r="E163" t="s">
        <v>28</v>
      </c>
      <c r="F163" s="1">
        <v>44796</v>
      </c>
    </row>
    <row r="164" spans="1:6" x14ac:dyDescent="0.3">
      <c r="A164">
        <v>550961</v>
      </c>
      <c r="B164" t="s">
        <v>499</v>
      </c>
      <c r="C164" t="s">
        <v>500</v>
      </c>
      <c r="D164" t="s">
        <v>501</v>
      </c>
      <c r="E164" t="s">
        <v>46</v>
      </c>
      <c r="F164" s="1">
        <v>45490</v>
      </c>
    </row>
    <row r="165" spans="1:6" x14ac:dyDescent="0.3">
      <c r="A165">
        <v>427730</v>
      </c>
      <c r="B165" t="s">
        <v>502</v>
      </c>
      <c r="C165" t="s">
        <v>503</v>
      </c>
      <c r="D165" t="s">
        <v>504</v>
      </c>
      <c r="E165" t="s">
        <v>9</v>
      </c>
      <c r="F165" s="1">
        <v>45328</v>
      </c>
    </row>
    <row r="166" spans="1:6" x14ac:dyDescent="0.3">
      <c r="A166">
        <v>170394</v>
      </c>
      <c r="B166" t="s">
        <v>505</v>
      </c>
      <c r="C166" t="s">
        <v>506</v>
      </c>
      <c r="D166" t="s">
        <v>507</v>
      </c>
      <c r="E166" t="s">
        <v>13</v>
      </c>
      <c r="F166" s="1">
        <v>44759</v>
      </c>
    </row>
    <row r="167" spans="1:6" x14ac:dyDescent="0.3">
      <c r="A167">
        <v>951201</v>
      </c>
      <c r="B167" t="s">
        <v>508</v>
      </c>
      <c r="C167" t="s">
        <v>509</v>
      </c>
      <c r="D167" t="s">
        <v>510</v>
      </c>
      <c r="E167" t="s">
        <v>46</v>
      </c>
      <c r="F167" s="1">
        <v>44812</v>
      </c>
    </row>
    <row r="168" spans="1:6" x14ac:dyDescent="0.3">
      <c r="A168">
        <v>856086</v>
      </c>
      <c r="B168" t="s">
        <v>511</v>
      </c>
      <c r="C168" t="s">
        <v>512</v>
      </c>
      <c r="D168" t="s">
        <v>513</v>
      </c>
      <c r="E168" t="s">
        <v>133</v>
      </c>
      <c r="F168" s="1">
        <v>45282</v>
      </c>
    </row>
    <row r="169" spans="1:6" x14ac:dyDescent="0.3">
      <c r="A169">
        <v>323072</v>
      </c>
      <c r="B169" t="s">
        <v>514</v>
      </c>
      <c r="C169" t="s">
        <v>515</v>
      </c>
      <c r="D169" t="s">
        <v>516</v>
      </c>
      <c r="E169" t="s">
        <v>36</v>
      </c>
      <c r="F169" s="1">
        <v>44783</v>
      </c>
    </row>
    <row r="170" spans="1:6" x14ac:dyDescent="0.3">
      <c r="A170">
        <v>220465</v>
      </c>
      <c r="B170" t="s">
        <v>517</v>
      </c>
      <c r="C170" t="s">
        <v>518</v>
      </c>
      <c r="D170" t="s">
        <v>519</v>
      </c>
      <c r="E170" t="s">
        <v>13</v>
      </c>
      <c r="F170" s="1">
        <v>44615</v>
      </c>
    </row>
    <row r="171" spans="1:6" x14ac:dyDescent="0.3">
      <c r="A171">
        <v>130359</v>
      </c>
      <c r="B171" t="s">
        <v>520</v>
      </c>
      <c r="C171" t="s">
        <v>521</v>
      </c>
      <c r="D171" t="s">
        <v>522</v>
      </c>
      <c r="E171" t="s">
        <v>133</v>
      </c>
      <c r="F171" s="1">
        <v>45257</v>
      </c>
    </row>
    <row r="172" spans="1:6" x14ac:dyDescent="0.3">
      <c r="A172">
        <v>250210</v>
      </c>
      <c r="B172" t="s">
        <v>523</v>
      </c>
      <c r="C172" t="s">
        <v>524</v>
      </c>
      <c r="D172" t="s">
        <v>525</v>
      </c>
      <c r="E172" t="s">
        <v>143</v>
      </c>
      <c r="F172" s="1">
        <v>44852</v>
      </c>
    </row>
    <row r="173" spans="1:6" x14ac:dyDescent="0.3">
      <c r="A173">
        <v>196214</v>
      </c>
      <c r="B173" t="s">
        <v>526</v>
      </c>
      <c r="C173" t="s">
        <v>527</v>
      </c>
      <c r="D173" t="s">
        <v>528</v>
      </c>
      <c r="E173" t="s">
        <v>13</v>
      </c>
      <c r="F173" s="1">
        <v>45491</v>
      </c>
    </row>
    <row r="174" spans="1:6" x14ac:dyDescent="0.3">
      <c r="A174">
        <v>426775</v>
      </c>
      <c r="B174" t="s">
        <v>529</v>
      </c>
      <c r="C174" t="s">
        <v>530</v>
      </c>
      <c r="D174" t="s">
        <v>531</v>
      </c>
      <c r="E174" t="s">
        <v>143</v>
      </c>
      <c r="F174" s="1">
        <v>44669</v>
      </c>
    </row>
    <row r="175" spans="1:6" x14ac:dyDescent="0.3">
      <c r="A175">
        <v>806707</v>
      </c>
      <c r="B175" t="s">
        <v>532</v>
      </c>
      <c r="C175" t="s">
        <v>533</v>
      </c>
      <c r="D175" t="s">
        <v>534</v>
      </c>
      <c r="E175" t="s">
        <v>13</v>
      </c>
      <c r="F175" s="1">
        <v>45556</v>
      </c>
    </row>
    <row r="176" spans="1:6" x14ac:dyDescent="0.3">
      <c r="A176">
        <v>386436</v>
      </c>
      <c r="B176" t="s">
        <v>535</v>
      </c>
      <c r="C176" t="s">
        <v>536</v>
      </c>
      <c r="D176" t="s">
        <v>537</v>
      </c>
      <c r="E176" t="s">
        <v>32</v>
      </c>
      <c r="F176" s="1">
        <v>45442</v>
      </c>
    </row>
    <row r="177" spans="1:6" x14ac:dyDescent="0.3">
      <c r="A177">
        <v>652530</v>
      </c>
      <c r="B177" t="s">
        <v>538</v>
      </c>
      <c r="C177" t="s">
        <v>539</v>
      </c>
      <c r="D177" t="s">
        <v>540</v>
      </c>
      <c r="E177" t="s">
        <v>36</v>
      </c>
      <c r="F177" s="1">
        <v>45371</v>
      </c>
    </row>
    <row r="178" spans="1:6" x14ac:dyDescent="0.3">
      <c r="A178">
        <v>314353</v>
      </c>
      <c r="B178" t="s">
        <v>541</v>
      </c>
      <c r="C178" t="s">
        <v>542</v>
      </c>
      <c r="D178" t="s">
        <v>197</v>
      </c>
      <c r="E178" t="s">
        <v>399</v>
      </c>
      <c r="F178" s="1">
        <v>45085</v>
      </c>
    </row>
    <row r="179" spans="1:6" x14ac:dyDescent="0.3">
      <c r="A179">
        <v>108105</v>
      </c>
      <c r="B179" t="s">
        <v>543</v>
      </c>
      <c r="C179" t="s">
        <v>544</v>
      </c>
      <c r="D179" t="s">
        <v>545</v>
      </c>
      <c r="E179" t="s">
        <v>399</v>
      </c>
      <c r="F179" s="1">
        <v>45340</v>
      </c>
    </row>
    <row r="180" spans="1:6" x14ac:dyDescent="0.3">
      <c r="A180">
        <v>624563</v>
      </c>
      <c r="B180" t="s">
        <v>546</v>
      </c>
      <c r="C180" t="s">
        <v>547</v>
      </c>
      <c r="D180" t="s">
        <v>548</v>
      </c>
      <c r="E180" t="s">
        <v>32</v>
      </c>
      <c r="F180" s="1">
        <v>44709</v>
      </c>
    </row>
    <row r="181" spans="1:6" x14ac:dyDescent="0.3">
      <c r="A181">
        <v>557409</v>
      </c>
      <c r="B181" t="s">
        <v>549</v>
      </c>
      <c r="C181" t="s">
        <v>550</v>
      </c>
      <c r="D181" t="s">
        <v>551</v>
      </c>
      <c r="E181" t="s">
        <v>143</v>
      </c>
      <c r="F181" s="1">
        <v>45203</v>
      </c>
    </row>
    <row r="182" spans="1:6" x14ac:dyDescent="0.3">
      <c r="A182">
        <v>843963</v>
      </c>
      <c r="B182" t="s">
        <v>552</v>
      </c>
      <c r="C182" t="s">
        <v>553</v>
      </c>
      <c r="D182" t="s">
        <v>554</v>
      </c>
      <c r="E182" t="s">
        <v>28</v>
      </c>
      <c r="F182" s="1">
        <v>45391</v>
      </c>
    </row>
    <row r="183" spans="1:6" x14ac:dyDescent="0.3">
      <c r="A183">
        <v>940247</v>
      </c>
      <c r="B183" t="s">
        <v>555</v>
      </c>
      <c r="C183" t="s">
        <v>556</v>
      </c>
      <c r="D183" t="s">
        <v>557</v>
      </c>
      <c r="E183" t="s">
        <v>32</v>
      </c>
      <c r="F183" s="1">
        <v>44742</v>
      </c>
    </row>
    <row r="184" spans="1:6" x14ac:dyDescent="0.3">
      <c r="A184">
        <v>556839</v>
      </c>
      <c r="B184" t="s">
        <v>558</v>
      </c>
      <c r="C184" t="s">
        <v>559</v>
      </c>
      <c r="D184" t="s">
        <v>560</v>
      </c>
      <c r="E184" t="s">
        <v>143</v>
      </c>
      <c r="F184" s="1">
        <v>45372</v>
      </c>
    </row>
    <row r="185" spans="1:6" x14ac:dyDescent="0.3">
      <c r="A185">
        <v>332335</v>
      </c>
      <c r="B185" t="s">
        <v>561</v>
      </c>
      <c r="C185" t="s">
        <v>562</v>
      </c>
      <c r="D185" t="s">
        <v>563</v>
      </c>
      <c r="E185" t="s">
        <v>28</v>
      </c>
      <c r="F185" s="1">
        <v>45648</v>
      </c>
    </row>
    <row r="186" spans="1:6" x14ac:dyDescent="0.3">
      <c r="A186">
        <v>468154</v>
      </c>
      <c r="B186" t="s">
        <v>564</v>
      </c>
      <c r="C186" t="s">
        <v>565</v>
      </c>
      <c r="D186" t="s">
        <v>566</v>
      </c>
      <c r="E186" t="s">
        <v>28</v>
      </c>
      <c r="F186" s="1">
        <v>44861</v>
      </c>
    </row>
    <row r="187" spans="1:6" x14ac:dyDescent="0.3">
      <c r="A187">
        <v>731661</v>
      </c>
      <c r="B187" t="s">
        <v>567</v>
      </c>
      <c r="C187" t="s">
        <v>568</v>
      </c>
      <c r="D187" t="s">
        <v>569</v>
      </c>
      <c r="E187" t="s">
        <v>399</v>
      </c>
      <c r="F187" s="1">
        <v>45573</v>
      </c>
    </row>
    <row r="188" spans="1:6" x14ac:dyDescent="0.3">
      <c r="A188">
        <v>814220</v>
      </c>
      <c r="B188" t="s">
        <v>570</v>
      </c>
      <c r="C188" t="s">
        <v>571</v>
      </c>
      <c r="D188" t="s">
        <v>572</v>
      </c>
      <c r="E188" t="s">
        <v>46</v>
      </c>
      <c r="F188" s="1">
        <v>45209</v>
      </c>
    </row>
    <row r="189" spans="1:6" x14ac:dyDescent="0.3">
      <c r="A189">
        <v>591699</v>
      </c>
      <c r="B189" t="s">
        <v>573</v>
      </c>
      <c r="C189" t="s">
        <v>574</v>
      </c>
      <c r="D189" t="s">
        <v>575</v>
      </c>
      <c r="E189" t="s">
        <v>9</v>
      </c>
      <c r="F189" s="1">
        <v>44677</v>
      </c>
    </row>
    <row r="190" spans="1:6" x14ac:dyDescent="0.3">
      <c r="A190">
        <v>425486</v>
      </c>
      <c r="B190" t="s">
        <v>576</v>
      </c>
      <c r="C190" t="s">
        <v>577</v>
      </c>
      <c r="D190" t="s">
        <v>578</v>
      </c>
      <c r="E190" t="s">
        <v>143</v>
      </c>
      <c r="F190" s="1">
        <v>45317</v>
      </c>
    </row>
    <row r="191" spans="1:6" x14ac:dyDescent="0.3">
      <c r="A191">
        <v>744883</v>
      </c>
      <c r="B191" t="s">
        <v>579</v>
      </c>
      <c r="C191" t="s">
        <v>580</v>
      </c>
      <c r="D191" t="s">
        <v>581</v>
      </c>
      <c r="E191" t="s">
        <v>62</v>
      </c>
      <c r="F191" s="1">
        <v>44646</v>
      </c>
    </row>
    <row r="192" spans="1:6" x14ac:dyDescent="0.3">
      <c r="A192">
        <v>437145</v>
      </c>
      <c r="B192" t="s">
        <v>582</v>
      </c>
      <c r="C192" t="s">
        <v>583</v>
      </c>
      <c r="D192" t="s">
        <v>584</v>
      </c>
      <c r="E192" t="s">
        <v>399</v>
      </c>
      <c r="F192" s="1">
        <v>44688</v>
      </c>
    </row>
    <row r="193" spans="1:6" x14ac:dyDescent="0.3">
      <c r="A193">
        <v>849014</v>
      </c>
      <c r="B193" t="s">
        <v>585</v>
      </c>
      <c r="C193" t="s">
        <v>586</v>
      </c>
      <c r="D193" t="s">
        <v>587</v>
      </c>
      <c r="E193" t="s">
        <v>399</v>
      </c>
      <c r="F193" s="1">
        <v>44642</v>
      </c>
    </row>
    <row r="194" spans="1:6" x14ac:dyDescent="0.3">
      <c r="A194">
        <v>560767</v>
      </c>
      <c r="B194" t="s">
        <v>588</v>
      </c>
      <c r="C194" t="s">
        <v>589</v>
      </c>
      <c r="D194" t="s">
        <v>590</v>
      </c>
      <c r="E194" t="s">
        <v>399</v>
      </c>
      <c r="F194" s="1">
        <v>45307</v>
      </c>
    </row>
    <row r="195" spans="1:6" x14ac:dyDescent="0.3">
      <c r="A195">
        <v>528625</v>
      </c>
      <c r="B195" t="s">
        <v>591</v>
      </c>
      <c r="C195" t="s">
        <v>592</v>
      </c>
      <c r="D195" t="s">
        <v>593</v>
      </c>
      <c r="E195" t="s">
        <v>143</v>
      </c>
      <c r="F195" s="1">
        <v>45247</v>
      </c>
    </row>
    <row r="196" spans="1:6" x14ac:dyDescent="0.3">
      <c r="A196">
        <v>685066</v>
      </c>
      <c r="B196" t="s">
        <v>594</v>
      </c>
      <c r="C196" t="s">
        <v>595</v>
      </c>
      <c r="D196" t="s">
        <v>197</v>
      </c>
      <c r="E196" t="s">
        <v>9</v>
      </c>
      <c r="F196" s="1">
        <v>44869</v>
      </c>
    </row>
    <row r="197" spans="1:6" x14ac:dyDescent="0.3">
      <c r="A197">
        <v>466813</v>
      </c>
      <c r="B197" t="s">
        <v>596</v>
      </c>
      <c r="C197" t="s">
        <v>597</v>
      </c>
      <c r="D197" t="s">
        <v>598</v>
      </c>
      <c r="E197" t="s">
        <v>24</v>
      </c>
      <c r="F197" s="1">
        <v>44826</v>
      </c>
    </row>
    <row r="198" spans="1:6" x14ac:dyDescent="0.3">
      <c r="A198">
        <v>424620</v>
      </c>
      <c r="B198" t="s">
        <v>599</v>
      </c>
      <c r="C198" t="s">
        <v>600</v>
      </c>
      <c r="D198" t="s">
        <v>601</v>
      </c>
      <c r="E198" t="s">
        <v>46</v>
      </c>
      <c r="F198" s="1">
        <v>44823</v>
      </c>
    </row>
    <row r="199" spans="1:6" x14ac:dyDescent="0.3">
      <c r="A199">
        <v>197992</v>
      </c>
      <c r="B199" t="s">
        <v>602</v>
      </c>
      <c r="C199" t="s">
        <v>603</v>
      </c>
      <c r="D199" t="s">
        <v>604</v>
      </c>
      <c r="E199" t="s">
        <v>32</v>
      </c>
      <c r="F199" s="1">
        <v>44599</v>
      </c>
    </row>
    <row r="200" spans="1:6" x14ac:dyDescent="0.3">
      <c r="A200">
        <v>324597</v>
      </c>
      <c r="B200" t="s">
        <v>605</v>
      </c>
      <c r="C200" t="s">
        <v>606</v>
      </c>
      <c r="D200" t="s">
        <v>607</v>
      </c>
      <c r="E200" t="s">
        <v>36</v>
      </c>
      <c r="F200" s="1">
        <v>44843</v>
      </c>
    </row>
    <row r="201" spans="1:6" x14ac:dyDescent="0.3">
      <c r="A201">
        <v>985447</v>
      </c>
      <c r="B201" t="s">
        <v>608</v>
      </c>
      <c r="C201" t="s">
        <v>609</v>
      </c>
      <c r="D201" t="s">
        <v>610</v>
      </c>
      <c r="E201" t="s">
        <v>143</v>
      </c>
      <c r="F201" s="1">
        <v>45251</v>
      </c>
    </row>
    <row r="202" spans="1:6" x14ac:dyDescent="0.3">
      <c r="A202">
        <v>726258</v>
      </c>
      <c r="B202" t="s">
        <v>611</v>
      </c>
      <c r="C202" t="s">
        <v>612</v>
      </c>
      <c r="D202" t="s">
        <v>613</v>
      </c>
      <c r="E202" t="s">
        <v>399</v>
      </c>
      <c r="F202" s="1">
        <v>44901</v>
      </c>
    </row>
    <row r="203" spans="1:6" x14ac:dyDescent="0.3">
      <c r="A203">
        <v>530816</v>
      </c>
      <c r="B203" t="s">
        <v>614</v>
      </c>
      <c r="C203" t="s">
        <v>615</v>
      </c>
      <c r="D203" t="s">
        <v>616</v>
      </c>
      <c r="E203" t="s">
        <v>36</v>
      </c>
      <c r="F203" s="1">
        <v>45471</v>
      </c>
    </row>
    <row r="204" spans="1:6" x14ac:dyDescent="0.3">
      <c r="A204">
        <v>345369</v>
      </c>
      <c r="B204" t="s">
        <v>617</v>
      </c>
      <c r="C204" t="s">
        <v>618</v>
      </c>
      <c r="D204" t="s">
        <v>197</v>
      </c>
      <c r="E204" t="s">
        <v>117</v>
      </c>
      <c r="F204" s="1">
        <v>44959</v>
      </c>
    </row>
    <row r="205" spans="1:6" x14ac:dyDescent="0.3">
      <c r="A205">
        <v>584106</v>
      </c>
      <c r="B205" t="s">
        <v>619</v>
      </c>
      <c r="C205" t="s">
        <v>620</v>
      </c>
      <c r="D205" t="s">
        <v>621</v>
      </c>
      <c r="E205" t="s">
        <v>13</v>
      </c>
      <c r="F205" s="1">
        <v>44893</v>
      </c>
    </row>
    <row r="206" spans="1:6" x14ac:dyDescent="0.3">
      <c r="A206">
        <v>362147</v>
      </c>
      <c r="B206" t="s">
        <v>622</v>
      </c>
      <c r="C206" t="s">
        <v>623</v>
      </c>
      <c r="D206" t="s">
        <v>624</v>
      </c>
      <c r="E206" t="s">
        <v>32</v>
      </c>
      <c r="F206" s="1">
        <v>44772</v>
      </c>
    </row>
    <row r="207" spans="1:6" x14ac:dyDescent="0.3">
      <c r="A207">
        <v>398910</v>
      </c>
      <c r="B207" t="s">
        <v>625</v>
      </c>
      <c r="C207" t="s">
        <v>626</v>
      </c>
      <c r="D207" t="s">
        <v>627</v>
      </c>
      <c r="E207" t="s">
        <v>62</v>
      </c>
      <c r="F207" s="1">
        <v>45613</v>
      </c>
    </row>
    <row r="208" spans="1:6" x14ac:dyDescent="0.3">
      <c r="A208">
        <v>332823</v>
      </c>
      <c r="B208" t="s">
        <v>628</v>
      </c>
      <c r="C208" t="s">
        <v>629</v>
      </c>
      <c r="D208" t="s">
        <v>630</v>
      </c>
      <c r="E208" t="s">
        <v>143</v>
      </c>
      <c r="F208" s="1">
        <v>45411</v>
      </c>
    </row>
    <row r="209" spans="1:6" x14ac:dyDescent="0.3">
      <c r="A209">
        <v>492127</v>
      </c>
      <c r="B209" t="s">
        <v>631</v>
      </c>
      <c r="C209" t="s">
        <v>632</v>
      </c>
      <c r="D209" t="s">
        <v>633</v>
      </c>
      <c r="E209" t="s">
        <v>32</v>
      </c>
      <c r="F209" s="1">
        <v>45021</v>
      </c>
    </row>
    <row r="210" spans="1:6" x14ac:dyDescent="0.3">
      <c r="A210">
        <v>979940</v>
      </c>
      <c r="B210" t="s">
        <v>634</v>
      </c>
      <c r="C210" t="s">
        <v>635</v>
      </c>
      <c r="D210" t="s">
        <v>636</v>
      </c>
      <c r="E210" t="s">
        <v>399</v>
      </c>
      <c r="F210" s="1">
        <v>44843</v>
      </c>
    </row>
    <row r="211" spans="1:6" x14ac:dyDescent="0.3">
      <c r="A211">
        <v>829884</v>
      </c>
      <c r="B211" t="s">
        <v>637</v>
      </c>
      <c r="C211" t="s">
        <v>638</v>
      </c>
      <c r="D211" t="s">
        <v>639</v>
      </c>
      <c r="E211" t="s">
        <v>143</v>
      </c>
      <c r="F211" s="1">
        <v>44724</v>
      </c>
    </row>
    <row r="212" spans="1:6" x14ac:dyDescent="0.3">
      <c r="A212">
        <v>975522</v>
      </c>
      <c r="B212" t="s">
        <v>640</v>
      </c>
      <c r="C212" t="s">
        <v>641</v>
      </c>
      <c r="D212" t="s">
        <v>642</v>
      </c>
      <c r="E212" t="s">
        <v>13</v>
      </c>
      <c r="F212" s="1">
        <v>44789</v>
      </c>
    </row>
    <row r="213" spans="1:6" x14ac:dyDescent="0.3">
      <c r="A213">
        <v>415779</v>
      </c>
      <c r="B213" t="s">
        <v>643</v>
      </c>
      <c r="C213" t="s">
        <v>644</v>
      </c>
      <c r="D213" t="s">
        <v>645</v>
      </c>
      <c r="E213" t="s">
        <v>13</v>
      </c>
      <c r="F213" s="1">
        <v>45498</v>
      </c>
    </row>
    <row r="214" spans="1:6" x14ac:dyDescent="0.3">
      <c r="A214">
        <v>725726</v>
      </c>
      <c r="B214" t="s">
        <v>646</v>
      </c>
      <c r="C214" t="s">
        <v>647</v>
      </c>
      <c r="D214" t="s">
        <v>197</v>
      </c>
      <c r="E214" t="s">
        <v>36</v>
      </c>
      <c r="F214" s="1">
        <v>44856</v>
      </c>
    </row>
    <row r="215" spans="1:6" x14ac:dyDescent="0.3">
      <c r="A215">
        <v>744674</v>
      </c>
      <c r="B215" t="s">
        <v>648</v>
      </c>
      <c r="C215" t="s">
        <v>649</v>
      </c>
      <c r="D215" t="s">
        <v>650</v>
      </c>
      <c r="E215" t="s">
        <v>13</v>
      </c>
      <c r="F215" s="1">
        <v>44945</v>
      </c>
    </row>
    <row r="216" spans="1:6" x14ac:dyDescent="0.3">
      <c r="A216">
        <v>648913</v>
      </c>
      <c r="B216" t="s">
        <v>651</v>
      </c>
      <c r="C216" t="s">
        <v>652</v>
      </c>
      <c r="D216" t="s">
        <v>653</v>
      </c>
      <c r="E216" t="s">
        <v>143</v>
      </c>
      <c r="F216" s="1">
        <v>45361</v>
      </c>
    </row>
    <row r="217" spans="1:6" x14ac:dyDescent="0.3">
      <c r="A217">
        <v>491435</v>
      </c>
      <c r="B217" t="s">
        <v>654</v>
      </c>
      <c r="C217" t="s">
        <v>655</v>
      </c>
      <c r="D217" t="s">
        <v>656</v>
      </c>
      <c r="E217" t="s">
        <v>143</v>
      </c>
      <c r="F217" s="1">
        <v>45268</v>
      </c>
    </row>
    <row r="218" spans="1:6" x14ac:dyDescent="0.3">
      <c r="A218">
        <v>908977</v>
      </c>
      <c r="B218" t="s">
        <v>657</v>
      </c>
      <c r="C218" t="s">
        <v>658</v>
      </c>
      <c r="D218" t="s">
        <v>659</v>
      </c>
      <c r="E218" t="s">
        <v>143</v>
      </c>
      <c r="F218" s="1">
        <v>45283</v>
      </c>
    </row>
    <row r="219" spans="1:6" x14ac:dyDescent="0.3">
      <c r="A219">
        <v>970720</v>
      </c>
      <c r="B219" t="s">
        <v>660</v>
      </c>
      <c r="C219" t="s">
        <v>661</v>
      </c>
      <c r="D219" t="s">
        <v>662</v>
      </c>
      <c r="E219" t="s">
        <v>117</v>
      </c>
      <c r="F219" s="1">
        <v>44935</v>
      </c>
    </row>
    <row r="220" spans="1:6" x14ac:dyDescent="0.3">
      <c r="A220">
        <v>138780</v>
      </c>
      <c r="B220" t="s">
        <v>663</v>
      </c>
      <c r="C220" t="s">
        <v>664</v>
      </c>
      <c r="D220" t="s">
        <v>665</v>
      </c>
      <c r="E220" t="s">
        <v>17</v>
      </c>
      <c r="F220" s="1">
        <v>44647</v>
      </c>
    </row>
    <row r="221" spans="1:6" x14ac:dyDescent="0.3">
      <c r="A221">
        <v>517568</v>
      </c>
      <c r="B221" t="s">
        <v>666</v>
      </c>
      <c r="C221" t="s">
        <v>667</v>
      </c>
      <c r="D221" t="s">
        <v>668</v>
      </c>
      <c r="E221" t="s">
        <v>143</v>
      </c>
      <c r="F221" s="1">
        <v>44953</v>
      </c>
    </row>
    <row r="222" spans="1:6" x14ac:dyDescent="0.3">
      <c r="A222">
        <v>787584</v>
      </c>
      <c r="B222" t="s">
        <v>669</v>
      </c>
      <c r="C222" t="s">
        <v>670</v>
      </c>
      <c r="D222" t="s">
        <v>671</v>
      </c>
      <c r="E222" t="s">
        <v>32</v>
      </c>
      <c r="F222" s="1">
        <v>45456</v>
      </c>
    </row>
    <row r="223" spans="1:6" x14ac:dyDescent="0.3">
      <c r="A223">
        <v>505426</v>
      </c>
      <c r="B223" t="s">
        <v>672</v>
      </c>
      <c r="C223" t="s">
        <v>673</v>
      </c>
      <c r="D223" t="s">
        <v>674</v>
      </c>
      <c r="E223" t="s">
        <v>117</v>
      </c>
      <c r="F223" s="1">
        <v>45314</v>
      </c>
    </row>
    <row r="224" spans="1:6" x14ac:dyDescent="0.3">
      <c r="A224">
        <v>862400</v>
      </c>
      <c r="B224" t="s">
        <v>675</v>
      </c>
      <c r="C224" t="s">
        <v>676</v>
      </c>
      <c r="D224" t="s">
        <v>677</v>
      </c>
      <c r="E224" t="s">
        <v>399</v>
      </c>
      <c r="F224" s="1">
        <v>45163</v>
      </c>
    </row>
    <row r="225" spans="1:6" x14ac:dyDescent="0.3">
      <c r="A225">
        <v>443848</v>
      </c>
      <c r="B225" t="s">
        <v>678</v>
      </c>
      <c r="C225" t="s">
        <v>679</v>
      </c>
      <c r="D225" t="s">
        <v>680</v>
      </c>
      <c r="E225" t="s">
        <v>62</v>
      </c>
      <c r="F225" s="1">
        <v>45434</v>
      </c>
    </row>
    <row r="226" spans="1:6" x14ac:dyDescent="0.3">
      <c r="A226">
        <v>468623</v>
      </c>
      <c r="B226" t="s">
        <v>681</v>
      </c>
      <c r="C226" t="s">
        <v>682</v>
      </c>
      <c r="D226" t="s">
        <v>683</v>
      </c>
      <c r="E226" t="s">
        <v>32</v>
      </c>
      <c r="F226" s="1">
        <v>45452</v>
      </c>
    </row>
    <row r="227" spans="1:6" x14ac:dyDescent="0.3">
      <c r="A227">
        <v>178686</v>
      </c>
      <c r="B227" t="s">
        <v>684</v>
      </c>
      <c r="C227" t="s">
        <v>685</v>
      </c>
      <c r="D227" t="s">
        <v>686</v>
      </c>
      <c r="E227" t="s">
        <v>32</v>
      </c>
      <c r="F227" s="1">
        <v>45612</v>
      </c>
    </row>
    <row r="228" spans="1:6" x14ac:dyDescent="0.3">
      <c r="A228">
        <v>132653</v>
      </c>
      <c r="B228" t="s">
        <v>687</v>
      </c>
      <c r="C228" t="s">
        <v>688</v>
      </c>
      <c r="D228" t="s">
        <v>689</v>
      </c>
      <c r="E228" t="s">
        <v>62</v>
      </c>
      <c r="F228" s="1">
        <v>44633</v>
      </c>
    </row>
    <row r="229" spans="1:6" x14ac:dyDescent="0.3">
      <c r="A229">
        <v>916332</v>
      </c>
      <c r="B229" t="s">
        <v>690</v>
      </c>
      <c r="C229" t="s">
        <v>691</v>
      </c>
      <c r="D229" t="s">
        <v>692</v>
      </c>
      <c r="E229" t="s">
        <v>24</v>
      </c>
      <c r="F229" s="1">
        <v>44628</v>
      </c>
    </row>
    <row r="230" spans="1:6" x14ac:dyDescent="0.3">
      <c r="A230">
        <v>488984</v>
      </c>
      <c r="B230" t="s">
        <v>693</v>
      </c>
      <c r="C230" t="s">
        <v>694</v>
      </c>
      <c r="D230" t="s">
        <v>695</v>
      </c>
      <c r="E230" t="s">
        <v>143</v>
      </c>
      <c r="F230" s="1">
        <v>44843</v>
      </c>
    </row>
    <row r="231" spans="1:6" x14ac:dyDescent="0.3">
      <c r="A231">
        <v>429657</v>
      </c>
      <c r="B231" t="s">
        <v>696</v>
      </c>
      <c r="C231" t="s">
        <v>697</v>
      </c>
      <c r="D231" t="s">
        <v>698</v>
      </c>
      <c r="E231" t="s">
        <v>28</v>
      </c>
      <c r="F231" s="1">
        <v>44615</v>
      </c>
    </row>
    <row r="232" spans="1:6" x14ac:dyDescent="0.3">
      <c r="A232">
        <v>642895</v>
      </c>
      <c r="B232" t="s">
        <v>699</v>
      </c>
      <c r="C232" t="s">
        <v>700</v>
      </c>
      <c r="D232" t="s">
        <v>701</v>
      </c>
      <c r="E232" t="s">
        <v>9</v>
      </c>
      <c r="F232" s="1">
        <v>45095</v>
      </c>
    </row>
    <row r="233" spans="1:6" x14ac:dyDescent="0.3">
      <c r="A233">
        <v>741599</v>
      </c>
      <c r="B233" t="s">
        <v>702</v>
      </c>
      <c r="C233" t="s">
        <v>703</v>
      </c>
      <c r="D233" t="s">
        <v>704</v>
      </c>
      <c r="E233" t="s">
        <v>117</v>
      </c>
      <c r="F233" s="1">
        <v>44971</v>
      </c>
    </row>
    <row r="234" spans="1:6" x14ac:dyDescent="0.3">
      <c r="A234">
        <v>574001</v>
      </c>
      <c r="B234" t="s">
        <v>705</v>
      </c>
      <c r="C234" t="s">
        <v>706</v>
      </c>
      <c r="D234" t="s">
        <v>707</v>
      </c>
      <c r="E234" t="s">
        <v>46</v>
      </c>
      <c r="F234" s="1">
        <v>45273</v>
      </c>
    </row>
    <row r="235" spans="1:6" x14ac:dyDescent="0.3">
      <c r="A235">
        <v>404466</v>
      </c>
      <c r="B235" t="s">
        <v>708</v>
      </c>
      <c r="C235" t="s">
        <v>709</v>
      </c>
      <c r="D235" t="s">
        <v>710</v>
      </c>
      <c r="E235" t="s">
        <v>399</v>
      </c>
      <c r="F235" s="1">
        <v>45302</v>
      </c>
    </row>
    <row r="236" spans="1:6" x14ac:dyDescent="0.3">
      <c r="A236">
        <v>310743</v>
      </c>
      <c r="B236" t="s">
        <v>711</v>
      </c>
      <c r="C236" t="s">
        <v>712</v>
      </c>
      <c r="D236" t="s">
        <v>713</v>
      </c>
      <c r="E236" t="s">
        <v>117</v>
      </c>
      <c r="F236" s="1">
        <v>44615</v>
      </c>
    </row>
    <row r="237" spans="1:6" x14ac:dyDescent="0.3">
      <c r="A237">
        <v>590110</v>
      </c>
      <c r="B237" t="s">
        <v>364</v>
      </c>
      <c r="C237" t="s">
        <v>714</v>
      </c>
      <c r="D237" t="s">
        <v>715</v>
      </c>
      <c r="E237" t="s">
        <v>143</v>
      </c>
      <c r="F237" s="1">
        <v>44696</v>
      </c>
    </row>
    <row r="238" spans="1:6" x14ac:dyDescent="0.3">
      <c r="A238">
        <v>651231</v>
      </c>
      <c r="B238" t="s">
        <v>716</v>
      </c>
      <c r="C238" t="s">
        <v>717</v>
      </c>
      <c r="D238" t="s">
        <v>718</v>
      </c>
      <c r="E238" t="s">
        <v>143</v>
      </c>
      <c r="F238" s="1">
        <v>44818</v>
      </c>
    </row>
    <row r="239" spans="1:6" x14ac:dyDescent="0.3">
      <c r="A239">
        <v>571832</v>
      </c>
      <c r="B239" t="s">
        <v>719</v>
      </c>
      <c r="C239" t="s">
        <v>720</v>
      </c>
      <c r="D239" t="s">
        <v>721</v>
      </c>
      <c r="E239" t="s">
        <v>32</v>
      </c>
      <c r="F239" s="1">
        <v>44824</v>
      </c>
    </row>
    <row r="240" spans="1:6" x14ac:dyDescent="0.3">
      <c r="A240">
        <v>905077</v>
      </c>
      <c r="B240" t="s">
        <v>722</v>
      </c>
      <c r="C240" t="s">
        <v>723</v>
      </c>
      <c r="D240" t="s">
        <v>724</v>
      </c>
      <c r="E240" t="s">
        <v>143</v>
      </c>
      <c r="F240" s="1">
        <v>44816</v>
      </c>
    </row>
    <row r="241" spans="1:6" x14ac:dyDescent="0.3">
      <c r="A241">
        <v>272655</v>
      </c>
      <c r="B241" t="s">
        <v>725</v>
      </c>
      <c r="C241" t="s">
        <v>726</v>
      </c>
      <c r="D241" t="s">
        <v>727</v>
      </c>
      <c r="E241" t="s">
        <v>36</v>
      </c>
      <c r="F241" s="1">
        <v>45270</v>
      </c>
    </row>
    <row r="242" spans="1:6" x14ac:dyDescent="0.3">
      <c r="A242">
        <v>362778</v>
      </c>
      <c r="B242" t="s">
        <v>728</v>
      </c>
      <c r="C242" t="s">
        <v>729</v>
      </c>
      <c r="D242" t="s">
        <v>730</v>
      </c>
      <c r="E242" t="s">
        <v>9</v>
      </c>
      <c r="F242" s="1">
        <v>44818</v>
      </c>
    </row>
    <row r="243" spans="1:6" x14ac:dyDescent="0.3">
      <c r="A243">
        <v>197966</v>
      </c>
      <c r="B243" t="s">
        <v>731</v>
      </c>
      <c r="C243" t="s">
        <v>732</v>
      </c>
      <c r="D243" t="s">
        <v>733</v>
      </c>
      <c r="E243" t="s">
        <v>399</v>
      </c>
      <c r="F243" s="1">
        <v>44912</v>
      </c>
    </row>
    <row r="244" spans="1:6" x14ac:dyDescent="0.3">
      <c r="A244">
        <v>983456</v>
      </c>
      <c r="B244" t="s">
        <v>269</v>
      </c>
      <c r="C244" t="s">
        <v>734</v>
      </c>
      <c r="D244" t="s">
        <v>735</v>
      </c>
      <c r="E244" t="s">
        <v>143</v>
      </c>
      <c r="F244" s="1">
        <v>44728</v>
      </c>
    </row>
    <row r="245" spans="1:6" x14ac:dyDescent="0.3">
      <c r="A245">
        <v>782759</v>
      </c>
      <c r="B245" t="s">
        <v>736</v>
      </c>
      <c r="C245" t="s">
        <v>737</v>
      </c>
      <c r="D245" t="s">
        <v>738</v>
      </c>
      <c r="E245" t="s">
        <v>143</v>
      </c>
      <c r="F245" s="1">
        <v>45581</v>
      </c>
    </row>
    <row r="246" spans="1:6" x14ac:dyDescent="0.3">
      <c r="A246">
        <v>773088</v>
      </c>
      <c r="B246" t="s">
        <v>739</v>
      </c>
      <c r="C246" t="s">
        <v>740</v>
      </c>
      <c r="D246" t="s">
        <v>741</v>
      </c>
      <c r="E246" t="s">
        <v>24</v>
      </c>
      <c r="F246" s="1">
        <v>45171</v>
      </c>
    </row>
    <row r="247" spans="1:6" x14ac:dyDescent="0.3">
      <c r="A247">
        <v>265759</v>
      </c>
      <c r="B247" t="s">
        <v>742</v>
      </c>
      <c r="C247" t="s">
        <v>743</v>
      </c>
      <c r="D247" t="s">
        <v>744</v>
      </c>
      <c r="E247" t="s">
        <v>62</v>
      </c>
      <c r="F247" s="1">
        <v>44979</v>
      </c>
    </row>
    <row r="248" spans="1:6" x14ac:dyDescent="0.3">
      <c r="A248">
        <v>427766</v>
      </c>
      <c r="B248" t="s">
        <v>745</v>
      </c>
      <c r="C248" t="s">
        <v>746</v>
      </c>
      <c r="D248" t="s">
        <v>747</v>
      </c>
      <c r="E248" t="s">
        <v>24</v>
      </c>
      <c r="F248" s="1">
        <v>44829</v>
      </c>
    </row>
    <row r="249" spans="1:6" x14ac:dyDescent="0.3">
      <c r="A249">
        <v>688933</v>
      </c>
      <c r="B249" t="s">
        <v>748</v>
      </c>
      <c r="C249" t="s">
        <v>749</v>
      </c>
      <c r="D249" t="s">
        <v>750</v>
      </c>
      <c r="E249" t="s">
        <v>62</v>
      </c>
      <c r="F249" s="1">
        <v>44812</v>
      </c>
    </row>
    <row r="250" spans="1:6" x14ac:dyDescent="0.3">
      <c r="A250">
        <v>247720</v>
      </c>
      <c r="B250" t="s">
        <v>751</v>
      </c>
      <c r="C250" t="s">
        <v>752</v>
      </c>
      <c r="D250" t="s">
        <v>753</v>
      </c>
      <c r="E250" t="s">
        <v>24</v>
      </c>
      <c r="F250" s="1">
        <v>45418</v>
      </c>
    </row>
    <row r="251" spans="1:6" x14ac:dyDescent="0.3">
      <c r="A251">
        <v>705748</v>
      </c>
      <c r="B251" t="s">
        <v>754</v>
      </c>
      <c r="C251" t="s">
        <v>755</v>
      </c>
      <c r="D251" t="s">
        <v>756</v>
      </c>
      <c r="E251" t="s">
        <v>399</v>
      </c>
      <c r="F251" s="1">
        <v>45582</v>
      </c>
    </row>
    <row r="252" spans="1:6" x14ac:dyDescent="0.3">
      <c r="A252">
        <v>423528</v>
      </c>
      <c r="B252" t="s">
        <v>757</v>
      </c>
      <c r="C252" t="s">
        <v>758</v>
      </c>
      <c r="D252" t="s">
        <v>759</v>
      </c>
      <c r="E252" t="s">
        <v>24</v>
      </c>
      <c r="F252" s="1">
        <v>45597</v>
      </c>
    </row>
    <row r="253" spans="1:6" x14ac:dyDescent="0.3">
      <c r="A253">
        <v>711680</v>
      </c>
      <c r="B253" t="s">
        <v>760</v>
      </c>
      <c r="C253" t="s">
        <v>761</v>
      </c>
      <c r="D253" t="s">
        <v>762</v>
      </c>
      <c r="E253" t="s">
        <v>133</v>
      </c>
      <c r="F253" s="1">
        <v>45575</v>
      </c>
    </row>
    <row r="254" spans="1:6" x14ac:dyDescent="0.3">
      <c r="A254">
        <v>399628</v>
      </c>
      <c r="B254" t="s">
        <v>763</v>
      </c>
      <c r="C254" t="s">
        <v>764</v>
      </c>
      <c r="D254" t="s">
        <v>765</v>
      </c>
      <c r="E254" t="s">
        <v>28</v>
      </c>
      <c r="F254" s="1">
        <v>45444</v>
      </c>
    </row>
    <row r="255" spans="1:6" x14ac:dyDescent="0.3">
      <c r="A255">
        <v>900961</v>
      </c>
      <c r="B255" t="s">
        <v>766</v>
      </c>
      <c r="C255" t="s">
        <v>767</v>
      </c>
      <c r="D255" t="s">
        <v>768</v>
      </c>
      <c r="E255" t="s">
        <v>24</v>
      </c>
      <c r="F255" s="1">
        <v>44666</v>
      </c>
    </row>
    <row r="256" spans="1:6" x14ac:dyDescent="0.3">
      <c r="A256">
        <v>480133</v>
      </c>
      <c r="B256" t="s">
        <v>769</v>
      </c>
      <c r="C256" t="s">
        <v>770</v>
      </c>
      <c r="D256" t="s">
        <v>771</v>
      </c>
      <c r="E256" t="s">
        <v>24</v>
      </c>
      <c r="F256" s="1">
        <v>45594</v>
      </c>
    </row>
    <row r="257" spans="1:6" x14ac:dyDescent="0.3">
      <c r="A257">
        <v>965401</v>
      </c>
      <c r="B257" t="s">
        <v>772</v>
      </c>
      <c r="C257" t="s">
        <v>773</v>
      </c>
      <c r="D257" t="s">
        <v>774</v>
      </c>
      <c r="E257" t="s">
        <v>28</v>
      </c>
      <c r="F257" s="1">
        <v>44825</v>
      </c>
    </row>
    <row r="258" spans="1:6" x14ac:dyDescent="0.3">
      <c r="A258">
        <v>933510</v>
      </c>
      <c r="B258" t="s">
        <v>775</v>
      </c>
      <c r="C258" t="s">
        <v>776</v>
      </c>
      <c r="D258" t="s">
        <v>777</v>
      </c>
      <c r="E258" t="s">
        <v>32</v>
      </c>
      <c r="F258" s="1">
        <v>44857</v>
      </c>
    </row>
    <row r="259" spans="1:6" x14ac:dyDescent="0.3">
      <c r="A259">
        <v>520884</v>
      </c>
      <c r="B259" t="s">
        <v>778</v>
      </c>
      <c r="C259" t="s">
        <v>779</v>
      </c>
      <c r="D259" t="s">
        <v>780</v>
      </c>
      <c r="E259" t="s">
        <v>143</v>
      </c>
      <c r="F259" s="1">
        <v>44842</v>
      </c>
    </row>
    <row r="260" spans="1:6" x14ac:dyDescent="0.3">
      <c r="A260">
        <v>644559</v>
      </c>
      <c r="B260" t="s">
        <v>781</v>
      </c>
      <c r="C260" t="s">
        <v>782</v>
      </c>
      <c r="D260" t="s">
        <v>783</v>
      </c>
      <c r="E260" t="s">
        <v>399</v>
      </c>
      <c r="F260" s="1">
        <v>45233</v>
      </c>
    </row>
    <row r="261" spans="1:6" x14ac:dyDescent="0.3">
      <c r="A261">
        <v>512042</v>
      </c>
      <c r="B261" t="s">
        <v>784</v>
      </c>
      <c r="C261" t="s">
        <v>785</v>
      </c>
      <c r="D261" t="s">
        <v>786</v>
      </c>
      <c r="E261" t="s">
        <v>46</v>
      </c>
      <c r="F261" s="1">
        <v>45600</v>
      </c>
    </row>
    <row r="262" spans="1:6" x14ac:dyDescent="0.3">
      <c r="A262">
        <v>843167</v>
      </c>
      <c r="B262" t="s">
        <v>787</v>
      </c>
      <c r="C262" t="s">
        <v>788</v>
      </c>
      <c r="D262" t="s">
        <v>789</v>
      </c>
      <c r="E262" t="s">
        <v>143</v>
      </c>
      <c r="F262" s="1">
        <v>45316</v>
      </c>
    </row>
    <row r="263" spans="1:6" x14ac:dyDescent="0.3">
      <c r="A263">
        <v>536774</v>
      </c>
      <c r="B263" t="s">
        <v>790</v>
      </c>
      <c r="C263" t="s">
        <v>791</v>
      </c>
      <c r="D263" t="s">
        <v>792</v>
      </c>
      <c r="E263" t="s">
        <v>143</v>
      </c>
      <c r="F263" s="1">
        <v>45533</v>
      </c>
    </row>
    <row r="264" spans="1:6" x14ac:dyDescent="0.3">
      <c r="A264">
        <v>856442</v>
      </c>
      <c r="B264" t="s">
        <v>793</v>
      </c>
      <c r="C264" t="s">
        <v>794</v>
      </c>
      <c r="D264" t="s">
        <v>795</v>
      </c>
      <c r="E264" t="s">
        <v>399</v>
      </c>
      <c r="F264" s="1">
        <v>45635</v>
      </c>
    </row>
    <row r="265" spans="1:6" x14ac:dyDescent="0.3">
      <c r="A265">
        <v>254954</v>
      </c>
      <c r="B265" t="s">
        <v>796</v>
      </c>
      <c r="C265" t="s">
        <v>797</v>
      </c>
      <c r="D265" t="s">
        <v>798</v>
      </c>
      <c r="E265" t="s">
        <v>28</v>
      </c>
      <c r="F265" s="1">
        <v>44952</v>
      </c>
    </row>
    <row r="266" spans="1:6" x14ac:dyDescent="0.3">
      <c r="A266">
        <v>539122</v>
      </c>
      <c r="B266" t="s">
        <v>799</v>
      </c>
      <c r="C266" t="s">
        <v>800</v>
      </c>
      <c r="D266" t="s">
        <v>801</v>
      </c>
      <c r="E266" t="s">
        <v>17</v>
      </c>
      <c r="F266" s="1">
        <v>45402</v>
      </c>
    </row>
    <row r="267" spans="1:6" x14ac:dyDescent="0.3">
      <c r="A267">
        <v>989587</v>
      </c>
      <c r="B267" t="s">
        <v>802</v>
      </c>
      <c r="C267" t="s">
        <v>803</v>
      </c>
      <c r="D267" t="s">
        <v>804</v>
      </c>
      <c r="E267" t="s">
        <v>17</v>
      </c>
      <c r="F267" s="1">
        <v>45227</v>
      </c>
    </row>
    <row r="268" spans="1:6" x14ac:dyDescent="0.3">
      <c r="A268">
        <v>495129</v>
      </c>
      <c r="B268" t="s">
        <v>805</v>
      </c>
      <c r="C268" t="s">
        <v>806</v>
      </c>
      <c r="D268" t="s">
        <v>807</v>
      </c>
      <c r="E268" t="s">
        <v>46</v>
      </c>
      <c r="F268" s="1">
        <v>45287</v>
      </c>
    </row>
    <row r="269" spans="1:6" x14ac:dyDescent="0.3">
      <c r="A269">
        <v>739711</v>
      </c>
      <c r="B269" t="s">
        <v>808</v>
      </c>
      <c r="C269" t="s">
        <v>809</v>
      </c>
      <c r="D269" t="s">
        <v>810</v>
      </c>
      <c r="E269" t="s">
        <v>36</v>
      </c>
      <c r="F269" s="1">
        <v>45133</v>
      </c>
    </row>
    <row r="270" spans="1:6" x14ac:dyDescent="0.3">
      <c r="A270">
        <v>412071</v>
      </c>
      <c r="B270" t="s">
        <v>811</v>
      </c>
      <c r="C270" t="s">
        <v>812</v>
      </c>
      <c r="D270" t="s">
        <v>813</v>
      </c>
      <c r="E270" t="s">
        <v>117</v>
      </c>
      <c r="F270" s="1">
        <v>45211</v>
      </c>
    </row>
    <row r="271" spans="1:6" x14ac:dyDescent="0.3">
      <c r="A271">
        <v>401769</v>
      </c>
      <c r="B271" t="s">
        <v>814</v>
      </c>
      <c r="C271" t="s">
        <v>815</v>
      </c>
      <c r="D271" t="s">
        <v>816</v>
      </c>
      <c r="E271" t="s">
        <v>24</v>
      </c>
      <c r="F271" s="1">
        <v>45370</v>
      </c>
    </row>
    <row r="272" spans="1:6" x14ac:dyDescent="0.3">
      <c r="A272">
        <v>404561</v>
      </c>
      <c r="B272" t="s">
        <v>817</v>
      </c>
      <c r="C272" t="s">
        <v>818</v>
      </c>
      <c r="D272" t="s">
        <v>819</v>
      </c>
      <c r="E272" t="s">
        <v>143</v>
      </c>
      <c r="F272" s="1">
        <v>45271</v>
      </c>
    </row>
    <row r="273" spans="1:6" x14ac:dyDescent="0.3">
      <c r="A273">
        <v>883641</v>
      </c>
      <c r="B273" t="s">
        <v>820</v>
      </c>
      <c r="C273" t="s">
        <v>821</v>
      </c>
      <c r="D273" t="s">
        <v>822</v>
      </c>
      <c r="E273" t="s">
        <v>9</v>
      </c>
      <c r="F273" s="1">
        <v>45118</v>
      </c>
    </row>
    <row r="274" spans="1:6" x14ac:dyDescent="0.3">
      <c r="A274">
        <v>354235</v>
      </c>
      <c r="B274" t="s">
        <v>823</v>
      </c>
      <c r="C274" t="s">
        <v>824</v>
      </c>
      <c r="D274" t="s">
        <v>825</v>
      </c>
      <c r="E274" t="s">
        <v>36</v>
      </c>
      <c r="F274" s="1">
        <v>45038</v>
      </c>
    </row>
    <row r="275" spans="1:6" x14ac:dyDescent="0.3">
      <c r="A275">
        <v>446337</v>
      </c>
      <c r="B275" t="s">
        <v>826</v>
      </c>
      <c r="C275" t="s">
        <v>827</v>
      </c>
      <c r="D275" t="s">
        <v>828</v>
      </c>
      <c r="E275" t="s">
        <v>399</v>
      </c>
      <c r="F275" s="1">
        <v>44572</v>
      </c>
    </row>
    <row r="276" spans="1:6" x14ac:dyDescent="0.3">
      <c r="A276">
        <v>784607</v>
      </c>
      <c r="B276" t="s">
        <v>829</v>
      </c>
      <c r="C276" t="s">
        <v>830</v>
      </c>
      <c r="D276" t="s">
        <v>831</v>
      </c>
      <c r="E276" t="s">
        <v>17</v>
      </c>
      <c r="F276" s="1">
        <v>45150</v>
      </c>
    </row>
    <row r="277" spans="1:6" x14ac:dyDescent="0.3">
      <c r="A277">
        <v>906066</v>
      </c>
      <c r="B277" t="s">
        <v>832</v>
      </c>
      <c r="C277" t="s">
        <v>833</v>
      </c>
      <c r="D277" t="s">
        <v>834</v>
      </c>
      <c r="E277" t="s">
        <v>36</v>
      </c>
      <c r="F277" s="1">
        <v>45657</v>
      </c>
    </row>
    <row r="278" spans="1:6" x14ac:dyDescent="0.3">
      <c r="A278">
        <v>283568</v>
      </c>
      <c r="B278" t="s">
        <v>439</v>
      </c>
      <c r="C278" t="s">
        <v>835</v>
      </c>
      <c r="D278" t="s">
        <v>836</v>
      </c>
      <c r="E278" t="s">
        <v>143</v>
      </c>
      <c r="F278" s="1">
        <v>45375</v>
      </c>
    </row>
    <row r="279" spans="1:6" x14ac:dyDescent="0.3">
      <c r="A279">
        <v>139286</v>
      </c>
      <c r="B279" t="s">
        <v>837</v>
      </c>
      <c r="C279" t="s">
        <v>838</v>
      </c>
      <c r="D279" t="s">
        <v>839</v>
      </c>
      <c r="E279" t="s">
        <v>28</v>
      </c>
      <c r="F279" s="1">
        <v>45248</v>
      </c>
    </row>
    <row r="280" spans="1:6" x14ac:dyDescent="0.3">
      <c r="A280">
        <v>649787</v>
      </c>
      <c r="B280" t="s">
        <v>840</v>
      </c>
      <c r="C280" t="s">
        <v>841</v>
      </c>
      <c r="D280" t="s">
        <v>842</v>
      </c>
      <c r="E280" t="s">
        <v>62</v>
      </c>
      <c r="F280" s="1">
        <v>45120</v>
      </c>
    </row>
    <row r="281" spans="1:6" x14ac:dyDescent="0.3">
      <c r="A281">
        <v>270387</v>
      </c>
      <c r="B281" t="s">
        <v>843</v>
      </c>
      <c r="C281" t="s">
        <v>844</v>
      </c>
      <c r="D281" t="s">
        <v>845</v>
      </c>
      <c r="E281" t="s">
        <v>399</v>
      </c>
      <c r="F281" s="1">
        <v>44590</v>
      </c>
    </row>
    <row r="282" spans="1:6" x14ac:dyDescent="0.3">
      <c r="A282">
        <v>695361</v>
      </c>
      <c r="B282" t="s">
        <v>846</v>
      </c>
      <c r="C282" t="s">
        <v>847</v>
      </c>
      <c r="D282" t="s">
        <v>848</v>
      </c>
      <c r="E282" t="s">
        <v>24</v>
      </c>
      <c r="F282" s="1">
        <v>45437</v>
      </c>
    </row>
    <row r="283" spans="1:6" x14ac:dyDescent="0.3">
      <c r="A283">
        <v>520304</v>
      </c>
      <c r="B283" t="s">
        <v>849</v>
      </c>
      <c r="C283" t="s">
        <v>850</v>
      </c>
      <c r="D283" t="s">
        <v>851</v>
      </c>
      <c r="E283" t="s">
        <v>399</v>
      </c>
      <c r="F283" s="1">
        <v>45539</v>
      </c>
    </row>
    <row r="284" spans="1:6" x14ac:dyDescent="0.3">
      <c r="A284">
        <v>373453</v>
      </c>
      <c r="B284" t="s">
        <v>852</v>
      </c>
      <c r="C284" t="s">
        <v>853</v>
      </c>
      <c r="D284" t="s">
        <v>854</v>
      </c>
      <c r="E284" t="s">
        <v>9</v>
      </c>
      <c r="F284" s="1">
        <v>45237</v>
      </c>
    </row>
    <row r="285" spans="1:6" x14ac:dyDescent="0.3">
      <c r="A285">
        <v>374258</v>
      </c>
      <c r="B285" t="s">
        <v>855</v>
      </c>
      <c r="C285" t="s">
        <v>856</v>
      </c>
      <c r="D285" t="s">
        <v>857</v>
      </c>
      <c r="E285" t="s">
        <v>36</v>
      </c>
      <c r="F285" s="1">
        <v>44689</v>
      </c>
    </row>
    <row r="286" spans="1:6" x14ac:dyDescent="0.3">
      <c r="A286">
        <v>421709</v>
      </c>
      <c r="B286" t="s">
        <v>858</v>
      </c>
      <c r="C286" t="s">
        <v>859</v>
      </c>
      <c r="D286" t="s">
        <v>860</v>
      </c>
      <c r="E286" t="s">
        <v>133</v>
      </c>
      <c r="F286" s="1">
        <v>44802</v>
      </c>
    </row>
    <row r="287" spans="1:6" x14ac:dyDescent="0.3">
      <c r="A287">
        <v>744481</v>
      </c>
      <c r="B287" t="s">
        <v>861</v>
      </c>
      <c r="C287" t="s">
        <v>862</v>
      </c>
      <c r="D287" t="s">
        <v>863</v>
      </c>
      <c r="E287" t="s">
        <v>399</v>
      </c>
      <c r="F287" s="1">
        <v>45541</v>
      </c>
    </row>
    <row r="288" spans="1:6" x14ac:dyDescent="0.3">
      <c r="A288">
        <v>536045</v>
      </c>
      <c r="B288" t="s">
        <v>864</v>
      </c>
      <c r="C288" t="s">
        <v>865</v>
      </c>
      <c r="D288" t="s">
        <v>866</v>
      </c>
      <c r="E288" t="s">
        <v>117</v>
      </c>
      <c r="F288" s="1">
        <v>45009</v>
      </c>
    </row>
    <row r="289" spans="1:6" x14ac:dyDescent="0.3">
      <c r="A289">
        <v>651033</v>
      </c>
      <c r="B289" t="s">
        <v>867</v>
      </c>
      <c r="C289" t="s">
        <v>868</v>
      </c>
      <c r="D289" t="s">
        <v>869</v>
      </c>
      <c r="E289" t="s">
        <v>32</v>
      </c>
      <c r="F289" s="1">
        <v>44721</v>
      </c>
    </row>
    <row r="290" spans="1:6" x14ac:dyDescent="0.3">
      <c r="A290">
        <v>969032</v>
      </c>
      <c r="B290" t="s">
        <v>870</v>
      </c>
      <c r="C290" t="s">
        <v>871</v>
      </c>
      <c r="D290" t="s">
        <v>872</v>
      </c>
      <c r="E290" t="s">
        <v>399</v>
      </c>
      <c r="F290" s="1">
        <v>44898</v>
      </c>
    </row>
    <row r="291" spans="1:6" x14ac:dyDescent="0.3">
      <c r="A291">
        <v>221886</v>
      </c>
      <c r="B291" t="s">
        <v>873</v>
      </c>
      <c r="C291" t="s">
        <v>874</v>
      </c>
      <c r="D291" t="s">
        <v>875</v>
      </c>
      <c r="E291" t="s">
        <v>117</v>
      </c>
      <c r="F291" s="1">
        <v>44748</v>
      </c>
    </row>
    <row r="292" spans="1:6" x14ac:dyDescent="0.3">
      <c r="A292">
        <v>575458</v>
      </c>
      <c r="B292" t="s">
        <v>876</v>
      </c>
      <c r="C292" t="s">
        <v>877</v>
      </c>
      <c r="D292" t="s">
        <v>878</v>
      </c>
      <c r="E292" t="s">
        <v>62</v>
      </c>
      <c r="F292" s="1">
        <v>44680</v>
      </c>
    </row>
    <row r="293" spans="1:6" x14ac:dyDescent="0.3">
      <c r="A293">
        <v>858414</v>
      </c>
      <c r="B293" t="s">
        <v>879</v>
      </c>
      <c r="C293" t="s">
        <v>880</v>
      </c>
      <c r="D293" t="s">
        <v>881</v>
      </c>
      <c r="E293" t="s">
        <v>143</v>
      </c>
      <c r="F293" s="1">
        <v>45008</v>
      </c>
    </row>
    <row r="294" spans="1:6" x14ac:dyDescent="0.3">
      <c r="A294">
        <v>544278</v>
      </c>
      <c r="B294" t="s">
        <v>882</v>
      </c>
      <c r="C294" t="s">
        <v>883</v>
      </c>
      <c r="D294" t="s">
        <v>884</v>
      </c>
      <c r="E294" t="s">
        <v>143</v>
      </c>
      <c r="F294" s="1">
        <v>44703</v>
      </c>
    </row>
    <row r="295" spans="1:6" x14ac:dyDescent="0.3">
      <c r="A295">
        <v>528728</v>
      </c>
      <c r="B295" t="s">
        <v>885</v>
      </c>
      <c r="C295" t="s">
        <v>886</v>
      </c>
      <c r="D295" t="s">
        <v>887</v>
      </c>
      <c r="E295" t="s">
        <v>13</v>
      </c>
      <c r="F295" s="1">
        <v>45328</v>
      </c>
    </row>
    <row r="296" spans="1:6" x14ac:dyDescent="0.3">
      <c r="A296">
        <v>493892</v>
      </c>
      <c r="B296" t="s">
        <v>888</v>
      </c>
      <c r="C296" t="s">
        <v>889</v>
      </c>
      <c r="D296" t="s">
        <v>890</v>
      </c>
      <c r="E296" t="s">
        <v>399</v>
      </c>
      <c r="F296" s="1">
        <v>45274</v>
      </c>
    </row>
    <row r="297" spans="1:6" x14ac:dyDescent="0.3">
      <c r="A297">
        <v>512151</v>
      </c>
      <c r="B297" t="s">
        <v>891</v>
      </c>
      <c r="C297" t="s">
        <v>892</v>
      </c>
      <c r="D297" t="s">
        <v>893</v>
      </c>
      <c r="E297" t="s">
        <v>36</v>
      </c>
      <c r="F297" s="1">
        <v>44569</v>
      </c>
    </row>
    <row r="298" spans="1:6" x14ac:dyDescent="0.3">
      <c r="A298">
        <v>585494</v>
      </c>
      <c r="B298" t="s">
        <v>894</v>
      </c>
      <c r="C298" t="s">
        <v>895</v>
      </c>
      <c r="D298" t="s">
        <v>896</v>
      </c>
      <c r="E298" t="s">
        <v>24</v>
      </c>
      <c r="F298" s="1">
        <v>45032</v>
      </c>
    </row>
    <row r="299" spans="1:6" x14ac:dyDescent="0.3">
      <c r="A299">
        <v>262656</v>
      </c>
      <c r="B299" t="s">
        <v>897</v>
      </c>
      <c r="C299" t="s">
        <v>898</v>
      </c>
      <c r="D299" t="s">
        <v>899</v>
      </c>
      <c r="E299" t="s">
        <v>28</v>
      </c>
      <c r="F299" s="1">
        <v>44627</v>
      </c>
    </row>
    <row r="300" spans="1:6" x14ac:dyDescent="0.3">
      <c r="A300">
        <v>352356</v>
      </c>
      <c r="B300" t="s">
        <v>900</v>
      </c>
      <c r="C300" t="s">
        <v>901</v>
      </c>
      <c r="D300" t="s">
        <v>902</v>
      </c>
      <c r="E300" t="s">
        <v>143</v>
      </c>
      <c r="F300" s="1">
        <v>45476</v>
      </c>
    </row>
    <row r="301" spans="1:6" x14ac:dyDescent="0.3">
      <c r="A301">
        <v>356622</v>
      </c>
      <c r="B301" t="s">
        <v>903</v>
      </c>
      <c r="C301" t="s">
        <v>904</v>
      </c>
      <c r="D301" t="s">
        <v>905</v>
      </c>
      <c r="E301" t="s">
        <v>36</v>
      </c>
      <c r="F301" s="1">
        <v>45006</v>
      </c>
    </row>
    <row r="302" spans="1:6" x14ac:dyDescent="0.3">
      <c r="A302">
        <v>246942</v>
      </c>
      <c r="B302" t="s">
        <v>906</v>
      </c>
      <c r="C302" t="s">
        <v>907</v>
      </c>
      <c r="D302" t="s">
        <v>908</v>
      </c>
      <c r="E302" t="s">
        <v>46</v>
      </c>
      <c r="F302" s="1">
        <v>45218</v>
      </c>
    </row>
    <row r="303" spans="1:6" x14ac:dyDescent="0.3">
      <c r="A303">
        <v>792282</v>
      </c>
      <c r="B303" t="s">
        <v>909</v>
      </c>
      <c r="C303" t="s">
        <v>910</v>
      </c>
      <c r="D303" t="s">
        <v>911</v>
      </c>
      <c r="E303" t="s">
        <v>133</v>
      </c>
      <c r="F303" s="1">
        <v>45125</v>
      </c>
    </row>
    <row r="304" spans="1:6" x14ac:dyDescent="0.3">
      <c r="A304">
        <v>756401</v>
      </c>
      <c r="B304" t="s">
        <v>912</v>
      </c>
      <c r="C304" t="s">
        <v>913</v>
      </c>
      <c r="D304" t="s">
        <v>914</v>
      </c>
      <c r="E304" t="s">
        <v>117</v>
      </c>
      <c r="F304" s="1">
        <v>44658</v>
      </c>
    </row>
    <row r="305" spans="1:6" x14ac:dyDescent="0.3">
      <c r="A305">
        <v>923975</v>
      </c>
      <c r="B305" t="s">
        <v>915</v>
      </c>
      <c r="C305" t="s">
        <v>916</v>
      </c>
      <c r="D305" t="s">
        <v>917</v>
      </c>
      <c r="E305" t="s">
        <v>13</v>
      </c>
      <c r="F305" s="1">
        <v>45398</v>
      </c>
    </row>
    <row r="306" spans="1:6" x14ac:dyDescent="0.3">
      <c r="A306">
        <v>292811</v>
      </c>
      <c r="B306" t="s">
        <v>918</v>
      </c>
      <c r="C306" t="s">
        <v>919</v>
      </c>
      <c r="D306" t="s">
        <v>920</v>
      </c>
      <c r="E306" t="s">
        <v>36</v>
      </c>
      <c r="F306" s="1">
        <v>45177</v>
      </c>
    </row>
    <row r="307" spans="1:6" x14ac:dyDescent="0.3">
      <c r="A307">
        <v>160423</v>
      </c>
      <c r="B307" t="s">
        <v>921</v>
      </c>
      <c r="C307" t="s">
        <v>922</v>
      </c>
      <c r="D307" t="s">
        <v>923</v>
      </c>
      <c r="E307" t="s">
        <v>13</v>
      </c>
      <c r="F307" s="1">
        <v>45647</v>
      </c>
    </row>
    <row r="308" spans="1:6" x14ac:dyDescent="0.3">
      <c r="A308">
        <v>367382</v>
      </c>
      <c r="B308" t="s">
        <v>924</v>
      </c>
      <c r="C308" t="s">
        <v>925</v>
      </c>
      <c r="D308" t="s">
        <v>926</v>
      </c>
      <c r="E308" t="s">
        <v>143</v>
      </c>
      <c r="F308" s="1">
        <v>45483</v>
      </c>
    </row>
    <row r="309" spans="1:6" x14ac:dyDescent="0.3">
      <c r="A309">
        <v>859782</v>
      </c>
      <c r="B309" t="s">
        <v>927</v>
      </c>
      <c r="C309" t="s">
        <v>928</v>
      </c>
      <c r="D309" t="s">
        <v>929</v>
      </c>
      <c r="E309" t="s">
        <v>24</v>
      </c>
      <c r="F309" s="1">
        <v>44642</v>
      </c>
    </row>
    <row r="310" spans="1:6" x14ac:dyDescent="0.3">
      <c r="A310">
        <v>602681</v>
      </c>
      <c r="B310" t="s">
        <v>924</v>
      </c>
      <c r="C310" t="s">
        <v>930</v>
      </c>
      <c r="D310" t="s">
        <v>931</v>
      </c>
      <c r="E310" t="s">
        <v>143</v>
      </c>
      <c r="F310" s="1">
        <v>44995</v>
      </c>
    </row>
    <row r="311" spans="1:6" x14ac:dyDescent="0.3">
      <c r="A311">
        <v>883159</v>
      </c>
      <c r="B311" t="s">
        <v>932</v>
      </c>
      <c r="C311" t="s">
        <v>933</v>
      </c>
      <c r="D311" t="s">
        <v>934</v>
      </c>
      <c r="E311" t="s">
        <v>17</v>
      </c>
      <c r="F311" s="1">
        <v>45374</v>
      </c>
    </row>
    <row r="312" spans="1:6" x14ac:dyDescent="0.3">
      <c r="A312">
        <v>913185</v>
      </c>
      <c r="B312" t="s">
        <v>619</v>
      </c>
      <c r="C312" t="s">
        <v>935</v>
      </c>
      <c r="D312" t="s">
        <v>936</v>
      </c>
      <c r="E312" t="s">
        <v>32</v>
      </c>
      <c r="F312" s="1">
        <v>45193</v>
      </c>
    </row>
    <row r="313" spans="1:6" x14ac:dyDescent="0.3">
      <c r="A313">
        <v>621433</v>
      </c>
      <c r="B313" t="s">
        <v>937</v>
      </c>
      <c r="C313" t="s">
        <v>938</v>
      </c>
      <c r="D313" t="s">
        <v>939</v>
      </c>
      <c r="E313" t="s">
        <v>117</v>
      </c>
      <c r="F313" s="1">
        <v>45217</v>
      </c>
    </row>
    <row r="314" spans="1:6" x14ac:dyDescent="0.3">
      <c r="A314">
        <v>534037</v>
      </c>
      <c r="B314" t="s">
        <v>940</v>
      </c>
      <c r="C314" t="s">
        <v>941</v>
      </c>
      <c r="D314" t="s">
        <v>942</v>
      </c>
      <c r="E314" t="s">
        <v>36</v>
      </c>
      <c r="F314" s="1">
        <v>44860</v>
      </c>
    </row>
    <row r="315" spans="1:6" x14ac:dyDescent="0.3">
      <c r="A315">
        <v>409531</v>
      </c>
      <c r="B315" t="s">
        <v>943</v>
      </c>
      <c r="C315" t="s">
        <v>944</v>
      </c>
      <c r="D315" t="s">
        <v>945</v>
      </c>
      <c r="E315" t="s">
        <v>36</v>
      </c>
      <c r="F315" s="1">
        <v>45339</v>
      </c>
    </row>
    <row r="316" spans="1:6" x14ac:dyDescent="0.3">
      <c r="A316">
        <v>677390</v>
      </c>
      <c r="B316" t="s">
        <v>946</v>
      </c>
      <c r="C316" t="s">
        <v>947</v>
      </c>
      <c r="D316" t="s">
        <v>948</v>
      </c>
      <c r="E316" t="s">
        <v>9</v>
      </c>
      <c r="F316" s="1">
        <v>45562</v>
      </c>
    </row>
    <row r="317" spans="1:6" x14ac:dyDescent="0.3">
      <c r="A317">
        <v>583214</v>
      </c>
      <c r="B317" t="s">
        <v>949</v>
      </c>
      <c r="C317" t="s">
        <v>950</v>
      </c>
      <c r="D317" t="s">
        <v>951</v>
      </c>
      <c r="E317" t="s">
        <v>399</v>
      </c>
      <c r="F317" s="1">
        <v>45562</v>
      </c>
    </row>
    <row r="318" spans="1:6" x14ac:dyDescent="0.3">
      <c r="A318">
        <v>649395</v>
      </c>
      <c r="B318" t="s">
        <v>952</v>
      </c>
      <c r="C318" t="s">
        <v>953</v>
      </c>
      <c r="D318" t="s">
        <v>197</v>
      </c>
      <c r="E318" t="s">
        <v>143</v>
      </c>
      <c r="F318" s="1">
        <v>44575</v>
      </c>
    </row>
    <row r="319" spans="1:6" x14ac:dyDescent="0.3">
      <c r="A319">
        <v>171269</v>
      </c>
      <c r="B319" t="s">
        <v>954</v>
      </c>
      <c r="C319" t="s">
        <v>955</v>
      </c>
      <c r="D319" t="s">
        <v>956</v>
      </c>
      <c r="E319" t="s">
        <v>62</v>
      </c>
      <c r="F319" s="1">
        <v>45326</v>
      </c>
    </row>
    <row r="320" spans="1:6" x14ac:dyDescent="0.3">
      <c r="A320">
        <v>791309</v>
      </c>
      <c r="B320" t="s">
        <v>957</v>
      </c>
      <c r="C320" t="s">
        <v>958</v>
      </c>
      <c r="D320" t="s">
        <v>959</v>
      </c>
      <c r="E320" t="s">
        <v>13</v>
      </c>
      <c r="F320" s="1">
        <v>44586</v>
      </c>
    </row>
    <row r="321" spans="1:6" x14ac:dyDescent="0.3">
      <c r="A321">
        <v>661762</v>
      </c>
      <c r="B321" t="s">
        <v>960</v>
      </c>
      <c r="C321" t="s">
        <v>961</v>
      </c>
      <c r="D321" t="s">
        <v>962</v>
      </c>
      <c r="E321" t="s">
        <v>13</v>
      </c>
      <c r="F321" s="1">
        <v>44929</v>
      </c>
    </row>
    <row r="322" spans="1:6" x14ac:dyDescent="0.3">
      <c r="A322">
        <v>256130</v>
      </c>
      <c r="B322" t="s">
        <v>963</v>
      </c>
      <c r="C322" t="s">
        <v>964</v>
      </c>
      <c r="D322" t="s">
        <v>965</v>
      </c>
      <c r="E322" t="s">
        <v>9</v>
      </c>
      <c r="F322" s="1">
        <v>45287</v>
      </c>
    </row>
    <row r="323" spans="1:6" x14ac:dyDescent="0.3">
      <c r="A323">
        <v>491172</v>
      </c>
      <c r="B323" t="s">
        <v>966</v>
      </c>
      <c r="C323" t="s">
        <v>967</v>
      </c>
      <c r="D323" t="s">
        <v>968</v>
      </c>
      <c r="E323" t="s">
        <v>36</v>
      </c>
      <c r="F323" s="1">
        <v>45024</v>
      </c>
    </row>
    <row r="324" spans="1:6" x14ac:dyDescent="0.3">
      <c r="A324">
        <v>785491</v>
      </c>
      <c r="B324" t="s">
        <v>969</v>
      </c>
      <c r="C324" t="s">
        <v>970</v>
      </c>
      <c r="D324" t="s">
        <v>971</v>
      </c>
      <c r="E324" t="s">
        <v>24</v>
      </c>
      <c r="F324" s="1">
        <v>45338</v>
      </c>
    </row>
    <row r="325" spans="1:6" x14ac:dyDescent="0.3">
      <c r="A325">
        <v>158840</v>
      </c>
      <c r="B325" t="s">
        <v>972</v>
      </c>
      <c r="C325" t="s">
        <v>973</v>
      </c>
      <c r="D325" t="s">
        <v>974</v>
      </c>
      <c r="E325" t="s">
        <v>399</v>
      </c>
      <c r="F325" s="1">
        <v>44731</v>
      </c>
    </row>
    <row r="326" spans="1:6" x14ac:dyDescent="0.3">
      <c r="A326">
        <v>693343</v>
      </c>
      <c r="B326" t="s">
        <v>975</v>
      </c>
      <c r="C326" t="s">
        <v>976</v>
      </c>
      <c r="D326" t="s">
        <v>977</v>
      </c>
      <c r="E326" t="s">
        <v>143</v>
      </c>
      <c r="F326" s="1">
        <v>45032</v>
      </c>
    </row>
    <row r="327" spans="1:6" x14ac:dyDescent="0.3">
      <c r="A327">
        <v>384263</v>
      </c>
      <c r="B327" t="s">
        <v>978</v>
      </c>
      <c r="C327" t="s">
        <v>979</v>
      </c>
      <c r="D327" t="s">
        <v>980</v>
      </c>
      <c r="E327" t="s">
        <v>9</v>
      </c>
      <c r="F327" s="1">
        <v>44629</v>
      </c>
    </row>
    <row r="328" spans="1:6" x14ac:dyDescent="0.3">
      <c r="A328">
        <v>317221</v>
      </c>
      <c r="B328" t="s">
        <v>981</v>
      </c>
      <c r="C328" t="s">
        <v>982</v>
      </c>
      <c r="D328" t="s">
        <v>197</v>
      </c>
      <c r="E328" t="s">
        <v>24</v>
      </c>
      <c r="F328" s="1">
        <v>44719</v>
      </c>
    </row>
    <row r="329" spans="1:6" x14ac:dyDescent="0.3">
      <c r="A329">
        <v>694223</v>
      </c>
      <c r="B329" t="s">
        <v>983</v>
      </c>
      <c r="C329" t="s">
        <v>984</v>
      </c>
      <c r="D329" t="s">
        <v>985</v>
      </c>
      <c r="E329" t="s">
        <v>46</v>
      </c>
      <c r="F329" s="1">
        <v>45348</v>
      </c>
    </row>
    <row r="330" spans="1:6" x14ac:dyDescent="0.3">
      <c r="A330">
        <v>928897</v>
      </c>
      <c r="B330" t="s">
        <v>986</v>
      </c>
      <c r="C330" t="s">
        <v>987</v>
      </c>
      <c r="D330" t="s">
        <v>988</v>
      </c>
      <c r="E330" t="s">
        <v>32</v>
      </c>
      <c r="F330" s="1">
        <v>44671</v>
      </c>
    </row>
    <row r="331" spans="1:6" x14ac:dyDescent="0.3">
      <c r="A331">
        <v>979414</v>
      </c>
      <c r="B331" t="s">
        <v>989</v>
      </c>
      <c r="C331" t="s">
        <v>990</v>
      </c>
      <c r="D331" t="s">
        <v>991</v>
      </c>
      <c r="E331" t="s">
        <v>24</v>
      </c>
      <c r="F331" s="1">
        <v>45230</v>
      </c>
    </row>
    <row r="332" spans="1:6" x14ac:dyDescent="0.3">
      <c r="A332">
        <v>921609</v>
      </c>
      <c r="B332" t="s">
        <v>992</v>
      </c>
      <c r="C332" t="s">
        <v>993</v>
      </c>
      <c r="D332" t="s">
        <v>994</v>
      </c>
      <c r="E332" t="s">
        <v>32</v>
      </c>
      <c r="F332" s="1">
        <v>45330</v>
      </c>
    </row>
    <row r="333" spans="1:6" x14ac:dyDescent="0.3">
      <c r="A333">
        <v>189856</v>
      </c>
      <c r="B333" t="s">
        <v>995</v>
      </c>
      <c r="C333" t="s">
        <v>996</v>
      </c>
      <c r="D333" t="s">
        <v>997</v>
      </c>
      <c r="E333" t="s">
        <v>36</v>
      </c>
      <c r="F333" s="1">
        <v>44712</v>
      </c>
    </row>
    <row r="334" spans="1:6" x14ac:dyDescent="0.3">
      <c r="A334">
        <v>498458</v>
      </c>
      <c r="B334" t="s">
        <v>998</v>
      </c>
      <c r="C334" t="s">
        <v>999</v>
      </c>
      <c r="D334" t="s">
        <v>1000</v>
      </c>
      <c r="E334" t="s">
        <v>24</v>
      </c>
      <c r="F334" s="1">
        <v>45210</v>
      </c>
    </row>
    <row r="335" spans="1:6" x14ac:dyDescent="0.3">
      <c r="A335">
        <v>105447</v>
      </c>
      <c r="B335" t="s">
        <v>1001</v>
      </c>
      <c r="C335" t="s">
        <v>1002</v>
      </c>
      <c r="D335" t="s">
        <v>1003</v>
      </c>
      <c r="E335" t="s">
        <v>9</v>
      </c>
      <c r="F335" s="1">
        <v>44771</v>
      </c>
    </row>
    <row r="336" spans="1:6" x14ac:dyDescent="0.3">
      <c r="A336">
        <v>551914</v>
      </c>
      <c r="B336" t="s">
        <v>1004</v>
      </c>
      <c r="C336" t="s">
        <v>1005</v>
      </c>
      <c r="D336" t="s">
        <v>1006</v>
      </c>
      <c r="E336" t="s">
        <v>13</v>
      </c>
      <c r="F336" s="1">
        <v>44773</v>
      </c>
    </row>
    <row r="337" spans="1:6" x14ac:dyDescent="0.3">
      <c r="A337">
        <v>681141</v>
      </c>
      <c r="B337" t="s">
        <v>1007</v>
      </c>
      <c r="C337" t="s">
        <v>1008</v>
      </c>
      <c r="D337" t="s">
        <v>1009</v>
      </c>
      <c r="E337" t="s">
        <v>46</v>
      </c>
      <c r="F337" s="1">
        <v>45350</v>
      </c>
    </row>
    <row r="338" spans="1:6" x14ac:dyDescent="0.3">
      <c r="A338">
        <v>506637</v>
      </c>
      <c r="B338" t="s">
        <v>1010</v>
      </c>
      <c r="C338" t="s">
        <v>1011</v>
      </c>
      <c r="D338" t="s">
        <v>1012</v>
      </c>
      <c r="E338" t="s">
        <v>36</v>
      </c>
      <c r="F338" s="1">
        <v>45629</v>
      </c>
    </row>
    <row r="339" spans="1:6" x14ac:dyDescent="0.3">
      <c r="A339">
        <v>277735</v>
      </c>
      <c r="B339" t="s">
        <v>1013</v>
      </c>
      <c r="C339" t="s">
        <v>1014</v>
      </c>
      <c r="D339" t="s">
        <v>197</v>
      </c>
      <c r="E339" t="s">
        <v>9</v>
      </c>
      <c r="F339" s="1">
        <v>45571</v>
      </c>
    </row>
    <row r="340" spans="1:6" x14ac:dyDescent="0.3">
      <c r="A340">
        <v>555791</v>
      </c>
      <c r="B340" t="s">
        <v>1015</v>
      </c>
      <c r="C340" t="s">
        <v>1016</v>
      </c>
      <c r="D340" t="s">
        <v>1017</v>
      </c>
      <c r="E340" t="s">
        <v>117</v>
      </c>
      <c r="F340" s="1">
        <v>44719</v>
      </c>
    </row>
    <row r="341" spans="1:6" x14ac:dyDescent="0.3">
      <c r="A341">
        <v>855917</v>
      </c>
      <c r="B341" t="s">
        <v>1018</v>
      </c>
      <c r="C341" t="s">
        <v>1019</v>
      </c>
      <c r="D341" t="s">
        <v>1020</v>
      </c>
      <c r="E341" t="s">
        <v>17</v>
      </c>
      <c r="F341" s="1">
        <v>45499</v>
      </c>
    </row>
    <row r="342" spans="1:6" x14ac:dyDescent="0.3">
      <c r="A342">
        <v>107096</v>
      </c>
      <c r="B342" t="s">
        <v>1021</v>
      </c>
      <c r="C342" t="s">
        <v>1022</v>
      </c>
      <c r="D342" t="s">
        <v>1023</v>
      </c>
      <c r="E342" t="s">
        <v>24</v>
      </c>
      <c r="F342" s="1">
        <v>45236</v>
      </c>
    </row>
    <row r="343" spans="1:6" x14ac:dyDescent="0.3">
      <c r="A343">
        <v>955088</v>
      </c>
      <c r="B343" t="s">
        <v>1024</v>
      </c>
      <c r="C343" t="s">
        <v>1025</v>
      </c>
      <c r="D343" t="s">
        <v>1026</v>
      </c>
      <c r="E343" t="s">
        <v>133</v>
      </c>
      <c r="F343" s="1">
        <v>45218</v>
      </c>
    </row>
    <row r="344" spans="1:6" x14ac:dyDescent="0.3">
      <c r="A344">
        <v>602278</v>
      </c>
      <c r="B344" t="s">
        <v>805</v>
      </c>
      <c r="C344" t="s">
        <v>1027</v>
      </c>
      <c r="D344" t="s">
        <v>1028</v>
      </c>
      <c r="E344" t="s">
        <v>24</v>
      </c>
      <c r="F344" s="1">
        <v>45215</v>
      </c>
    </row>
    <row r="345" spans="1:6" x14ac:dyDescent="0.3">
      <c r="A345">
        <v>703853</v>
      </c>
      <c r="B345" t="s">
        <v>1029</v>
      </c>
      <c r="C345" t="s">
        <v>1030</v>
      </c>
      <c r="D345" t="s">
        <v>1031</v>
      </c>
      <c r="E345" t="s">
        <v>9</v>
      </c>
      <c r="F345" s="1">
        <v>45366</v>
      </c>
    </row>
    <row r="346" spans="1:6" x14ac:dyDescent="0.3">
      <c r="A346">
        <v>720995</v>
      </c>
      <c r="B346" t="s">
        <v>1032</v>
      </c>
      <c r="C346" t="s">
        <v>1033</v>
      </c>
      <c r="D346" t="s">
        <v>1034</v>
      </c>
      <c r="E346" t="s">
        <v>143</v>
      </c>
      <c r="F346" s="1">
        <v>45507</v>
      </c>
    </row>
    <row r="347" spans="1:6" x14ac:dyDescent="0.3">
      <c r="A347">
        <v>936433</v>
      </c>
      <c r="B347" t="s">
        <v>1035</v>
      </c>
      <c r="C347" t="s">
        <v>1036</v>
      </c>
      <c r="D347" t="s">
        <v>1037</v>
      </c>
      <c r="E347" t="s">
        <v>13</v>
      </c>
      <c r="F347" s="1">
        <v>45584</v>
      </c>
    </row>
    <row r="348" spans="1:6" x14ac:dyDescent="0.3">
      <c r="A348">
        <v>353777</v>
      </c>
      <c r="B348" t="s">
        <v>1038</v>
      </c>
      <c r="C348" t="s">
        <v>1039</v>
      </c>
      <c r="D348" t="s">
        <v>1040</v>
      </c>
      <c r="E348" t="s">
        <v>13</v>
      </c>
      <c r="F348" s="1">
        <v>45334</v>
      </c>
    </row>
    <row r="349" spans="1:6" x14ac:dyDescent="0.3">
      <c r="A349">
        <v>710527</v>
      </c>
      <c r="B349" t="s">
        <v>1041</v>
      </c>
      <c r="C349" t="s">
        <v>1042</v>
      </c>
      <c r="D349" t="s">
        <v>1043</v>
      </c>
      <c r="E349" t="s">
        <v>13</v>
      </c>
      <c r="F349" s="1">
        <v>44637</v>
      </c>
    </row>
    <row r="350" spans="1:6" x14ac:dyDescent="0.3">
      <c r="A350">
        <v>722665</v>
      </c>
      <c r="B350" t="s">
        <v>1044</v>
      </c>
      <c r="C350" t="s">
        <v>1045</v>
      </c>
      <c r="D350" t="s">
        <v>1046</v>
      </c>
      <c r="E350" t="s">
        <v>36</v>
      </c>
      <c r="F350" s="1">
        <v>45289</v>
      </c>
    </row>
    <row r="351" spans="1:6" x14ac:dyDescent="0.3">
      <c r="A351">
        <v>690579</v>
      </c>
      <c r="B351" t="s">
        <v>1047</v>
      </c>
      <c r="C351" t="s">
        <v>1048</v>
      </c>
      <c r="D351" t="s">
        <v>1049</v>
      </c>
      <c r="E351" t="s">
        <v>24</v>
      </c>
      <c r="F351" s="1">
        <v>45241</v>
      </c>
    </row>
    <row r="352" spans="1:6" x14ac:dyDescent="0.3">
      <c r="A352">
        <v>203396</v>
      </c>
      <c r="B352" t="s">
        <v>1050</v>
      </c>
      <c r="C352" t="s">
        <v>1051</v>
      </c>
      <c r="D352" t="s">
        <v>1052</v>
      </c>
      <c r="E352" t="s">
        <v>36</v>
      </c>
      <c r="F352" s="1">
        <v>45474</v>
      </c>
    </row>
    <row r="353" spans="1:6" x14ac:dyDescent="0.3">
      <c r="A353">
        <v>909859</v>
      </c>
      <c r="B353" t="s">
        <v>1053</v>
      </c>
      <c r="C353" t="s">
        <v>1054</v>
      </c>
      <c r="D353" t="s">
        <v>1055</v>
      </c>
      <c r="E353" t="s">
        <v>399</v>
      </c>
      <c r="F353" s="1">
        <v>45268</v>
      </c>
    </row>
    <row r="354" spans="1:6" x14ac:dyDescent="0.3">
      <c r="A354">
        <v>409783</v>
      </c>
      <c r="B354" t="s">
        <v>1056</v>
      </c>
      <c r="C354" t="s">
        <v>1057</v>
      </c>
      <c r="D354" t="s">
        <v>1058</v>
      </c>
      <c r="E354" t="s">
        <v>399</v>
      </c>
      <c r="F354" s="1">
        <v>45275</v>
      </c>
    </row>
    <row r="355" spans="1:6" x14ac:dyDescent="0.3">
      <c r="A355">
        <v>922366</v>
      </c>
      <c r="B355" t="s">
        <v>1059</v>
      </c>
      <c r="C355" t="s">
        <v>1060</v>
      </c>
      <c r="D355" t="s">
        <v>1061</v>
      </c>
      <c r="E355" t="s">
        <v>32</v>
      </c>
      <c r="F355" s="1">
        <v>45537</v>
      </c>
    </row>
    <row r="356" spans="1:6" x14ac:dyDescent="0.3">
      <c r="A356">
        <v>434400</v>
      </c>
      <c r="B356" t="s">
        <v>1062</v>
      </c>
      <c r="C356" t="s">
        <v>1063</v>
      </c>
      <c r="D356" t="s">
        <v>1064</v>
      </c>
      <c r="E356" t="s">
        <v>28</v>
      </c>
      <c r="F356" s="1">
        <v>44608</v>
      </c>
    </row>
    <row r="357" spans="1:6" x14ac:dyDescent="0.3">
      <c r="A357">
        <v>810032</v>
      </c>
      <c r="B357" t="s">
        <v>1065</v>
      </c>
      <c r="C357" t="s">
        <v>1066</v>
      </c>
      <c r="D357" t="s">
        <v>1067</v>
      </c>
      <c r="E357" t="s">
        <v>399</v>
      </c>
      <c r="F357" s="1">
        <v>44889</v>
      </c>
    </row>
    <row r="358" spans="1:6" x14ac:dyDescent="0.3">
      <c r="A358">
        <v>584498</v>
      </c>
      <c r="B358" t="s">
        <v>1068</v>
      </c>
      <c r="C358" t="s">
        <v>1069</v>
      </c>
      <c r="D358" t="s">
        <v>1070</v>
      </c>
      <c r="E358" t="s">
        <v>399</v>
      </c>
      <c r="F358" s="1">
        <v>44943</v>
      </c>
    </row>
    <row r="359" spans="1:6" x14ac:dyDescent="0.3">
      <c r="A359">
        <v>514798</v>
      </c>
      <c r="B359" t="s">
        <v>1071</v>
      </c>
      <c r="C359" t="s">
        <v>1072</v>
      </c>
      <c r="D359" t="s">
        <v>1073</v>
      </c>
      <c r="E359" t="s">
        <v>17</v>
      </c>
      <c r="F359" s="1">
        <v>45482</v>
      </c>
    </row>
    <row r="360" spans="1:6" x14ac:dyDescent="0.3">
      <c r="A360">
        <v>104666</v>
      </c>
      <c r="B360" t="s">
        <v>1074</v>
      </c>
      <c r="C360" t="s">
        <v>1075</v>
      </c>
      <c r="D360" t="s">
        <v>1076</v>
      </c>
      <c r="E360" t="s">
        <v>143</v>
      </c>
      <c r="F360" s="1">
        <v>44770</v>
      </c>
    </row>
    <row r="361" spans="1:6" x14ac:dyDescent="0.3">
      <c r="A361">
        <v>441819</v>
      </c>
      <c r="B361" t="s">
        <v>1077</v>
      </c>
      <c r="C361" t="s">
        <v>1078</v>
      </c>
      <c r="D361" t="s">
        <v>197</v>
      </c>
      <c r="E361" t="s">
        <v>9</v>
      </c>
      <c r="F361" s="1">
        <v>45564</v>
      </c>
    </row>
    <row r="362" spans="1:6" x14ac:dyDescent="0.3">
      <c r="A362">
        <v>725969</v>
      </c>
      <c r="B362" t="s">
        <v>1079</v>
      </c>
      <c r="C362" t="s">
        <v>1080</v>
      </c>
      <c r="D362" t="s">
        <v>1081</v>
      </c>
      <c r="E362" t="s">
        <v>28</v>
      </c>
      <c r="F362" s="1">
        <v>45274</v>
      </c>
    </row>
    <row r="363" spans="1:6" x14ac:dyDescent="0.3">
      <c r="A363">
        <v>953266</v>
      </c>
      <c r="B363" t="s">
        <v>1082</v>
      </c>
      <c r="C363" t="s">
        <v>1083</v>
      </c>
      <c r="D363" t="s">
        <v>1084</v>
      </c>
      <c r="E363" t="s">
        <v>143</v>
      </c>
      <c r="F363" s="1">
        <v>44836</v>
      </c>
    </row>
    <row r="364" spans="1:6" x14ac:dyDescent="0.3">
      <c r="A364">
        <v>420214</v>
      </c>
      <c r="B364" t="s">
        <v>1085</v>
      </c>
      <c r="C364" t="s">
        <v>1086</v>
      </c>
      <c r="D364" t="s">
        <v>1087</v>
      </c>
      <c r="E364" t="s">
        <v>399</v>
      </c>
      <c r="F364" s="1">
        <v>45608</v>
      </c>
    </row>
    <row r="365" spans="1:6" x14ac:dyDescent="0.3">
      <c r="A365">
        <v>702727</v>
      </c>
      <c r="B365" t="s">
        <v>1088</v>
      </c>
      <c r="C365" t="s">
        <v>1089</v>
      </c>
      <c r="D365" t="s">
        <v>1090</v>
      </c>
      <c r="E365" t="s">
        <v>117</v>
      </c>
      <c r="F365" s="1">
        <v>44916</v>
      </c>
    </row>
    <row r="366" spans="1:6" x14ac:dyDescent="0.3">
      <c r="A366">
        <v>402865</v>
      </c>
      <c r="B366" t="s">
        <v>1091</v>
      </c>
      <c r="C366" t="s">
        <v>1092</v>
      </c>
      <c r="D366" t="s">
        <v>1093</v>
      </c>
      <c r="E366" t="s">
        <v>62</v>
      </c>
      <c r="F366" s="1">
        <v>44671</v>
      </c>
    </row>
    <row r="367" spans="1:6" x14ac:dyDescent="0.3">
      <c r="A367">
        <v>243167</v>
      </c>
      <c r="B367" t="s">
        <v>1094</v>
      </c>
      <c r="C367" t="s">
        <v>1095</v>
      </c>
      <c r="D367" t="s">
        <v>1096</v>
      </c>
      <c r="E367" t="s">
        <v>117</v>
      </c>
      <c r="F367" s="1">
        <v>45399</v>
      </c>
    </row>
    <row r="368" spans="1:6" x14ac:dyDescent="0.3">
      <c r="A368">
        <v>844638</v>
      </c>
      <c r="B368" t="s">
        <v>1097</v>
      </c>
      <c r="C368" t="s">
        <v>1098</v>
      </c>
      <c r="D368" t="s">
        <v>1099</v>
      </c>
      <c r="E368" t="s">
        <v>143</v>
      </c>
      <c r="F368" s="1">
        <v>44625</v>
      </c>
    </row>
    <row r="369" spans="1:6" x14ac:dyDescent="0.3">
      <c r="A369">
        <v>134283</v>
      </c>
      <c r="B369" t="s">
        <v>1100</v>
      </c>
      <c r="C369" t="s">
        <v>1101</v>
      </c>
      <c r="D369" t="s">
        <v>1102</v>
      </c>
      <c r="E369" t="s">
        <v>133</v>
      </c>
      <c r="F369" s="1">
        <v>44906</v>
      </c>
    </row>
    <row r="370" spans="1:6" x14ac:dyDescent="0.3">
      <c r="A370">
        <v>676429</v>
      </c>
      <c r="B370" t="s">
        <v>1103</v>
      </c>
      <c r="C370" t="s">
        <v>1104</v>
      </c>
      <c r="D370" t="s">
        <v>1105</v>
      </c>
      <c r="E370" t="s">
        <v>28</v>
      </c>
      <c r="F370" s="1">
        <v>45110</v>
      </c>
    </row>
    <row r="371" spans="1:6" x14ac:dyDescent="0.3">
      <c r="A371">
        <v>668373</v>
      </c>
      <c r="B371" t="s">
        <v>1106</v>
      </c>
      <c r="C371" t="s">
        <v>1107</v>
      </c>
      <c r="D371" t="s">
        <v>1108</v>
      </c>
      <c r="E371" t="s">
        <v>17</v>
      </c>
      <c r="F371" s="1">
        <v>45432</v>
      </c>
    </row>
    <row r="372" spans="1:6" x14ac:dyDescent="0.3">
      <c r="A372">
        <v>412170</v>
      </c>
      <c r="B372" t="s">
        <v>1109</v>
      </c>
      <c r="C372" t="s">
        <v>1110</v>
      </c>
      <c r="D372" t="s">
        <v>1111</v>
      </c>
      <c r="E372" t="s">
        <v>32</v>
      </c>
      <c r="F372" s="1">
        <v>44740</v>
      </c>
    </row>
    <row r="373" spans="1:6" x14ac:dyDescent="0.3">
      <c r="A373">
        <v>320073</v>
      </c>
      <c r="B373" t="s">
        <v>1112</v>
      </c>
      <c r="C373" t="s">
        <v>1113</v>
      </c>
      <c r="D373" t="s">
        <v>1114</v>
      </c>
      <c r="E373" t="s">
        <v>13</v>
      </c>
      <c r="F373" s="1">
        <v>44901</v>
      </c>
    </row>
    <row r="374" spans="1:6" x14ac:dyDescent="0.3">
      <c r="A374">
        <v>953047</v>
      </c>
      <c r="B374" t="s">
        <v>1115</v>
      </c>
      <c r="C374" t="s">
        <v>1116</v>
      </c>
      <c r="D374" t="s">
        <v>1117</v>
      </c>
      <c r="E374" t="s">
        <v>32</v>
      </c>
      <c r="F374" s="1">
        <v>45652</v>
      </c>
    </row>
    <row r="375" spans="1:6" x14ac:dyDescent="0.3">
      <c r="A375">
        <v>276556</v>
      </c>
      <c r="B375" t="s">
        <v>1118</v>
      </c>
      <c r="C375" t="s">
        <v>1119</v>
      </c>
      <c r="D375" t="s">
        <v>1120</v>
      </c>
      <c r="E375" t="s">
        <v>9</v>
      </c>
      <c r="F375" s="1">
        <v>45615</v>
      </c>
    </row>
    <row r="376" spans="1:6" x14ac:dyDescent="0.3">
      <c r="A376">
        <v>886530</v>
      </c>
      <c r="B376" t="s">
        <v>1121</v>
      </c>
      <c r="C376" t="s">
        <v>1122</v>
      </c>
      <c r="D376" t="s">
        <v>1123</v>
      </c>
      <c r="E376" t="s">
        <v>399</v>
      </c>
      <c r="F376" s="1">
        <v>44833</v>
      </c>
    </row>
    <row r="377" spans="1:6" x14ac:dyDescent="0.3">
      <c r="A377">
        <v>968726</v>
      </c>
      <c r="B377" t="s">
        <v>1124</v>
      </c>
      <c r="C377" t="s">
        <v>1125</v>
      </c>
      <c r="D377" t="s">
        <v>1126</v>
      </c>
      <c r="E377" t="s">
        <v>117</v>
      </c>
      <c r="F377" s="1">
        <v>44853</v>
      </c>
    </row>
    <row r="378" spans="1:6" x14ac:dyDescent="0.3">
      <c r="A378">
        <v>758309</v>
      </c>
      <c r="B378" t="s">
        <v>1127</v>
      </c>
      <c r="C378" t="s">
        <v>1128</v>
      </c>
      <c r="D378" t="s">
        <v>1129</v>
      </c>
      <c r="E378" t="s">
        <v>143</v>
      </c>
      <c r="F378" s="1">
        <v>44752</v>
      </c>
    </row>
    <row r="379" spans="1:6" x14ac:dyDescent="0.3">
      <c r="A379">
        <v>828449</v>
      </c>
      <c r="B379" t="s">
        <v>1130</v>
      </c>
      <c r="C379" t="s">
        <v>1131</v>
      </c>
      <c r="D379" t="s">
        <v>1132</v>
      </c>
      <c r="E379" t="s">
        <v>117</v>
      </c>
      <c r="F379" s="1">
        <v>45232</v>
      </c>
    </row>
    <row r="380" spans="1:6" x14ac:dyDescent="0.3">
      <c r="A380">
        <v>866437</v>
      </c>
      <c r="B380" t="s">
        <v>1133</v>
      </c>
      <c r="C380" t="s">
        <v>1134</v>
      </c>
      <c r="D380" t="s">
        <v>1135</v>
      </c>
      <c r="E380" t="s">
        <v>32</v>
      </c>
      <c r="F380" s="1">
        <v>44691</v>
      </c>
    </row>
    <row r="381" spans="1:6" x14ac:dyDescent="0.3">
      <c r="A381">
        <v>550513</v>
      </c>
      <c r="B381" t="s">
        <v>1136</v>
      </c>
      <c r="C381" t="s">
        <v>1137</v>
      </c>
      <c r="D381" t="s">
        <v>1138</v>
      </c>
      <c r="E381" t="s">
        <v>46</v>
      </c>
      <c r="F381" s="1">
        <v>45142</v>
      </c>
    </row>
    <row r="382" spans="1:6" x14ac:dyDescent="0.3">
      <c r="A382">
        <v>693643</v>
      </c>
      <c r="B382" t="s">
        <v>1139</v>
      </c>
      <c r="C382" t="s">
        <v>1140</v>
      </c>
      <c r="D382" t="s">
        <v>197</v>
      </c>
      <c r="E382" t="s">
        <v>143</v>
      </c>
      <c r="F382" s="1">
        <v>44656</v>
      </c>
    </row>
    <row r="383" spans="1:6" x14ac:dyDescent="0.3">
      <c r="A383">
        <v>117072</v>
      </c>
      <c r="B383" t="s">
        <v>1141</v>
      </c>
      <c r="C383" t="s">
        <v>1142</v>
      </c>
      <c r="D383" t="s">
        <v>1143</v>
      </c>
      <c r="E383" t="s">
        <v>62</v>
      </c>
      <c r="F383" s="1">
        <v>44563</v>
      </c>
    </row>
    <row r="384" spans="1:6" x14ac:dyDescent="0.3">
      <c r="A384">
        <v>781571</v>
      </c>
      <c r="B384" t="s">
        <v>708</v>
      </c>
      <c r="C384" t="s">
        <v>1144</v>
      </c>
      <c r="D384" t="s">
        <v>1145</v>
      </c>
      <c r="E384" t="s">
        <v>9</v>
      </c>
      <c r="F384" s="1">
        <v>44753</v>
      </c>
    </row>
    <row r="385" spans="1:6" x14ac:dyDescent="0.3">
      <c r="A385">
        <v>186424</v>
      </c>
      <c r="B385" t="s">
        <v>1146</v>
      </c>
      <c r="C385" t="s">
        <v>1147</v>
      </c>
      <c r="D385" t="s">
        <v>1148</v>
      </c>
      <c r="E385" t="s">
        <v>399</v>
      </c>
      <c r="F385" s="1">
        <v>44668</v>
      </c>
    </row>
    <row r="386" spans="1:6" x14ac:dyDescent="0.3">
      <c r="A386">
        <v>861253</v>
      </c>
      <c r="B386" t="s">
        <v>1149</v>
      </c>
      <c r="C386" t="s">
        <v>1150</v>
      </c>
      <c r="D386" t="s">
        <v>197</v>
      </c>
      <c r="E386" t="s">
        <v>143</v>
      </c>
      <c r="F386" s="1">
        <v>44756</v>
      </c>
    </row>
    <row r="387" spans="1:6" x14ac:dyDescent="0.3">
      <c r="A387">
        <v>181724</v>
      </c>
      <c r="B387" t="s">
        <v>1151</v>
      </c>
      <c r="C387" t="s">
        <v>1152</v>
      </c>
      <c r="D387" t="s">
        <v>1153</v>
      </c>
      <c r="E387" t="s">
        <v>62</v>
      </c>
      <c r="F387" s="1">
        <v>44581</v>
      </c>
    </row>
    <row r="388" spans="1:6" x14ac:dyDescent="0.3">
      <c r="A388">
        <v>956800</v>
      </c>
      <c r="B388" t="s">
        <v>1154</v>
      </c>
      <c r="C388" t="s">
        <v>1155</v>
      </c>
      <c r="D388" t="s">
        <v>1156</v>
      </c>
      <c r="E388" t="s">
        <v>399</v>
      </c>
      <c r="F388" s="1">
        <v>45540</v>
      </c>
    </row>
    <row r="389" spans="1:6" x14ac:dyDescent="0.3">
      <c r="A389">
        <v>193670</v>
      </c>
      <c r="B389" t="s">
        <v>1157</v>
      </c>
      <c r="C389" t="s">
        <v>1158</v>
      </c>
      <c r="D389" t="s">
        <v>1159</v>
      </c>
      <c r="E389" t="s">
        <v>32</v>
      </c>
      <c r="F389" s="1">
        <v>45174</v>
      </c>
    </row>
    <row r="390" spans="1:6" x14ac:dyDescent="0.3">
      <c r="A390">
        <v>772741</v>
      </c>
      <c r="B390" t="s">
        <v>1160</v>
      </c>
      <c r="C390" t="s">
        <v>1161</v>
      </c>
      <c r="D390" t="s">
        <v>1162</v>
      </c>
      <c r="E390" t="s">
        <v>143</v>
      </c>
      <c r="F390" s="1">
        <v>44898</v>
      </c>
    </row>
    <row r="391" spans="1:6" x14ac:dyDescent="0.3">
      <c r="A391">
        <v>758589</v>
      </c>
      <c r="B391" t="s">
        <v>799</v>
      </c>
      <c r="C391" t="s">
        <v>1163</v>
      </c>
      <c r="D391" t="s">
        <v>1164</v>
      </c>
      <c r="E391" t="s">
        <v>62</v>
      </c>
      <c r="F391" s="1">
        <v>45006</v>
      </c>
    </row>
    <row r="392" spans="1:6" x14ac:dyDescent="0.3">
      <c r="A392">
        <v>888996</v>
      </c>
      <c r="B392" t="s">
        <v>1165</v>
      </c>
      <c r="C392" t="s">
        <v>1166</v>
      </c>
      <c r="D392" t="s">
        <v>1167</v>
      </c>
      <c r="E392" t="s">
        <v>24</v>
      </c>
      <c r="F392" s="1">
        <v>45281</v>
      </c>
    </row>
    <row r="393" spans="1:6" x14ac:dyDescent="0.3">
      <c r="A393">
        <v>359822</v>
      </c>
      <c r="B393" t="s">
        <v>1168</v>
      </c>
      <c r="C393" t="s">
        <v>1169</v>
      </c>
      <c r="D393" t="s">
        <v>1170</v>
      </c>
      <c r="E393" t="s">
        <v>36</v>
      </c>
      <c r="F393" s="1">
        <v>45145</v>
      </c>
    </row>
    <row r="394" spans="1:6" x14ac:dyDescent="0.3">
      <c r="A394">
        <v>989079</v>
      </c>
      <c r="B394" t="s">
        <v>1171</v>
      </c>
      <c r="C394" t="s">
        <v>1172</v>
      </c>
      <c r="D394" t="s">
        <v>1173</v>
      </c>
      <c r="E394" t="s">
        <v>17</v>
      </c>
      <c r="F394" s="1">
        <v>45364</v>
      </c>
    </row>
    <row r="395" spans="1:6" x14ac:dyDescent="0.3">
      <c r="A395">
        <v>921875</v>
      </c>
      <c r="B395" t="s">
        <v>1174</v>
      </c>
      <c r="C395" t="s">
        <v>1175</v>
      </c>
      <c r="D395" t="s">
        <v>1176</v>
      </c>
      <c r="E395" t="s">
        <v>28</v>
      </c>
      <c r="F395" s="1">
        <v>45055</v>
      </c>
    </row>
    <row r="396" spans="1:6" x14ac:dyDescent="0.3">
      <c r="A396">
        <v>653948</v>
      </c>
      <c r="B396" t="s">
        <v>1177</v>
      </c>
      <c r="C396" t="s">
        <v>1178</v>
      </c>
      <c r="D396" t="s">
        <v>1179</v>
      </c>
      <c r="E396" t="s">
        <v>46</v>
      </c>
      <c r="F396" s="1">
        <v>44832</v>
      </c>
    </row>
    <row r="397" spans="1:6" x14ac:dyDescent="0.3">
      <c r="A397">
        <v>483162</v>
      </c>
      <c r="B397" t="s">
        <v>1180</v>
      </c>
      <c r="C397" t="s">
        <v>1181</v>
      </c>
      <c r="D397" t="s">
        <v>197</v>
      </c>
      <c r="E397" t="s">
        <v>117</v>
      </c>
      <c r="F397" s="1">
        <v>44711</v>
      </c>
    </row>
    <row r="398" spans="1:6" x14ac:dyDescent="0.3">
      <c r="A398">
        <v>114463</v>
      </c>
      <c r="B398" t="s">
        <v>1182</v>
      </c>
      <c r="C398" t="s">
        <v>1183</v>
      </c>
      <c r="D398" t="s">
        <v>1184</v>
      </c>
      <c r="E398" t="s">
        <v>143</v>
      </c>
      <c r="F398" s="1">
        <v>45377</v>
      </c>
    </row>
    <row r="399" spans="1:6" x14ac:dyDescent="0.3">
      <c r="A399">
        <v>904373</v>
      </c>
      <c r="B399" t="s">
        <v>1185</v>
      </c>
      <c r="C399" t="s">
        <v>1186</v>
      </c>
      <c r="D399" t="s">
        <v>1187</v>
      </c>
      <c r="E399" t="s">
        <v>24</v>
      </c>
      <c r="F399" s="1">
        <v>44730</v>
      </c>
    </row>
    <row r="400" spans="1:6" x14ac:dyDescent="0.3">
      <c r="A400">
        <v>745972</v>
      </c>
      <c r="B400" t="s">
        <v>1188</v>
      </c>
      <c r="C400" t="s">
        <v>1189</v>
      </c>
      <c r="D400" t="s">
        <v>1190</v>
      </c>
      <c r="E400" t="s">
        <v>133</v>
      </c>
      <c r="F400" s="1">
        <v>44723</v>
      </c>
    </row>
    <row r="401" spans="1:6" x14ac:dyDescent="0.3">
      <c r="A401">
        <v>662445</v>
      </c>
      <c r="B401" t="s">
        <v>1191</v>
      </c>
      <c r="C401" t="s">
        <v>1192</v>
      </c>
      <c r="D401" t="s">
        <v>1193</v>
      </c>
      <c r="E401" t="s">
        <v>143</v>
      </c>
      <c r="F401" s="1">
        <v>45197</v>
      </c>
    </row>
    <row r="402" spans="1:6" x14ac:dyDescent="0.3">
      <c r="A402">
        <v>160718</v>
      </c>
      <c r="B402" t="s">
        <v>278</v>
      </c>
      <c r="C402" t="s">
        <v>1194</v>
      </c>
      <c r="D402" t="s">
        <v>1195</v>
      </c>
      <c r="E402" t="s">
        <v>13</v>
      </c>
      <c r="F402" s="1">
        <v>44799</v>
      </c>
    </row>
    <row r="403" spans="1:6" x14ac:dyDescent="0.3">
      <c r="A403">
        <v>424314</v>
      </c>
      <c r="B403" t="s">
        <v>1196</v>
      </c>
      <c r="C403" t="s">
        <v>1197</v>
      </c>
      <c r="D403" t="s">
        <v>197</v>
      </c>
      <c r="E403" t="s">
        <v>399</v>
      </c>
      <c r="F403" s="1">
        <v>44806</v>
      </c>
    </row>
    <row r="404" spans="1:6" x14ac:dyDescent="0.3">
      <c r="A404">
        <v>835575</v>
      </c>
      <c r="B404" t="s">
        <v>1198</v>
      </c>
      <c r="C404" t="s">
        <v>1199</v>
      </c>
      <c r="D404" t="s">
        <v>1200</v>
      </c>
      <c r="E404" t="s">
        <v>32</v>
      </c>
      <c r="F404" s="1">
        <v>45633</v>
      </c>
    </row>
    <row r="405" spans="1:6" x14ac:dyDescent="0.3">
      <c r="A405">
        <v>275073</v>
      </c>
      <c r="B405" t="s">
        <v>1201</v>
      </c>
      <c r="C405" t="s">
        <v>1202</v>
      </c>
      <c r="D405" t="s">
        <v>1203</v>
      </c>
      <c r="E405" t="s">
        <v>9</v>
      </c>
      <c r="F405" s="1">
        <v>44803</v>
      </c>
    </row>
    <row r="406" spans="1:6" x14ac:dyDescent="0.3">
      <c r="A406">
        <v>946313</v>
      </c>
      <c r="B406" t="s">
        <v>1204</v>
      </c>
      <c r="C406" t="s">
        <v>1205</v>
      </c>
      <c r="D406" t="s">
        <v>1206</v>
      </c>
      <c r="E406" t="s">
        <v>143</v>
      </c>
      <c r="F406" s="1">
        <v>45100</v>
      </c>
    </row>
    <row r="407" spans="1:6" x14ac:dyDescent="0.3">
      <c r="A407">
        <v>620248</v>
      </c>
      <c r="B407" t="s">
        <v>1207</v>
      </c>
      <c r="C407" t="s">
        <v>1208</v>
      </c>
      <c r="D407" t="s">
        <v>1209</v>
      </c>
      <c r="E407" t="s">
        <v>143</v>
      </c>
      <c r="F407" s="1">
        <v>45585</v>
      </c>
    </row>
    <row r="408" spans="1:6" x14ac:dyDescent="0.3">
      <c r="A408">
        <v>264951</v>
      </c>
      <c r="B408" t="s">
        <v>1210</v>
      </c>
      <c r="C408" t="s">
        <v>1211</v>
      </c>
      <c r="D408" t="s">
        <v>1212</v>
      </c>
      <c r="E408" t="s">
        <v>28</v>
      </c>
      <c r="F408" s="1">
        <v>45029</v>
      </c>
    </row>
    <row r="409" spans="1:6" x14ac:dyDescent="0.3">
      <c r="A409">
        <v>146177</v>
      </c>
      <c r="B409" t="s">
        <v>1213</v>
      </c>
      <c r="C409" t="s">
        <v>1214</v>
      </c>
      <c r="D409" t="s">
        <v>1215</v>
      </c>
      <c r="E409" t="s">
        <v>117</v>
      </c>
      <c r="F409" s="1">
        <v>45307</v>
      </c>
    </row>
    <row r="410" spans="1:6" x14ac:dyDescent="0.3">
      <c r="A410">
        <v>999138</v>
      </c>
      <c r="B410" t="s">
        <v>1216</v>
      </c>
      <c r="C410" t="s">
        <v>1217</v>
      </c>
      <c r="D410" t="s">
        <v>1218</v>
      </c>
      <c r="E410" t="s">
        <v>13</v>
      </c>
      <c r="F410" s="1">
        <v>45021</v>
      </c>
    </row>
    <row r="411" spans="1:6" x14ac:dyDescent="0.3">
      <c r="A411">
        <v>855276</v>
      </c>
      <c r="B411" t="s">
        <v>1219</v>
      </c>
      <c r="C411" t="s">
        <v>1220</v>
      </c>
      <c r="D411" t="s">
        <v>1221</v>
      </c>
      <c r="E411" t="s">
        <v>143</v>
      </c>
      <c r="F411" s="1">
        <v>45325</v>
      </c>
    </row>
    <row r="412" spans="1:6" x14ac:dyDescent="0.3">
      <c r="A412">
        <v>288056</v>
      </c>
      <c r="B412" t="s">
        <v>1222</v>
      </c>
      <c r="C412" t="s">
        <v>1223</v>
      </c>
      <c r="D412" t="s">
        <v>1224</v>
      </c>
      <c r="E412" t="s">
        <v>24</v>
      </c>
      <c r="F412" s="1">
        <v>44703</v>
      </c>
    </row>
    <row r="413" spans="1:6" x14ac:dyDescent="0.3">
      <c r="A413">
        <v>443199</v>
      </c>
      <c r="B413" t="s">
        <v>1225</v>
      </c>
      <c r="C413" t="s">
        <v>1226</v>
      </c>
      <c r="D413" t="s">
        <v>1227</v>
      </c>
      <c r="E413" t="s">
        <v>143</v>
      </c>
      <c r="F413" s="1">
        <v>45317</v>
      </c>
    </row>
    <row r="414" spans="1:6" x14ac:dyDescent="0.3">
      <c r="A414">
        <v>875501</v>
      </c>
      <c r="B414" t="s">
        <v>1228</v>
      </c>
      <c r="C414" t="s">
        <v>1229</v>
      </c>
      <c r="D414" t="s">
        <v>1230</v>
      </c>
      <c r="E414" t="s">
        <v>32</v>
      </c>
      <c r="F414" s="1">
        <v>45572</v>
      </c>
    </row>
    <row r="415" spans="1:6" x14ac:dyDescent="0.3">
      <c r="A415">
        <v>868043</v>
      </c>
      <c r="B415" t="s">
        <v>1231</v>
      </c>
      <c r="C415" t="s">
        <v>1232</v>
      </c>
      <c r="D415" t="s">
        <v>1233</v>
      </c>
      <c r="E415" t="s">
        <v>143</v>
      </c>
      <c r="F415" s="1">
        <v>45401</v>
      </c>
    </row>
    <row r="416" spans="1:6" x14ac:dyDescent="0.3">
      <c r="A416">
        <v>463251</v>
      </c>
      <c r="B416" t="s">
        <v>1234</v>
      </c>
      <c r="C416" t="s">
        <v>1235</v>
      </c>
      <c r="D416" t="s">
        <v>1236</v>
      </c>
      <c r="E416" t="s">
        <v>143</v>
      </c>
      <c r="F416" s="1">
        <v>45248</v>
      </c>
    </row>
    <row r="417" spans="1:6" x14ac:dyDescent="0.3">
      <c r="A417">
        <v>990247</v>
      </c>
      <c r="B417" t="s">
        <v>1237</v>
      </c>
      <c r="C417" t="s">
        <v>1238</v>
      </c>
      <c r="D417" t="s">
        <v>1239</v>
      </c>
      <c r="E417" t="s">
        <v>36</v>
      </c>
      <c r="F417" s="1">
        <v>45421</v>
      </c>
    </row>
    <row r="418" spans="1:6" x14ac:dyDescent="0.3">
      <c r="A418">
        <v>846221</v>
      </c>
      <c r="B418" t="s">
        <v>1240</v>
      </c>
      <c r="C418" t="s">
        <v>1241</v>
      </c>
      <c r="D418" t="s">
        <v>1242</v>
      </c>
      <c r="E418" t="s">
        <v>36</v>
      </c>
      <c r="F418" s="1">
        <v>45626</v>
      </c>
    </row>
    <row r="419" spans="1:6" x14ac:dyDescent="0.3">
      <c r="A419">
        <v>580728</v>
      </c>
      <c r="B419" t="s">
        <v>1243</v>
      </c>
      <c r="C419" t="s">
        <v>1244</v>
      </c>
      <c r="D419" t="s">
        <v>1245</v>
      </c>
      <c r="E419" t="s">
        <v>399</v>
      </c>
      <c r="F419" s="1">
        <v>45369</v>
      </c>
    </row>
    <row r="420" spans="1:6" x14ac:dyDescent="0.3">
      <c r="A420">
        <v>556112</v>
      </c>
      <c r="B420" t="s">
        <v>1246</v>
      </c>
      <c r="C420" t="s">
        <v>1247</v>
      </c>
      <c r="D420" t="s">
        <v>1248</v>
      </c>
      <c r="E420" t="s">
        <v>133</v>
      </c>
      <c r="F420" s="1">
        <v>45096</v>
      </c>
    </row>
    <row r="421" spans="1:6" x14ac:dyDescent="0.3">
      <c r="A421">
        <v>433507</v>
      </c>
      <c r="B421" t="s">
        <v>1249</v>
      </c>
      <c r="C421" t="s">
        <v>1250</v>
      </c>
      <c r="D421" t="s">
        <v>1251</v>
      </c>
      <c r="E421" t="s">
        <v>143</v>
      </c>
      <c r="F421" s="1">
        <v>44977</v>
      </c>
    </row>
    <row r="422" spans="1:6" x14ac:dyDescent="0.3">
      <c r="A422">
        <v>262959</v>
      </c>
      <c r="B422" t="s">
        <v>1252</v>
      </c>
      <c r="C422" t="s">
        <v>1253</v>
      </c>
      <c r="D422" t="s">
        <v>1254</v>
      </c>
      <c r="E422" t="s">
        <v>62</v>
      </c>
      <c r="F422" s="1">
        <v>45205</v>
      </c>
    </row>
    <row r="423" spans="1:6" x14ac:dyDescent="0.3">
      <c r="A423">
        <v>475691</v>
      </c>
      <c r="B423" t="s">
        <v>1255</v>
      </c>
      <c r="C423" t="s">
        <v>1256</v>
      </c>
      <c r="D423" t="s">
        <v>1257</v>
      </c>
      <c r="E423" t="s">
        <v>62</v>
      </c>
      <c r="F423" s="1">
        <v>45104</v>
      </c>
    </row>
    <row r="424" spans="1:6" x14ac:dyDescent="0.3">
      <c r="A424">
        <v>946826</v>
      </c>
      <c r="B424" t="s">
        <v>1258</v>
      </c>
      <c r="C424" t="s">
        <v>1259</v>
      </c>
      <c r="D424" t="s">
        <v>1260</v>
      </c>
      <c r="E424" t="s">
        <v>143</v>
      </c>
      <c r="F424" s="1">
        <v>45002</v>
      </c>
    </row>
    <row r="425" spans="1:6" x14ac:dyDescent="0.3">
      <c r="A425">
        <v>845702</v>
      </c>
      <c r="B425" t="s">
        <v>1261</v>
      </c>
      <c r="C425" t="s">
        <v>1262</v>
      </c>
      <c r="D425" t="s">
        <v>1263</v>
      </c>
      <c r="E425" t="s">
        <v>143</v>
      </c>
      <c r="F425" s="1">
        <v>45174</v>
      </c>
    </row>
    <row r="426" spans="1:6" x14ac:dyDescent="0.3">
      <c r="A426">
        <v>524035</v>
      </c>
      <c r="B426" t="s">
        <v>1004</v>
      </c>
      <c r="C426" t="s">
        <v>1264</v>
      </c>
      <c r="D426" t="s">
        <v>1265</v>
      </c>
      <c r="E426" t="s">
        <v>36</v>
      </c>
      <c r="F426" s="1">
        <v>44755</v>
      </c>
    </row>
    <row r="427" spans="1:6" x14ac:dyDescent="0.3">
      <c r="A427">
        <v>227352</v>
      </c>
      <c r="B427" t="s">
        <v>1266</v>
      </c>
      <c r="C427" t="s">
        <v>1267</v>
      </c>
      <c r="D427" t="s">
        <v>1268</v>
      </c>
      <c r="E427" t="s">
        <v>36</v>
      </c>
      <c r="F427" s="1">
        <v>44829</v>
      </c>
    </row>
    <row r="428" spans="1:6" x14ac:dyDescent="0.3">
      <c r="A428">
        <v>819622</v>
      </c>
      <c r="B428" t="s">
        <v>1269</v>
      </c>
      <c r="C428" t="s">
        <v>1270</v>
      </c>
      <c r="D428" t="s">
        <v>1271</v>
      </c>
      <c r="E428" t="s">
        <v>9</v>
      </c>
      <c r="F428" s="1">
        <v>44715</v>
      </c>
    </row>
    <row r="429" spans="1:6" x14ac:dyDescent="0.3">
      <c r="A429">
        <v>777366</v>
      </c>
      <c r="B429" t="s">
        <v>1272</v>
      </c>
      <c r="C429" t="s">
        <v>1273</v>
      </c>
      <c r="D429" t="s">
        <v>1274</v>
      </c>
      <c r="E429" t="s">
        <v>46</v>
      </c>
      <c r="F429" s="1">
        <v>44812</v>
      </c>
    </row>
    <row r="430" spans="1:6" x14ac:dyDescent="0.3">
      <c r="A430">
        <v>276149</v>
      </c>
      <c r="B430" t="s">
        <v>1275</v>
      </c>
      <c r="C430" t="s">
        <v>1276</v>
      </c>
      <c r="D430" t="s">
        <v>1277</v>
      </c>
      <c r="E430" t="s">
        <v>24</v>
      </c>
      <c r="F430" s="1">
        <v>45578</v>
      </c>
    </row>
    <row r="431" spans="1:6" x14ac:dyDescent="0.3">
      <c r="A431">
        <v>281201</v>
      </c>
      <c r="B431" t="s">
        <v>1278</v>
      </c>
      <c r="C431" t="s">
        <v>1279</v>
      </c>
      <c r="D431" t="s">
        <v>1280</v>
      </c>
      <c r="E431" t="s">
        <v>399</v>
      </c>
      <c r="F431" s="1">
        <v>45125</v>
      </c>
    </row>
    <row r="432" spans="1:6" x14ac:dyDescent="0.3">
      <c r="A432">
        <v>136332</v>
      </c>
      <c r="B432" t="s">
        <v>1281</v>
      </c>
      <c r="C432" t="s">
        <v>1282</v>
      </c>
      <c r="D432" t="s">
        <v>1283</v>
      </c>
      <c r="E432" t="s">
        <v>36</v>
      </c>
      <c r="F432" s="1">
        <v>45166</v>
      </c>
    </row>
    <row r="433" spans="1:6" x14ac:dyDescent="0.3">
      <c r="A433">
        <v>163941</v>
      </c>
      <c r="B433" t="s">
        <v>1284</v>
      </c>
      <c r="C433" t="s">
        <v>1285</v>
      </c>
      <c r="D433" t="s">
        <v>1286</v>
      </c>
      <c r="E433" t="s">
        <v>399</v>
      </c>
      <c r="F433" s="1">
        <v>45420</v>
      </c>
    </row>
    <row r="434" spans="1:6" x14ac:dyDescent="0.3">
      <c r="A434">
        <v>361250</v>
      </c>
      <c r="B434" t="s">
        <v>1287</v>
      </c>
      <c r="C434" t="s">
        <v>1288</v>
      </c>
      <c r="D434" t="s">
        <v>1289</v>
      </c>
      <c r="E434" t="s">
        <v>143</v>
      </c>
      <c r="F434" s="1">
        <v>45345</v>
      </c>
    </row>
    <row r="435" spans="1:6" x14ac:dyDescent="0.3">
      <c r="A435">
        <v>670968</v>
      </c>
      <c r="B435" t="s">
        <v>1290</v>
      </c>
      <c r="C435" t="s">
        <v>1291</v>
      </c>
      <c r="D435" t="s">
        <v>1292</v>
      </c>
      <c r="E435" t="s">
        <v>46</v>
      </c>
      <c r="F435" s="1">
        <v>45357</v>
      </c>
    </row>
    <row r="436" spans="1:6" x14ac:dyDescent="0.3">
      <c r="A436">
        <v>434367</v>
      </c>
      <c r="B436" t="s">
        <v>1293</v>
      </c>
      <c r="C436" t="s">
        <v>1294</v>
      </c>
      <c r="D436" t="s">
        <v>1295</v>
      </c>
      <c r="E436" t="s">
        <v>9</v>
      </c>
      <c r="F436" s="1">
        <v>44681</v>
      </c>
    </row>
    <row r="437" spans="1:6" x14ac:dyDescent="0.3">
      <c r="A437">
        <v>904092</v>
      </c>
      <c r="B437" t="s">
        <v>1296</v>
      </c>
      <c r="C437" t="s">
        <v>1297</v>
      </c>
      <c r="D437" t="s">
        <v>1298</v>
      </c>
      <c r="E437" t="s">
        <v>399</v>
      </c>
      <c r="F437" s="1">
        <v>44767</v>
      </c>
    </row>
    <row r="438" spans="1:6" x14ac:dyDescent="0.3">
      <c r="A438">
        <v>379473</v>
      </c>
      <c r="B438" t="s">
        <v>1299</v>
      </c>
      <c r="C438" t="s">
        <v>1300</v>
      </c>
      <c r="D438" t="s">
        <v>1301</v>
      </c>
      <c r="E438" t="s">
        <v>36</v>
      </c>
      <c r="F438" s="1">
        <v>45357</v>
      </c>
    </row>
    <row r="439" spans="1:6" x14ac:dyDescent="0.3">
      <c r="A439">
        <v>348041</v>
      </c>
      <c r="B439" t="s">
        <v>1302</v>
      </c>
      <c r="C439" t="s">
        <v>1303</v>
      </c>
      <c r="D439" t="s">
        <v>1304</v>
      </c>
      <c r="E439" t="s">
        <v>32</v>
      </c>
      <c r="F439" s="1">
        <v>44619</v>
      </c>
    </row>
    <row r="440" spans="1:6" x14ac:dyDescent="0.3">
      <c r="A440">
        <v>695225</v>
      </c>
      <c r="B440" t="s">
        <v>1305</v>
      </c>
      <c r="C440" t="s">
        <v>1306</v>
      </c>
      <c r="D440" t="s">
        <v>1307</v>
      </c>
      <c r="E440" t="s">
        <v>17</v>
      </c>
      <c r="F440" s="1">
        <v>45570</v>
      </c>
    </row>
    <row r="441" spans="1:6" x14ac:dyDescent="0.3">
      <c r="A441">
        <v>614259</v>
      </c>
      <c r="B441" t="s">
        <v>1308</v>
      </c>
      <c r="C441" t="s">
        <v>1309</v>
      </c>
      <c r="D441" t="s">
        <v>1310</v>
      </c>
      <c r="E441" t="s">
        <v>36</v>
      </c>
      <c r="F441" s="1">
        <v>45010</v>
      </c>
    </row>
    <row r="442" spans="1:6" x14ac:dyDescent="0.3">
      <c r="A442">
        <v>100716</v>
      </c>
      <c r="B442" t="s">
        <v>1311</v>
      </c>
      <c r="C442" t="s">
        <v>1312</v>
      </c>
      <c r="D442" t="s">
        <v>197</v>
      </c>
      <c r="E442" t="s">
        <v>399</v>
      </c>
      <c r="F442" s="1">
        <v>45259</v>
      </c>
    </row>
    <row r="443" spans="1:6" x14ac:dyDescent="0.3">
      <c r="A443">
        <v>162448</v>
      </c>
      <c r="B443" t="s">
        <v>1313</v>
      </c>
      <c r="C443" t="s">
        <v>1314</v>
      </c>
      <c r="D443" t="s">
        <v>1315</v>
      </c>
      <c r="E443" t="s">
        <v>399</v>
      </c>
      <c r="F443" s="1">
        <v>44789</v>
      </c>
    </row>
    <row r="444" spans="1:6" x14ac:dyDescent="0.3">
      <c r="A444">
        <v>491738</v>
      </c>
      <c r="B444" t="s">
        <v>1316</v>
      </c>
      <c r="C444" t="s">
        <v>1317</v>
      </c>
      <c r="D444" t="s">
        <v>1318</v>
      </c>
      <c r="E444" t="s">
        <v>28</v>
      </c>
      <c r="F444" s="1">
        <v>45251</v>
      </c>
    </row>
    <row r="445" spans="1:6" x14ac:dyDescent="0.3">
      <c r="A445">
        <v>265154</v>
      </c>
      <c r="B445" t="s">
        <v>1319</v>
      </c>
      <c r="C445" t="s">
        <v>1320</v>
      </c>
      <c r="D445" t="s">
        <v>1321</v>
      </c>
      <c r="E445" t="s">
        <v>117</v>
      </c>
      <c r="F445" s="1">
        <v>45211</v>
      </c>
    </row>
    <row r="446" spans="1:6" x14ac:dyDescent="0.3">
      <c r="A446">
        <v>334081</v>
      </c>
      <c r="B446" t="s">
        <v>1322</v>
      </c>
      <c r="C446" t="s">
        <v>1323</v>
      </c>
      <c r="D446" t="s">
        <v>1324</v>
      </c>
      <c r="E446" t="s">
        <v>399</v>
      </c>
      <c r="F446" s="1">
        <v>45336</v>
      </c>
    </row>
    <row r="447" spans="1:6" x14ac:dyDescent="0.3">
      <c r="A447">
        <v>233534</v>
      </c>
      <c r="B447" t="s">
        <v>1325</v>
      </c>
      <c r="C447" t="s">
        <v>1326</v>
      </c>
      <c r="D447" t="s">
        <v>1327</v>
      </c>
      <c r="E447" t="s">
        <v>24</v>
      </c>
      <c r="F447" s="1">
        <v>44628</v>
      </c>
    </row>
    <row r="448" spans="1:6" x14ac:dyDescent="0.3">
      <c r="A448">
        <v>948095</v>
      </c>
      <c r="B448" t="s">
        <v>1328</v>
      </c>
      <c r="C448" t="s">
        <v>1329</v>
      </c>
      <c r="D448" t="s">
        <v>1330</v>
      </c>
      <c r="E448" t="s">
        <v>28</v>
      </c>
      <c r="F448" s="1">
        <v>45578</v>
      </c>
    </row>
    <row r="449" spans="1:6" x14ac:dyDescent="0.3">
      <c r="A449">
        <v>349556</v>
      </c>
      <c r="B449" t="s">
        <v>1331</v>
      </c>
      <c r="C449" t="s">
        <v>1332</v>
      </c>
      <c r="D449" t="s">
        <v>1333</v>
      </c>
      <c r="E449" t="s">
        <v>143</v>
      </c>
      <c r="F449" s="1">
        <v>45249</v>
      </c>
    </row>
    <row r="450" spans="1:6" x14ac:dyDescent="0.3">
      <c r="A450">
        <v>319869</v>
      </c>
      <c r="B450" t="s">
        <v>1334</v>
      </c>
      <c r="C450" t="s">
        <v>1335</v>
      </c>
      <c r="D450" t="s">
        <v>1336</v>
      </c>
      <c r="E450" t="s">
        <v>32</v>
      </c>
      <c r="F450" s="1">
        <v>45087</v>
      </c>
    </row>
    <row r="451" spans="1:6" x14ac:dyDescent="0.3">
      <c r="A451">
        <v>150486</v>
      </c>
      <c r="B451" t="s">
        <v>1337</v>
      </c>
      <c r="C451" t="s">
        <v>1338</v>
      </c>
      <c r="D451" t="s">
        <v>1339</v>
      </c>
      <c r="E451" t="s">
        <v>13</v>
      </c>
      <c r="F451" s="1">
        <v>44902</v>
      </c>
    </row>
    <row r="452" spans="1:6" x14ac:dyDescent="0.3">
      <c r="A452">
        <v>468292</v>
      </c>
      <c r="B452" t="s">
        <v>1340</v>
      </c>
      <c r="C452" t="s">
        <v>1341</v>
      </c>
      <c r="D452" t="s">
        <v>1342</v>
      </c>
      <c r="E452" t="s">
        <v>117</v>
      </c>
      <c r="F452" s="1">
        <v>45023</v>
      </c>
    </row>
    <row r="453" spans="1:6" x14ac:dyDescent="0.3">
      <c r="A453">
        <v>938016</v>
      </c>
      <c r="B453" t="s">
        <v>1343</v>
      </c>
      <c r="C453" t="s">
        <v>1344</v>
      </c>
      <c r="D453" t="s">
        <v>1345</v>
      </c>
      <c r="E453" t="s">
        <v>46</v>
      </c>
      <c r="F453" s="1">
        <v>45096</v>
      </c>
    </row>
    <row r="454" spans="1:6" x14ac:dyDescent="0.3">
      <c r="A454">
        <v>278368</v>
      </c>
      <c r="B454" t="s">
        <v>1346</v>
      </c>
      <c r="C454" t="s">
        <v>1347</v>
      </c>
      <c r="D454" t="s">
        <v>1348</v>
      </c>
      <c r="E454" t="s">
        <v>143</v>
      </c>
      <c r="F454" s="1">
        <v>44752</v>
      </c>
    </row>
    <row r="455" spans="1:6" x14ac:dyDescent="0.3">
      <c r="A455">
        <v>838726</v>
      </c>
      <c r="B455" t="s">
        <v>1349</v>
      </c>
      <c r="C455" t="s">
        <v>1350</v>
      </c>
      <c r="D455" t="s">
        <v>1351</v>
      </c>
      <c r="E455" t="s">
        <v>399</v>
      </c>
      <c r="F455" s="1">
        <v>45451</v>
      </c>
    </row>
    <row r="456" spans="1:6" x14ac:dyDescent="0.3">
      <c r="A456">
        <v>447177</v>
      </c>
      <c r="B456" t="s">
        <v>1352</v>
      </c>
      <c r="C456" t="s">
        <v>1353</v>
      </c>
      <c r="D456" t="s">
        <v>1354</v>
      </c>
      <c r="E456" t="s">
        <v>9</v>
      </c>
      <c r="F456" s="1">
        <v>45138</v>
      </c>
    </row>
    <row r="457" spans="1:6" x14ac:dyDescent="0.3">
      <c r="A457">
        <v>152046</v>
      </c>
      <c r="B457" t="s">
        <v>1355</v>
      </c>
      <c r="C457" t="s">
        <v>1356</v>
      </c>
      <c r="D457" t="s">
        <v>1357</v>
      </c>
      <c r="E457" t="s">
        <v>117</v>
      </c>
      <c r="F457" s="1">
        <v>44876</v>
      </c>
    </row>
    <row r="458" spans="1:6" x14ac:dyDescent="0.3">
      <c r="A458">
        <v>548377</v>
      </c>
      <c r="B458" t="s">
        <v>1358</v>
      </c>
      <c r="C458" t="s">
        <v>1359</v>
      </c>
      <c r="D458" t="s">
        <v>1360</v>
      </c>
      <c r="E458" t="s">
        <v>117</v>
      </c>
      <c r="F458" s="1">
        <v>44970</v>
      </c>
    </row>
    <row r="459" spans="1:6" x14ac:dyDescent="0.3">
      <c r="A459">
        <v>279130</v>
      </c>
      <c r="B459" t="s">
        <v>1361</v>
      </c>
      <c r="C459" t="s">
        <v>1362</v>
      </c>
      <c r="D459" t="s">
        <v>1363</v>
      </c>
      <c r="E459" t="s">
        <v>117</v>
      </c>
      <c r="F459" s="1">
        <v>44798</v>
      </c>
    </row>
    <row r="460" spans="1:6" x14ac:dyDescent="0.3">
      <c r="A460">
        <v>612855</v>
      </c>
      <c r="B460" t="s">
        <v>1364</v>
      </c>
      <c r="C460" t="s">
        <v>1365</v>
      </c>
      <c r="D460" t="s">
        <v>1366</v>
      </c>
      <c r="E460" t="s">
        <v>24</v>
      </c>
      <c r="F460" s="1">
        <v>44940</v>
      </c>
    </row>
    <row r="461" spans="1:6" x14ac:dyDescent="0.3">
      <c r="A461">
        <v>295646</v>
      </c>
      <c r="B461" t="s">
        <v>681</v>
      </c>
      <c r="C461" t="s">
        <v>1367</v>
      </c>
      <c r="D461" t="s">
        <v>1368</v>
      </c>
      <c r="E461" t="s">
        <v>62</v>
      </c>
      <c r="F461" s="1">
        <v>45514</v>
      </c>
    </row>
    <row r="462" spans="1:6" x14ac:dyDescent="0.3">
      <c r="A462">
        <v>691655</v>
      </c>
      <c r="B462" t="s">
        <v>1369</v>
      </c>
      <c r="C462" t="s">
        <v>1370</v>
      </c>
      <c r="D462" t="s">
        <v>1371</v>
      </c>
      <c r="E462" t="s">
        <v>28</v>
      </c>
      <c r="F462" s="1">
        <v>44737</v>
      </c>
    </row>
    <row r="463" spans="1:6" x14ac:dyDescent="0.3">
      <c r="A463">
        <v>534096</v>
      </c>
      <c r="B463" t="s">
        <v>1372</v>
      </c>
      <c r="C463" t="s">
        <v>1373</v>
      </c>
      <c r="D463" t="s">
        <v>1374</v>
      </c>
      <c r="E463" t="s">
        <v>143</v>
      </c>
      <c r="F463" s="1">
        <v>45354</v>
      </c>
    </row>
    <row r="464" spans="1:6" x14ac:dyDescent="0.3">
      <c r="A464">
        <v>820442</v>
      </c>
      <c r="B464" t="s">
        <v>1375</v>
      </c>
      <c r="C464" t="s">
        <v>1376</v>
      </c>
      <c r="D464" t="s">
        <v>1377</v>
      </c>
      <c r="E464" t="s">
        <v>36</v>
      </c>
      <c r="F464" s="1">
        <v>45537</v>
      </c>
    </row>
    <row r="465" spans="1:6" x14ac:dyDescent="0.3">
      <c r="A465">
        <v>995420</v>
      </c>
      <c r="B465" t="s">
        <v>1378</v>
      </c>
      <c r="C465" t="s">
        <v>1379</v>
      </c>
      <c r="D465" t="s">
        <v>1380</v>
      </c>
      <c r="E465" t="s">
        <v>399</v>
      </c>
      <c r="F465" s="1">
        <v>44808</v>
      </c>
    </row>
    <row r="466" spans="1:6" x14ac:dyDescent="0.3">
      <c r="A466">
        <v>275284</v>
      </c>
      <c r="B466" t="s">
        <v>1381</v>
      </c>
      <c r="C466" t="s">
        <v>1382</v>
      </c>
      <c r="D466" t="s">
        <v>1383</v>
      </c>
      <c r="E466" t="s">
        <v>143</v>
      </c>
      <c r="F466" s="1">
        <v>45429</v>
      </c>
    </row>
    <row r="467" spans="1:6" x14ac:dyDescent="0.3">
      <c r="A467">
        <v>311727</v>
      </c>
      <c r="B467" t="s">
        <v>1384</v>
      </c>
      <c r="C467" t="s">
        <v>1385</v>
      </c>
      <c r="D467" t="s">
        <v>1386</v>
      </c>
      <c r="E467" t="s">
        <v>9</v>
      </c>
      <c r="F467" s="1">
        <v>45216</v>
      </c>
    </row>
    <row r="468" spans="1:6" x14ac:dyDescent="0.3">
      <c r="A468">
        <v>506951</v>
      </c>
      <c r="B468" t="s">
        <v>1387</v>
      </c>
      <c r="C468" t="s">
        <v>1388</v>
      </c>
      <c r="D468" t="s">
        <v>1389</v>
      </c>
      <c r="E468" t="s">
        <v>46</v>
      </c>
      <c r="F468" s="1">
        <v>45127</v>
      </c>
    </row>
    <row r="469" spans="1:6" x14ac:dyDescent="0.3">
      <c r="A469">
        <v>924758</v>
      </c>
      <c r="B469" t="s">
        <v>1390</v>
      </c>
      <c r="C469" t="s">
        <v>1391</v>
      </c>
      <c r="D469" t="s">
        <v>1392</v>
      </c>
      <c r="E469" t="s">
        <v>13</v>
      </c>
      <c r="F469" s="1">
        <v>44792</v>
      </c>
    </row>
    <row r="470" spans="1:6" x14ac:dyDescent="0.3">
      <c r="A470">
        <v>694116</v>
      </c>
      <c r="B470" t="s">
        <v>382</v>
      </c>
      <c r="C470" t="s">
        <v>1393</v>
      </c>
      <c r="D470" t="s">
        <v>1394</v>
      </c>
      <c r="E470" t="s">
        <v>28</v>
      </c>
      <c r="F470" s="1">
        <v>44778</v>
      </c>
    </row>
    <row r="471" spans="1:6" x14ac:dyDescent="0.3">
      <c r="A471">
        <v>923914</v>
      </c>
      <c r="B471" t="s">
        <v>1395</v>
      </c>
      <c r="C471" t="s">
        <v>1396</v>
      </c>
      <c r="D471" t="s">
        <v>1397</v>
      </c>
      <c r="E471" t="s">
        <v>32</v>
      </c>
      <c r="F471" s="1">
        <v>45403</v>
      </c>
    </row>
    <row r="472" spans="1:6" x14ac:dyDescent="0.3">
      <c r="A472">
        <v>699809</v>
      </c>
      <c r="B472" t="s">
        <v>582</v>
      </c>
      <c r="C472" t="s">
        <v>1398</v>
      </c>
      <c r="D472" t="s">
        <v>1399</v>
      </c>
      <c r="E472" t="s">
        <v>399</v>
      </c>
      <c r="F472" s="1">
        <v>45126</v>
      </c>
    </row>
    <row r="473" spans="1:6" x14ac:dyDescent="0.3">
      <c r="A473">
        <v>140666</v>
      </c>
      <c r="B473" t="s">
        <v>1021</v>
      </c>
      <c r="C473" t="s">
        <v>1400</v>
      </c>
      <c r="D473" t="s">
        <v>1401</v>
      </c>
      <c r="E473" t="s">
        <v>36</v>
      </c>
      <c r="F473" s="1">
        <v>44662</v>
      </c>
    </row>
    <row r="474" spans="1:6" x14ac:dyDescent="0.3">
      <c r="A474">
        <v>490532</v>
      </c>
      <c r="B474" t="s">
        <v>1402</v>
      </c>
      <c r="C474" t="s">
        <v>1403</v>
      </c>
      <c r="D474" t="s">
        <v>1404</v>
      </c>
      <c r="E474" t="s">
        <v>133</v>
      </c>
      <c r="F474" s="1">
        <v>45198</v>
      </c>
    </row>
    <row r="475" spans="1:6" x14ac:dyDescent="0.3">
      <c r="A475">
        <v>339030</v>
      </c>
      <c r="B475" t="s">
        <v>1405</v>
      </c>
      <c r="C475" t="s">
        <v>1406</v>
      </c>
      <c r="D475" t="s">
        <v>1407</v>
      </c>
      <c r="E475" t="s">
        <v>62</v>
      </c>
      <c r="F475" s="1">
        <v>45219</v>
      </c>
    </row>
    <row r="476" spans="1:6" x14ac:dyDescent="0.3">
      <c r="A476">
        <v>734366</v>
      </c>
      <c r="B476" t="s">
        <v>1408</v>
      </c>
      <c r="C476" t="s">
        <v>1409</v>
      </c>
      <c r="D476" t="s">
        <v>1410</v>
      </c>
      <c r="E476" t="s">
        <v>62</v>
      </c>
      <c r="F476" s="1">
        <v>44994</v>
      </c>
    </row>
    <row r="477" spans="1:6" x14ac:dyDescent="0.3">
      <c r="A477">
        <v>896386</v>
      </c>
      <c r="B477" t="s">
        <v>1411</v>
      </c>
      <c r="C477" t="s">
        <v>1412</v>
      </c>
      <c r="D477" t="s">
        <v>1413</v>
      </c>
      <c r="E477" t="s">
        <v>143</v>
      </c>
      <c r="F477" s="1">
        <v>45617</v>
      </c>
    </row>
    <row r="478" spans="1:6" x14ac:dyDescent="0.3">
      <c r="A478">
        <v>844037</v>
      </c>
      <c r="B478" t="s">
        <v>1414</v>
      </c>
      <c r="C478" t="s">
        <v>1415</v>
      </c>
      <c r="D478" t="s">
        <v>1416</v>
      </c>
      <c r="E478" t="s">
        <v>143</v>
      </c>
      <c r="F478" s="1">
        <v>44917</v>
      </c>
    </row>
    <row r="479" spans="1:6" x14ac:dyDescent="0.3">
      <c r="A479">
        <v>361609</v>
      </c>
      <c r="B479" t="s">
        <v>1417</v>
      </c>
      <c r="C479" t="s">
        <v>1418</v>
      </c>
      <c r="D479" t="s">
        <v>1419</v>
      </c>
      <c r="E479" t="s">
        <v>32</v>
      </c>
      <c r="F479" s="1">
        <v>44969</v>
      </c>
    </row>
    <row r="480" spans="1:6" x14ac:dyDescent="0.3">
      <c r="A480">
        <v>629663</v>
      </c>
      <c r="B480" t="s">
        <v>1420</v>
      </c>
      <c r="C480" t="s">
        <v>1421</v>
      </c>
      <c r="D480" t="s">
        <v>1422</v>
      </c>
      <c r="E480" t="s">
        <v>28</v>
      </c>
      <c r="F480" s="1">
        <v>44624</v>
      </c>
    </row>
    <row r="481" spans="1:6" x14ac:dyDescent="0.3">
      <c r="A481">
        <v>722899</v>
      </c>
      <c r="B481" t="s">
        <v>1423</v>
      </c>
      <c r="C481" t="s">
        <v>1424</v>
      </c>
      <c r="D481" t="s">
        <v>1425</v>
      </c>
      <c r="E481" t="s">
        <v>117</v>
      </c>
      <c r="F481" s="1">
        <v>45278</v>
      </c>
    </row>
    <row r="482" spans="1:6" x14ac:dyDescent="0.3">
      <c r="A482">
        <v>885342</v>
      </c>
      <c r="B482" t="s">
        <v>1426</v>
      </c>
      <c r="C482" t="s">
        <v>1427</v>
      </c>
      <c r="D482" t="s">
        <v>1428</v>
      </c>
      <c r="E482" t="s">
        <v>143</v>
      </c>
      <c r="F482" s="1">
        <v>45353</v>
      </c>
    </row>
    <row r="483" spans="1:6" x14ac:dyDescent="0.3">
      <c r="A483">
        <v>998746</v>
      </c>
      <c r="B483" t="s">
        <v>1429</v>
      </c>
      <c r="C483" t="s">
        <v>1430</v>
      </c>
      <c r="D483" t="s">
        <v>1431</v>
      </c>
      <c r="E483" t="s">
        <v>17</v>
      </c>
      <c r="F483" s="1">
        <v>45113</v>
      </c>
    </row>
    <row r="484" spans="1:6" x14ac:dyDescent="0.3">
      <c r="A484">
        <v>121026</v>
      </c>
      <c r="B484" t="s">
        <v>1432</v>
      </c>
      <c r="C484" t="s">
        <v>1433</v>
      </c>
      <c r="D484" t="s">
        <v>1434</v>
      </c>
      <c r="E484" t="s">
        <v>399</v>
      </c>
      <c r="F484" s="1">
        <v>44916</v>
      </c>
    </row>
    <row r="485" spans="1:6" x14ac:dyDescent="0.3">
      <c r="A485">
        <v>364650</v>
      </c>
      <c r="B485" t="s">
        <v>1435</v>
      </c>
      <c r="C485" t="s">
        <v>1436</v>
      </c>
      <c r="D485" t="s">
        <v>1437</v>
      </c>
      <c r="E485" t="s">
        <v>9</v>
      </c>
      <c r="F485" s="1">
        <v>45429</v>
      </c>
    </row>
    <row r="486" spans="1:6" x14ac:dyDescent="0.3">
      <c r="A486">
        <v>364239</v>
      </c>
      <c r="B486" t="s">
        <v>1438</v>
      </c>
      <c r="C486" t="s">
        <v>1439</v>
      </c>
      <c r="D486" t="s">
        <v>197</v>
      </c>
      <c r="E486" t="s">
        <v>24</v>
      </c>
      <c r="F486" s="1">
        <v>44771</v>
      </c>
    </row>
    <row r="487" spans="1:6" x14ac:dyDescent="0.3">
      <c r="A487">
        <v>688730</v>
      </c>
      <c r="B487" t="s">
        <v>1440</v>
      </c>
      <c r="C487" t="s">
        <v>1441</v>
      </c>
      <c r="D487" t="s">
        <v>1442</v>
      </c>
      <c r="E487" t="s">
        <v>133</v>
      </c>
      <c r="F487" s="1">
        <v>45173</v>
      </c>
    </row>
    <row r="488" spans="1:6" x14ac:dyDescent="0.3">
      <c r="A488">
        <v>166938</v>
      </c>
      <c r="B488" t="s">
        <v>1443</v>
      </c>
      <c r="C488" t="s">
        <v>1444</v>
      </c>
      <c r="D488" t="s">
        <v>1445</v>
      </c>
      <c r="E488" t="s">
        <v>46</v>
      </c>
      <c r="F488" s="1">
        <v>45129</v>
      </c>
    </row>
    <row r="489" spans="1:6" x14ac:dyDescent="0.3">
      <c r="A489">
        <v>297509</v>
      </c>
      <c r="B489" t="s">
        <v>1446</v>
      </c>
      <c r="C489" t="s">
        <v>1447</v>
      </c>
      <c r="D489" t="s">
        <v>1448</v>
      </c>
      <c r="E489" t="s">
        <v>36</v>
      </c>
      <c r="F489" s="1">
        <v>44678</v>
      </c>
    </row>
    <row r="490" spans="1:6" x14ac:dyDescent="0.3">
      <c r="A490">
        <v>813824</v>
      </c>
      <c r="B490" t="s">
        <v>1449</v>
      </c>
      <c r="C490" t="s">
        <v>1450</v>
      </c>
      <c r="D490" t="s">
        <v>1451</v>
      </c>
      <c r="E490" t="s">
        <v>117</v>
      </c>
      <c r="F490" s="1">
        <v>45167</v>
      </c>
    </row>
    <row r="491" spans="1:6" x14ac:dyDescent="0.3">
      <c r="A491">
        <v>507135</v>
      </c>
      <c r="B491" t="s">
        <v>1452</v>
      </c>
      <c r="C491" t="s">
        <v>1453</v>
      </c>
      <c r="D491" t="s">
        <v>1454</v>
      </c>
      <c r="E491" t="s">
        <v>17</v>
      </c>
      <c r="F491" s="1">
        <v>45264</v>
      </c>
    </row>
    <row r="492" spans="1:6" x14ac:dyDescent="0.3">
      <c r="A492">
        <v>819656</v>
      </c>
      <c r="B492" t="s">
        <v>1455</v>
      </c>
      <c r="C492" t="s">
        <v>1456</v>
      </c>
      <c r="D492" t="s">
        <v>1457</v>
      </c>
      <c r="E492" t="s">
        <v>117</v>
      </c>
      <c r="F492" s="1">
        <v>45296</v>
      </c>
    </row>
    <row r="493" spans="1:6" x14ac:dyDescent="0.3">
      <c r="A493">
        <v>981473</v>
      </c>
      <c r="B493" t="s">
        <v>1458</v>
      </c>
      <c r="C493" t="s">
        <v>1459</v>
      </c>
      <c r="D493" t="s">
        <v>1460</v>
      </c>
      <c r="E493" t="s">
        <v>133</v>
      </c>
      <c r="F493" s="1">
        <v>44761</v>
      </c>
    </row>
    <row r="494" spans="1:6" x14ac:dyDescent="0.3">
      <c r="A494">
        <v>860413</v>
      </c>
      <c r="B494" t="s">
        <v>1461</v>
      </c>
      <c r="C494" t="s">
        <v>1462</v>
      </c>
      <c r="D494" t="s">
        <v>197</v>
      </c>
      <c r="E494" t="s">
        <v>46</v>
      </c>
      <c r="F494" s="1">
        <v>44744</v>
      </c>
    </row>
    <row r="495" spans="1:6" x14ac:dyDescent="0.3">
      <c r="A495">
        <v>880360</v>
      </c>
      <c r="B495" t="s">
        <v>1463</v>
      </c>
      <c r="C495" t="s">
        <v>1464</v>
      </c>
      <c r="D495" t="s">
        <v>1465</v>
      </c>
      <c r="E495" t="s">
        <v>46</v>
      </c>
      <c r="F495" s="1">
        <v>45323</v>
      </c>
    </row>
    <row r="496" spans="1:6" x14ac:dyDescent="0.3">
      <c r="A496">
        <v>586288</v>
      </c>
      <c r="B496" t="s">
        <v>1466</v>
      </c>
      <c r="C496" t="s">
        <v>1467</v>
      </c>
      <c r="D496" t="s">
        <v>197</v>
      </c>
      <c r="E496" t="s">
        <v>143</v>
      </c>
      <c r="F496" s="1">
        <v>45529</v>
      </c>
    </row>
    <row r="497" spans="1:6" x14ac:dyDescent="0.3">
      <c r="A497">
        <v>813763</v>
      </c>
      <c r="B497" t="s">
        <v>1468</v>
      </c>
      <c r="C497" t="s">
        <v>1469</v>
      </c>
      <c r="D497" t="s">
        <v>1470</v>
      </c>
      <c r="E497" t="s">
        <v>13</v>
      </c>
      <c r="F497" s="1">
        <v>44672</v>
      </c>
    </row>
    <row r="498" spans="1:6" x14ac:dyDescent="0.3">
      <c r="A498">
        <v>459315</v>
      </c>
      <c r="B498" t="s">
        <v>1471</v>
      </c>
      <c r="C498" t="s">
        <v>1472</v>
      </c>
      <c r="D498" t="s">
        <v>1473</v>
      </c>
      <c r="E498" t="s">
        <v>62</v>
      </c>
      <c r="F498" s="1">
        <v>44855</v>
      </c>
    </row>
    <row r="499" spans="1:6" x14ac:dyDescent="0.3">
      <c r="A499">
        <v>916779</v>
      </c>
      <c r="B499" t="s">
        <v>1474</v>
      </c>
      <c r="C499" t="s">
        <v>1475</v>
      </c>
      <c r="D499" t="s">
        <v>1476</v>
      </c>
      <c r="E499" t="s">
        <v>399</v>
      </c>
      <c r="F499" s="1">
        <v>45203</v>
      </c>
    </row>
    <row r="500" spans="1:6" x14ac:dyDescent="0.3">
      <c r="A500">
        <v>574012</v>
      </c>
      <c r="B500" t="s">
        <v>1477</v>
      </c>
      <c r="C500" t="s">
        <v>1478</v>
      </c>
      <c r="D500" t="s">
        <v>1479</v>
      </c>
      <c r="E500" t="s">
        <v>399</v>
      </c>
      <c r="F500" s="1">
        <v>44886</v>
      </c>
    </row>
    <row r="501" spans="1:6" x14ac:dyDescent="0.3">
      <c r="A501">
        <v>235691</v>
      </c>
      <c r="B501" t="s">
        <v>1480</v>
      </c>
      <c r="C501" t="s">
        <v>1481</v>
      </c>
      <c r="D501" t="s">
        <v>1482</v>
      </c>
      <c r="E501" t="s">
        <v>13</v>
      </c>
      <c r="F501" s="1">
        <v>45388</v>
      </c>
    </row>
    <row r="502" spans="1:6" x14ac:dyDescent="0.3">
      <c r="A502">
        <v>104895</v>
      </c>
      <c r="B502" t="s">
        <v>1483</v>
      </c>
      <c r="C502" t="s">
        <v>1484</v>
      </c>
      <c r="D502" t="s">
        <v>1485</v>
      </c>
      <c r="E502" t="s">
        <v>32</v>
      </c>
      <c r="F502" s="1">
        <v>44590</v>
      </c>
    </row>
    <row r="503" spans="1:6" x14ac:dyDescent="0.3">
      <c r="A503">
        <v>299834</v>
      </c>
      <c r="B503" t="s">
        <v>1486</v>
      </c>
      <c r="C503" t="s">
        <v>1487</v>
      </c>
      <c r="D503" t="s">
        <v>1488</v>
      </c>
      <c r="E503" t="s">
        <v>36</v>
      </c>
      <c r="F503" s="1">
        <v>45025</v>
      </c>
    </row>
    <row r="504" spans="1:6" x14ac:dyDescent="0.3">
      <c r="A504">
        <v>235193</v>
      </c>
      <c r="B504" t="s">
        <v>1489</v>
      </c>
      <c r="C504" t="s">
        <v>1490</v>
      </c>
      <c r="D504" t="s">
        <v>1491</v>
      </c>
      <c r="E504" t="s">
        <v>133</v>
      </c>
      <c r="F504" s="1">
        <v>44904</v>
      </c>
    </row>
    <row r="505" spans="1:6" x14ac:dyDescent="0.3">
      <c r="A505">
        <v>404955</v>
      </c>
      <c r="B505" t="s">
        <v>1492</v>
      </c>
      <c r="C505" t="s">
        <v>1493</v>
      </c>
      <c r="D505" t="s">
        <v>1494</v>
      </c>
      <c r="E505" t="s">
        <v>46</v>
      </c>
      <c r="F505" s="1">
        <v>45450</v>
      </c>
    </row>
    <row r="506" spans="1:6" x14ac:dyDescent="0.3">
      <c r="A506">
        <v>613989</v>
      </c>
      <c r="B506" t="s">
        <v>1495</v>
      </c>
      <c r="C506" t="s">
        <v>1496</v>
      </c>
      <c r="D506" t="s">
        <v>1497</v>
      </c>
      <c r="E506" t="s">
        <v>24</v>
      </c>
      <c r="F506" s="1">
        <v>44601</v>
      </c>
    </row>
    <row r="507" spans="1:6" x14ac:dyDescent="0.3">
      <c r="A507">
        <v>321449</v>
      </c>
      <c r="B507" t="s">
        <v>87</v>
      </c>
      <c r="C507" t="s">
        <v>1498</v>
      </c>
      <c r="D507" t="s">
        <v>1499</v>
      </c>
      <c r="E507" t="s">
        <v>399</v>
      </c>
      <c r="F507" s="1">
        <v>44814</v>
      </c>
    </row>
    <row r="508" spans="1:6" x14ac:dyDescent="0.3">
      <c r="A508">
        <v>493417</v>
      </c>
      <c r="B508" t="s">
        <v>1500</v>
      </c>
      <c r="C508" t="s">
        <v>1501</v>
      </c>
      <c r="D508" t="s">
        <v>1502</v>
      </c>
      <c r="E508" t="s">
        <v>143</v>
      </c>
      <c r="F508" s="1">
        <v>44660</v>
      </c>
    </row>
    <row r="509" spans="1:6" x14ac:dyDescent="0.3">
      <c r="A509">
        <v>150578</v>
      </c>
      <c r="B509" t="s">
        <v>1503</v>
      </c>
      <c r="C509" t="s">
        <v>1504</v>
      </c>
      <c r="D509" t="s">
        <v>197</v>
      </c>
      <c r="E509" t="s">
        <v>62</v>
      </c>
      <c r="F509" s="1">
        <v>45340</v>
      </c>
    </row>
    <row r="510" spans="1:6" x14ac:dyDescent="0.3">
      <c r="A510">
        <v>597440</v>
      </c>
      <c r="B510" t="s">
        <v>1505</v>
      </c>
      <c r="C510" t="s">
        <v>1506</v>
      </c>
      <c r="D510" t="s">
        <v>1507</v>
      </c>
      <c r="E510" t="s">
        <v>143</v>
      </c>
      <c r="F510" s="1">
        <v>45178</v>
      </c>
    </row>
    <row r="511" spans="1:6" x14ac:dyDescent="0.3">
      <c r="A511">
        <v>794663</v>
      </c>
      <c r="B511" t="s">
        <v>1508</v>
      </c>
      <c r="C511" t="s">
        <v>1509</v>
      </c>
      <c r="D511" t="s">
        <v>1510</v>
      </c>
      <c r="E511" t="s">
        <v>399</v>
      </c>
      <c r="F511" s="1">
        <v>45419</v>
      </c>
    </row>
    <row r="512" spans="1:6" x14ac:dyDescent="0.3">
      <c r="A512">
        <v>396439</v>
      </c>
      <c r="B512" t="s">
        <v>144</v>
      </c>
      <c r="C512" t="s">
        <v>1511</v>
      </c>
      <c r="D512" t="s">
        <v>197</v>
      </c>
      <c r="E512" t="s">
        <v>17</v>
      </c>
      <c r="F512" s="1">
        <v>44971</v>
      </c>
    </row>
    <row r="513" spans="1:6" x14ac:dyDescent="0.3">
      <c r="A513">
        <v>311469</v>
      </c>
      <c r="B513" t="s">
        <v>1512</v>
      </c>
      <c r="C513" t="s">
        <v>1513</v>
      </c>
      <c r="D513" t="s">
        <v>1514</v>
      </c>
      <c r="E513" t="s">
        <v>399</v>
      </c>
      <c r="F513" s="1">
        <v>44642</v>
      </c>
    </row>
    <row r="514" spans="1:6" x14ac:dyDescent="0.3">
      <c r="A514">
        <v>821634</v>
      </c>
      <c r="B514" t="s">
        <v>1515</v>
      </c>
      <c r="C514" t="s">
        <v>1516</v>
      </c>
      <c r="D514" t="s">
        <v>1517</v>
      </c>
      <c r="E514" t="s">
        <v>143</v>
      </c>
      <c r="F514" s="1">
        <v>44588</v>
      </c>
    </row>
    <row r="515" spans="1:6" x14ac:dyDescent="0.3">
      <c r="A515">
        <v>975804</v>
      </c>
      <c r="B515" t="s">
        <v>1518</v>
      </c>
      <c r="C515" t="s">
        <v>1519</v>
      </c>
      <c r="D515" t="s">
        <v>1520</v>
      </c>
      <c r="E515" t="s">
        <v>399</v>
      </c>
      <c r="F515" s="1">
        <v>44746</v>
      </c>
    </row>
    <row r="516" spans="1:6" x14ac:dyDescent="0.3">
      <c r="A516">
        <v>858711</v>
      </c>
      <c r="B516" t="s">
        <v>1521</v>
      </c>
      <c r="C516" t="s">
        <v>1522</v>
      </c>
      <c r="D516" t="s">
        <v>1523</v>
      </c>
      <c r="E516" t="s">
        <v>36</v>
      </c>
      <c r="F516" s="1">
        <v>45497</v>
      </c>
    </row>
    <row r="517" spans="1:6" x14ac:dyDescent="0.3">
      <c r="A517">
        <v>152512</v>
      </c>
      <c r="B517" t="s">
        <v>1524</v>
      </c>
      <c r="C517" t="s">
        <v>1525</v>
      </c>
      <c r="D517" t="s">
        <v>197</v>
      </c>
      <c r="E517" t="s">
        <v>143</v>
      </c>
      <c r="F517" s="1">
        <v>45157</v>
      </c>
    </row>
    <row r="518" spans="1:6" x14ac:dyDescent="0.3">
      <c r="A518">
        <v>546688</v>
      </c>
      <c r="B518" t="s">
        <v>1526</v>
      </c>
      <c r="C518" t="s">
        <v>1527</v>
      </c>
      <c r="D518" t="s">
        <v>1528</v>
      </c>
      <c r="E518" t="s">
        <v>143</v>
      </c>
      <c r="F518" s="1">
        <v>44581</v>
      </c>
    </row>
    <row r="519" spans="1:6" x14ac:dyDescent="0.3">
      <c r="A519">
        <v>444625</v>
      </c>
      <c r="B519" t="s">
        <v>1529</v>
      </c>
      <c r="C519" t="s">
        <v>1530</v>
      </c>
      <c r="D519" t="s">
        <v>1531</v>
      </c>
      <c r="E519" t="s">
        <v>9</v>
      </c>
      <c r="F519" s="1">
        <v>44752</v>
      </c>
    </row>
    <row r="520" spans="1:6" x14ac:dyDescent="0.3">
      <c r="A520">
        <v>219361</v>
      </c>
      <c r="B520" t="s">
        <v>1532</v>
      </c>
      <c r="C520" t="s">
        <v>1533</v>
      </c>
      <c r="D520" t="s">
        <v>197</v>
      </c>
      <c r="E520" t="s">
        <v>62</v>
      </c>
      <c r="F520" s="1">
        <v>45118</v>
      </c>
    </row>
    <row r="521" spans="1:6" x14ac:dyDescent="0.3">
      <c r="A521">
        <v>938754</v>
      </c>
      <c r="B521" t="s">
        <v>1534</v>
      </c>
      <c r="C521" t="s">
        <v>1535</v>
      </c>
      <c r="D521" t="s">
        <v>1536</v>
      </c>
      <c r="E521" t="s">
        <v>399</v>
      </c>
      <c r="F521" s="1">
        <v>44793</v>
      </c>
    </row>
    <row r="522" spans="1:6" x14ac:dyDescent="0.3">
      <c r="A522">
        <v>985364</v>
      </c>
      <c r="B522" t="s">
        <v>1537</v>
      </c>
      <c r="C522" t="s">
        <v>1538</v>
      </c>
      <c r="D522" t="s">
        <v>1539</v>
      </c>
      <c r="E522" t="s">
        <v>117</v>
      </c>
      <c r="F522" s="1">
        <v>45459</v>
      </c>
    </row>
    <row r="523" spans="1:6" x14ac:dyDescent="0.3">
      <c r="A523">
        <v>917012</v>
      </c>
      <c r="B523" t="s">
        <v>1540</v>
      </c>
      <c r="C523" t="s">
        <v>1541</v>
      </c>
      <c r="D523" t="s">
        <v>1542</v>
      </c>
      <c r="E523" t="s">
        <v>399</v>
      </c>
      <c r="F523" s="1">
        <v>45551</v>
      </c>
    </row>
    <row r="524" spans="1:6" x14ac:dyDescent="0.3">
      <c r="A524">
        <v>562094</v>
      </c>
      <c r="B524" t="s">
        <v>1543</v>
      </c>
      <c r="C524" t="s">
        <v>1544</v>
      </c>
      <c r="D524" t="s">
        <v>1545</v>
      </c>
      <c r="E524" t="s">
        <v>46</v>
      </c>
      <c r="F524" s="1">
        <v>44587</v>
      </c>
    </row>
    <row r="525" spans="1:6" x14ac:dyDescent="0.3">
      <c r="A525">
        <v>904812</v>
      </c>
      <c r="B525" t="s">
        <v>1546</v>
      </c>
      <c r="C525" t="s">
        <v>1547</v>
      </c>
      <c r="D525" t="s">
        <v>1548</v>
      </c>
      <c r="E525" t="s">
        <v>46</v>
      </c>
      <c r="F525" s="1">
        <v>45625</v>
      </c>
    </row>
    <row r="526" spans="1:6" x14ac:dyDescent="0.3">
      <c r="A526">
        <v>553873</v>
      </c>
      <c r="B526" t="s">
        <v>1549</v>
      </c>
      <c r="C526" t="s">
        <v>1550</v>
      </c>
      <c r="D526" t="s">
        <v>1551</v>
      </c>
      <c r="E526" t="s">
        <v>32</v>
      </c>
      <c r="F526" s="1">
        <v>45350</v>
      </c>
    </row>
    <row r="527" spans="1:6" x14ac:dyDescent="0.3">
      <c r="A527">
        <v>112210</v>
      </c>
      <c r="B527" t="s">
        <v>1552</v>
      </c>
      <c r="C527" t="s">
        <v>1553</v>
      </c>
      <c r="D527" t="s">
        <v>1554</v>
      </c>
      <c r="E527" t="s">
        <v>117</v>
      </c>
      <c r="F527" s="1">
        <v>45577</v>
      </c>
    </row>
    <row r="528" spans="1:6" x14ac:dyDescent="0.3">
      <c r="A528">
        <v>436208</v>
      </c>
      <c r="B528" t="s">
        <v>1555</v>
      </c>
      <c r="C528" t="s">
        <v>1556</v>
      </c>
      <c r="D528" t="s">
        <v>197</v>
      </c>
      <c r="E528" t="s">
        <v>9</v>
      </c>
      <c r="F528" s="1">
        <v>44665</v>
      </c>
    </row>
    <row r="529" spans="1:6" x14ac:dyDescent="0.3">
      <c r="A529">
        <v>522866</v>
      </c>
      <c r="B529" t="s">
        <v>1557</v>
      </c>
      <c r="C529" t="s">
        <v>1558</v>
      </c>
      <c r="D529" t="s">
        <v>1559</v>
      </c>
      <c r="E529" t="s">
        <v>62</v>
      </c>
      <c r="F529" s="1">
        <v>45479</v>
      </c>
    </row>
    <row r="530" spans="1:6" x14ac:dyDescent="0.3">
      <c r="A530">
        <v>431414</v>
      </c>
      <c r="B530" t="s">
        <v>1560</v>
      </c>
      <c r="C530" t="s">
        <v>1561</v>
      </c>
      <c r="D530" t="s">
        <v>1562</v>
      </c>
      <c r="E530" t="s">
        <v>143</v>
      </c>
      <c r="F530" s="1">
        <v>44772</v>
      </c>
    </row>
    <row r="531" spans="1:6" x14ac:dyDescent="0.3">
      <c r="A531">
        <v>684194</v>
      </c>
      <c r="B531" t="s">
        <v>1563</v>
      </c>
      <c r="C531" t="s">
        <v>1564</v>
      </c>
      <c r="D531" t="s">
        <v>1565</v>
      </c>
      <c r="E531" t="s">
        <v>143</v>
      </c>
      <c r="F531" s="1">
        <v>45185</v>
      </c>
    </row>
    <row r="532" spans="1:6" x14ac:dyDescent="0.3">
      <c r="A532">
        <v>786393</v>
      </c>
      <c r="B532" t="s">
        <v>1566</v>
      </c>
      <c r="C532" t="s">
        <v>1567</v>
      </c>
      <c r="D532" t="s">
        <v>1568</v>
      </c>
      <c r="E532" t="s">
        <v>46</v>
      </c>
      <c r="F532" s="1">
        <v>45306</v>
      </c>
    </row>
    <row r="533" spans="1:6" x14ac:dyDescent="0.3">
      <c r="A533">
        <v>448098</v>
      </c>
      <c r="B533" t="s">
        <v>1569</v>
      </c>
      <c r="C533" t="s">
        <v>1570</v>
      </c>
      <c r="D533" t="s">
        <v>1571</v>
      </c>
      <c r="E533" t="s">
        <v>117</v>
      </c>
      <c r="F533" s="1">
        <v>45306</v>
      </c>
    </row>
    <row r="534" spans="1:6" x14ac:dyDescent="0.3">
      <c r="A534">
        <v>202170</v>
      </c>
      <c r="B534" t="s">
        <v>1572</v>
      </c>
      <c r="C534" t="s">
        <v>1573</v>
      </c>
      <c r="D534" t="s">
        <v>1574</v>
      </c>
      <c r="E534" t="s">
        <v>46</v>
      </c>
      <c r="F534" s="1">
        <v>45289</v>
      </c>
    </row>
    <row r="535" spans="1:6" x14ac:dyDescent="0.3">
      <c r="A535">
        <v>647341</v>
      </c>
      <c r="B535" t="s">
        <v>1575</v>
      </c>
      <c r="C535" t="s">
        <v>1576</v>
      </c>
      <c r="D535" t="s">
        <v>197</v>
      </c>
      <c r="E535" t="s">
        <v>143</v>
      </c>
      <c r="F535" s="1">
        <v>44898</v>
      </c>
    </row>
    <row r="536" spans="1:6" x14ac:dyDescent="0.3">
      <c r="A536">
        <v>212157</v>
      </c>
      <c r="B536" t="s">
        <v>1577</v>
      </c>
      <c r="C536" t="s">
        <v>1578</v>
      </c>
      <c r="D536" t="s">
        <v>1579</v>
      </c>
      <c r="E536" t="s">
        <v>17</v>
      </c>
      <c r="F536" s="1">
        <v>44809</v>
      </c>
    </row>
    <row r="537" spans="1:6" x14ac:dyDescent="0.3">
      <c r="A537">
        <v>964607</v>
      </c>
      <c r="B537" t="s">
        <v>1580</v>
      </c>
      <c r="C537" t="s">
        <v>1581</v>
      </c>
      <c r="D537" t="s">
        <v>1582</v>
      </c>
      <c r="E537" t="s">
        <v>13</v>
      </c>
      <c r="F537" s="1">
        <v>44657</v>
      </c>
    </row>
    <row r="538" spans="1:6" x14ac:dyDescent="0.3">
      <c r="A538">
        <v>909652</v>
      </c>
      <c r="B538" t="s">
        <v>1583</v>
      </c>
      <c r="C538" t="s">
        <v>1584</v>
      </c>
      <c r="D538" t="s">
        <v>197</v>
      </c>
      <c r="E538" t="s">
        <v>399</v>
      </c>
      <c r="F538" s="1">
        <v>45583</v>
      </c>
    </row>
    <row r="539" spans="1:6" x14ac:dyDescent="0.3">
      <c r="A539">
        <v>680099</v>
      </c>
      <c r="B539" t="s">
        <v>1585</v>
      </c>
      <c r="C539" t="s">
        <v>1586</v>
      </c>
      <c r="D539" t="s">
        <v>1587</v>
      </c>
      <c r="E539" t="s">
        <v>399</v>
      </c>
      <c r="F539" s="1">
        <v>44917</v>
      </c>
    </row>
    <row r="540" spans="1:6" x14ac:dyDescent="0.3">
      <c r="A540">
        <v>506224</v>
      </c>
      <c r="B540" t="s">
        <v>1588</v>
      </c>
      <c r="C540" t="s">
        <v>1589</v>
      </c>
      <c r="D540" t="s">
        <v>1590</v>
      </c>
      <c r="E540" t="s">
        <v>46</v>
      </c>
      <c r="F540" s="1">
        <v>45594</v>
      </c>
    </row>
    <row r="541" spans="1:6" x14ac:dyDescent="0.3">
      <c r="A541">
        <v>386886</v>
      </c>
      <c r="B541" t="s">
        <v>1591</v>
      </c>
      <c r="C541" t="s">
        <v>1592</v>
      </c>
      <c r="D541" t="s">
        <v>1593</v>
      </c>
      <c r="E541" t="s">
        <v>133</v>
      </c>
      <c r="F541" s="1">
        <v>45489</v>
      </c>
    </row>
    <row r="542" spans="1:6" x14ac:dyDescent="0.3">
      <c r="A542">
        <v>731792</v>
      </c>
      <c r="B542" t="s">
        <v>1594</v>
      </c>
      <c r="C542" t="s">
        <v>1595</v>
      </c>
      <c r="D542" t="s">
        <v>1596</v>
      </c>
      <c r="E542" t="s">
        <v>46</v>
      </c>
      <c r="F542" s="1">
        <v>45007</v>
      </c>
    </row>
    <row r="543" spans="1:6" x14ac:dyDescent="0.3">
      <c r="A543">
        <v>819964</v>
      </c>
      <c r="B543" t="s">
        <v>1597</v>
      </c>
      <c r="C543" t="s">
        <v>1598</v>
      </c>
      <c r="D543" t="s">
        <v>1599</v>
      </c>
      <c r="E543" t="s">
        <v>399</v>
      </c>
      <c r="F543" s="1">
        <v>45593</v>
      </c>
    </row>
    <row r="544" spans="1:6" x14ac:dyDescent="0.3">
      <c r="A544">
        <v>844858</v>
      </c>
      <c r="B544" t="s">
        <v>1600</v>
      </c>
      <c r="C544" t="s">
        <v>1601</v>
      </c>
      <c r="D544" t="s">
        <v>197</v>
      </c>
      <c r="E544" t="s">
        <v>117</v>
      </c>
      <c r="F544" s="1">
        <v>45416</v>
      </c>
    </row>
    <row r="545" spans="1:6" x14ac:dyDescent="0.3">
      <c r="A545">
        <v>399817</v>
      </c>
      <c r="B545" t="s">
        <v>1602</v>
      </c>
      <c r="C545" t="s">
        <v>1603</v>
      </c>
      <c r="D545" t="s">
        <v>1604</v>
      </c>
      <c r="E545" t="s">
        <v>28</v>
      </c>
      <c r="F545" s="1">
        <v>44613</v>
      </c>
    </row>
    <row r="546" spans="1:6" x14ac:dyDescent="0.3">
      <c r="A546">
        <v>802812</v>
      </c>
      <c r="B546" t="s">
        <v>1605</v>
      </c>
      <c r="C546" t="s">
        <v>1606</v>
      </c>
      <c r="D546" t="s">
        <v>1607</v>
      </c>
      <c r="E546" t="s">
        <v>399</v>
      </c>
      <c r="F546" s="1">
        <v>45148</v>
      </c>
    </row>
    <row r="547" spans="1:6" x14ac:dyDescent="0.3">
      <c r="A547">
        <v>980155</v>
      </c>
      <c r="B547" t="s">
        <v>1608</v>
      </c>
      <c r="C547" t="s">
        <v>1609</v>
      </c>
      <c r="D547" t="s">
        <v>1610</v>
      </c>
      <c r="E547" t="s">
        <v>133</v>
      </c>
      <c r="F547" s="1">
        <v>44979</v>
      </c>
    </row>
    <row r="548" spans="1:6" x14ac:dyDescent="0.3">
      <c r="A548">
        <v>476105</v>
      </c>
      <c r="B548" t="s">
        <v>1611</v>
      </c>
      <c r="C548" t="s">
        <v>1612</v>
      </c>
      <c r="D548" t="s">
        <v>1613</v>
      </c>
      <c r="E548" t="s">
        <v>36</v>
      </c>
      <c r="F548" s="1">
        <v>45358</v>
      </c>
    </row>
    <row r="549" spans="1:6" x14ac:dyDescent="0.3">
      <c r="A549">
        <v>826596</v>
      </c>
      <c r="B549" t="s">
        <v>1614</v>
      </c>
      <c r="C549" t="s">
        <v>1615</v>
      </c>
      <c r="D549" t="s">
        <v>1616</v>
      </c>
      <c r="E549" t="s">
        <v>24</v>
      </c>
      <c r="F549" s="1">
        <v>45355</v>
      </c>
    </row>
    <row r="550" spans="1:6" x14ac:dyDescent="0.3">
      <c r="A550">
        <v>678944</v>
      </c>
      <c r="B550" t="s">
        <v>1617</v>
      </c>
      <c r="C550" t="s">
        <v>1618</v>
      </c>
      <c r="D550" t="s">
        <v>1619</v>
      </c>
      <c r="E550" t="s">
        <v>9</v>
      </c>
      <c r="F550" s="1">
        <v>44977</v>
      </c>
    </row>
    <row r="551" spans="1:6" x14ac:dyDescent="0.3">
      <c r="A551">
        <v>970300</v>
      </c>
      <c r="B551" t="s">
        <v>1620</v>
      </c>
      <c r="C551" t="s">
        <v>1621</v>
      </c>
      <c r="D551" t="s">
        <v>1622</v>
      </c>
      <c r="E551" t="s">
        <v>32</v>
      </c>
      <c r="F551" s="1">
        <v>44964</v>
      </c>
    </row>
    <row r="552" spans="1:6" x14ac:dyDescent="0.3">
      <c r="A552">
        <v>408467</v>
      </c>
      <c r="B552" t="s">
        <v>1423</v>
      </c>
      <c r="C552" t="s">
        <v>1623</v>
      </c>
      <c r="D552" t="s">
        <v>1624</v>
      </c>
      <c r="E552" t="s">
        <v>143</v>
      </c>
      <c r="F552" s="1">
        <v>44944</v>
      </c>
    </row>
    <row r="553" spans="1:6" x14ac:dyDescent="0.3">
      <c r="A553">
        <v>225151</v>
      </c>
      <c r="B553" t="s">
        <v>1625</v>
      </c>
      <c r="C553" t="s">
        <v>1626</v>
      </c>
      <c r="D553" t="s">
        <v>1627</v>
      </c>
      <c r="E553" t="s">
        <v>9</v>
      </c>
      <c r="F553" s="1">
        <v>45103</v>
      </c>
    </row>
    <row r="554" spans="1:6" x14ac:dyDescent="0.3">
      <c r="A554">
        <v>105919</v>
      </c>
      <c r="B554" t="s">
        <v>1628</v>
      </c>
      <c r="C554" t="s">
        <v>1629</v>
      </c>
      <c r="D554" t="s">
        <v>1630</v>
      </c>
      <c r="E554" t="s">
        <v>399</v>
      </c>
      <c r="F554" s="1">
        <v>44643</v>
      </c>
    </row>
    <row r="555" spans="1:6" x14ac:dyDescent="0.3">
      <c r="A555">
        <v>911242</v>
      </c>
      <c r="B555" t="s">
        <v>1631</v>
      </c>
      <c r="C555" t="s">
        <v>1632</v>
      </c>
      <c r="D555" t="s">
        <v>1633</v>
      </c>
      <c r="E555" t="s">
        <v>133</v>
      </c>
      <c r="F555" s="1">
        <v>45566</v>
      </c>
    </row>
    <row r="556" spans="1:6" x14ac:dyDescent="0.3">
      <c r="A556">
        <v>176421</v>
      </c>
      <c r="B556" t="s">
        <v>1634</v>
      </c>
      <c r="C556" t="s">
        <v>1635</v>
      </c>
      <c r="D556" t="s">
        <v>1636</v>
      </c>
      <c r="E556" t="s">
        <v>399</v>
      </c>
      <c r="F556" s="1">
        <v>45628</v>
      </c>
    </row>
    <row r="557" spans="1:6" x14ac:dyDescent="0.3">
      <c r="A557">
        <v>536135</v>
      </c>
      <c r="B557" t="s">
        <v>1637</v>
      </c>
      <c r="C557" t="s">
        <v>1638</v>
      </c>
      <c r="D557" t="s">
        <v>1639</v>
      </c>
      <c r="E557" t="s">
        <v>143</v>
      </c>
      <c r="F557" s="1">
        <v>45277</v>
      </c>
    </row>
    <row r="558" spans="1:6" x14ac:dyDescent="0.3">
      <c r="A558">
        <v>447148</v>
      </c>
      <c r="B558" t="s">
        <v>1640</v>
      </c>
      <c r="C558" t="s">
        <v>1641</v>
      </c>
      <c r="D558" t="s">
        <v>1642</v>
      </c>
      <c r="E558" t="s">
        <v>117</v>
      </c>
      <c r="F558" s="1">
        <v>44580</v>
      </c>
    </row>
    <row r="559" spans="1:6" x14ac:dyDescent="0.3">
      <c r="A559">
        <v>567315</v>
      </c>
      <c r="B559" t="s">
        <v>1643</v>
      </c>
      <c r="C559" t="s">
        <v>1644</v>
      </c>
      <c r="D559" t="s">
        <v>1645</v>
      </c>
      <c r="E559" t="s">
        <v>36</v>
      </c>
      <c r="F559" s="1">
        <v>44643</v>
      </c>
    </row>
    <row r="560" spans="1:6" x14ac:dyDescent="0.3">
      <c r="A560">
        <v>934883</v>
      </c>
      <c r="B560" t="s">
        <v>1646</v>
      </c>
      <c r="C560" t="s">
        <v>1647</v>
      </c>
      <c r="D560" t="s">
        <v>1648</v>
      </c>
      <c r="E560" t="s">
        <v>133</v>
      </c>
      <c r="F560" s="1">
        <v>44612</v>
      </c>
    </row>
    <row r="561" spans="1:6" x14ac:dyDescent="0.3">
      <c r="A561">
        <v>639292</v>
      </c>
      <c r="B561" t="s">
        <v>1649</v>
      </c>
      <c r="C561" t="s">
        <v>1650</v>
      </c>
      <c r="D561" t="s">
        <v>1651</v>
      </c>
      <c r="E561" t="s">
        <v>143</v>
      </c>
      <c r="F561" s="1">
        <v>45169</v>
      </c>
    </row>
    <row r="562" spans="1:6" x14ac:dyDescent="0.3">
      <c r="A562">
        <v>638857</v>
      </c>
      <c r="B562" t="s">
        <v>1652</v>
      </c>
      <c r="C562" t="s">
        <v>1653</v>
      </c>
      <c r="D562" t="s">
        <v>1654</v>
      </c>
      <c r="E562" t="s">
        <v>143</v>
      </c>
      <c r="F562" s="1">
        <v>44696</v>
      </c>
    </row>
    <row r="563" spans="1:6" x14ac:dyDescent="0.3">
      <c r="A563">
        <v>818699</v>
      </c>
      <c r="B563" t="s">
        <v>1655</v>
      </c>
      <c r="C563" t="s">
        <v>1656</v>
      </c>
      <c r="D563" t="s">
        <v>1657</v>
      </c>
      <c r="E563" t="s">
        <v>13</v>
      </c>
      <c r="F563" s="1">
        <v>44709</v>
      </c>
    </row>
    <row r="564" spans="1:6" x14ac:dyDescent="0.3">
      <c r="A564">
        <v>124906</v>
      </c>
      <c r="B564" t="s">
        <v>1658</v>
      </c>
      <c r="C564" t="s">
        <v>1659</v>
      </c>
      <c r="D564" t="s">
        <v>1660</v>
      </c>
      <c r="E564" t="s">
        <v>143</v>
      </c>
      <c r="F564" s="1">
        <v>44712</v>
      </c>
    </row>
    <row r="565" spans="1:6" x14ac:dyDescent="0.3">
      <c r="A565">
        <v>685193</v>
      </c>
      <c r="B565" t="s">
        <v>1661</v>
      </c>
      <c r="C565" t="s">
        <v>1662</v>
      </c>
      <c r="D565" t="s">
        <v>1663</v>
      </c>
      <c r="E565" t="s">
        <v>36</v>
      </c>
      <c r="F565" s="1">
        <v>45091</v>
      </c>
    </row>
    <row r="566" spans="1:6" x14ac:dyDescent="0.3">
      <c r="A566">
        <v>760830</v>
      </c>
      <c r="B566" t="s">
        <v>1664</v>
      </c>
      <c r="C566" t="s">
        <v>1665</v>
      </c>
      <c r="D566" t="s">
        <v>1666</v>
      </c>
      <c r="E566" t="s">
        <v>143</v>
      </c>
      <c r="F566" s="1">
        <v>45359</v>
      </c>
    </row>
    <row r="567" spans="1:6" x14ac:dyDescent="0.3">
      <c r="A567">
        <v>106185</v>
      </c>
      <c r="B567" t="s">
        <v>1667</v>
      </c>
      <c r="C567" t="s">
        <v>1668</v>
      </c>
      <c r="D567" t="s">
        <v>1669</v>
      </c>
      <c r="E567" t="s">
        <v>143</v>
      </c>
      <c r="F567" s="1">
        <v>44710</v>
      </c>
    </row>
    <row r="568" spans="1:6" x14ac:dyDescent="0.3">
      <c r="A568">
        <v>403915</v>
      </c>
      <c r="B568" t="s">
        <v>1258</v>
      </c>
      <c r="C568" t="s">
        <v>1670</v>
      </c>
      <c r="D568" t="s">
        <v>1671</v>
      </c>
      <c r="E568" t="s">
        <v>143</v>
      </c>
      <c r="F568" s="1">
        <v>45138</v>
      </c>
    </row>
    <row r="569" spans="1:6" x14ac:dyDescent="0.3">
      <c r="A569">
        <v>514306</v>
      </c>
      <c r="B569" t="s">
        <v>480</v>
      </c>
      <c r="C569" t="s">
        <v>1672</v>
      </c>
      <c r="D569" t="s">
        <v>1673</v>
      </c>
      <c r="E569" t="s">
        <v>399</v>
      </c>
      <c r="F569" s="1">
        <v>45654</v>
      </c>
    </row>
    <row r="570" spans="1:6" x14ac:dyDescent="0.3">
      <c r="A570">
        <v>935474</v>
      </c>
      <c r="B570" t="s">
        <v>1674</v>
      </c>
      <c r="C570" t="s">
        <v>1675</v>
      </c>
      <c r="D570" t="s">
        <v>1676</v>
      </c>
      <c r="E570" t="s">
        <v>399</v>
      </c>
      <c r="F570" s="1">
        <v>45172</v>
      </c>
    </row>
    <row r="571" spans="1:6" x14ac:dyDescent="0.3">
      <c r="A571">
        <v>111691</v>
      </c>
      <c r="B571" t="s">
        <v>1677</v>
      </c>
      <c r="C571" t="s">
        <v>1678</v>
      </c>
      <c r="D571" t="s">
        <v>1679</v>
      </c>
      <c r="E571" t="s">
        <v>28</v>
      </c>
      <c r="F571" s="1">
        <v>44647</v>
      </c>
    </row>
    <row r="572" spans="1:6" x14ac:dyDescent="0.3">
      <c r="A572">
        <v>663244</v>
      </c>
      <c r="B572" t="s">
        <v>1680</v>
      </c>
      <c r="C572" t="s">
        <v>1681</v>
      </c>
      <c r="D572" t="s">
        <v>1682</v>
      </c>
      <c r="E572" t="s">
        <v>17</v>
      </c>
      <c r="F572" s="1">
        <v>45266</v>
      </c>
    </row>
    <row r="573" spans="1:6" x14ac:dyDescent="0.3">
      <c r="A573">
        <v>249375</v>
      </c>
      <c r="B573" t="s">
        <v>1683</v>
      </c>
      <c r="C573" t="s">
        <v>1684</v>
      </c>
      <c r="D573" t="s">
        <v>1685</v>
      </c>
      <c r="E573" t="s">
        <v>9</v>
      </c>
      <c r="F573" s="1">
        <v>44959</v>
      </c>
    </row>
    <row r="574" spans="1:6" x14ac:dyDescent="0.3">
      <c r="A574">
        <v>992744</v>
      </c>
      <c r="B574" t="s">
        <v>1686</v>
      </c>
      <c r="C574" t="s">
        <v>1687</v>
      </c>
      <c r="D574" t="s">
        <v>1688</v>
      </c>
      <c r="E574" t="s">
        <v>143</v>
      </c>
      <c r="F574" s="1">
        <v>45157</v>
      </c>
    </row>
    <row r="575" spans="1:6" x14ac:dyDescent="0.3">
      <c r="A575">
        <v>202972</v>
      </c>
      <c r="B575" t="s">
        <v>1689</v>
      </c>
      <c r="C575" t="s">
        <v>1690</v>
      </c>
      <c r="D575" t="s">
        <v>1691</v>
      </c>
      <c r="E575" t="s">
        <v>46</v>
      </c>
      <c r="F575" s="1">
        <v>45293</v>
      </c>
    </row>
    <row r="576" spans="1:6" x14ac:dyDescent="0.3">
      <c r="A576">
        <v>204904</v>
      </c>
      <c r="B576" t="s">
        <v>1692</v>
      </c>
      <c r="C576" t="s">
        <v>1693</v>
      </c>
      <c r="D576" t="s">
        <v>1694</v>
      </c>
      <c r="E576" t="s">
        <v>17</v>
      </c>
      <c r="F576" s="1">
        <v>45212</v>
      </c>
    </row>
    <row r="577" spans="1:6" x14ac:dyDescent="0.3">
      <c r="A577">
        <v>746281</v>
      </c>
      <c r="B577" t="s">
        <v>1695</v>
      </c>
      <c r="C577" t="s">
        <v>1696</v>
      </c>
      <c r="D577" t="s">
        <v>1697</v>
      </c>
      <c r="E577" t="s">
        <v>399</v>
      </c>
      <c r="F577" s="1">
        <v>45308</v>
      </c>
    </row>
    <row r="578" spans="1:6" x14ac:dyDescent="0.3">
      <c r="A578">
        <v>105066</v>
      </c>
      <c r="B578" t="s">
        <v>1698</v>
      </c>
      <c r="C578" t="s">
        <v>1699</v>
      </c>
      <c r="D578" t="s">
        <v>1700</v>
      </c>
      <c r="E578" t="s">
        <v>36</v>
      </c>
      <c r="F578" s="1">
        <v>45455</v>
      </c>
    </row>
    <row r="579" spans="1:6" x14ac:dyDescent="0.3">
      <c r="A579">
        <v>812591</v>
      </c>
      <c r="B579" t="s">
        <v>1701</v>
      </c>
      <c r="C579" t="s">
        <v>1702</v>
      </c>
      <c r="D579" t="s">
        <v>1703</v>
      </c>
      <c r="E579" t="s">
        <v>62</v>
      </c>
      <c r="F579" s="1">
        <v>45296</v>
      </c>
    </row>
    <row r="580" spans="1:6" x14ac:dyDescent="0.3">
      <c r="A580">
        <v>678469</v>
      </c>
      <c r="B580" t="s">
        <v>1704</v>
      </c>
      <c r="C580" t="s">
        <v>1705</v>
      </c>
      <c r="D580" t="s">
        <v>1706</v>
      </c>
      <c r="E580" t="s">
        <v>143</v>
      </c>
      <c r="F580" s="1">
        <v>45136</v>
      </c>
    </row>
    <row r="581" spans="1:6" x14ac:dyDescent="0.3">
      <c r="A581">
        <v>376021</v>
      </c>
      <c r="B581" t="s">
        <v>1707</v>
      </c>
      <c r="C581" t="s">
        <v>1708</v>
      </c>
      <c r="D581" t="s">
        <v>1709</v>
      </c>
      <c r="E581" t="s">
        <v>143</v>
      </c>
      <c r="F581" s="1">
        <v>44600</v>
      </c>
    </row>
    <row r="582" spans="1:6" x14ac:dyDescent="0.3">
      <c r="A582">
        <v>952117</v>
      </c>
      <c r="B582" t="s">
        <v>1710</v>
      </c>
      <c r="C582" t="s">
        <v>1711</v>
      </c>
      <c r="D582" t="s">
        <v>1712</v>
      </c>
      <c r="E582" t="s">
        <v>17</v>
      </c>
      <c r="F582" s="1">
        <v>44637</v>
      </c>
    </row>
    <row r="583" spans="1:6" x14ac:dyDescent="0.3">
      <c r="A583">
        <v>665892</v>
      </c>
      <c r="B583" t="s">
        <v>1713</v>
      </c>
      <c r="C583" t="s">
        <v>1714</v>
      </c>
      <c r="D583" t="s">
        <v>1715</v>
      </c>
      <c r="E583" t="s">
        <v>399</v>
      </c>
      <c r="F583" s="1">
        <v>45311</v>
      </c>
    </row>
    <row r="584" spans="1:6" x14ac:dyDescent="0.3">
      <c r="A584">
        <v>240384</v>
      </c>
      <c r="B584" t="s">
        <v>1716</v>
      </c>
      <c r="C584" t="s">
        <v>1717</v>
      </c>
      <c r="D584" t="s">
        <v>1718</v>
      </c>
      <c r="E584" t="s">
        <v>143</v>
      </c>
      <c r="F584" s="1">
        <v>45374</v>
      </c>
    </row>
    <row r="585" spans="1:6" x14ac:dyDescent="0.3">
      <c r="A585">
        <v>794868</v>
      </c>
      <c r="B585" t="s">
        <v>1719</v>
      </c>
      <c r="C585" t="s">
        <v>1720</v>
      </c>
      <c r="D585" t="s">
        <v>1721</v>
      </c>
      <c r="E585" t="s">
        <v>399</v>
      </c>
      <c r="F585" s="1">
        <v>45614</v>
      </c>
    </row>
    <row r="586" spans="1:6" x14ac:dyDescent="0.3">
      <c r="A586">
        <v>287847</v>
      </c>
      <c r="B586" t="s">
        <v>1722</v>
      </c>
      <c r="C586" t="s">
        <v>1723</v>
      </c>
      <c r="D586" t="s">
        <v>1724</v>
      </c>
      <c r="E586" t="s">
        <v>399</v>
      </c>
      <c r="F586" s="1">
        <v>45552</v>
      </c>
    </row>
    <row r="587" spans="1:6" x14ac:dyDescent="0.3">
      <c r="A587">
        <v>898461</v>
      </c>
      <c r="B587" t="s">
        <v>1725</v>
      </c>
      <c r="C587" t="s">
        <v>1726</v>
      </c>
      <c r="D587" t="s">
        <v>1727</v>
      </c>
      <c r="E587" t="s">
        <v>9</v>
      </c>
      <c r="F587" s="1">
        <v>45318</v>
      </c>
    </row>
    <row r="588" spans="1:6" x14ac:dyDescent="0.3">
      <c r="A588">
        <v>643042</v>
      </c>
      <c r="B588" t="s">
        <v>1728</v>
      </c>
      <c r="C588" t="s">
        <v>1729</v>
      </c>
      <c r="D588" t="s">
        <v>1730</v>
      </c>
      <c r="E588" t="s">
        <v>62</v>
      </c>
      <c r="F588" s="1">
        <v>44657</v>
      </c>
    </row>
    <row r="589" spans="1:6" x14ac:dyDescent="0.3">
      <c r="A589">
        <v>208239</v>
      </c>
      <c r="B589" t="s">
        <v>1731</v>
      </c>
      <c r="C589" t="s">
        <v>1732</v>
      </c>
      <c r="D589" t="s">
        <v>1733</v>
      </c>
      <c r="E589" t="s">
        <v>9</v>
      </c>
      <c r="F589" s="1">
        <v>45101</v>
      </c>
    </row>
    <row r="590" spans="1:6" x14ac:dyDescent="0.3">
      <c r="A590">
        <v>494956</v>
      </c>
      <c r="B590" t="s">
        <v>1734</v>
      </c>
      <c r="C590" t="s">
        <v>1735</v>
      </c>
      <c r="D590" t="s">
        <v>1736</v>
      </c>
      <c r="E590" t="s">
        <v>143</v>
      </c>
      <c r="F590" s="1">
        <v>45620</v>
      </c>
    </row>
    <row r="591" spans="1:6" x14ac:dyDescent="0.3">
      <c r="A591">
        <v>641455</v>
      </c>
      <c r="B591" t="s">
        <v>1737</v>
      </c>
      <c r="C591" t="s">
        <v>1738</v>
      </c>
      <c r="D591" t="s">
        <v>1739</v>
      </c>
      <c r="E591" t="s">
        <v>32</v>
      </c>
      <c r="F591" s="1">
        <v>45559</v>
      </c>
    </row>
    <row r="592" spans="1:6" x14ac:dyDescent="0.3">
      <c r="A592">
        <v>626214</v>
      </c>
      <c r="B592" t="s">
        <v>1740</v>
      </c>
      <c r="C592" t="s">
        <v>1741</v>
      </c>
      <c r="D592" t="s">
        <v>1742</v>
      </c>
      <c r="E592" t="s">
        <v>36</v>
      </c>
      <c r="F592" s="1">
        <v>44719</v>
      </c>
    </row>
    <row r="593" spans="1:6" x14ac:dyDescent="0.3">
      <c r="A593">
        <v>321791</v>
      </c>
      <c r="B593" t="s">
        <v>1743</v>
      </c>
      <c r="C593" t="s">
        <v>1744</v>
      </c>
      <c r="D593" t="s">
        <v>1745</v>
      </c>
      <c r="E593" t="s">
        <v>32</v>
      </c>
      <c r="F593" s="1">
        <v>44804</v>
      </c>
    </row>
    <row r="594" spans="1:6" x14ac:dyDescent="0.3">
      <c r="A594">
        <v>950576</v>
      </c>
      <c r="B594" t="s">
        <v>1746</v>
      </c>
      <c r="C594" t="s">
        <v>1747</v>
      </c>
      <c r="D594" t="s">
        <v>1748</v>
      </c>
      <c r="E594" t="s">
        <v>117</v>
      </c>
      <c r="F594" s="1">
        <v>45543</v>
      </c>
    </row>
    <row r="595" spans="1:6" x14ac:dyDescent="0.3">
      <c r="A595">
        <v>778700</v>
      </c>
      <c r="B595" t="s">
        <v>1749</v>
      </c>
      <c r="C595" t="s">
        <v>1750</v>
      </c>
      <c r="D595" t="s">
        <v>1751</v>
      </c>
      <c r="E595" t="s">
        <v>143</v>
      </c>
      <c r="F595" s="1">
        <v>44823</v>
      </c>
    </row>
    <row r="596" spans="1:6" x14ac:dyDescent="0.3">
      <c r="A596">
        <v>241268</v>
      </c>
      <c r="B596" t="s">
        <v>1752</v>
      </c>
      <c r="C596" t="s">
        <v>1753</v>
      </c>
      <c r="D596" t="s">
        <v>1754</v>
      </c>
      <c r="E596" t="s">
        <v>399</v>
      </c>
      <c r="F596" s="1">
        <v>44676</v>
      </c>
    </row>
    <row r="597" spans="1:6" x14ac:dyDescent="0.3">
      <c r="A597">
        <v>641737</v>
      </c>
      <c r="B597" t="s">
        <v>1755</v>
      </c>
      <c r="C597" t="s">
        <v>1756</v>
      </c>
      <c r="D597" t="s">
        <v>1757</v>
      </c>
      <c r="E597" t="s">
        <v>143</v>
      </c>
      <c r="F597" s="1">
        <v>45142</v>
      </c>
    </row>
    <row r="598" spans="1:6" x14ac:dyDescent="0.3">
      <c r="A598">
        <v>735988</v>
      </c>
      <c r="B598" t="s">
        <v>829</v>
      </c>
      <c r="C598" t="s">
        <v>1758</v>
      </c>
      <c r="D598" t="s">
        <v>1759</v>
      </c>
      <c r="E598" t="s">
        <v>36</v>
      </c>
      <c r="F598" s="1">
        <v>45403</v>
      </c>
    </row>
    <row r="599" spans="1:6" x14ac:dyDescent="0.3">
      <c r="A599">
        <v>753484</v>
      </c>
      <c r="B599" t="s">
        <v>1760</v>
      </c>
      <c r="C599" t="s">
        <v>1761</v>
      </c>
      <c r="D599" t="s">
        <v>1762</v>
      </c>
      <c r="E599" t="s">
        <v>399</v>
      </c>
      <c r="F599" s="1">
        <v>45263</v>
      </c>
    </row>
    <row r="600" spans="1:6" x14ac:dyDescent="0.3">
      <c r="A600">
        <v>340977</v>
      </c>
      <c r="B600" t="s">
        <v>390</v>
      </c>
      <c r="C600" t="s">
        <v>1763</v>
      </c>
      <c r="D600" t="s">
        <v>1764</v>
      </c>
      <c r="E600" t="s">
        <v>28</v>
      </c>
      <c r="F600" s="1">
        <v>44595</v>
      </c>
    </row>
    <row r="601" spans="1:6" x14ac:dyDescent="0.3">
      <c r="A601">
        <v>817611</v>
      </c>
      <c r="B601" t="s">
        <v>1765</v>
      </c>
      <c r="C601" t="s">
        <v>1766</v>
      </c>
      <c r="D601" t="s">
        <v>197</v>
      </c>
      <c r="E601" t="s">
        <v>28</v>
      </c>
      <c r="F601" s="1">
        <v>44925</v>
      </c>
    </row>
    <row r="602" spans="1:6" x14ac:dyDescent="0.3">
      <c r="A602">
        <v>921945</v>
      </c>
      <c r="B602" t="s">
        <v>1767</v>
      </c>
      <c r="C602" t="s">
        <v>1768</v>
      </c>
      <c r="D602" t="s">
        <v>1769</v>
      </c>
      <c r="E602" t="s">
        <v>28</v>
      </c>
      <c r="F602" s="1">
        <v>44752</v>
      </c>
    </row>
    <row r="603" spans="1:6" x14ac:dyDescent="0.3">
      <c r="A603">
        <v>732789</v>
      </c>
      <c r="B603" t="s">
        <v>1770</v>
      </c>
      <c r="C603" t="s">
        <v>1771</v>
      </c>
      <c r="D603" t="s">
        <v>1772</v>
      </c>
      <c r="E603" t="s">
        <v>13</v>
      </c>
      <c r="F603" s="1">
        <v>45631</v>
      </c>
    </row>
    <row r="604" spans="1:6" x14ac:dyDescent="0.3">
      <c r="A604">
        <v>831531</v>
      </c>
      <c r="B604" t="s">
        <v>1773</v>
      </c>
      <c r="C604" t="s">
        <v>1774</v>
      </c>
      <c r="D604" t="s">
        <v>1775</v>
      </c>
      <c r="E604" t="s">
        <v>117</v>
      </c>
      <c r="F604" s="1">
        <v>45342</v>
      </c>
    </row>
    <row r="605" spans="1:6" x14ac:dyDescent="0.3">
      <c r="A605">
        <v>546157</v>
      </c>
      <c r="B605" t="s">
        <v>1776</v>
      </c>
      <c r="C605" t="s">
        <v>1777</v>
      </c>
      <c r="D605" t="s">
        <v>197</v>
      </c>
      <c r="E605" t="s">
        <v>36</v>
      </c>
      <c r="F605" s="1">
        <v>44733</v>
      </c>
    </row>
    <row r="606" spans="1:6" x14ac:dyDescent="0.3">
      <c r="A606">
        <v>528497</v>
      </c>
      <c r="B606" t="s">
        <v>1778</v>
      </c>
      <c r="C606" t="s">
        <v>1779</v>
      </c>
      <c r="D606" t="s">
        <v>1780</v>
      </c>
      <c r="E606" t="s">
        <v>143</v>
      </c>
      <c r="F606" s="1">
        <v>45632</v>
      </c>
    </row>
    <row r="607" spans="1:6" x14ac:dyDescent="0.3">
      <c r="A607">
        <v>493247</v>
      </c>
      <c r="B607" t="s">
        <v>1781</v>
      </c>
      <c r="C607" t="s">
        <v>1782</v>
      </c>
      <c r="D607" t="s">
        <v>1783</v>
      </c>
      <c r="E607" t="s">
        <v>46</v>
      </c>
      <c r="F607" s="1">
        <v>45399</v>
      </c>
    </row>
    <row r="608" spans="1:6" x14ac:dyDescent="0.3">
      <c r="A608">
        <v>546768</v>
      </c>
      <c r="B608" t="s">
        <v>1784</v>
      </c>
      <c r="C608" t="s">
        <v>1785</v>
      </c>
      <c r="D608" t="s">
        <v>1786</v>
      </c>
      <c r="E608" t="s">
        <v>9</v>
      </c>
      <c r="F608" s="1">
        <v>45429</v>
      </c>
    </row>
    <row r="609" spans="1:6" x14ac:dyDescent="0.3">
      <c r="A609">
        <v>813666</v>
      </c>
      <c r="B609" t="s">
        <v>1787</v>
      </c>
      <c r="C609" t="s">
        <v>1788</v>
      </c>
      <c r="D609" t="s">
        <v>1789</v>
      </c>
      <c r="E609" t="s">
        <v>117</v>
      </c>
      <c r="F609" s="1">
        <v>44928</v>
      </c>
    </row>
    <row r="610" spans="1:6" x14ac:dyDescent="0.3">
      <c r="A610">
        <v>366105</v>
      </c>
      <c r="B610" t="s">
        <v>1790</v>
      </c>
      <c r="C610" t="s">
        <v>1791</v>
      </c>
      <c r="D610" t="s">
        <v>1792</v>
      </c>
      <c r="E610" t="s">
        <v>24</v>
      </c>
      <c r="F610" s="1">
        <v>44844</v>
      </c>
    </row>
    <row r="611" spans="1:6" x14ac:dyDescent="0.3">
      <c r="A611">
        <v>568288</v>
      </c>
      <c r="B611" t="s">
        <v>1793</v>
      </c>
      <c r="C611" t="s">
        <v>1794</v>
      </c>
      <c r="D611" t="s">
        <v>1795</v>
      </c>
      <c r="E611" t="s">
        <v>17</v>
      </c>
      <c r="F611" s="1">
        <v>45603</v>
      </c>
    </row>
    <row r="612" spans="1:6" x14ac:dyDescent="0.3">
      <c r="A612">
        <v>268546</v>
      </c>
      <c r="B612" t="s">
        <v>1796</v>
      </c>
      <c r="C612" t="s">
        <v>1797</v>
      </c>
      <c r="D612" t="s">
        <v>1798</v>
      </c>
      <c r="E612" t="s">
        <v>143</v>
      </c>
      <c r="F612" s="1">
        <v>44859</v>
      </c>
    </row>
    <row r="613" spans="1:6" x14ac:dyDescent="0.3">
      <c r="A613">
        <v>192422</v>
      </c>
      <c r="B613" t="s">
        <v>1799</v>
      </c>
      <c r="C613" t="s">
        <v>1800</v>
      </c>
      <c r="D613" t="s">
        <v>1801</v>
      </c>
      <c r="E613" t="s">
        <v>32</v>
      </c>
      <c r="F613" s="1">
        <v>44725</v>
      </c>
    </row>
    <row r="614" spans="1:6" x14ac:dyDescent="0.3">
      <c r="A614">
        <v>520106</v>
      </c>
      <c r="B614" t="s">
        <v>1802</v>
      </c>
      <c r="C614" t="s">
        <v>1803</v>
      </c>
      <c r="D614" t="s">
        <v>1804</v>
      </c>
      <c r="E614" t="s">
        <v>133</v>
      </c>
      <c r="F614" s="1">
        <v>44679</v>
      </c>
    </row>
    <row r="615" spans="1:6" x14ac:dyDescent="0.3">
      <c r="A615">
        <v>560295</v>
      </c>
      <c r="B615" t="s">
        <v>1805</v>
      </c>
      <c r="C615" t="s">
        <v>1806</v>
      </c>
      <c r="D615" t="s">
        <v>1807</v>
      </c>
      <c r="E615" t="s">
        <v>133</v>
      </c>
      <c r="F615" s="1">
        <v>44960</v>
      </c>
    </row>
    <row r="616" spans="1:6" x14ac:dyDescent="0.3">
      <c r="A616">
        <v>640869</v>
      </c>
      <c r="B616" t="s">
        <v>1149</v>
      </c>
      <c r="C616" t="s">
        <v>1808</v>
      </c>
      <c r="D616" t="s">
        <v>197</v>
      </c>
      <c r="E616" t="s">
        <v>399</v>
      </c>
      <c r="F616" s="1">
        <v>44635</v>
      </c>
    </row>
    <row r="617" spans="1:6" x14ac:dyDescent="0.3">
      <c r="A617">
        <v>265092</v>
      </c>
      <c r="B617" t="s">
        <v>1284</v>
      </c>
      <c r="C617" t="s">
        <v>1809</v>
      </c>
      <c r="D617" t="s">
        <v>1810</v>
      </c>
      <c r="E617" t="s">
        <v>24</v>
      </c>
      <c r="F617" s="1">
        <v>45285</v>
      </c>
    </row>
    <row r="618" spans="1:6" x14ac:dyDescent="0.3">
      <c r="A618">
        <v>714549</v>
      </c>
      <c r="B618" t="s">
        <v>1811</v>
      </c>
      <c r="C618" t="s">
        <v>1812</v>
      </c>
      <c r="D618" t="s">
        <v>1813</v>
      </c>
      <c r="E618" t="s">
        <v>143</v>
      </c>
      <c r="F618" s="1">
        <v>44746</v>
      </c>
    </row>
    <row r="619" spans="1:6" x14ac:dyDescent="0.3">
      <c r="A619">
        <v>464354</v>
      </c>
      <c r="B619" t="s">
        <v>1100</v>
      </c>
      <c r="C619" t="s">
        <v>1814</v>
      </c>
      <c r="D619" t="s">
        <v>1815</v>
      </c>
      <c r="E619" t="s">
        <v>17</v>
      </c>
      <c r="F619" s="1">
        <v>45493</v>
      </c>
    </row>
    <row r="620" spans="1:6" x14ac:dyDescent="0.3">
      <c r="A620">
        <v>373791</v>
      </c>
      <c r="B620" t="s">
        <v>1816</v>
      </c>
      <c r="C620" t="s">
        <v>1817</v>
      </c>
      <c r="D620" t="s">
        <v>1818</v>
      </c>
      <c r="E620" t="s">
        <v>28</v>
      </c>
      <c r="F620" s="1">
        <v>44710</v>
      </c>
    </row>
    <row r="621" spans="1:6" x14ac:dyDescent="0.3">
      <c r="A621">
        <v>222692</v>
      </c>
      <c r="B621" t="s">
        <v>1819</v>
      </c>
      <c r="C621" t="s">
        <v>1820</v>
      </c>
      <c r="D621" t="s">
        <v>1821</v>
      </c>
      <c r="E621" t="s">
        <v>9</v>
      </c>
      <c r="F621" s="1">
        <v>45468</v>
      </c>
    </row>
    <row r="622" spans="1:6" x14ac:dyDescent="0.3">
      <c r="A622">
        <v>907369</v>
      </c>
      <c r="B622" t="s">
        <v>1822</v>
      </c>
      <c r="C622" t="s">
        <v>1823</v>
      </c>
      <c r="D622" t="s">
        <v>1824</v>
      </c>
      <c r="E622" t="s">
        <v>62</v>
      </c>
      <c r="F622" s="1">
        <v>45505</v>
      </c>
    </row>
    <row r="623" spans="1:6" x14ac:dyDescent="0.3">
      <c r="A623">
        <v>221916</v>
      </c>
      <c r="B623" t="s">
        <v>1825</v>
      </c>
      <c r="C623" t="s">
        <v>1826</v>
      </c>
      <c r="D623" t="s">
        <v>1827</v>
      </c>
      <c r="E623" t="s">
        <v>36</v>
      </c>
      <c r="F623" s="1">
        <v>45032</v>
      </c>
    </row>
    <row r="624" spans="1:6" x14ac:dyDescent="0.3">
      <c r="A624">
        <v>641593</v>
      </c>
      <c r="B624" t="s">
        <v>763</v>
      </c>
      <c r="C624" t="s">
        <v>1828</v>
      </c>
      <c r="D624" t="s">
        <v>1829</v>
      </c>
      <c r="E624" t="s">
        <v>9</v>
      </c>
      <c r="F624" s="1">
        <v>45070</v>
      </c>
    </row>
    <row r="625" spans="1:6" x14ac:dyDescent="0.3">
      <c r="A625">
        <v>806423</v>
      </c>
      <c r="B625" t="s">
        <v>1830</v>
      </c>
      <c r="C625" t="s">
        <v>1831</v>
      </c>
      <c r="D625" t="s">
        <v>1832</v>
      </c>
      <c r="E625" t="s">
        <v>399</v>
      </c>
      <c r="F625" s="1">
        <v>45537</v>
      </c>
    </row>
    <row r="626" spans="1:6" x14ac:dyDescent="0.3">
      <c r="A626">
        <v>701581</v>
      </c>
      <c r="B626" t="s">
        <v>1833</v>
      </c>
      <c r="C626" t="s">
        <v>1834</v>
      </c>
      <c r="D626" t="s">
        <v>1835</v>
      </c>
      <c r="E626" t="s">
        <v>17</v>
      </c>
      <c r="F626" s="1">
        <v>45583</v>
      </c>
    </row>
    <row r="627" spans="1:6" x14ac:dyDescent="0.3">
      <c r="A627">
        <v>871153</v>
      </c>
      <c r="B627" t="s">
        <v>1836</v>
      </c>
      <c r="C627" t="s">
        <v>1837</v>
      </c>
      <c r="D627" t="s">
        <v>197</v>
      </c>
      <c r="E627" t="s">
        <v>36</v>
      </c>
      <c r="F627" s="1">
        <v>44977</v>
      </c>
    </row>
    <row r="628" spans="1:6" x14ac:dyDescent="0.3">
      <c r="A628">
        <v>263573</v>
      </c>
      <c r="B628" t="s">
        <v>1838</v>
      </c>
      <c r="C628" t="s">
        <v>1839</v>
      </c>
      <c r="D628" t="s">
        <v>1840</v>
      </c>
      <c r="E628" t="s">
        <v>143</v>
      </c>
      <c r="F628" s="1">
        <v>45570</v>
      </c>
    </row>
    <row r="629" spans="1:6" x14ac:dyDescent="0.3">
      <c r="A629">
        <v>144316</v>
      </c>
      <c r="B629" t="s">
        <v>1841</v>
      </c>
      <c r="C629" t="s">
        <v>1842</v>
      </c>
      <c r="D629" t="s">
        <v>1843</v>
      </c>
      <c r="E629" t="s">
        <v>46</v>
      </c>
      <c r="F629" s="1">
        <v>45570</v>
      </c>
    </row>
    <row r="630" spans="1:6" x14ac:dyDescent="0.3">
      <c r="A630">
        <v>291755</v>
      </c>
      <c r="B630" t="s">
        <v>1844</v>
      </c>
      <c r="C630" t="s">
        <v>1845</v>
      </c>
      <c r="D630" t="s">
        <v>1846</v>
      </c>
      <c r="E630" t="s">
        <v>36</v>
      </c>
      <c r="F630" s="1">
        <v>44824</v>
      </c>
    </row>
    <row r="631" spans="1:6" x14ac:dyDescent="0.3">
      <c r="A631">
        <v>601554</v>
      </c>
      <c r="B631" t="s">
        <v>1847</v>
      </c>
      <c r="C631" t="s">
        <v>1848</v>
      </c>
      <c r="D631" t="s">
        <v>1849</v>
      </c>
      <c r="E631" t="s">
        <v>32</v>
      </c>
      <c r="F631" s="1">
        <v>45368</v>
      </c>
    </row>
    <row r="632" spans="1:6" x14ac:dyDescent="0.3">
      <c r="A632">
        <v>579404</v>
      </c>
      <c r="B632" t="s">
        <v>1850</v>
      </c>
      <c r="C632" t="s">
        <v>1851</v>
      </c>
      <c r="D632" t="s">
        <v>1852</v>
      </c>
      <c r="E632" t="s">
        <v>62</v>
      </c>
      <c r="F632" s="1">
        <v>45208</v>
      </c>
    </row>
    <row r="633" spans="1:6" x14ac:dyDescent="0.3">
      <c r="A633">
        <v>806848</v>
      </c>
      <c r="B633" t="s">
        <v>1853</v>
      </c>
      <c r="C633" t="s">
        <v>1854</v>
      </c>
      <c r="D633" t="s">
        <v>1855</v>
      </c>
      <c r="E633" t="s">
        <v>28</v>
      </c>
      <c r="F633" s="1">
        <v>45228</v>
      </c>
    </row>
    <row r="634" spans="1:6" x14ac:dyDescent="0.3">
      <c r="A634">
        <v>296243</v>
      </c>
      <c r="B634" t="s">
        <v>1856</v>
      </c>
      <c r="C634" t="s">
        <v>1857</v>
      </c>
      <c r="D634" t="s">
        <v>1858</v>
      </c>
      <c r="E634" t="s">
        <v>9</v>
      </c>
      <c r="F634" s="1">
        <v>45527</v>
      </c>
    </row>
    <row r="635" spans="1:6" x14ac:dyDescent="0.3">
      <c r="A635">
        <v>292847</v>
      </c>
      <c r="B635" t="s">
        <v>1859</v>
      </c>
      <c r="C635" t="s">
        <v>1860</v>
      </c>
      <c r="D635" t="s">
        <v>1861</v>
      </c>
      <c r="E635" t="s">
        <v>13</v>
      </c>
      <c r="F635" s="1">
        <v>45324</v>
      </c>
    </row>
    <row r="636" spans="1:6" x14ac:dyDescent="0.3">
      <c r="A636">
        <v>572623</v>
      </c>
      <c r="B636" t="s">
        <v>1862</v>
      </c>
      <c r="C636" t="s">
        <v>1863</v>
      </c>
      <c r="D636" t="s">
        <v>1864</v>
      </c>
      <c r="E636" t="s">
        <v>36</v>
      </c>
      <c r="F636" s="1">
        <v>44766</v>
      </c>
    </row>
    <row r="637" spans="1:6" x14ac:dyDescent="0.3">
      <c r="A637">
        <v>682316</v>
      </c>
      <c r="B637" t="s">
        <v>1865</v>
      </c>
      <c r="C637" t="s">
        <v>1866</v>
      </c>
      <c r="D637" t="s">
        <v>1867</v>
      </c>
      <c r="E637" t="s">
        <v>399</v>
      </c>
      <c r="F637" s="1">
        <v>44868</v>
      </c>
    </row>
    <row r="638" spans="1:6" x14ac:dyDescent="0.3">
      <c r="A638">
        <v>541996</v>
      </c>
      <c r="B638" t="s">
        <v>840</v>
      </c>
      <c r="C638" t="s">
        <v>1868</v>
      </c>
      <c r="D638" t="s">
        <v>1869</v>
      </c>
      <c r="E638" t="s">
        <v>46</v>
      </c>
      <c r="F638" s="1">
        <v>45558</v>
      </c>
    </row>
    <row r="639" spans="1:6" x14ac:dyDescent="0.3">
      <c r="A639">
        <v>517754</v>
      </c>
      <c r="B639" t="s">
        <v>1870</v>
      </c>
      <c r="C639" t="s">
        <v>1871</v>
      </c>
      <c r="D639" t="s">
        <v>1872</v>
      </c>
      <c r="E639" t="s">
        <v>143</v>
      </c>
      <c r="F639" s="1">
        <v>45003</v>
      </c>
    </row>
    <row r="640" spans="1:6" x14ac:dyDescent="0.3">
      <c r="A640">
        <v>571706</v>
      </c>
      <c r="B640" t="s">
        <v>1873</v>
      </c>
      <c r="C640" t="s">
        <v>1874</v>
      </c>
      <c r="D640" t="s">
        <v>1875</v>
      </c>
      <c r="E640" t="s">
        <v>32</v>
      </c>
      <c r="F640" s="1">
        <v>45089</v>
      </c>
    </row>
    <row r="641" spans="1:6" x14ac:dyDescent="0.3">
      <c r="A641">
        <v>227126</v>
      </c>
      <c r="B641" t="s">
        <v>1597</v>
      </c>
      <c r="C641" t="s">
        <v>1876</v>
      </c>
      <c r="D641" t="s">
        <v>1877</v>
      </c>
      <c r="E641" t="s">
        <v>17</v>
      </c>
      <c r="F641" s="1">
        <v>44919</v>
      </c>
    </row>
    <row r="642" spans="1:6" x14ac:dyDescent="0.3">
      <c r="A642">
        <v>440881</v>
      </c>
      <c r="B642" t="s">
        <v>1878</v>
      </c>
      <c r="C642" t="s">
        <v>1879</v>
      </c>
      <c r="D642" t="s">
        <v>1880</v>
      </c>
      <c r="E642" t="s">
        <v>62</v>
      </c>
      <c r="F642" s="1">
        <v>44722</v>
      </c>
    </row>
    <row r="643" spans="1:6" x14ac:dyDescent="0.3">
      <c r="A643">
        <v>586279</v>
      </c>
      <c r="B643" t="s">
        <v>1384</v>
      </c>
      <c r="C643" t="s">
        <v>1881</v>
      </c>
      <c r="D643" t="s">
        <v>1882</v>
      </c>
      <c r="E643" t="s">
        <v>399</v>
      </c>
      <c r="F643" s="1">
        <v>45252</v>
      </c>
    </row>
    <row r="644" spans="1:6" x14ac:dyDescent="0.3">
      <c r="A644">
        <v>990136</v>
      </c>
      <c r="B644" t="s">
        <v>1883</v>
      </c>
      <c r="C644" t="s">
        <v>1884</v>
      </c>
      <c r="D644" t="s">
        <v>197</v>
      </c>
      <c r="E644" t="s">
        <v>46</v>
      </c>
      <c r="F644" s="1">
        <v>45029</v>
      </c>
    </row>
    <row r="645" spans="1:6" x14ac:dyDescent="0.3">
      <c r="A645">
        <v>844943</v>
      </c>
      <c r="B645" t="s">
        <v>1885</v>
      </c>
      <c r="C645" t="s">
        <v>1886</v>
      </c>
      <c r="D645" t="s">
        <v>1887</v>
      </c>
      <c r="E645" t="s">
        <v>24</v>
      </c>
      <c r="F645" s="1">
        <v>45117</v>
      </c>
    </row>
    <row r="646" spans="1:6" x14ac:dyDescent="0.3">
      <c r="A646">
        <v>884225</v>
      </c>
      <c r="B646" t="s">
        <v>1888</v>
      </c>
      <c r="C646" t="s">
        <v>1889</v>
      </c>
      <c r="D646" t="s">
        <v>1890</v>
      </c>
      <c r="E646" t="s">
        <v>62</v>
      </c>
      <c r="F646" s="1">
        <v>45409</v>
      </c>
    </row>
    <row r="647" spans="1:6" x14ac:dyDescent="0.3">
      <c r="A647">
        <v>231113</v>
      </c>
      <c r="B647" t="s">
        <v>1891</v>
      </c>
      <c r="C647" t="s">
        <v>1892</v>
      </c>
      <c r="D647" t="s">
        <v>1893</v>
      </c>
      <c r="E647" t="s">
        <v>143</v>
      </c>
      <c r="F647" s="1">
        <v>44993</v>
      </c>
    </row>
    <row r="648" spans="1:6" x14ac:dyDescent="0.3">
      <c r="A648">
        <v>200195</v>
      </c>
      <c r="B648" t="s">
        <v>1894</v>
      </c>
      <c r="C648" t="s">
        <v>1895</v>
      </c>
      <c r="D648" t="s">
        <v>1896</v>
      </c>
      <c r="E648" t="s">
        <v>143</v>
      </c>
      <c r="F648" s="1">
        <v>44615</v>
      </c>
    </row>
    <row r="649" spans="1:6" x14ac:dyDescent="0.3">
      <c r="A649">
        <v>902156</v>
      </c>
      <c r="B649" t="s">
        <v>1897</v>
      </c>
      <c r="C649" t="s">
        <v>1898</v>
      </c>
      <c r="D649" t="s">
        <v>1899</v>
      </c>
      <c r="E649" t="s">
        <v>399</v>
      </c>
      <c r="F649" s="1">
        <v>44734</v>
      </c>
    </row>
    <row r="650" spans="1:6" x14ac:dyDescent="0.3">
      <c r="A650">
        <v>340497</v>
      </c>
      <c r="B650" t="s">
        <v>1900</v>
      </c>
      <c r="C650" t="s">
        <v>1901</v>
      </c>
      <c r="D650" t="s">
        <v>1902</v>
      </c>
      <c r="E650" t="s">
        <v>399</v>
      </c>
      <c r="F650" s="1">
        <v>44830</v>
      </c>
    </row>
    <row r="651" spans="1:6" x14ac:dyDescent="0.3">
      <c r="A651">
        <v>136862</v>
      </c>
      <c r="B651" t="s">
        <v>1903</v>
      </c>
      <c r="C651" t="s">
        <v>1904</v>
      </c>
      <c r="D651" t="s">
        <v>1905</v>
      </c>
      <c r="E651" t="s">
        <v>46</v>
      </c>
      <c r="F651" s="1">
        <v>45537</v>
      </c>
    </row>
    <row r="652" spans="1:6" x14ac:dyDescent="0.3">
      <c r="A652">
        <v>675191</v>
      </c>
      <c r="B652" t="s">
        <v>1906</v>
      </c>
      <c r="C652" t="s">
        <v>1907</v>
      </c>
      <c r="D652" t="s">
        <v>1908</v>
      </c>
      <c r="E652" t="s">
        <v>399</v>
      </c>
      <c r="F652" s="1">
        <v>45497</v>
      </c>
    </row>
    <row r="653" spans="1:6" x14ac:dyDescent="0.3">
      <c r="A653">
        <v>648887</v>
      </c>
      <c r="B653" t="s">
        <v>1909</v>
      </c>
      <c r="C653" t="s">
        <v>1910</v>
      </c>
      <c r="D653" t="s">
        <v>1911</v>
      </c>
      <c r="E653" t="s">
        <v>133</v>
      </c>
      <c r="F653" s="1">
        <v>45273</v>
      </c>
    </row>
    <row r="654" spans="1:6" x14ac:dyDescent="0.3">
      <c r="A654">
        <v>943797</v>
      </c>
      <c r="B654" t="s">
        <v>1912</v>
      </c>
      <c r="C654" t="s">
        <v>1913</v>
      </c>
      <c r="D654" t="s">
        <v>1914</v>
      </c>
      <c r="E654" t="s">
        <v>32</v>
      </c>
      <c r="F654" s="1">
        <v>45406</v>
      </c>
    </row>
    <row r="655" spans="1:6" x14ac:dyDescent="0.3">
      <c r="A655">
        <v>111068</v>
      </c>
      <c r="B655" t="s">
        <v>1915</v>
      </c>
      <c r="C655" t="s">
        <v>1916</v>
      </c>
      <c r="D655" t="s">
        <v>1917</v>
      </c>
      <c r="E655" t="s">
        <v>399</v>
      </c>
      <c r="F655" s="1">
        <v>45266</v>
      </c>
    </row>
    <row r="656" spans="1:6" x14ac:dyDescent="0.3">
      <c r="A656">
        <v>108721</v>
      </c>
      <c r="B656" t="s">
        <v>1918</v>
      </c>
      <c r="C656" t="s">
        <v>1919</v>
      </c>
      <c r="D656" t="s">
        <v>1920</v>
      </c>
      <c r="E656" t="s">
        <v>117</v>
      </c>
      <c r="F656" s="1">
        <v>45175</v>
      </c>
    </row>
    <row r="657" spans="1:6" x14ac:dyDescent="0.3">
      <c r="A657">
        <v>936726</v>
      </c>
      <c r="B657" t="s">
        <v>1921</v>
      </c>
      <c r="C657" t="s">
        <v>1922</v>
      </c>
      <c r="D657" t="s">
        <v>1923</v>
      </c>
      <c r="E657" t="s">
        <v>143</v>
      </c>
      <c r="F657" s="1">
        <v>45327</v>
      </c>
    </row>
    <row r="658" spans="1:6" x14ac:dyDescent="0.3">
      <c r="A658">
        <v>513927</v>
      </c>
      <c r="B658" t="s">
        <v>1924</v>
      </c>
      <c r="C658" t="s">
        <v>1925</v>
      </c>
      <c r="D658" t="s">
        <v>1926</v>
      </c>
      <c r="E658" t="s">
        <v>24</v>
      </c>
      <c r="F658" s="1">
        <v>45336</v>
      </c>
    </row>
    <row r="659" spans="1:6" x14ac:dyDescent="0.3">
      <c r="A659">
        <v>542750</v>
      </c>
      <c r="B659" t="s">
        <v>1927</v>
      </c>
      <c r="C659" t="s">
        <v>1928</v>
      </c>
      <c r="D659" t="s">
        <v>1929</v>
      </c>
      <c r="E659" t="s">
        <v>9</v>
      </c>
      <c r="F659" s="1">
        <v>45145</v>
      </c>
    </row>
    <row r="660" spans="1:6" x14ac:dyDescent="0.3">
      <c r="A660">
        <v>948097</v>
      </c>
      <c r="B660" t="s">
        <v>1930</v>
      </c>
      <c r="C660" t="s">
        <v>1931</v>
      </c>
      <c r="D660" t="s">
        <v>1932</v>
      </c>
      <c r="E660" t="s">
        <v>143</v>
      </c>
      <c r="F660" s="1">
        <v>44935</v>
      </c>
    </row>
    <row r="661" spans="1:6" x14ac:dyDescent="0.3">
      <c r="A661">
        <v>767830</v>
      </c>
      <c r="B661" t="s">
        <v>134</v>
      </c>
      <c r="C661" t="s">
        <v>1933</v>
      </c>
      <c r="D661" t="s">
        <v>1934</v>
      </c>
      <c r="E661" t="s">
        <v>9</v>
      </c>
      <c r="F661" s="1">
        <v>45569</v>
      </c>
    </row>
    <row r="662" spans="1:6" x14ac:dyDescent="0.3">
      <c r="A662">
        <v>259540</v>
      </c>
      <c r="B662" t="s">
        <v>1935</v>
      </c>
      <c r="C662" t="s">
        <v>1936</v>
      </c>
      <c r="D662" t="s">
        <v>1937</v>
      </c>
      <c r="E662" t="s">
        <v>399</v>
      </c>
      <c r="F662" s="1">
        <v>44771</v>
      </c>
    </row>
    <row r="663" spans="1:6" x14ac:dyDescent="0.3">
      <c r="A663">
        <v>849937</v>
      </c>
      <c r="B663" t="s">
        <v>1938</v>
      </c>
      <c r="C663" t="s">
        <v>1939</v>
      </c>
      <c r="D663" t="s">
        <v>1940</v>
      </c>
      <c r="E663" t="s">
        <v>143</v>
      </c>
      <c r="F663" s="1">
        <v>44870</v>
      </c>
    </row>
    <row r="664" spans="1:6" x14ac:dyDescent="0.3">
      <c r="A664">
        <v>458521</v>
      </c>
      <c r="B664" t="s">
        <v>1941</v>
      </c>
      <c r="C664" t="s">
        <v>1942</v>
      </c>
      <c r="D664" t="s">
        <v>197</v>
      </c>
      <c r="E664" t="s">
        <v>117</v>
      </c>
      <c r="F664" s="1">
        <v>45322</v>
      </c>
    </row>
    <row r="665" spans="1:6" x14ac:dyDescent="0.3">
      <c r="A665">
        <v>446290</v>
      </c>
      <c r="B665" t="s">
        <v>1943</v>
      </c>
      <c r="C665" t="s">
        <v>1944</v>
      </c>
      <c r="D665" t="s">
        <v>1945</v>
      </c>
      <c r="E665" t="s">
        <v>9</v>
      </c>
      <c r="F665" s="1">
        <v>45365</v>
      </c>
    </row>
    <row r="666" spans="1:6" x14ac:dyDescent="0.3">
      <c r="A666">
        <v>290425</v>
      </c>
      <c r="B666" t="s">
        <v>1946</v>
      </c>
      <c r="C666" t="s">
        <v>1947</v>
      </c>
      <c r="D666" t="s">
        <v>1948</v>
      </c>
      <c r="E666" t="s">
        <v>24</v>
      </c>
      <c r="F666" s="1">
        <v>44587</v>
      </c>
    </row>
    <row r="667" spans="1:6" x14ac:dyDescent="0.3">
      <c r="A667">
        <v>503489</v>
      </c>
      <c r="B667" t="s">
        <v>1949</v>
      </c>
      <c r="C667" t="s">
        <v>1950</v>
      </c>
      <c r="D667" t="s">
        <v>1951</v>
      </c>
      <c r="E667" t="s">
        <v>143</v>
      </c>
      <c r="F667" s="1">
        <v>44969</v>
      </c>
    </row>
    <row r="668" spans="1:6" x14ac:dyDescent="0.3">
      <c r="A668">
        <v>646453</v>
      </c>
      <c r="B668" t="s">
        <v>1952</v>
      </c>
      <c r="C668" t="s">
        <v>1953</v>
      </c>
      <c r="D668" t="s">
        <v>1954</v>
      </c>
      <c r="E668" t="s">
        <v>24</v>
      </c>
      <c r="F668" s="1">
        <v>45201</v>
      </c>
    </row>
    <row r="669" spans="1:6" x14ac:dyDescent="0.3">
      <c r="A669">
        <v>880900</v>
      </c>
      <c r="B669" t="s">
        <v>1955</v>
      </c>
      <c r="C669" t="s">
        <v>1956</v>
      </c>
      <c r="D669" t="s">
        <v>1957</v>
      </c>
      <c r="E669" t="s">
        <v>9</v>
      </c>
      <c r="F669" s="1">
        <v>45547</v>
      </c>
    </row>
    <row r="670" spans="1:6" x14ac:dyDescent="0.3">
      <c r="A670">
        <v>477934</v>
      </c>
      <c r="B670" t="s">
        <v>823</v>
      </c>
      <c r="C670" t="s">
        <v>1958</v>
      </c>
      <c r="D670" t="s">
        <v>1959</v>
      </c>
      <c r="E670" t="s">
        <v>28</v>
      </c>
      <c r="F670" s="1">
        <v>45045</v>
      </c>
    </row>
    <row r="671" spans="1:6" x14ac:dyDescent="0.3">
      <c r="A671">
        <v>115799</v>
      </c>
      <c r="B671" t="s">
        <v>1960</v>
      </c>
      <c r="C671" t="s">
        <v>1961</v>
      </c>
      <c r="D671" t="s">
        <v>1962</v>
      </c>
      <c r="E671" t="s">
        <v>28</v>
      </c>
      <c r="F671" s="1">
        <v>45372</v>
      </c>
    </row>
    <row r="672" spans="1:6" x14ac:dyDescent="0.3">
      <c r="A672">
        <v>709303</v>
      </c>
      <c r="B672" t="s">
        <v>1963</v>
      </c>
      <c r="C672" t="s">
        <v>1964</v>
      </c>
      <c r="D672" t="s">
        <v>1965</v>
      </c>
      <c r="E672" t="s">
        <v>399</v>
      </c>
      <c r="F672" s="1">
        <v>45322</v>
      </c>
    </row>
    <row r="673" spans="1:6" x14ac:dyDescent="0.3">
      <c r="A673">
        <v>265358</v>
      </c>
      <c r="B673" t="s">
        <v>1966</v>
      </c>
      <c r="C673" t="s">
        <v>1967</v>
      </c>
      <c r="D673" t="s">
        <v>1968</v>
      </c>
      <c r="E673" t="s">
        <v>46</v>
      </c>
      <c r="F673" s="1">
        <v>44684</v>
      </c>
    </row>
    <row r="674" spans="1:6" x14ac:dyDescent="0.3">
      <c r="A674">
        <v>835395</v>
      </c>
      <c r="B674" t="s">
        <v>1969</v>
      </c>
      <c r="C674" t="s">
        <v>1970</v>
      </c>
      <c r="D674" t="s">
        <v>1971</v>
      </c>
      <c r="E674" t="s">
        <v>117</v>
      </c>
      <c r="F674" s="1">
        <v>45038</v>
      </c>
    </row>
    <row r="675" spans="1:6" x14ac:dyDescent="0.3">
      <c r="A675">
        <v>944654</v>
      </c>
      <c r="B675" t="s">
        <v>1972</v>
      </c>
      <c r="C675" t="s">
        <v>1973</v>
      </c>
      <c r="D675" t="s">
        <v>1974</v>
      </c>
      <c r="E675" t="s">
        <v>24</v>
      </c>
      <c r="F675" s="1">
        <v>45295</v>
      </c>
    </row>
    <row r="676" spans="1:6" x14ac:dyDescent="0.3">
      <c r="A676">
        <v>141406</v>
      </c>
      <c r="B676" t="s">
        <v>1975</v>
      </c>
      <c r="C676" t="s">
        <v>1976</v>
      </c>
      <c r="D676" t="s">
        <v>1977</v>
      </c>
      <c r="E676" t="s">
        <v>133</v>
      </c>
      <c r="F676" s="1">
        <v>45565</v>
      </c>
    </row>
    <row r="677" spans="1:6" x14ac:dyDescent="0.3">
      <c r="A677">
        <v>670027</v>
      </c>
      <c r="B677" t="s">
        <v>1978</v>
      </c>
      <c r="C677" t="s">
        <v>1979</v>
      </c>
      <c r="D677" t="s">
        <v>1980</v>
      </c>
      <c r="E677" t="s">
        <v>62</v>
      </c>
      <c r="F677" s="1">
        <v>45125</v>
      </c>
    </row>
    <row r="678" spans="1:6" x14ac:dyDescent="0.3">
      <c r="A678">
        <v>172222</v>
      </c>
      <c r="B678" t="s">
        <v>1981</v>
      </c>
      <c r="C678" t="s">
        <v>1982</v>
      </c>
      <c r="D678" t="s">
        <v>1983</v>
      </c>
      <c r="E678" t="s">
        <v>133</v>
      </c>
      <c r="F678" s="1">
        <v>45101</v>
      </c>
    </row>
    <row r="679" spans="1:6" x14ac:dyDescent="0.3">
      <c r="A679">
        <v>100754</v>
      </c>
      <c r="B679" t="s">
        <v>1984</v>
      </c>
      <c r="C679" t="s">
        <v>1985</v>
      </c>
      <c r="D679" t="s">
        <v>1986</v>
      </c>
      <c r="E679" t="s">
        <v>399</v>
      </c>
      <c r="F679" s="1">
        <v>44600</v>
      </c>
    </row>
    <row r="680" spans="1:6" x14ac:dyDescent="0.3">
      <c r="A680">
        <v>436272</v>
      </c>
      <c r="B680" t="s">
        <v>1987</v>
      </c>
      <c r="C680" t="s">
        <v>1988</v>
      </c>
      <c r="D680" t="s">
        <v>1989</v>
      </c>
      <c r="E680" t="s">
        <v>24</v>
      </c>
      <c r="F680" s="1">
        <v>44950</v>
      </c>
    </row>
    <row r="681" spans="1:6" x14ac:dyDescent="0.3">
      <c r="A681">
        <v>902930</v>
      </c>
      <c r="B681" t="s">
        <v>1990</v>
      </c>
      <c r="C681" t="s">
        <v>1991</v>
      </c>
      <c r="D681" t="s">
        <v>1992</v>
      </c>
      <c r="E681" t="s">
        <v>133</v>
      </c>
      <c r="F681" s="1">
        <v>45222</v>
      </c>
    </row>
    <row r="682" spans="1:6" x14ac:dyDescent="0.3">
      <c r="A682">
        <v>215830</v>
      </c>
      <c r="B682" t="s">
        <v>1993</v>
      </c>
      <c r="C682" t="s">
        <v>1994</v>
      </c>
      <c r="D682" t="s">
        <v>1995</v>
      </c>
      <c r="E682" t="s">
        <v>143</v>
      </c>
      <c r="F682" s="1">
        <v>44651</v>
      </c>
    </row>
    <row r="683" spans="1:6" x14ac:dyDescent="0.3">
      <c r="A683">
        <v>311895</v>
      </c>
      <c r="B683" t="s">
        <v>1996</v>
      </c>
      <c r="C683" t="s">
        <v>1997</v>
      </c>
      <c r="D683" t="s">
        <v>1998</v>
      </c>
      <c r="E683" t="s">
        <v>28</v>
      </c>
      <c r="F683" s="1">
        <v>44627</v>
      </c>
    </row>
    <row r="684" spans="1:6" x14ac:dyDescent="0.3">
      <c r="A684">
        <v>789880</v>
      </c>
      <c r="B684" t="s">
        <v>1999</v>
      </c>
      <c r="C684" t="s">
        <v>2000</v>
      </c>
      <c r="D684" t="s">
        <v>2001</v>
      </c>
      <c r="E684" t="s">
        <v>9</v>
      </c>
      <c r="F684" s="1">
        <v>44662</v>
      </c>
    </row>
    <row r="685" spans="1:6" x14ac:dyDescent="0.3">
      <c r="A685">
        <v>113721</v>
      </c>
      <c r="B685" t="s">
        <v>2002</v>
      </c>
      <c r="C685" t="s">
        <v>2003</v>
      </c>
      <c r="D685" t="s">
        <v>2004</v>
      </c>
      <c r="E685" t="s">
        <v>143</v>
      </c>
      <c r="F685" s="1">
        <v>45520</v>
      </c>
    </row>
    <row r="686" spans="1:6" x14ac:dyDescent="0.3">
      <c r="A686">
        <v>685126</v>
      </c>
      <c r="B686" t="s">
        <v>2005</v>
      </c>
      <c r="C686" t="s">
        <v>2006</v>
      </c>
      <c r="D686" t="s">
        <v>2007</v>
      </c>
      <c r="E686" t="s">
        <v>143</v>
      </c>
      <c r="F686" s="1">
        <v>45106</v>
      </c>
    </row>
    <row r="687" spans="1:6" x14ac:dyDescent="0.3">
      <c r="A687">
        <v>974991</v>
      </c>
      <c r="B687" t="s">
        <v>2008</v>
      </c>
      <c r="C687" t="s">
        <v>2009</v>
      </c>
      <c r="D687" t="s">
        <v>2010</v>
      </c>
      <c r="E687" t="s">
        <v>17</v>
      </c>
      <c r="F687" s="1">
        <v>45625</v>
      </c>
    </row>
    <row r="688" spans="1:6" x14ac:dyDescent="0.3">
      <c r="A688">
        <v>657487</v>
      </c>
      <c r="B688" t="s">
        <v>2011</v>
      </c>
      <c r="C688" t="s">
        <v>2012</v>
      </c>
      <c r="D688" t="s">
        <v>2013</v>
      </c>
      <c r="E688" t="s">
        <v>36</v>
      </c>
      <c r="F688" s="1">
        <v>44928</v>
      </c>
    </row>
    <row r="689" spans="1:6" x14ac:dyDescent="0.3">
      <c r="A689">
        <v>882351</v>
      </c>
      <c r="B689" t="s">
        <v>2014</v>
      </c>
      <c r="C689" t="s">
        <v>2015</v>
      </c>
      <c r="D689" t="s">
        <v>2016</v>
      </c>
      <c r="E689" t="s">
        <v>32</v>
      </c>
      <c r="F689" s="1">
        <v>45501</v>
      </c>
    </row>
    <row r="690" spans="1:6" x14ac:dyDescent="0.3">
      <c r="A690">
        <v>209159</v>
      </c>
      <c r="B690" t="s">
        <v>2017</v>
      </c>
      <c r="C690" t="s">
        <v>2018</v>
      </c>
      <c r="D690" t="s">
        <v>2019</v>
      </c>
      <c r="E690" t="s">
        <v>24</v>
      </c>
      <c r="F690" s="1">
        <v>45595</v>
      </c>
    </row>
    <row r="691" spans="1:6" x14ac:dyDescent="0.3">
      <c r="A691">
        <v>659835</v>
      </c>
      <c r="B691" t="s">
        <v>2020</v>
      </c>
      <c r="C691" t="s">
        <v>2021</v>
      </c>
      <c r="D691" t="s">
        <v>197</v>
      </c>
      <c r="E691" t="s">
        <v>32</v>
      </c>
      <c r="F691" s="1">
        <v>45207</v>
      </c>
    </row>
    <row r="692" spans="1:6" x14ac:dyDescent="0.3">
      <c r="A692">
        <v>532373</v>
      </c>
      <c r="B692" t="s">
        <v>2022</v>
      </c>
      <c r="C692" t="s">
        <v>2023</v>
      </c>
      <c r="D692" t="s">
        <v>2024</v>
      </c>
      <c r="E692" t="s">
        <v>46</v>
      </c>
      <c r="F692" s="1">
        <v>45054</v>
      </c>
    </row>
    <row r="693" spans="1:6" x14ac:dyDescent="0.3">
      <c r="A693">
        <v>493282</v>
      </c>
      <c r="B693" t="s">
        <v>2025</v>
      </c>
      <c r="C693" t="s">
        <v>2026</v>
      </c>
      <c r="D693" t="s">
        <v>2027</v>
      </c>
      <c r="E693" t="s">
        <v>62</v>
      </c>
      <c r="F693" s="1">
        <v>45478</v>
      </c>
    </row>
    <row r="694" spans="1:6" x14ac:dyDescent="0.3">
      <c r="A694">
        <v>398301</v>
      </c>
      <c r="B694" t="s">
        <v>2028</v>
      </c>
      <c r="C694" t="s">
        <v>2029</v>
      </c>
      <c r="D694" t="s">
        <v>2030</v>
      </c>
      <c r="E694" t="s">
        <v>399</v>
      </c>
      <c r="F694" s="1">
        <v>45180</v>
      </c>
    </row>
    <row r="695" spans="1:6" x14ac:dyDescent="0.3">
      <c r="A695">
        <v>325258</v>
      </c>
      <c r="B695" t="s">
        <v>2031</v>
      </c>
      <c r="C695" t="s">
        <v>2032</v>
      </c>
      <c r="D695" t="s">
        <v>2033</v>
      </c>
      <c r="E695" t="s">
        <v>9</v>
      </c>
      <c r="F695" s="1">
        <v>45609</v>
      </c>
    </row>
    <row r="696" spans="1:6" x14ac:dyDescent="0.3">
      <c r="A696">
        <v>198867</v>
      </c>
      <c r="B696" t="s">
        <v>1417</v>
      </c>
      <c r="C696" t="s">
        <v>2034</v>
      </c>
      <c r="D696" t="s">
        <v>2035</v>
      </c>
      <c r="E696" t="s">
        <v>399</v>
      </c>
      <c r="F696" s="1">
        <v>44845</v>
      </c>
    </row>
    <row r="697" spans="1:6" x14ac:dyDescent="0.3">
      <c r="A697">
        <v>344312</v>
      </c>
      <c r="B697" t="s">
        <v>2036</v>
      </c>
      <c r="C697" t="s">
        <v>2037</v>
      </c>
      <c r="D697" t="s">
        <v>2038</v>
      </c>
      <c r="E697" t="s">
        <v>24</v>
      </c>
      <c r="F697" s="1">
        <v>45007</v>
      </c>
    </row>
    <row r="698" spans="1:6" x14ac:dyDescent="0.3">
      <c r="A698">
        <v>931420</v>
      </c>
      <c r="B698" t="s">
        <v>2039</v>
      </c>
      <c r="C698" t="s">
        <v>2040</v>
      </c>
      <c r="D698" t="s">
        <v>2041</v>
      </c>
      <c r="E698" t="s">
        <v>28</v>
      </c>
      <c r="F698" s="1">
        <v>45177</v>
      </c>
    </row>
    <row r="699" spans="1:6" x14ac:dyDescent="0.3">
      <c r="A699">
        <v>182289</v>
      </c>
      <c r="B699" t="s">
        <v>2042</v>
      </c>
      <c r="C699" t="s">
        <v>2043</v>
      </c>
      <c r="D699" t="s">
        <v>2044</v>
      </c>
      <c r="E699" t="s">
        <v>13</v>
      </c>
      <c r="F699" s="1">
        <v>45415</v>
      </c>
    </row>
    <row r="700" spans="1:6" x14ac:dyDescent="0.3">
      <c r="A700">
        <v>883997</v>
      </c>
      <c r="B700" t="s">
        <v>2045</v>
      </c>
      <c r="C700" t="s">
        <v>2046</v>
      </c>
      <c r="D700" t="s">
        <v>2047</v>
      </c>
      <c r="E700" t="s">
        <v>143</v>
      </c>
      <c r="F700" s="1">
        <v>45345</v>
      </c>
    </row>
    <row r="701" spans="1:6" x14ac:dyDescent="0.3">
      <c r="A701">
        <v>143182</v>
      </c>
      <c r="B701" t="s">
        <v>2048</v>
      </c>
      <c r="C701" t="s">
        <v>2049</v>
      </c>
      <c r="D701" t="s">
        <v>2050</v>
      </c>
      <c r="E701" t="s">
        <v>399</v>
      </c>
      <c r="F701" s="1">
        <v>45231</v>
      </c>
    </row>
    <row r="702" spans="1:6" x14ac:dyDescent="0.3">
      <c r="A702">
        <v>260639</v>
      </c>
      <c r="B702" t="s">
        <v>99</v>
      </c>
      <c r="C702" t="s">
        <v>2051</v>
      </c>
      <c r="D702" t="s">
        <v>2052</v>
      </c>
      <c r="E702" t="s">
        <v>24</v>
      </c>
      <c r="F702" s="1">
        <v>45474</v>
      </c>
    </row>
    <row r="703" spans="1:6" x14ac:dyDescent="0.3">
      <c r="A703">
        <v>194458</v>
      </c>
      <c r="B703" t="s">
        <v>2053</v>
      </c>
      <c r="C703" t="s">
        <v>2054</v>
      </c>
      <c r="D703" t="s">
        <v>2055</v>
      </c>
      <c r="E703" t="s">
        <v>24</v>
      </c>
      <c r="F703" s="1">
        <v>44865</v>
      </c>
    </row>
    <row r="704" spans="1:6" x14ac:dyDescent="0.3">
      <c r="A704">
        <v>598969</v>
      </c>
      <c r="B704" t="s">
        <v>2056</v>
      </c>
      <c r="C704" t="s">
        <v>2057</v>
      </c>
      <c r="D704" t="s">
        <v>197</v>
      </c>
      <c r="E704" t="s">
        <v>24</v>
      </c>
      <c r="F704" s="1">
        <v>45099</v>
      </c>
    </row>
    <row r="705" spans="1:6" x14ac:dyDescent="0.3">
      <c r="A705">
        <v>555596</v>
      </c>
      <c r="B705" t="s">
        <v>2058</v>
      </c>
      <c r="C705" t="s">
        <v>2059</v>
      </c>
      <c r="D705" t="s">
        <v>2060</v>
      </c>
      <c r="E705" t="s">
        <v>399</v>
      </c>
      <c r="F705" s="1">
        <v>45546</v>
      </c>
    </row>
    <row r="706" spans="1:6" x14ac:dyDescent="0.3">
      <c r="A706">
        <v>514521</v>
      </c>
      <c r="B706" t="s">
        <v>2061</v>
      </c>
      <c r="C706" t="s">
        <v>2062</v>
      </c>
      <c r="D706" t="s">
        <v>2063</v>
      </c>
      <c r="E706" t="s">
        <v>36</v>
      </c>
      <c r="F706" s="1">
        <v>45058</v>
      </c>
    </row>
    <row r="707" spans="1:6" x14ac:dyDescent="0.3">
      <c r="A707">
        <v>439121</v>
      </c>
      <c r="B707" t="s">
        <v>2064</v>
      </c>
      <c r="C707" t="s">
        <v>2065</v>
      </c>
      <c r="D707" t="s">
        <v>2066</v>
      </c>
      <c r="E707" t="s">
        <v>28</v>
      </c>
      <c r="F707" s="1">
        <v>45409</v>
      </c>
    </row>
    <row r="708" spans="1:6" x14ac:dyDescent="0.3">
      <c r="A708">
        <v>299742</v>
      </c>
      <c r="B708" t="s">
        <v>2067</v>
      </c>
      <c r="C708" t="s">
        <v>2068</v>
      </c>
      <c r="D708" t="s">
        <v>2069</v>
      </c>
      <c r="E708" t="s">
        <v>143</v>
      </c>
      <c r="F708" s="1">
        <v>45186</v>
      </c>
    </row>
    <row r="709" spans="1:6" x14ac:dyDescent="0.3">
      <c r="A709">
        <v>753453</v>
      </c>
      <c r="B709" t="s">
        <v>2070</v>
      </c>
      <c r="C709" t="s">
        <v>2071</v>
      </c>
      <c r="D709" t="s">
        <v>2072</v>
      </c>
      <c r="E709" t="s">
        <v>36</v>
      </c>
      <c r="F709" s="1">
        <v>44970</v>
      </c>
    </row>
    <row r="710" spans="1:6" x14ac:dyDescent="0.3">
      <c r="A710">
        <v>894541</v>
      </c>
      <c r="B710" t="s">
        <v>2073</v>
      </c>
      <c r="C710" t="s">
        <v>2074</v>
      </c>
      <c r="D710" t="s">
        <v>2075</v>
      </c>
      <c r="E710" t="s">
        <v>143</v>
      </c>
      <c r="F710" s="1">
        <v>45059</v>
      </c>
    </row>
    <row r="711" spans="1:6" x14ac:dyDescent="0.3">
      <c r="A711">
        <v>114400</v>
      </c>
      <c r="B711" t="s">
        <v>2076</v>
      </c>
      <c r="C711" t="s">
        <v>2077</v>
      </c>
      <c r="D711" t="s">
        <v>2078</v>
      </c>
      <c r="E711" t="s">
        <v>28</v>
      </c>
      <c r="F711" s="1">
        <v>45186</v>
      </c>
    </row>
    <row r="712" spans="1:6" x14ac:dyDescent="0.3">
      <c r="A712">
        <v>447997</v>
      </c>
      <c r="B712" t="s">
        <v>2079</v>
      </c>
      <c r="C712" t="s">
        <v>2080</v>
      </c>
      <c r="D712" t="s">
        <v>2081</v>
      </c>
      <c r="E712" t="s">
        <v>17</v>
      </c>
      <c r="F712" s="1">
        <v>45633</v>
      </c>
    </row>
    <row r="713" spans="1:6" x14ac:dyDescent="0.3">
      <c r="A713">
        <v>606489</v>
      </c>
      <c r="B713" t="s">
        <v>2082</v>
      </c>
      <c r="C713" t="s">
        <v>2083</v>
      </c>
      <c r="D713" t="s">
        <v>2084</v>
      </c>
      <c r="E713" t="s">
        <v>143</v>
      </c>
      <c r="F713" s="1">
        <v>45333</v>
      </c>
    </row>
    <row r="714" spans="1:6" x14ac:dyDescent="0.3">
      <c r="A714">
        <v>145594</v>
      </c>
      <c r="B714" t="s">
        <v>2085</v>
      </c>
      <c r="C714" t="s">
        <v>2086</v>
      </c>
      <c r="D714" t="s">
        <v>2087</v>
      </c>
      <c r="E714" t="s">
        <v>133</v>
      </c>
      <c r="F714" s="1">
        <v>44973</v>
      </c>
    </row>
    <row r="715" spans="1:6" x14ac:dyDescent="0.3">
      <c r="A715">
        <v>155663</v>
      </c>
      <c r="B715" t="s">
        <v>2088</v>
      </c>
      <c r="C715" t="s">
        <v>2089</v>
      </c>
      <c r="D715" t="s">
        <v>2090</v>
      </c>
      <c r="E715" t="s">
        <v>143</v>
      </c>
      <c r="F715" s="1">
        <v>44698</v>
      </c>
    </row>
    <row r="716" spans="1:6" x14ac:dyDescent="0.3">
      <c r="A716">
        <v>795186</v>
      </c>
      <c r="B716" t="s">
        <v>2091</v>
      </c>
      <c r="C716" t="s">
        <v>2092</v>
      </c>
      <c r="D716" t="s">
        <v>2093</v>
      </c>
      <c r="E716" t="s">
        <v>28</v>
      </c>
      <c r="F716" s="1">
        <v>44601</v>
      </c>
    </row>
    <row r="717" spans="1:6" x14ac:dyDescent="0.3">
      <c r="A717">
        <v>342397</v>
      </c>
      <c r="B717" t="s">
        <v>2094</v>
      </c>
      <c r="C717" t="s">
        <v>2095</v>
      </c>
      <c r="D717" t="s">
        <v>2096</v>
      </c>
      <c r="E717" t="s">
        <v>28</v>
      </c>
      <c r="F717" s="1">
        <v>45208</v>
      </c>
    </row>
    <row r="718" spans="1:6" x14ac:dyDescent="0.3">
      <c r="A718">
        <v>192296</v>
      </c>
      <c r="B718" t="s">
        <v>2097</v>
      </c>
      <c r="C718" t="s">
        <v>2098</v>
      </c>
      <c r="D718" t="s">
        <v>2099</v>
      </c>
      <c r="E718" t="s">
        <v>62</v>
      </c>
      <c r="F718" s="1">
        <v>44606</v>
      </c>
    </row>
    <row r="719" spans="1:6" x14ac:dyDescent="0.3">
      <c r="A719">
        <v>419739</v>
      </c>
      <c r="B719" t="s">
        <v>2100</v>
      </c>
      <c r="C719" t="s">
        <v>2101</v>
      </c>
      <c r="D719" t="s">
        <v>2102</v>
      </c>
      <c r="E719" t="s">
        <v>399</v>
      </c>
      <c r="F719" s="1">
        <v>44599</v>
      </c>
    </row>
    <row r="720" spans="1:6" x14ac:dyDescent="0.3">
      <c r="A720">
        <v>472640</v>
      </c>
      <c r="B720" t="s">
        <v>69</v>
      </c>
      <c r="C720" t="s">
        <v>2103</v>
      </c>
      <c r="D720" t="s">
        <v>197</v>
      </c>
      <c r="E720" t="s">
        <v>9</v>
      </c>
      <c r="F720" s="1">
        <v>44688</v>
      </c>
    </row>
    <row r="721" spans="1:6" x14ac:dyDescent="0.3">
      <c r="A721">
        <v>954441</v>
      </c>
      <c r="B721" t="s">
        <v>2104</v>
      </c>
      <c r="C721" t="s">
        <v>2105</v>
      </c>
      <c r="D721" t="s">
        <v>2106</v>
      </c>
      <c r="E721" t="s">
        <v>9</v>
      </c>
      <c r="F721" s="1">
        <v>45023</v>
      </c>
    </row>
    <row r="722" spans="1:6" x14ac:dyDescent="0.3">
      <c r="A722">
        <v>788842</v>
      </c>
      <c r="B722" t="s">
        <v>2107</v>
      </c>
      <c r="C722" t="s">
        <v>2108</v>
      </c>
      <c r="D722" t="s">
        <v>2109</v>
      </c>
      <c r="E722" t="s">
        <v>24</v>
      </c>
      <c r="F722" s="1">
        <v>45628</v>
      </c>
    </row>
    <row r="723" spans="1:6" x14ac:dyDescent="0.3">
      <c r="A723">
        <v>537605</v>
      </c>
      <c r="B723" t="s">
        <v>2110</v>
      </c>
      <c r="C723" t="s">
        <v>2111</v>
      </c>
      <c r="D723" t="s">
        <v>2112</v>
      </c>
      <c r="E723" t="s">
        <v>13</v>
      </c>
      <c r="F723" s="1">
        <v>45201</v>
      </c>
    </row>
    <row r="724" spans="1:6" x14ac:dyDescent="0.3">
      <c r="A724">
        <v>668573</v>
      </c>
      <c r="B724" t="s">
        <v>2113</v>
      </c>
      <c r="C724" t="s">
        <v>2114</v>
      </c>
      <c r="D724" t="s">
        <v>2115</v>
      </c>
      <c r="E724" t="s">
        <v>399</v>
      </c>
      <c r="F724" s="1">
        <v>44976</v>
      </c>
    </row>
    <row r="725" spans="1:6" x14ac:dyDescent="0.3">
      <c r="A725">
        <v>241822</v>
      </c>
      <c r="B725" t="s">
        <v>2116</v>
      </c>
      <c r="C725" t="s">
        <v>2117</v>
      </c>
      <c r="D725" t="s">
        <v>2118</v>
      </c>
      <c r="E725" t="s">
        <v>399</v>
      </c>
      <c r="F725" s="1">
        <v>45212</v>
      </c>
    </row>
    <row r="726" spans="1:6" x14ac:dyDescent="0.3">
      <c r="A726">
        <v>854388</v>
      </c>
      <c r="B726" t="s">
        <v>2119</v>
      </c>
      <c r="C726" t="s">
        <v>2120</v>
      </c>
      <c r="D726" t="s">
        <v>2121</v>
      </c>
      <c r="E726" t="s">
        <v>399</v>
      </c>
      <c r="F726" s="1">
        <v>44622</v>
      </c>
    </row>
    <row r="727" spans="1:6" x14ac:dyDescent="0.3">
      <c r="A727">
        <v>531228</v>
      </c>
      <c r="B727" t="s">
        <v>2122</v>
      </c>
      <c r="C727" t="s">
        <v>2123</v>
      </c>
      <c r="D727" t="s">
        <v>2124</v>
      </c>
      <c r="E727" t="s">
        <v>9</v>
      </c>
      <c r="F727" s="1">
        <v>44873</v>
      </c>
    </row>
    <row r="728" spans="1:6" x14ac:dyDescent="0.3">
      <c r="A728">
        <v>237935</v>
      </c>
      <c r="B728" t="s">
        <v>2125</v>
      </c>
      <c r="C728" t="s">
        <v>2126</v>
      </c>
      <c r="D728" t="s">
        <v>2127</v>
      </c>
      <c r="E728" t="s">
        <v>9</v>
      </c>
      <c r="F728" s="1">
        <v>45034</v>
      </c>
    </row>
    <row r="729" spans="1:6" x14ac:dyDescent="0.3">
      <c r="A729">
        <v>820767</v>
      </c>
      <c r="B729" t="s">
        <v>2128</v>
      </c>
      <c r="C729" t="s">
        <v>2129</v>
      </c>
      <c r="D729" t="s">
        <v>2130</v>
      </c>
      <c r="E729" t="s">
        <v>117</v>
      </c>
      <c r="F729" s="1">
        <v>44836</v>
      </c>
    </row>
    <row r="730" spans="1:6" x14ac:dyDescent="0.3">
      <c r="A730">
        <v>846606</v>
      </c>
      <c r="B730" t="s">
        <v>84</v>
      </c>
      <c r="C730" t="s">
        <v>2131</v>
      </c>
      <c r="D730" t="s">
        <v>2132</v>
      </c>
      <c r="E730" t="s">
        <v>24</v>
      </c>
      <c r="F730" s="1">
        <v>45568</v>
      </c>
    </row>
    <row r="731" spans="1:6" x14ac:dyDescent="0.3">
      <c r="A731">
        <v>302647</v>
      </c>
      <c r="B731" t="s">
        <v>2133</v>
      </c>
      <c r="C731" t="s">
        <v>2134</v>
      </c>
      <c r="D731" t="s">
        <v>2135</v>
      </c>
      <c r="E731" t="s">
        <v>143</v>
      </c>
      <c r="F731" s="1">
        <v>45114</v>
      </c>
    </row>
    <row r="732" spans="1:6" x14ac:dyDescent="0.3">
      <c r="A732">
        <v>894586</v>
      </c>
      <c r="B732" t="s">
        <v>900</v>
      </c>
      <c r="C732" t="s">
        <v>2136</v>
      </c>
      <c r="D732" t="s">
        <v>2137</v>
      </c>
      <c r="E732" t="s">
        <v>62</v>
      </c>
      <c r="F732" s="1">
        <v>45565</v>
      </c>
    </row>
    <row r="733" spans="1:6" x14ac:dyDescent="0.3">
      <c r="A733">
        <v>358771</v>
      </c>
      <c r="B733" t="s">
        <v>2138</v>
      </c>
      <c r="C733" t="s">
        <v>2139</v>
      </c>
      <c r="D733" t="s">
        <v>2140</v>
      </c>
      <c r="E733" t="s">
        <v>143</v>
      </c>
      <c r="F733" s="1">
        <v>45341</v>
      </c>
    </row>
    <row r="734" spans="1:6" x14ac:dyDescent="0.3">
      <c r="A734">
        <v>741209</v>
      </c>
      <c r="B734" t="s">
        <v>2141</v>
      </c>
      <c r="C734" t="s">
        <v>2142</v>
      </c>
      <c r="D734" t="s">
        <v>197</v>
      </c>
      <c r="E734" t="s">
        <v>143</v>
      </c>
      <c r="F734" s="1">
        <v>45628</v>
      </c>
    </row>
    <row r="735" spans="1:6" x14ac:dyDescent="0.3">
      <c r="A735">
        <v>967182</v>
      </c>
      <c r="B735" t="s">
        <v>2143</v>
      </c>
      <c r="C735" t="s">
        <v>2144</v>
      </c>
      <c r="D735" t="s">
        <v>2145</v>
      </c>
      <c r="E735" t="s">
        <v>24</v>
      </c>
      <c r="F735" s="1">
        <v>44642</v>
      </c>
    </row>
    <row r="736" spans="1:6" x14ac:dyDescent="0.3">
      <c r="A736">
        <v>902328</v>
      </c>
      <c r="B736" t="s">
        <v>2146</v>
      </c>
      <c r="C736" t="s">
        <v>2147</v>
      </c>
      <c r="D736" t="s">
        <v>2148</v>
      </c>
      <c r="E736" t="s">
        <v>133</v>
      </c>
      <c r="F736" s="1">
        <v>45462</v>
      </c>
    </row>
    <row r="737" spans="1:6" x14ac:dyDescent="0.3">
      <c r="A737">
        <v>583757</v>
      </c>
      <c r="B737" t="s">
        <v>2149</v>
      </c>
      <c r="C737" t="s">
        <v>2150</v>
      </c>
      <c r="D737" t="s">
        <v>2151</v>
      </c>
      <c r="E737" t="s">
        <v>143</v>
      </c>
      <c r="F737" s="1">
        <v>45620</v>
      </c>
    </row>
    <row r="738" spans="1:6" x14ac:dyDescent="0.3">
      <c r="A738">
        <v>194834</v>
      </c>
      <c r="B738" t="s">
        <v>2152</v>
      </c>
      <c r="C738" t="s">
        <v>2153</v>
      </c>
      <c r="D738" t="s">
        <v>2154</v>
      </c>
      <c r="E738" t="s">
        <v>399</v>
      </c>
      <c r="F738" s="1">
        <v>45367</v>
      </c>
    </row>
    <row r="739" spans="1:6" x14ac:dyDescent="0.3">
      <c r="A739">
        <v>126122</v>
      </c>
      <c r="B739" t="s">
        <v>2155</v>
      </c>
      <c r="C739" t="s">
        <v>2156</v>
      </c>
      <c r="D739" t="s">
        <v>2157</v>
      </c>
      <c r="E739" t="s">
        <v>17</v>
      </c>
      <c r="F739" s="1">
        <v>45493</v>
      </c>
    </row>
    <row r="740" spans="1:6" x14ac:dyDescent="0.3">
      <c r="A740">
        <v>825318</v>
      </c>
      <c r="B740" t="s">
        <v>2158</v>
      </c>
      <c r="C740" t="s">
        <v>2159</v>
      </c>
      <c r="D740" t="s">
        <v>2160</v>
      </c>
      <c r="E740" t="s">
        <v>28</v>
      </c>
      <c r="F740" s="1">
        <v>44748</v>
      </c>
    </row>
    <row r="741" spans="1:6" x14ac:dyDescent="0.3">
      <c r="A741">
        <v>764873</v>
      </c>
      <c r="B741" t="s">
        <v>2161</v>
      </c>
      <c r="C741" t="s">
        <v>2162</v>
      </c>
      <c r="D741" t="s">
        <v>2163</v>
      </c>
      <c r="E741" t="s">
        <v>24</v>
      </c>
      <c r="F741" s="1">
        <v>45609</v>
      </c>
    </row>
    <row r="742" spans="1:6" x14ac:dyDescent="0.3">
      <c r="A742">
        <v>677079</v>
      </c>
      <c r="B742" t="s">
        <v>1625</v>
      </c>
      <c r="C742" t="s">
        <v>2164</v>
      </c>
      <c r="D742" t="s">
        <v>2165</v>
      </c>
      <c r="E742" t="s">
        <v>399</v>
      </c>
      <c r="F742" s="1">
        <v>45248</v>
      </c>
    </row>
    <row r="743" spans="1:6" x14ac:dyDescent="0.3">
      <c r="A743">
        <v>269999</v>
      </c>
      <c r="B743" t="s">
        <v>2166</v>
      </c>
      <c r="C743" t="s">
        <v>2167</v>
      </c>
      <c r="D743" t="s">
        <v>2168</v>
      </c>
      <c r="E743" t="s">
        <v>143</v>
      </c>
      <c r="F743" s="1">
        <v>45421</v>
      </c>
    </row>
    <row r="744" spans="1:6" x14ac:dyDescent="0.3">
      <c r="A744">
        <v>402808</v>
      </c>
      <c r="B744" t="s">
        <v>2169</v>
      </c>
      <c r="C744" t="s">
        <v>2170</v>
      </c>
      <c r="D744" t="s">
        <v>2171</v>
      </c>
      <c r="E744" t="s">
        <v>399</v>
      </c>
      <c r="F744" s="1">
        <v>44977</v>
      </c>
    </row>
    <row r="745" spans="1:6" x14ac:dyDescent="0.3">
      <c r="A745">
        <v>112800</v>
      </c>
      <c r="B745" t="s">
        <v>2172</v>
      </c>
      <c r="C745" t="s">
        <v>2173</v>
      </c>
      <c r="D745" t="s">
        <v>2174</v>
      </c>
      <c r="E745" t="s">
        <v>117</v>
      </c>
      <c r="F745" s="1">
        <v>44573</v>
      </c>
    </row>
    <row r="746" spans="1:6" x14ac:dyDescent="0.3">
      <c r="A746">
        <v>327408</v>
      </c>
      <c r="B746" t="s">
        <v>2175</v>
      </c>
      <c r="C746" t="s">
        <v>2176</v>
      </c>
      <c r="D746" t="s">
        <v>2177</v>
      </c>
      <c r="E746" t="s">
        <v>62</v>
      </c>
      <c r="F746" s="1">
        <v>45401</v>
      </c>
    </row>
    <row r="747" spans="1:6" x14ac:dyDescent="0.3">
      <c r="A747">
        <v>356600</v>
      </c>
      <c r="B747" t="s">
        <v>2178</v>
      </c>
      <c r="C747" t="s">
        <v>2179</v>
      </c>
      <c r="D747" t="s">
        <v>2180</v>
      </c>
      <c r="E747" t="s">
        <v>17</v>
      </c>
      <c r="F747" s="1">
        <v>44662</v>
      </c>
    </row>
    <row r="748" spans="1:6" x14ac:dyDescent="0.3">
      <c r="A748">
        <v>785010</v>
      </c>
      <c r="B748" t="s">
        <v>2181</v>
      </c>
      <c r="C748" t="s">
        <v>2182</v>
      </c>
      <c r="D748" t="s">
        <v>2183</v>
      </c>
      <c r="E748" t="s">
        <v>143</v>
      </c>
      <c r="F748" s="1">
        <v>45173</v>
      </c>
    </row>
    <row r="749" spans="1:6" x14ac:dyDescent="0.3">
      <c r="A749">
        <v>214176</v>
      </c>
      <c r="B749" t="s">
        <v>439</v>
      </c>
      <c r="C749" t="s">
        <v>2184</v>
      </c>
      <c r="D749" t="s">
        <v>2185</v>
      </c>
      <c r="E749" t="s">
        <v>133</v>
      </c>
      <c r="F749" s="1">
        <v>44925</v>
      </c>
    </row>
    <row r="750" spans="1:6" x14ac:dyDescent="0.3">
      <c r="A750">
        <v>137581</v>
      </c>
      <c r="B750" t="s">
        <v>2186</v>
      </c>
      <c r="C750" t="s">
        <v>2187</v>
      </c>
      <c r="D750" t="s">
        <v>2188</v>
      </c>
      <c r="E750" t="s">
        <v>32</v>
      </c>
      <c r="F750" s="1">
        <v>45338</v>
      </c>
    </row>
    <row r="751" spans="1:6" x14ac:dyDescent="0.3">
      <c r="A751">
        <v>984274</v>
      </c>
      <c r="B751" t="s">
        <v>2189</v>
      </c>
      <c r="C751" t="s">
        <v>2190</v>
      </c>
      <c r="D751" t="s">
        <v>2191</v>
      </c>
      <c r="E751" t="s">
        <v>117</v>
      </c>
      <c r="F751" s="1">
        <v>44837</v>
      </c>
    </row>
    <row r="752" spans="1:6" x14ac:dyDescent="0.3">
      <c r="A752">
        <v>445200</v>
      </c>
      <c r="B752" t="s">
        <v>2192</v>
      </c>
      <c r="C752" t="s">
        <v>2193</v>
      </c>
      <c r="D752" t="s">
        <v>2194</v>
      </c>
      <c r="E752" t="s">
        <v>17</v>
      </c>
      <c r="F752" s="1">
        <v>44990</v>
      </c>
    </row>
    <row r="753" spans="1:6" x14ac:dyDescent="0.3">
      <c r="A753">
        <v>699121</v>
      </c>
      <c r="B753" t="s">
        <v>2195</v>
      </c>
      <c r="C753" t="s">
        <v>2196</v>
      </c>
      <c r="D753" t="s">
        <v>2197</v>
      </c>
      <c r="E753" t="s">
        <v>117</v>
      </c>
      <c r="F753" s="1">
        <v>45150</v>
      </c>
    </row>
    <row r="754" spans="1:6" x14ac:dyDescent="0.3">
      <c r="A754">
        <v>372273</v>
      </c>
      <c r="B754" t="s">
        <v>2198</v>
      </c>
      <c r="C754" t="s">
        <v>2199</v>
      </c>
      <c r="D754" t="s">
        <v>2200</v>
      </c>
      <c r="E754" t="s">
        <v>32</v>
      </c>
      <c r="F754" s="1">
        <v>44827</v>
      </c>
    </row>
    <row r="755" spans="1:6" x14ac:dyDescent="0.3">
      <c r="A755">
        <v>644951</v>
      </c>
      <c r="B755" t="s">
        <v>1018</v>
      </c>
      <c r="C755" t="s">
        <v>2201</v>
      </c>
      <c r="D755" t="s">
        <v>2202</v>
      </c>
      <c r="E755" t="s">
        <v>399</v>
      </c>
      <c r="F755" s="1">
        <v>45038</v>
      </c>
    </row>
    <row r="756" spans="1:6" x14ac:dyDescent="0.3">
      <c r="A756">
        <v>101657</v>
      </c>
      <c r="B756" t="s">
        <v>2203</v>
      </c>
      <c r="C756" t="s">
        <v>2204</v>
      </c>
      <c r="D756" t="s">
        <v>2205</v>
      </c>
      <c r="E756" t="s">
        <v>28</v>
      </c>
      <c r="F756" s="1">
        <v>44986</v>
      </c>
    </row>
    <row r="757" spans="1:6" x14ac:dyDescent="0.3">
      <c r="A757">
        <v>147702</v>
      </c>
      <c r="B757" t="s">
        <v>2206</v>
      </c>
      <c r="C757" t="s">
        <v>2207</v>
      </c>
      <c r="D757" t="s">
        <v>2208</v>
      </c>
      <c r="E757" t="s">
        <v>17</v>
      </c>
      <c r="F757" s="1">
        <v>44585</v>
      </c>
    </row>
    <row r="758" spans="1:6" x14ac:dyDescent="0.3">
      <c r="A758">
        <v>366776</v>
      </c>
      <c r="B758" t="s">
        <v>2209</v>
      </c>
      <c r="C758" t="s">
        <v>2210</v>
      </c>
      <c r="D758" t="s">
        <v>2211</v>
      </c>
      <c r="E758" t="s">
        <v>46</v>
      </c>
      <c r="F758" s="1">
        <v>44574</v>
      </c>
    </row>
    <row r="759" spans="1:6" x14ac:dyDescent="0.3">
      <c r="A759">
        <v>457943</v>
      </c>
      <c r="B759" t="s">
        <v>2212</v>
      </c>
      <c r="C759" t="s">
        <v>2213</v>
      </c>
      <c r="D759" t="s">
        <v>2214</v>
      </c>
      <c r="E759" t="s">
        <v>143</v>
      </c>
      <c r="F759" s="1">
        <v>44921</v>
      </c>
    </row>
    <row r="760" spans="1:6" x14ac:dyDescent="0.3">
      <c r="A760">
        <v>805139</v>
      </c>
      <c r="B760" t="s">
        <v>2215</v>
      </c>
      <c r="C760" t="s">
        <v>2216</v>
      </c>
      <c r="D760" t="s">
        <v>2217</v>
      </c>
      <c r="E760" t="s">
        <v>143</v>
      </c>
      <c r="F760" s="1">
        <v>44840</v>
      </c>
    </row>
    <row r="761" spans="1:6" x14ac:dyDescent="0.3">
      <c r="A761">
        <v>663051</v>
      </c>
      <c r="B761" t="s">
        <v>1628</v>
      </c>
      <c r="C761" t="s">
        <v>2218</v>
      </c>
      <c r="D761" t="s">
        <v>2219</v>
      </c>
      <c r="E761" t="s">
        <v>13</v>
      </c>
      <c r="F761" s="1">
        <v>44676</v>
      </c>
    </row>
    <row r="762" spans="1:6" x14ac:dyDescent="0.3">
      <c r="A762">
        <v>682145</v>
      </c>
      <c r="B762" t="s">
        <v>646</v>
      </c>
      <c r="C762" t="s">
        <v>2220</v>
      </c>
      <c r="D762" t="s">
        <v>2221</v>
      </c>
      <c r="E762" t="s">
        <v>46</v>
      </c>
      <c r="F762" s="1">
        <v>45286</v>
      </c>
    </row>
    <row r="763" spans="1:6" x14ac:dyDescent="0.3">
      <c r="A763">
        <v>981578</v>
      </c>
      <c r="B763" t="s">
        <v>2222</v>
      </c>
      <c r="C763" t="s">
        <v>2223</v>
      </c>
      <c r="D763" t="s">
        <v>2224</v>
      </c>
      <c r="E763" t="s">
        <v>399</v>
      </c>
      <c r="F763" s="1">
        <v>45359</v>
      </c>
    </row>
    <row r="764" spans="1:6" x14ac:dyDescent="0.3">
      <c r="A764">
        <v>920347</v>
      </c>
      <c r="B764" t="s">
        <v>2225</v>
      </c>
      <c r="C764" t="s">
        <v>2226</v>
      </c>
      <c r="D764" t="s">
        <v>2227</v>
      </c>
      <c r="E764" t="s">
        <v>143</v>
      </c>
      <c r="F764" s="1">
        <v>45118</v>
      </c>
    </row>
    <row r="765" spans="1:6" x14ac:dyDescent="0.3">
      <c r="A765">
        <v>349185</v>
      </c>
      <c r="B765" t="s">
        <v>2228</v>
      </c>
      <c r="C765" t="s">
        <v>2229</v>
      </c>
      <c r="D765" t="s">
        <v>2230</v>
      </c>
      <c r="E765" t="s">
        <v>133</v>
      </c>
      <c r="F765" s="1">
        <v>45004</v>
      </c>
    </row>
    <row r="766" spans="1:6" x14ac:dyDescent="0.3">
      <c r="A766">
        <v>217683</v>
      </c>
      <c r="B766" t="s">
        <v>2231</v>
      </c>
      <c r="C766" t="s">
        <v>2232</v>
      </c>
      <c r="D766" t="s">
        <v>2233</v>
      </c>
      <c r="E766" t="s">
        <v>17</v>
      </c>
      <c r="F766" s="1">
        <v>44751</v>
      </c>
    </row>
    <row r="767" spans="1:6" x14ac:dyDescent="0.3">
      <c r="A767">
        <v>937838</v>
      </c>
      <c r="B767" t="s">
        <v>2234</v>
      </c>
      <c r="C767" t="s">
        <v>2235</v>
      </c>
      <c r="D767" t="s">
        <v>2236</v>
      </c>
      <c r="E767" t="s">
        <v>17</v>
      </c>
      <c r="F767" s="1">
        <v>45258</v>
      </c>
    </row>
    <row r="768" spans="1:6" x14ac:dyDescent="0.3">
      <c r="A768">
        <v>425434</v>
      </c>
      <c r="B768" t="s">
        <v>2237</v>
      </c>
      <c r="C768" t="s">
        <v>2238</v>
      </c>
      <c r="D768" t="s">
        <v>2239</v>
      </c>
      <c r="E768" t="s">
        <v>28</v>
      </c>
      <c r="F768" s="1">
        <v>45619</v>
      </c>
    </row>
    <row r="769" spans="1:6" x14ac:dyDescent="0.3">
      <c r="A769">
        <v>859767</v>
      </c>
      <c r="B769" t="s">
        <v>1417</v>
      </c>
      <c r="C769" t="s">
        <v>2240</v>
      </c>
      <c r="D769" t="s">
        <v>2241</v>
      </c>
      <c r="E769" t="s">
        <v>28</v>
      </c>
      <c r="F769" s="1">
        <v>44570</v>
      </c>
    </row>
    <row r="770" spans="1:6" x14ac:dyDescent="0.3">
      <c r="A770">
        <v>449479</v>
      </c>
      <c r="B770" t="s">
        <v>2242</v>
      </c>
      <c r="C770" t="s">
        <v>2243</v>
      </c>
      <c r="D770" t="s">
        <v>2244</v>
      </c>
      <c r="E770" t="s">
        <v>133</v>
      </c>
      <c r="F770" s="1">
        <v>44608</v>
      </c>
    </row>
    <row r="771" spans="1:6" x14ac:dyDescent="0.3">
      <c r="A771">
        <v>769883</v>
      </c>
      <c r="B771" t="s">
        <v>2245</v>
      </c>
      <c r="C771" t="s">
        <v>2246</v>
      </c>
      <c r="D771" t="s">
        <v>2247</v>
      </c>
      <c r="E771" t="s">
        <v>17</v>
      </c>
      <c r="F771" s="1">
        <v>45148</v>
      </c>
    </row>
    <row r="772" spans="1:6" x14ac:dyDescent="0.3">
      <c r="A772">
        <v>910326</v>
      </c>
      <c r="B772" t="s">
        <v>2248</v>
      </c>
      <c r="C772" t="s">
        <v>2249</v>
      </c>
      <c r="D772" t="s">
        <v>2250</v>
      </c>
      <c r="E772" t="s">
        <v>9</v>
      </c>
      <c r="F772" s="1">
        <v>44867</v>
      </c>
    </row>
    <row r="773" spans="1:6" x14ac:dyDescent="0.3">
      <c r="A773">
        <v>115997</v>
      </c>
      <c r="B773" t="s">
        <v>454</v>
      </c>
      <c r="C773" t="s">
        <v>2251</v>
      </c>
      <c r="D773" t="s">
        <v>197</v>
      </c>
      <c r="E773" t="s">
        <v>28</v>
      </c>
      <c r="F773" s="1">
        <v>44985</v>
      </c>
    </row>
    <row r="774" spans="1:6" x14ac:dyDescent="0.3">
      <c r="A774">
        <v>384218</v>
      </c>
      <c r="B774" t="s">
        <v>2252</v>
      </c>
      <c r="C774" t="s">
        <v>2253</v>
      </c>
      <c r="D774" t="s">
        <v>2254</v>
      </c>
      <c r="E774" t="s">
        <v>36</v>
      </c>
      <c r="F774" s="1">
        <v>44912</v>
      </c>
    </row>
    <row r="775" spans="1:6" x14ac:dyDescent="0.3">
      <c r="A775">
        <v>666836</v>
      </c>
      <c r="B775" t="s">
        <v>2255</v>
      </c>
      <c r="C775" t="s">
        <v>2256</v>
      </c>
      <c r="D775" t="s">
        <v>2257</v>
      </c>
      <c r="E775" t="s">
        <v>143</v>
      </c>
      <c r="F775" s="1">
        <v>45526</v>
      </c>
    </row>
    <row r="776" spans="1:6" x14ac:dyDescent="0.3">
      <c r="A776">
        <v>502233</v>
      </c>
      <c r="B776" t="s">
        <v>2258</v>
      </c>
      <c r="C776" t="s">
        <v>2259</v>
      </c>
      <c r="D776" t="s">
        <v>2260</v>
      </c>
      <c r="E776" t="s">
        <v>24</v>
      </c>
      <c r="F776" s="1">
        <v>44928</v>
      </c>
    </row>
    <row r="777" spans="1:6" x14ac:dyDescent="0.3">
      <c r="A777">
        <v>746253</v>
      </c>
      <c r="B777" t="s">
        <v>2261</v>
      </c>
      <c r="C777" t="s">
        <v>2262</v>
      </c>
      <c r="D777" t="s">
        <v>2263</v>
      </c>
      <c r="E777" t="s">
        <v>17</v>
      </c>
      <c r="F777" s="1">
        <v>45654</v>
      </c>
    </row>
    <row r="778" spans="1:6" x14ac:dyDescent="0.3">
      <c r="A778">
        <v>695370</v>
      </c>
      <c r="B778" t="s">
        <v>2264</v>
      </c>
      <c r="C778" t="s">
        <v>2265</v>
      </c>
      <c r="D778" t="s">
        <v>2266</v>
      </c>
      <c r="E778" t="s">
        <v>62</v>
      </c>
      <c r="F778" s="1">
        <v>44761</v>
      </c>
    </row>
    <row r="779" spans="1:6" x14ac:dyDescent="0.3">
      <c r="A779">
        <v>593403</v>
      </c>
      <c r="B779" t="s">
        <v>2267</v>
      </c>
      <c r="C779" t="s">
        <v>2268</v>
      </c>
      <c r="D779" t="s">
        <v>2269</v>
      </c>
      <c r="E779" t="s">
        <v>9</v>
      </c>
      <c r="F779" s="1">
        <v>45306</v>
      </c>
    </row>
    <row r="780" spans="1:6" x14ac:dyDescent="0.3">
      <c r="A780">
        <v>927094</v>
      </c>
      <c r="B780" t="s">
        <v>2270</v>
      </c>
      <c r="C780" t="s">
        <v>2271</v>
      </c>
      <c r="D780" t="s">
        <v>2272</v>
      </c>
      <c r="E780" t="s">
        <v>143</v>
      </c>
      <c r="F780" s="1">
        <v>44695</v>
      </c>
    </row>
    <row r="781" spans="1:6" x14ac:dyDescent="0.3">
      <c r="A781">
        <v>601903</v>
      </c>
      <c r="B781" t="s">
        <v>2273</v>
      </c>
      <c r="C781" t="s">
        <v>2274</v>
      </c>
      <c r="D781" t="s">
        <v>2275</v>
      </c>
      <c r="E781" t="s">
        <v>32</v>
      </c>
      <c r="F781" s="1">
        <v>44822</v>
      </c>
    </row>
    <row r="782" spans="1:6" x14ac:dyDescent="0.3">
      <c r="A782">
        <v>957266</v>
      </c>
      <c r="B782" t="s">
        <v>2276</v>
      </c>
      <c r="C782" t="s">
        <v>2277</v>
      </c>
      <c r="D782" t="s">
        <v>2278</v>
      </c>
      <c r="E782" t="s">
        <v>143</v>
      </c>
      <c r="F782" s="1">
        <v>45180</v>
      </c>
    </row>
    <row r="783" spans="1:6" x14ac:dyDescent="0.3">
      <c r="A783">
        <v>719221</v>
      </c>
      <c r="B783" t="s">
        <v>2279</v>
      </c>
      <c r="C783" t="s">
        <v>2280</v>
      </c>
      <c r="D783" t="s">
        <v>2281</v>
      </c>
      <c r="E783" t="s">
        <v>36</v>
      </c>
      <c r="F783" s="1">
        <v>44887</v>
      </c>
    </row>
    <row r="784" spans="1:6" x14ac:dyDescent="0.3">
      <c r="A784">
        <v>457264</v>
      </c>
      <c r="B784" t="s">
        <v>2282</v>
      </c>
      <c r="C784" t="s">
        <v>2283</v>
      </c>
      <c r="D784" t="s">
        <v>2284</v>
      </c>
      <c r="E784" t="s">
        <v>13</v>
      </c>
      <c r="F784" s="1">
        <v>45453</v>
      </c>
    </row>
    <row r="785" spans="1:6" x14ac:dyDescent="0.3">
      <c r="A785">
        <v>827851</v>
      </c>
      <c r="B785" t="s">
        <v>2285</v>
      </c>
      <c r="C785" t="s">
        <v>2286</v>
      </c>
      <c r="D785" t="s">
        <v>2287</v>
      </c>
      <c r="E785" t="s">
        <v>143</v>
      </c>
      <c r="F785" s="1">
        <v>45558</v>
      </c>
    </row>
    <row r="786" spans="1:6" x14ac:dyDescent="0.3">
      <c r="A786">
        <v>441183</v>
      </c>
      <c r="B786" t="s">
        <v>2288</v>
      </c>
      <c r="C786" t="s">
        <v>2289</v>
      </c>
      <c r="D786" t="s">
        <v>197</v>
      </c>
      <c r="E786" t="s">
        <v>62</v>
      </c>
      <c r="F786" s="1">
        <v>44922</v>
      </c>
    </row>
    <row r="787" spans="1:6" x14ac:dyDescent="0.3">
      <c r="A787">
        <v>727320</v>
      </c>
      <c r="B787" t="s">
        <v>2290</v>
      </c>
      <c r="C787" t="s">
        <v>2291</v>
      </c>
      <c r="D787" t="s">
        <v>2292</v>
      </c>
      <c r="E787" t="s">
        <v>24</v>
      </c>
      <c r="F787" s="1">
        <v>45232</v>
      </c>
    </row>
    <row r="788" spans="1:6" x14ac:dyDescent="0.3">
      <c r="A788">
        <v>194930</v>
      </c>
      <c r="B788" t="s">
        <v>2293</v>
      </c>
      <c r="C788" t="s">
        <v>2294</v>
      </c>
      <c r="D788" t="s">
        <v>2295</v>
      </c>
      <c r="E788" t="s">
        <v>143</v>
      </c>
      <c r="F788" s="1">
        <v>44862</v>
      </c>
    </row>
    <row r="789" spans="1:6" x14ac:dyDescent="0.3">
      <c r="A789">
        <v>657062</v>
      </c>
      <c r="B789" t="s">
        <v>2296</v>
      </c>
      <c r="C789" t="s">
        <v>2297</v>
      </c>
      <c r="D789" t="s">
        <v>2298</v>
      </c>
      <c r="E789" t="s">
        <v>62</v>
      </c>
      <c r="F789" s="1">
        <v>44962</v>
      </c>
    </row>
    <row r="790" spans="1:6" x14ac:dyDescent="0.3">
      <c r="A790">
        <v>414295</v>
      </c>
      <c r="B790" t="s">
        <v>2299</v>
      </c>
      <c r="C790" t="s">
        <v>2300</v>
      </c>
      <c r="D790" t="s">
        <v>2301</v>
      </c>
      <c r="E790" t="s">
        <v>13</v>
      </c>
      <c r="F790" s="1">
        <v>45267</v>
      </c>
    </row>
    <row r="791" spans="1:6" x14ac:dyDescent="0.3">
      <c r="A791">
        <v>741194</v>
      </c>
      <c r="B791" t="s">
        <v>2302</v>
      </c>
      <c r="C791" t="s">
        <v>2303</v>
      </c>
      <c r="D791" t="s">
        <v>2304</v>
      </c>
      <c r="E791" t="s">
        <v>399</v>
      </c>
      <c r="F791" s="1">
        <v>45164</v>
      </c>
    </row>
    <row r="792" spans="1:6" x14ac:dyDescent="0.3">
      <c r="A792">
        <v>155708</v>
      </c>
      <c r="B792" t="s">
        <v>2305</v>
      </c>
      <c r="C792" t="s">
        <v>2306</v>
      </c>
      <c r="D792" t="s">
        <v>2307</v>
      </c>
      <c r="E792" t="s">
        <v>32</v>
      </c>
      <c r="F792" s="1">
        <v>44786</v>
      </c>
    </row>
    <row r="793" spans="1:6" x14ac:dyDescent="0.3">
      <c r="A793">
        <v>552686</v>
      </c>
      <c r="B793" t="s">
        <v>2308</v>
      </c>
      <c r="C793" t="s">
        <v>2309</v>
      </c>
      <c r="D793" t="s">
        <v>2310</v>
      </c>
      <c r="E793" t="s">
        <v>46</v>
      </c>
      <c r="F793" s="1">
        <v>45345</v>
      </c>
    </row>
    <row r="794" spans="1:6" x14ac:dyDescent="0.3">
      <c r="A794">
        <v>671598</v>
      </c>
      <c r="B794" t="s">
        <v>2311</v>
      </c>
      <c r="C794" t="s">
        <v>2312</v>
      </c>
      <c r="D794" t="s">
        <v>2313</v>
      </c>
      <c r="E794" t="s">
        <v>117</v>
      </c>
      <c r="F794" s="1">
        <v>44846</v>
      </c>
    </row>
    <row r="795" spans="1:6" x14ac:dyDescent="0.3">
      <c r="A795">
        <v>984293</v>
      </c>
      <c r="B795" t="s">
        <v>2314</v>
      </c>
      <c r="C795" t="s">
        <v>2315</v>
      </c>
      <c r="D795" t="s">
        <v>2316</v>
      </c>
      <c r="E795" t="s">
        <v>133</v>
      </c>
      <c r="F795" s="1">
        <v>44819</v>
      </c>
    </row>
    <row r="796" spans="1:6" x14ac:dyDescent="0.3">
      <c r="A796">
        <v>779885</v>
      </c>
      <c r="B796" t="s">
        <v>1313</v>
      </c>
      <c r="C796" t="s">
        <v>2317</v>
      </c>
      <c r="D796" t="s">
        <v>2318</v>
      </c>
      <c r="E796" t="s">
        <v>117</v>
      </c>
      <c r="F796" s="1">
        <v>45456</v>
      </c>
    </row>
    <row r="797" spans="1:6" x14ac:dyDescent="0.3">
      <c r="A797">
        <v>773440</v>
      </c>
      <c r="B797" t="s">
        <v>2319</v>
      </c>
      <c r="C797" t="s">
        <v>2320</v>
      </c>
      <c r="D797" t="s">
        <v>2321</v>
      </c>
      <c r="E797" t="s">
        <v>13</v>
      </c>
      <c r="F797" s="1">
        <v>44930</v>
      </c>
    </row>
    <row r="798" spans="1:6" x14ac:dyDescent="0.3">
      <c r="A798">
        <v>678866</v>
      </c>
      <c r="B798" t="s">
        <v>2322</v>
      </c>
      <c r="C798" t="s">
        <v>2323</v>
      </c>
      <c r="D798" t="s">
        <v>2324</v>
      </c>
      <c r="E798" t="s">
        <v>36</v>
      </c>
      <c r="F798" s="1">
        <v>44942</v>
      </c>
    </row>
    <row r="799" spans="1:6" x14ac:dyDescent="0.3">
      <c r="A799">
        <v>706012</v>
      </c>
      <c r="B799" t="s">
        <v>2325</v>
      </c>
      <c r="C799" t="s">
        <v>2326</v>
      </c>
      <c r="D799" t="s">
        <v>2327</v>
      </c>
      <c r="E799" t="s">
        <v>9</v>
      </c>
      <c r="F799" s="1">
        <v>45403</v>
      </c>
    </row>
    <row r="800" spans="1:6" x14ac:dyDescent="0.3">
      <c r="A800">
        <v>135087</v>
      </c>
      <c r="B800" t="s">
        <v>2328</v>
      </c>
      <c r="C800" t="s">
        <v>2329</v>
      </c>
      <c r="D800" t="s">
        <v>2330</v>
      </c>
      <c r="E800" t="s">
        <v>32</v>
      </c>
      <c r="F800" s="1">
        <v>44793</v>
      </c>
    </row>
    <row r="801" spans="1:6" x14ac:dyDescent="0.3">
      <c r="A801">
        <v>248989</v>
      </c>
      <c r="B801" t="s">
        <v>2331</v>
      </c>
      <c r="C801" t="s">
        <v>2332</v>
      </c>
      <c r="D801" t="s">
        <v>2333</v>
      </c>
      <c r="E801" t="s">
        <v>143</v>
      </c>
      <c r="F801" s="1">
        <v>45633</v>
      </c>
    </row>
    <row r="802" spans="1:6" x14ac:dyDescent="0.3">
      <c r="A802">
        <v>595401</v>
      </c>
      <c r="B802" t="s">
        <v>2334</v>
      </c>
      <c r="C802" t="s">
        <v>2335</v>
      </c>
      <c r="D802" t="s">
        <v>2336</v>
      </c>
      <c r="E802" t="s">
        <v>143</v>
      </c>
      <c r="F802" s="1">
        <v>45201</v>
      </c>
    </row>
    <row r="803" spans="1:6" x14ac:dyDescent="0.3">
      <c r="A803">
        <v>661023</v>
      </c>
      <c r="B803" t="s">
        <v>2337</v>
      </c>
      <c r="C803" t="s">
        <v>2338</v>
      </c>
      <c r="D803" t="s">
        <v>2339</v>
      </c>
      <c r="E803" t="s">
        <v>117</v>
      </c>
      <c r="F803" s="1">
        <v>45240</v>
      </c>
    </row>
    <row r="804" spans="1:6" x14ac:dyDescent="0.3">
      <c r="A804">
        <v>403257</v>
      </c>
      <c r="B804" t="s">
        <v>2340</v>
      </c>
      <c r="C804" t="s">
        <v>2341</v>
      </c>
      <c r="D804" t="s">
        <v>2342</v>
      </c>
      <c r="E804" t="s">
        <v>133</v>
      </c>
      <c r="F804" s="1">
        <v>45095</v>
      </c>
    </row>
    <row r="805" spans="1:6" x14ac:dyDescent="0.3">
      <c r="A805">
        <v>706224</v>
      </c>
      <c r="B805" t="s">
        <v>2343</v>
      </c>
      <c r="C805" t="s">
        <v>2344</v>
      </c>
      <c r="D805" t="s">
        <v>2345</v>
      </c>
      <c r="E805" t="s">
        <v>133</v>
      </c>
      <c r="F805" s="1">
        <v>44617</v>
      </c>
    </row>
    <row r="806" spans="1:6" x14ac:dyDescent="0.3">
      <c r="A806">
        <v>232981</v>
      </c>
      <c r="B806" t="s">
        <v>2346</v>
      </c>
      <c r="C806" t="s">
        <v>2347</v>
      </c>
      <c r="D806" t="s">
        <v>2348</v>
      </c>
      <c r="E806" t="s">
        <v>9</v>
      </c>
      <c r="F806" s="1">
        <v>45078</v>
      </c>
    </row>
    <row r="807" spans="1:6" x14ac:dyDescent="0.3">
      <c r="A807">
        <v>388586</v>
      </c>
      <c r="B807" t="s">
        <v>2349</v>
      </c>
      <c r="C807" t="s">
        <v>2350</v>
      </c>
      <c r="D807" t="s">
        <v>2351</v>
      </c>
      <c r="E807" t="s">
        <v>28</v>
      </c>
      <c r="F807" s="1">
        <v>44919</v>
      </c>
    </row>
    <row r="808" spans="1:6" x14ac:dyDescent="0.3">
      <c r="A808">
        <v>791174</v>
      </c>
      <c r="B808" t="s">
        <v>2352</v>
      </c>
      <c r="C808" t="s">
        <v>2353</v>
      </c>
      <c r="D808" t="s">
        <v>2354</v>
      </c>
      <c r="E808" t="s">
        <v>399</v>
      </c>
      <c r="F808" s="1">
        <v>45097</v>
      </c>
    </row>
    <row r="809" spans="1:6" x14ac:dyDescent="0.3">
      <c r="A809">
        <v>289592</v>
      </c>
      <c r="B809" t="s">
        <v>2355</v>
      </c>
      <c r="C809" t="s">
        <v>2356</v>
      </c>
      <c r="D809" t="s">
        <v>2357</v>
      </c>
      <c r="E809" t="s">
        <v>143</v>
      </c>
      <c r="F809" s="1">
        <v>44859</v>
      </c>
    </row>
    <row r="810" spans="1:6" x14ac:dyDescent="0.3">
      <c r="A810">
        <v>889327</v>
      </c>
      <c r="B810" t="s">
        <v>2358</v>
      </c>
      <c r="C810" t="s">
        <v>2359</v>
      </c>
      <c r="D810" t="s">
        <v>2360</v>
      </c>
      <c r="E810" t="s">
        <v>62</v>
      </c>
      <c r="F810" s="1">
        <v>44904</v>
      </c>
    </row>
    <row r="811" spans="1:6" x14ac:dyDescent="0.3">
      <c r="A811">
        <v>156964</v>
      </c>
      <c r="B811" t="s">
        <v>2361</v>
      </c>
      <c r="C811" t="s">
        <v>2362</v>
      </c>
      <c r="D811" t="s">
        <v>197</v>
      </c>
      <c r="E811" t="s">
        <v>28</v>
      </c>
      <c r="F811" s="1">
        <v>44669</v>
      </c>
    </row>
    <row r="812" spans="1:6" x14ac:dyDescent="0.3">
      <c r="A812">
        <v>599365</v>
      </c>
      <c r="B812" t="s">
        <v>2363</v>
      </c>
      <c r="C812" t="s">
        <v>2364</v>
      </c>
      <c r="D812" t="s">
        <v>2365</v>
      </c>
      <c r="E812" t="s">
        <v>36</v>
      </c>
      <c r="F812" s="1">
        <v>45339</v>
      </c>
    </row>
    <row r="813" spans="1:6" x14ac:dyDescent="0.3">
      <c r="A813">
        <v>597643</v>
      </c>
      <c r="B813" t="s">
        <v>2366</v>
      </c>
      <c r="C813" t="s">
        <v>2367</v>
      </c>
      <c r="D813" t="s">
        <v>2368</v>
      </c>
      <c r="E813" t="s">
        <v>13</v>
      </c>
      <c r="F813" s="1">
        <v>44586</v>
      </c>
    </row>
    <row r="814" spans="1:6" x14ac:dyDescent="0.3">
      <c r="A814">
        <v>811451</v>
      </c>
      <c r="B814" t="s">
        <v>1634</v>
      </c>
      <c r="C814" t="s">
        <v>2369</v>
      </c>
      <c r="D814" t="s">
        <v>2370</v>
      </c>
      <c r="E814" t="s">
        <v>143</v>
      </c>
      <c r="F814" s="1">
        <v>44761</v>
      </c>
    </row>
    <row r="815" spans="1:6" x14ac:dyDescent="0.3">
      <c r="A815">
        <v>985249</v>
      </c>
      <c r="B815" t="s">
        <v>2371</v>
      </c>
      <c r="C815" t="s">
        <v>2372</v>
      </c>
      <c r="D815" t="s">
        <v>197</v>
      </c>
      <c r="E815" t="s">
        <v>9</v>
      </c>
      <c r="F815" s="1">
        <v>45248</v>
      </c>
    </row>
    <row r="816" spans="1:6" x14ac:dyDescent="0.3">
      <c r="A816">
        <v>367747</v>
      </c>
      <c r="B816" t="s">
        <v>1784</v>
      </c>
      <c r="C816" t="s">
        <v>2373</v>
      </c>
      <c r="D816" t="s">
        <v>2374</v>
      </c>
      <c r="E816" t="s">
        <v>62</v>
      </c>
      <c r="F816" s="1">
        <v>45057</v>
      </c>
    </row>
    <row r="817" spans="1:6" x14ac:dyDescent="0.3">
      <c r="A817">
        <v>645209</v>
      </c>
      <c r="B817" t="s">
        <v>591</v>
      </c>
      <c r="C817" t="s">
        <v>2375</v>
      </c>
      <c r="D817" t="s">
        <v>2376</v>
      </c>
      <c r="E817" t="s">
        <v>399</v>
      </c>
      <c r="F817" s="1">
        <v>45203</v>
      </c>
    </row>
    <row r="818" spans="1:6" x14ac:dyDescent="0.3">
      <c r="A818">
        <v>972089</v>
      </c>
      <c r="B818" t="s">
        <v>2377</v>
      </c>
      <c r="C818" t="s">
        <v>2378</v>
      </c>
      <c r="D818" t="s">
        <v>2379</v>
      </c>
      <c r="E818" t="s">
        <v>28</v>
      </c>
      <c r="F818" s="1">
        <v>45637</v>
      </c>
    </row>
    <row r="819" spans="1:6" x14ac:dyDescent="0.3">
      <c r="A819">
        <v>468591</v>
      </c>
      <c r="B819" t="s">
        <v>2380</v>
      </c>
      <c r="C819" t="s">
        <v>2381</v>
      </c>
      <c r="D819" t="s">
        <v>2382</v>
      </c>
      <c r="E819" t="s">
        <v>17</v>
      </c>
      <c r="F819" s="1">
        <v>44631</v>
      </c>
    </row>
    <row r="820" spans="1:6" x14ac:dyDescent="0.3">
      <c r="A820">
        <v>159645</v>
      </c>
      <c r="B820" t="s">
        <v>2383</v>
      </c>
      <c r="C820" t="s">
        <v>2384</v>
      </c>
      <c r="D820" t="s">
        <v>197</v>
      </c>
      <c r="E820" t="s">
        <v>17</v>
      </c>
      <c r="F820" s="1">
        <v>44811</v>
      </c>
    </row>
    <row r="821" spans="1:6" x14ac:dyDescent="0.3">
      <c r="A821">
        <v>998043</v>
      </c>
      <c r="B821" t="s">
        <v>2385</v>
      </c>
      <c r="C821" t="s">
        <v>2386</v>
      </c>
      <c r="D821" t="s">
        <v>2387</v>
      </c>
      <c r="E821" t="s">
        <v>399</v>
      </c>
      <c r="F821" s="1">
        <v>44789</v>
      </c>
    </row>
    <row r="822" spans="1:6" x14ac:dyDescent="0.3">
      <c r="A822">
        <v>408877</v>
      </c>
      <c r="B822" t="s">
        <v>2388</v>
      </c>
      <c r="C822" t="s">
        <v>2389</v>
      </c>
      <c r="D822" t="s">
        <v>2390</v>
      </c>
      <c r="E822" t="s">
        <v>143</v>
      </c>
      <c r="F822" s="1">
        <v>45490</v>
      </c>
    </row>
    <row r="823" spans="1:6" x14ac:dyDescent="0.3">
      <c r="A823">
        <v>825846</v>
      </c>
      <c r="B823" t="s">
        <v>2391</v>
      </c>
      <c r="C823" t="s">
        <v>2392</v>
      </c>
      <c r="D823" t="s">
        <v>2393</v>
      </c>
      <c r="E823" t="s">
        <v>399</v>
      </c>
      <c r="F823" s="1">
        <v>44713</v>
      </c>
    </row>
    <row r="824" spans="1:6" x14ac:dyDescent="0.3">
      <c r="A824">
        <v>501393</v>
      </c>
      <c r="B824" t="s">
        <v>2394</v>
      </c>
      <c r="C824" t="s">
        <v>2395</v>
      </c>
      <c r="D824" t="s">
        <v>2396</v>
      </c>
      <c r="E824" t="s">
        <v>9</v>
      </c>
      <c r="F824" s="1">
        <v>45104</v>
      </c>
    </row>
    <row r="825" spans="1:6" x14ac:dyDescent="0.3">
      <c r="A825">
        <v>615607</v>
      </c>
      <c r="B825" t="s">
        <v>2397</v>
      </c>
      <c r="C825" t="s">
        <v>2398</v>
      </c>
      <c r="D825" t="s">
        <v>2399</v>
      </c>
      <c r="E825" t="s">
        <v>399</v>
      </c>
      <c r="F825" s="1">
        <v>45569</v>
      </c>
    </row>
    <row r="826" spans="1:6" x14ac:dyDescent="0.3">
      <c r="A826">
        <v>906048</v>
      </c>
      <c r="B826" t="s">
        <v>2400</v>
      </c>
      <c r="C826" t="s">
        <v>2401</v>
      </c>
      <c r="D826" t="s">
        <v>2402</v>
      </c>
      <c r="E826" t="s">
        <v>28</v>
      </c>
      <c r="F826" s="1">
        <v>45466</v>
      </c>
    </row>
    <row r="827" spans="1:6" x14ac:dyDescent="0.3">
      <c r="A827">
        <v>136554</v>
      </c>
      <c r="B827" t="s">
        <v>2403</v>
      </c>
      <c r="C827" t="s">
        <v>2404</v>
      </c>
      <c r="D827" t="s">
        <v>2405</v>
      </c>
      <c r="E827" t="s">
        <v>9</v>
      </c>
      <c r="F827" s="1">
        <v>45475</v>
      </c>
    </row>
    <row r="828" spans="1:6" x14ac:dyDescent="0.3">
      <c r="A828">
        <v>784578</v>
      </c>
      <c r="B828" t="s">
        <v>2406</v>
      </c>
      <c r="C828" t="s">
        <v>2407</v>
      </c>
      <c r="D828" t="s">
        <v>2408</v>
      </c>
      <c r="E828" t="s">
        <v>143</v>
      </c>
      <c r="F828" s="1">
        <v>45361</v>
      </c>
    </row>
    <row r="829" spans="1:6" x14ac:dyDescent="0.3">
      <c r="A829">
        <v>510339</v>
      </c>
      <c r="B829" t="s">
        <v>2409</v>
      </c>
      <c r="C829" t="s">
        <v>2410</v>
      </c>
      <c r="D829" t="s">
        <v>2411</v>
      </c>
      <c r="E829" t="s">
        <v>117</v>
      </c>
      <c r="F829" s="1">
        <v>45541</v>
      </c>
    </row>
    <row r="830" spans="1:6" x14ac:dyDescent="0.3">
      <c r="A830">
        <v>666366</v>
      </c>
      <c r="B830" t="s">
        <v>2412</v>
      </c>
      <c r="C830" t="s">
        <v>2413</v>
      </c>
      <c r="D830" t="s">
        <v>2414</v>
      </c>
      <c r="E830" t="s">
        <v>117</v>
      </c>
      <c r="F830" s="1">
        <v>44810</v>
      </c>
    </row>
    <row r="831" spans="1:6" x14ac:dyDescent="0.3">
      <c r="A831">
        <v>449636</v>
      </c>
      <c r="B831" t="s">
        <v>1258</v>
      </c>
      <c r="C831" t="s">
        <v>2415</v>
      </c>
      <c r="D831" t="s">
        <v>2416</v>
      </c>
      <c r="E831" t="s">
        <v>143</v>
      </c>
      <c r="F831" s="1">
        <v>44747</v>
      </c>
    </row>
    <row r="832" spans="1:6" x14ac:dyDescent="0.3">
      <c r="A832">
        <v>184365</v>
      </c>
      <c r="B832" t="s">
        <v>2417</v>
      </c>
      <c r="C832" t="s">
        <v>2418</v>
      </c>
      <c r="D832" t="s">
        <v>2419</v>
      </c>
      <c r="E832" t="s">
        <v>17</v>
      </c>
      <c r="F832" s="1">
        <v>44923</v>
      </c>
    </row>
    <row r="833" spans="1:6" x14ac:dyDescent="0.3">
      <c r="A833">
        <v>792829</v>
      </c>
      <c r="B833" t="s">
        <v>2420</v>
      </c>
      <c r="C833" t="s">
        <v>2421</v>
      </c>
      <c r="D833" t="s">
        <v>2422</v>
      </c>
      <c r="E833" t="s">
        <v>24</v>
      </c>
      <c r="F833" s="1">
        <v>44780</v>
      </c>
    </row>
    <row r="834" spans="1:6" x14ac:dyDescent="0.3">
      <c r="A834">
        <v>610135</v>
      </c>
      <c r="B834" t="s">
        <v>2423</v>
      </c>
      <c r="C834" t="s">
        <v>2424</v>
      </c>
      <c r="D834" t="s">
        <v>2425</v>
      </c>
      <c r="E834" t="s">
        <v>17</v>
      </c>
      <c r="F834" s="1">
        <v>44848</v>
      </c>
    </row>
    <row r="835" spans="1:6" x14ac:dyDescent="0.3">
      <c r="A835">
        <v>854701</v>
      </c>
      <c r="B835" t="s">
        <v>2426</v>
      </c>
      <c r="C835" t="s">
        <v>2427</v>
      </c>
      <c r="D835" t="s">
        <v>2428</v>
      </c>
      <c r="E835" t="s">
        <v>24</v>
      </c>
      <c r="F835" s="1">
        <v>44691</v>
      </c>
    </row>
    <row r="836" spans="1:6" x14ac:dyDescent="0.3">
      <c r="A836">
        <v>623956</v>
      </c>
      <c r="B836" t="s">
        <v>2429</v>
      </c>
      <c r="C836" t="s">
        <v>2430</v>
      </c>
      <c r="D836" t="s">
        <v>2431</v>
      </c>
      <c r="E836" t="s">
        <v>143</v>
      </c>
      <c r="F836" s="1">
        <v>44637</v>
      </c>
    </row>
    <row r="837" spans="1:6" x14ac:dyDescent="0.3">
      <c r="A837">
        <v>926045</v>
      </c>
      <c r="B837" t="s">
        <v>903</v>
      </c>
      <c r="C837" t="s">
        <v>2432</v>
      </c>
      <c r="D837" t="s">
        <v>2433</v>
      </c>
      <c r="E837" t="s">
        <v>17</v>
      </c>
      <c r="F837" s="1">
        <v>45633</v>
      </c>
    </row>
    <row r="838" spans="1:6" x14ac:dyDescent="0.3">
      <c r="A838">
        <v>256189</v>
      </c>
      <c r="B838" t="s">
        <v>1296</v>
      </c>
      <c r="C838" t="s">
        <v>2434</v>
      </c>
      <c r="D838" t="s">
        <v>2435</v>
      </c>
      <c r="E838" t="s">
        <v>143</v>
      </c>
      <c r="F838" s="1">
        <v>44637</v>
      </c>
    </row>
    <row r="839" spans="1:6" x14ac:dyDescent="0.3">
      <c r="A839">
        <v>785592</v>
      </c>
      <c r="B839" t="s">
        <v>2436</v>
      </c>
      <c r="C839" t="s">
        <v>2437</v>
      </c>
      <c r="D839" t="s">
        <v>2438</v>
      </c>
      <c r="E839" t="s">
        <v>143</v>
      </c>
      <c r="F839" s="1">
        <v>45059</v>
      </c>
    </row>
    <row r="840" spans="1:6" x14ac:dyDescent="0.3">
      <c r="A840">
        <v>115063</v>
      </c>
      <c r="B840" t="s">
        <v>2439</v>
      </c>
      <c r="C840" t="s">
        <v>2440</v>
      </c>
      <c r="D840" t="s">
        <v>2441</v>
      </c>
      <c r="E840" t="s">
        <v>133</v>
      </c>
      <c r="F840" s="1">
        <v>44761</v>
      </c>
    </row>
    <row r="841" spans="1:6" x14ac:dyDescent="0.3">
      <c r="A841">
        <v>975930</v>
      </c>
      <c r="B841" t="s">
        <v>2442</v>
      </c>
      <c r="C841" t="s">
        <v>2443</v>
      </c>
      <c r="D841" t="s">
        <v>2444</v>
      </c>
      <c r="E841" t="s">
        <v>28</v>
      </c>
      <c r="F841" s="1">
        <v>44795</v>
      </c>
    </row>
    <row r="842" spans="1:6" x14ac:dyDescent="0.3">
      <c r="A842">
        <v>166175</v>
      </c>
      <c r="B842" t="s">
        <v>2445</v>
      </c>
      <c r="C842" t="s">
        <v>2446</v>
      </c>
      <c r="D842" t="s">
        <v>2447</v>
      </c>
      <c r="E842" t="s">
        <v>24</v>
      </c>
      <c r="F842" s="1">
        <v>45226</v>
      </c>
    </row>
    <row r="843" spans="1:6" x14ac:dyDescent="0.3">
      <c r="A843">
        <v>244000</v>
      </c>
      <c r="B843" t="s">
        <v>2448</v>
      </c>
      <c r="C843" t="s">
        <v>2449</v>
      </c>
      <c r="D843" t="s">
        <v>2450</v>
      </c>
      <c r="E843" t="s">
        <v>143</v>
      </c>
      <c r="F843" s="1">
        <v>44917</v>
      </c>
    </row>
    <row r="844" spans="1:6" x14ac:dyDescent="0.3">
      <c r="A844">
        <v>387198</v>
      </c>
      <c r="B844" t="s">
        <v>2451</v>
      </c>
      <c r="C844" t="s">
        <v>2452</v>
      </c>
      <c r="D844" t="s">
        <v>2453</v>
      </c>
      <c r="E844" t="s">
        <v>32</v>
      </c>
      <c r="F844" s="1">
        <v>44899</v>
      </c>
    </row>
    <row r="845" spans="1:6" x14ac:dyDescent="0.3">
      <c r="A845">
        <v>239849</v>
      </c>
      <c r="B845" t="s">
        <v>2454</v>
      </c>
      <c r="C845" t="s">
        <v>2455</v>
      </c>
      <c r="D845" t="s">
        <v>2456</v>
      </c>
      <c r="E845" t="s">
        <v>24</v>
      </c>
      <c r="F845" s="1">
        <v>44885</v>
      </c>
    </row>
    <row r="846" spans="1:6" x14ac:dyDescent="0.3">
      <c r="A846">
        <v>106658</v>
      </c>
      <c r="B846" t="s">
        <v>2457</v>
      </c>
      <c r="C846" t="s">
        <v>2458</v>
      </c>
      <c r="D846" t="s">
        <v>2459</v>
      </c>
      <c r="E846" t="s">
        <v>143</v>
      </c>
      <c r="F846" s="1">
        <v>45143</v>
      </c>
    </row>
    <row r="847" spans="1:6" x14ac:dyDescent="0.3">
      <c r="A847">
        <v>825990</v>
      </c>
      <c r="B847" t="s">
        <v>2113</v>
      </c>
      <c r="C847" t="s">
        <v>2460</v>
      </c>
      <c r="D847" t="s">
        <v>2461</v>
      </c>
      <c r="E847" t="s">
        <v>9</v>
      </c>
      <c r="F847" s="1">
        <v>45633</v>
      </c>
    </row>
    <row r="848" spans="1:6" x14ac:dyDescent="0.3">
      <c r="A848">
        <v>283027</v>
      </c>
      <c r="B848" t="s">
        <v>2462</v>
      </c>
      <c r="C848" t="s">
        <v>2463</v>
      </c>
      <c r="D848" t="s">
        <v>2464</v>
      </c>
      <c r="E848" t="s">
        <v>399</v>
      </c>
      <c r="F848" s="1">
        <v>45585</v>
      </c>
    </row>
    <row r="849" spans="1:6" x14ac:dyDescent="0.3">
      <c r="A849">
        <v>464750</v>
      </c>
      <c r="B849" t="s">
        <v>2465</v>
      </c>
      <c r="C849" t="s">
        <v>2466</v>
      </c>
      <c r="D849" t="s">
        <v>2467</v>
      </c>
      <c r="E849" t="s">
        <v>36</v>
      </c>
      <c r="F849" s="1">
        <v>44955</v>
      </c>
    </row>
    <row r="850" spans="1:6" x14ac:dyDescent="0.3">
      <c r="A850">
        <v>748985</v>
      </c>
      <c r="B850" t="s">
        <v>2468</v>
      </c>
      <c r="C850" t="s">
        <v>2469</v>
      </c>
      <c r="D850" t="s">
        <v>2470</v>
      </c>
      <c r="E850" t="s">
        <v>36</v>
      </c>
      <c r="F850" s="1">
        <v>45512</v>
      </c>
    </row>
    <row r="851" spans="1:6" x14ac:dyDescent="0.3">
      <c r="A851">
        <v>389854</v>
      </c>
      <c r="B851" t="s">
        <v>2471</v>
      </c>
      <c r="C851" t="s">
        <v>2472</v>
      </c>
      <c r="D851" t="s">
        <v>2473</v>
      </c>
      <c r="E851" t="s">
        <v>399</v>
      </c>
      <c r="F851" s="1">
        <v>45533</v>
      </c>
    </row>
    <row r="852" spans="1:6" x14ac:dyDescent="0.3">
      <c r="A852">
        <v>802695</v>
      </c>
      <c r="B852" t="s">
        <v>2474</v>
      </c>
      <c r="C852" t="s">
        <v>2475</v>
      </c>
      <c r="D852" t="s">
        <v>197</v>
      </c>
      <c r="E852" t="s">
        <v>32</v>
      </c>
      <c r="F852" s="1">
        <v>45145</v>
      </c>
    </row>
    <row r="853" spans="1:6" x14ac:dyDescent="0.3">
      <c r="A853">
        <v>450533</v>
      </c>
      <c r="B853" t="s">
        <v>2476</v>
      </c>
      <c r="C853" t="s">
        <v>2477</v>
      </c>
      <c r="D853" t="s">
        <v>2478</v>
      </c>
      <c r="E853" t="s">
        <v>28</v>
      </c>
      <c r="F853" s="1">
        <v>44669</v>
      </c>
    </row>
    <row r="854" spans="1:6" x14ac:dyDescent="0.3">
      <c r="A854">
        <v>923648</v>
      </c>
      <c r="B854" t="s">
        <v>2479</v>
      </c>
      <c r="C854" t="s">
        <v>2480</v>
      </c>
      <c r="D854" t="s">
        <v>2481</v>
      </c>
      <c r="E854" t="s">
        <v>28</v>
      </c>
      <c r="F854" s="1">
        <v>44707</v>
      </c>
    </row>
    <row r="855" spans="1:6" x14ac:dyDescent="0.3">
      <c r="A855">
        <v>721497</v>
      </c>
      <c r="B855" t="s">
        <v>2482</v>
      </c>
      <c r="C855" t="s">
        <v>2483</v>
      </c>
      <c r="D855" t="s">
        <v>2484</v>
      </c>
      <c r="E855" t="s">
        <v>17</v>
      </c>
      <c r="F855" s="1">
        <v>45229</v>
      </c>
    </row>
    <row r="856" spans="1:6" x14ac:dyDescent="0.3">
      <c r="A856">
        <v>441974</v>
      </c>
      <c r="B856" t="s">
        <v>2485</v>
      </c>
      <c r="C856" t="s">
        <v>2486</v>
      </c>
      <c r="D856" t="s">
        <v>2487</v>
      </c>
      <c r="E856" t="s">
        <v>13</v>
      </c>
      <c r="F856" s="1">
        <v>44971</v>
      </c>
    </row>
    <row r="857" spans="1:6" x14ac:dyDescent="0.3">
      <c r="A857">
        <v>593869</v>
      </c>
      <c r="B857" t="s">
        <v>2488</v>
      </c>
      <c r="C857" t="s">
        <v>2489</v>
      </c>
      <c r="D857" t="s">
        <v>2490</v>
      </c>
      <c r="E857" t="s">
        <v>13</v>
      </c>
      <c r="F857" s="1">
        <v>44858</v>
      </c>
    </row>
    <row r="858" spans="1:6" x14ac:dyDescent="0.3">
      <c r="A858">
        <v>286710</v>
      </c>
      <c r="B858" t="s">
        <v>2491</v>
      </c>
      <c r="C858" t="s">
        <v>2492</v>
      </c>
      <c r="D858" t="s">
        <v>2493</v>
      </c>
      <c r="E858" t="s">
        <v>62</v>
      </c>
      <c r="F858" s="1">
        <v>44959</v>
      </c>
    </row>
    <row r="859" spans="1:6" x14ac:dyDescent="0.3">
      <c r="A859">
        <v>312033</v>
      </c>
      <c r="B859" t="s">
        <v>2494</v>
      </c>
      <c r="C859" t="s">
        <v>2495</v>
      </c>
      <c r="D859" t="s">
        <v>2496</v>
      </c>
      <c r="E859" t="s">
        <v>143</v>
      </c>
      <c r="F859" s="1">
        <v>45136</v>
      </c>
    </row>
    <row r="860" spans="1:6" x14ac:dyDescent="0.3">
      <c r="A860">
        <v>580854</v>
      </c>
      <c r="B860" t="s">
        <v>2497</v>
      </c>
      <c r="C860" t="s">
        <v>2498</v>
      </c>
      <c r="D860" t="s">
        <v>2499</v>
      </c>
      <c r="E860" t="s">
        <v>46</v>
      </c>
      <c r="F860" s="1">
        <v>45012</v>
      </c>
    </row>
    <row r="861" spans="1:6" x14ac:dyDescent="0.3">
      <c r="A861">
        <v>927899</v>
      </c>
      <c r="B861" t="s">
        <v>2500</v>
      </c>
      <c r="C861" t="s">
        <v>2501</v>
      </c>
      <c r="D861" t="s">
        <v>2502</v>
      </c>
      <c r="E861" t="s">
        <v>399</v>
      </c>
      <c r="F861" s="1">
        <v>45032</v>
      </c>
    </row>
    <row r="862" spans="1:6" x14ac:dyDescent="0.3">
      <c r="A862">
        <v>612977</v>
      </c>
      <c r="B862" t="s">
        <v>2503</v>
      </c>
      <c r="C862" t="s">
        <v>2504</v>
      </c>
      <c r="D862" t="s">
        <v>2505</v>
      </c>
      <c r="E862" t="s">
        <v>62</v>
      </c>
      <c r="F862" s="1">
        <v>45133</v>
      </c>
    </row>
    <row r="863" spans="1:6" x14ac:dyDescent="0.3">
      <c r="A863">
        <v>871939</v>
      </c>
      <c r="B863" t="s">
        <v>2506</v>
      </c>
      <c r="C863" t="s">
        <v>2507</v>
      </c>
      <c r="D863" t="s">
        <v>197</v>
      </c>
      <c r="E863" t="s">
        <v>13</v>
      </c>
      <c r="F863" s="1">
        <v>45017</v>
      </c>
    </row>
    <row r="864" spans="1:6" x14ac:dyDescent="0.3">
      <c r="A864">
        <v>538065</v>
      </c>
      <c r="B864" t="s">
        <v>2508</v>
      </c>
      <c r="C864" t="s">
        <v>2509</v>
      </c>
      <c r="D864" t="s">
        <v>2510</v>
      </c>
      <c r="E864" t="s">
        <v>143</v>
      </c>
      <c r="F864" s="1">
        <v>45433</v>
      </c>
    </row>
    <row r="865" spans="1:6" x14ac:dyDescent="0.3">
      <c r="A865">
        <v>949049</v>
      </c>
      <c r="B865" t="s">
        <v>2511</v>
      </c>
      <c r="C865" t="s">
        <v>2512</v>
      </c>
      <c r="D865" t="s">
        <v>2513</v>
      </c>
      <c r="E865" t="s">
        <v>117</v>
      </c>
      <c r="F865" s="1">
        <v>45054</v>
      </c>
    </row>
    <row r="866" spans="1:6" x14ac:dyDescent="0.3">
      <c r="A866">
        <v>826830</v>
      </c>
      <c r="B866" t="s">
        <v>2514</v>
      </c>
      <c r="C866" t="s">
        <v>2515</v>
      </c>
      <c r="D866" t="s">
        <v>2516</v>
      </c>
      <c r="E866" t="s">
        <v>32</v>
      </c>
      <c r="F866" s="1">
        <v>45167</v>
      </c>
    </row>
    <row r="867" spans="1:6" x14ac:dyDescent="0.3">
      <c r="A867">
        <v>116703</v>
      </c>
      <c r="B867" t="s">
        <v>2517</v>
      </c>
      <c r="C867" t="s">
        <v>2518</v>
      </c>
      <c r="D867" t="s">
        <v>2519</v>
      </c>
      <c r="E867" t="s">
        <v>399</v>
      </c>
      <c r="F867" s="1">
        <v>45502</v>
      </c>
    </row>
    <row r="868" spans="1:6" x14ac:dyDescent="0.3">
      <c r="A868">
        <v>576935</v>
      </c>
      <c r="B868" t="s">
        <v>2520</v>
      </c>
      <c r="C868" t="s">
        <v>2521</v>
      </c>
      <c r="D868" t="s">
        <v>2522</v>
      </c>
      <c r="E868" t="s">
        <v>24</v>
      </c>
      <c r="F868" s="1">
        <v>44940</v>
      </c>
    </row>
    <row r="869" spans="1:6" x14ac:dyDescent="0.3">
      <c r="A869">
        <v>838094</v>
      </c>
      <c r="B869" t="s">
        <v>2406</v>
      </c>
      <c r="C869" t="s">
        <v>2523</v>
      </c>
      <c r="D869" t="s">
        <v>2524</v>
      </c>
      <c r="E869" t="s">
        <v>143</v>
      </c>
      <c r="F869" s="1">
        <v>45350</v>
      </c>
    </row>
    <row r="870" spans="1:6" x14ac:dyDescent="0.3">
      <c r="A870">
        <v>134303</v>
      </c>
      <c r="B870" t="s">
        <v>2525</v>
      </c>
      <c r="C870" t="s">
        <v>2526</v>
      </c>
      <c r="D870" t="s">
        <v>2527</v>
      </c>
      <c r="E870" t="s">
        <v>9</v>
      </c>
      <c r="F870" s="1">
        <v>44986</v>
      </c>
    </row>
    <row r="871" spans="1:6" x14ac:dyDescent="0.3">
      <c r="A871">
        <v>871501</v>
      </c>
      <c r="B871" t="s">
        <v>2528</v>
      </c>
      <c r="C871" t="s">
        <v>2529</v>
      </c>
      <c r="D871" t="s">
        <v>2530</v>
      </c>
      <c r="E871" t="s">
        <v>32</v>
      </c>
      <c r="F871" s="1">
        <v>44667</v>
      </c>
    </row>
    <row r="872" spans="1:6" x14ac:dyDescent="0.3">
      <c r="A872">
        <v>587957</v>
      </c>
      <c r="B872" t="s">
        <v>2531</v>
      </c>
      <c r="C872" t="s">
        <v>2532</v>
      </c>
      <c r="D872" t="s">
        <v>2533</v>
      </c>
      <c r="E872" t="s">
        <v>32</v>
      </c>
      <c r="F872" s="1">
        <v>44920</v>
      </c>
    </row>
    <row r="873" spans="1:6" x14ac:dyDescent="0.3">
      <c r="A873">
        <v>687997</v>
      </c>
      <c r="B873" t="s">
        <v>2534</v>
      </c>
      <c r="C873" t="s">
        <v>2535</v>
      </c>
      <c r="D873" t="s">
        <v>2536</v>
      </c>
      <c r="E873" t="s">
        <v>36</v>
      </c>
      <c r="F873" s="1">
        <v>44794</v>
      </c>
    </row>
    <row r="874" spans="1:6" x14ac:dyDescent="0.3">
      <c r="A874">
        <v>889759</v>
      </c>
      <c r="B874" t="s">
        <v>2537</v>
      </c>
      <c r="C874" t="s">
        <v>2538</v>
      </c>
      <c r="D874" t="s">
        <v>2539</v>
      </c>
      <c r="E874" t="s">
        <v>9</v>
      </c>
      <c r="F874" s="1">
        <v>45593</v>
      </c>
    </row>
    <row r="875" spans="1:6" x14ac:dyDescent="0.3">
      <c r="A875">
        <v>157105</v>
      </c>
      <c r="B875" t="s">
        <v>2540</v>
      </c>
      <c r="C875" t="s">
        <v>2541</v>
      </c>
      <c r="D875" t="s">
        <v>197</v>
      </c>
      <c r="E875" t="s">
        <v>62</v>
      </c>
      <c r="F875" s="1">
        <v>45557</v>
      </c>
    </row>
    <row r="876" spans="1:6" x14ac:dyDescent="0.3">
      <c r="A876">
        <v>593002</v>
      </c>
      <c r="B876" t="s">
        <v>2542</v>
      </c>
      <c r="C876" t="s">
        <v>2543</v>
      </c>
      <c r="D876" t="s">
        <v>2544</v>
      </c>
      <c r="E876" t="s">
        <v>133</v>
      </c>
      <c r="F876" s="1">
        <v>45487</v>
      </c>
    </row>
    <row r="877" spans="1:6" x14ac:dyDescent="0.3">
      <c r="A877">
        <v>297503</v>
      </c>
      <c r="B877" t="s">
        <v>472</v>
      </c>
      <c r="C877" t="s">
        <v>2545</v>
      </c>
      <c r="D877" t="s">
        <v>2546</v>
      </c>
      <c r="E877" t="s">
        <v>24</v>
      </c>
      <c r="F877" s="1">
        <v>44928</v>
      </c>
    </row>
    <row r="878" spans="1:6" x14ac:dyDescent="0.3">
      <c r="A878">
        <v>272769</v>
      </c>
      <c r="B878" t="s">
        <v>2547</v>
      </c>
      <c r="C878" t="s">
        <v>2548</v>
      </c>
      <c r="D878" t="s">
        <v>2549</v>
      </c>
      <c r="E878" t="s">
        <v>399</v>
      </c>
      <c r="F878" s="1">
        <v>45578</v>
      </c>
    </row>
    <row r="879" spans="1:6" x14ac:dyDescent="0.3">
      <c r="A879">
        <v>757746</v>
      </c>
      <c r="B879" t="s">
        <v>2550</v>
      </c>
      <c r="C879" t="s">
        <v>2551</v>
      </c>
      <c r="D879" t="s">
        <v>2552</v>
      </c>
      <c r="E879" t="s">
        <v>399</v>
      </c>
      <c r="F879" s="1">
        <v>45532</v>
      </c>
    </row>
    <row r="880" spans="1:6" x14ac:dyDescent="0.3">
      <c r="A880">
        <v>873544</v>
      </c>
      <c r="B880" t="s">
        <v>2553</v>
      </c>
      <c r="C880" t="s">
        <v>2554</v>
      </c>
      <c r="D880" t="s">
        <v>2555</v>
      </c>
      <c r="E880" t="s">
        <v>17</v>
      </c>
      <c r="F880" s="1">
        <v>44690</v>
      </c>
    </row>
    <row r="881" spans="1:6" x14ac:dyDescent="0.3">
      <c r="A881">
        <v>775987</v>
      </c>
      <c r="B881" t="s">
        <v>2556</v>
      </c>
      <c r="C881" t="s">
        <v>2557</v>
      </c>
      <c r="D881" t="s">
        <v>2558</v>
      </c>
      <c r="E881" t="s">
        <v>46</v>
      </c>
      <c r="F881" s="1">
        <v>45230</v>
      </c>
    </row>
    <row r="882" spans="1:6" x14ac:dyDescent="0.3">
      <c r="A882">
        <v>982804</v>
      </c>
      <c r="B882" t="s">
        <v>2559</v>
      </c>
      <c r="C882" t="s">
        <v>2560</v>
      </c>
      <c r="D882" t="s">
        <v>2561</v>
      </c>
      <c r="E882" t="s">
        <v>133</v>
      </c>
      <c r="F882" s="1">
        <v>44832</v>
      </c>
    </row>
    <row r="883" spans="1:6" x14ac:dyDescent="0.3">
      <c r="A883">
        <v>337798</v>
      </c>
      <c r="B883" t="s">
        <v>1841</v>
      </c>
      <c r="C883" t="s">
        <v>2562</v>
      </c>
      <c r="D883" t="s">
        <v>2563</v>
      </c>
      <c r="E883" t="s">
        <v>133</v>
      </c>
      <c r="F883" s="1">
        <v>44658</v>
      </c>
    </row>
    <row r="884" spans="1:6" x14ac:dyDescent="0.3">
      <c r="A884">
        <v>578073</v>
      </c>
      <c r="B884" t="s">
        <v>2564</v>
      </c>
      <c r="C884" t="s">
        <v>2565</v>
      </c>
      <c r="D884" t="s">
        <v>2566</v>
      </c>
      <c r="E884" t="s">
        <v>399</v>
      </c>
      <c r="F884" s="1">
        <v>45658</v>
      </c>
    </row>
    <row r="885" spans="1:6" x14ac:dyDescent="0.3">
      <c r="A885">
        <v>980103</v>
      </c>
      <c r="B885" t="s">
        <v>2567</v>
      </c>
      <c r="C885" t="s">
        <v>2568</v>
      </c>
      <c r="D885" t="s">
        <v>2569</v>
      </c>
      <c r="E885" t="s">
        <v>399</v>
      </c>
      <c r="F885" s="1">
        <v>44892</v>
      </c>
    </row>
    <row r="886" spans="1:6" x14ac:dyDescent="0.3">
      <c r="A886">
        <v>432006</v>
      </c>
      <c r="B886" t="s">
        <v>2570</v>
      </c>
      <c r="C886" t="s">
        <v>2571</v>
      </c>
      <c r="D886" t="s">
        <v>2572</v>
      </c>
      <c r="E886" t="s">
        <v>9</v>
      </c>
      <c r="F886" s="1">
        <v>45319</v>
      </c>
    </row>
    <row r="887" spans="1:6" x14ac:dyDescent="0.3">
      <c r="A887">
        <v>797883</v>
      </c>
      <c r="B887" t="s">
        <v>745</v>
      </c>
      <c r="C887" t="s">
        <v>2573</v>
      </c>
      <c r="D887" t="s">
        <v>2574</v>
      </c>
      <c r="E887" t="s">
        <v>32</v>
      </c>
      <c r="F887" s="1">
        <v>45480</v>
      </c>
    </row>
    <row r="888" spans="1:6" x14ac:dyDescent="0.3">
      <c r="A888">
        <v>416208</v>
      </c>
      <c r="B888" t="s">
        <v>2203</v>
      </c>
      <c r="C888" t="s">
        <v>2575</v>
      </c>
      <c r="D888" t="s">
        <v>2576</v>
      </c>
      <c r="E888" t="s">
        <v>117</v>
      </c>
      <c r="F888" s="1">
        <v>44859</v>
      </c>
    </row>
    <row r="889" spans="1:6" x14ac:dyDescent="0.3">
      <c r="A889">
        <v>104502</v>
      </c>
      <c r="B889" t="s">
        <v>2577</v>
      </c>
      <c r="C889" t="s">
        <v>2578</v>
      </c>
      <c r="D889" t="s">
        <v>2579</v>
      </c>
      <c r="E889" t="s">
        <v>133</v>
      </c>
      <c r="F889" s="1">
        <v>45532</v>
      </c>
    </row>
    <row r="890" spans="1:6" x14ac:dyDescent="0.3">
      <c r="A890">
        <v>938416</v>
      </c>
      <c r="B890" t="s">
        <v>2580</v>
      </c>
      <c r="C890" t="s">
        <v>2581</v>
      </c>
      <c r="D890" t="s">
        <v>2582</v>
      </c>
      <c r="E890" t="s">
        <v>28</v>
      </c>
      <c r="F890" s="1">
        <v>45542</v>
      </c>
    </row>
    <row r="891" spans="1:6" x14ac:dyDescent="0.3">
      <c r="A891">
        <v>423047</v>
      </c>
      <c r="B891" t="s">
        <v>2583</v>
      </c>
      <c r="C891" t="s">
        <v>2584</v>
      </c>
      <c r="D891" t="s">
        <v>197</v>
      </c>
      <c r="E891" t="s">
        <v>36</v>
      </c>
      <c r="F891" s="1">
        <v>45475</v>
      </c>
    </row>
    <row r="892" spans="1:6" x14ac:dyDescent="0.3">
      <c r="A892">
        <v>157706</v>
      </c>
      <c r="B892" t="s">
        <v>2585</v>
      </c>
      <c r="C892" t="s">
        <v>2586</v>
      </c>
      <c r="D892" t="s">
        <v>2587</v>
      </c>
      <c r="E892" t="s">
        <v>36</v>
      </c>
      <c r="F892" s="1">
        <v>45131</v>
      </c>
    </row>
    <row r="893" spans="1:6" x14ac:dyDescent="0.3">
      <c r="A893">
        <v>664566</v>
      </c>
      <c r="B893" t="s">
        <v>2588</v>
      </c>
      <c r="C893" t="s">
        <v>2589</v>
      </c>
      <c r="D893" t="s">
        <v>2590</v>
      </c>
      <c r="E893" t="s">
        <v>143</v>
      </c>
      <c r="F893" s="1">
        <v>45610</v>
      </c>
    </row>
    <row r="894" spans="1:6" x14ac:dyDescent="0.3">
      <c r="A894">
        <v>433193</v>
      </c>
      <c r="B894" t="s">
        <v>261</v>
      </c>
      <c r="C894" t="s">
        <v>2591</v>
      </c>
      <c r="D894" t="s">
        <v>2592</v>
      </c>
      <c r="E894" t="s">
        <v>143</v>
      </c>
      <c r="F894" s="1">
        <v>45301</v>
      </c>
    </row>
    <row r="895" spans="1:6" x14ac:dyDescent="0.3">
      <c r="A895">
        <v>487585</v>
      </c>
      <c r="B895" t="s">
        <v>2491</v>
      </c>
      <c r="C895" t="s">
        <v>2593</v>
      </c>
      <c r="D895" t="s">
        <v>2594</v>
      </c>
      <c r="E895" t="s">
        <v>133</v>
      </c>
      <c r="F895" s="1">
        <v>45268</v>
      </c>
    </row>
    <row r="896" spans="1:6" x14ac:dyDescent="0.3">
      <c r="A896">
        <v>688285</v>
      </c>
      <c r="B896" t="s">
        <v>2595</v>
      </c>
      <c r="C896" t="s">
        <v>2596</v>
      </c>
      <c r="D896" t="s">
        <v>2597</v>
      </c>
      <c r="E896" t="s">
        <v>62</v>
      </c>
      <c r="F896" s="1">
        <v>45413</v>
      </c>
    </row>
    <row r="897" spans="1:6" x14ac:dyDescent="0.3">
      <c r="A897">
        <v>944809</v>
      </c>
      <c r="B897" t="s">
        <v>2598</v>
      </c>
      <c r="C897" t="s">
        <v>2599</v>
      </c>
      <c r="D897" t="s">
        <v>2600</v>
      </c>
      <c r="E897" t="s">
        <v>143</v>
      </c>
      <c r="F897" s="1">
        <v>44856</v>
      </c>
    </row>
    <row r="898" spans="1:6" x14ac:dyDescent="0.3">
      <c r="A898">
        <v>650818</v>
      </c>
      <c r="B898" t="s">
        <v>2601</v>
      </c>
      <c r="C898" t="s">
        <v>2602</v>
      </c>
      <c r="D898" t="s">
        <v>2603</v>
      </c>
      <c r="E898" t="s">
        <v>24</v>
      </c>
      <c r="F898" s="1">
        <v>44743</v>
      </c>
    </row>
    <row r="899" spans="1:6" x14ac:dyDescent="0.3">
      <c r="A899">
        <v>534649</v>
      </c>
      <c r="B899" t="s">
        <v>2604</v>
      </c>
      <c r="C899" t="s">
        <v>2605</v>
      </c>
      <c r="D899" t="s">
        <v>2606</v>
      </c>
      <c r="E899" t="s">
        <v>399</v>
      </c>
      <c r="F899" s="1">
        <v>44970</v>
      </c>
    </row>
    <row r="900" spans="1:6" x14ac:dyDescent="0.3">
      <c r="A900">
        <v>680771</v>
      </c>
      <c r="B900" t="s">
        <v>2607</v>
      </c>
      <c r="C900" t="s">
        <v>2608</v>
      </c>
      <c r="D900" t="s">
        <v>2609</v>
      </c>
      <c r="E900" t="s">
        <v>133</v>
      </c>
      <c r="F900" s="1">
        <v>45184</v>
      </c>
    </row>
    <row r="901" spans="1:6" x14ac:dyDescent="0.3">
      <c r="A901">
        <v>335426</v>
      </c>
      <c r="B901" t="s">
        <v>2610</v>
      </c>
      <c r="C901" t="s">
        <v>2611</v>
      </c>
      <c r="D901" t="s">
        <v>2612</v>
      </c>
      <c r="E901" t="s">
        <v>9</v>
      </c>
      <c r="F901" s="1">
        <v>45176</v>
      </c>
    </row>
    <row r="902" spans="1:6" x14ac:dyDescent="0.3">
      <c r="A902">
        <v>230208</v>
      </c>
      <c r="B902" t="s">
        <v>2613</v>
      </c>
      <c r="C902" t="s">
        <v>2614</v>
      </c>
      <c r="D902" t="s">
        <v>2615</v>
      </c>
      <c r="E902" t="s">
        <v>133</v>
      </c>
      <c r="F902" s="1">
        <v>45416</v>
      </c>
    </row>
    <row r="903" spans="1:6" x14ac:dyDescent="0.3">
      <c r="A903">
        <v>129824</v>
      </c>
      <c r="B903" t="s">
        <v>2616</v>
      </c>
      <c r="C903" t="s">
        <v>2617</v>
      </c>
      <c r="D903" t="s">
        <v>2618</v>
      </c>
      <c r="E903" t="s">
        <v>143</v>
      </c>
      <c r="F903" s="1">
        <v>45302</v>
      </c>
    </row>
    <row r="904" spans="1:6" x14ac:dyDescent="0.3">
      <c r="A904">
        <v>370439</v>
      </c>
      <c r="B904" t="s">
        <v>2619</v>
      </c>
      <c r="C904" t="s">
        <v>2620</v>
      </c>
      <c r="D904" t="s">
        <v>2621</v>
      </c>
      <c r="E904" t="s">
        <v>28</v>
      </c>
      <c r="F904" s="1">
        <v>45326</v>
      </c>
    </row>
    <row r="905" spans="1:6" x14ac:dyDescent="0.3">
      <c r="A905">
        <v>986340</v>
      </c>
      <c r="B905" t="s">
        <v>153</v>
      </c>
      <c r="C905" t="s">
        <v>2622</v>
      </c>
      <c r="D905" t="s">
        <v>2623</v>
      </c>
      <c r="E905" t="s">
        <v>143</v>
      </c>
      <c r="F905" s="1">
        <v>44861</v>
      </c>
    </row>
    <row r="906" spans="1:6" x14ac:dyDescent="0.3">
      <c r="A906">
        <v>474745</v>
      </c>
      <c r="B906" t="s">
        <v>2624</v>
      </c>
      <c r="C906" t="s">
        <v>2625</v>
      </c>
      <c r="D906" t="s">
        <v>2626</v>
      </c>
      <c r="E906" t="s">
        <v>32</v>
      </c>
      <c r="F906" s="1">
        <v>45421</v>
      </c>
    </row>
    <row r="907" spans="1:6" x14ac:dyDescent="0.3">
      <c r="A907">
        <v>403936</v>
      </c>
      <c r="B907" t="s">
        <v>2627</v>
      </c>
      <c r="C907" t="s">
        <v>2628</v>
      </c>
      <c r="D907" t="s">
        <v>197</v>
      </c>
      <c r="E907" t="s">
        <v>143</v>
      </c>
      <c r="F907" s="1">
        <v>45614</v>
      </c>
    </row>
    <row r="908" spans="1:6" x14ac:dyDescent="0.3">
      <c r="A908">
        <v>901834</v>
      </c>
      <c r="B908" t="s">
        <v>2629</v>
      </c>
      <c r="C908" t="s">
        <v>2630</v>
      </c>
      <c r="D908" t="s">
        <v>2631</v>
      </c>
      <c r="E908" t="s">
        <v>399</v>
      </c>
      <c r="F908" s="1">
        <v>45222</v>
      </c>
    </row>
    <row r="909" spans="1:6" x14ac:dyDescent="0.3">
      <c r="A909">
        <v>384645</v>
      </c>
      <c r="B909" t="s">
        <v>2632</v>
      </c>
      <c r="C909" t="s">
        <v>2633</v>
      </c>
      <c r="D909" t="s">
        <v>2634</v>
      </c>
      <c r="E909" t="s">
        <v>32</v>
      </c>
      <c r="F909" s="1">
        <v>44758</v>
      </c>
    </row>
    <row r="910" spans="1:6" x14ac:dyDescent="0.3">
      <c r="A910">
        <v>963308</v>
      </c>
      <c r="B910" t="s">
        <v>2635</v>
      </c>
      <c r="C910" t="s">
        <v>2636</v>
      </c>
      <c r="D910" t="s">
        <v>2637</v>
      </c>
      <c r="E910" t="s">
        <v>133</v>
      </c>
      <c r="F910" s="1">
        <v>45325</v>
      </c>
    </row>
    <row r="911" spans="1:6" x14ac:dyDescent="0.3">
      <c r="A911">
        <v>456844</v>
      </c>
      <c r="B911" t="s">
        <v>1537</v>
      </c>
      <c r="C911" t="s">
        <v>2638</v>
      </c>
      <c r="D911" t="s">
        <v>2639</v>
      </c>
      <c r="E911" t="s">
        <v>399</v>
      </c>
      <c r="F911" s="1">
        <v>45592</v>
      </c>
    </row>
    <row r="912" spans="1:6" x14ac:dyDescent="0.3">
      <c r="A912">
        <v>987168</v>
      </c>
      <c r="B912" t="s">
        <v>2640</v>
      </c>
      <c r="C912" t="s">
        <v>2641</v>
      </c>
      <c r="D912" t="s">
        <v>2642</v>
      </c>
      <c r="E912" t="s">
        <v>28</v>
      </c>
      <c r="F912" s="1">
        <v>45416</v>
      </c>
    </row>
    <row r="913" spans="1:6" x14ac:dyDescent="0.3">
      <c r="A913">
        <v>958620</v>
      </c>
      <c r="B913" t="s">
        <v>2643</v>
      </c>
      <c r="C913" t="s">
        <v>2644</v>
      </c>
      <c r="D913" t="s">
        <v>2645</v>
      </c>
      <c r="E913" t="s">
        <v>32</v>
      </c>
      <c r="F913" s="1">
        <v>45200</v>
      </c>
    </row>
    <row r="914" spans="1:6" x14ac:dyDescent="0.3">
      <c r="A914">
        <v>956727</v>
      </c>
      <c r="B914" t="s">
        <v>2646</v>
      </c>
      <c r="C914" t="s">
        <v>2647</v>
      </c>
      <c r="D914" t="s">
        <v>2648</v>
      </c>
      <c r="E914" t="s">
        <v>46</v>
      </c>
      <c r="F914" s="1">
        <v>44914</v>
      </c>
    </row>
    <row r="915" spans="1:6" x14ac:dyDescent="0.3">
      <c r="A915">
        <v>880623</v>
      </c>
      <c r="B915" t="s">
        <v>2649</v>
      </c>
      <c r="C915" t="s">
        <v>2650</v>
      </c>
      <c r="D915" t="s">
        <v>2651</v>
      </c>
      <c r="E915" t="s">
        <v>399</v>
      </c>
      <c r="F915" s="1">
        <v>45026</v>
      </c>
    </row>
    <row r="916" spans="1:6" x14ac:dyDescent="0.3">
      <c r="A916">
        <v>236543</v>
      </c>
      <c r="B916" t="s">
        <v>2652</v>
      </c>
      <c r="C916" t="s">
        <v>2653</v>
      </c>
      <c r="D916" t="s">
        <v>2654</v>
      </c>
      <c r="E916" t="s">
        <v>28</v>
      </c>
      <c r="F916" s="1">
        <v>44721</v>
      </c>
    </row>
    <row r="917" spans="1:6" x14ac:dyDescent="0.3">
      <c r="A917">
        <v>894122</v>
      </c>
      <c r="B917" t="s">
        <v>2655</v>
      </c>
      <c r="C917" t="s">
        <v>2656</v>
      </c>
      <c r="D917" t="s">
        <v>2657</v>
      </c>
      <c r="E917" t="s">
        <v>28</v>
      </c>
      <c r="F917" s="1">
        <v>44629</v>
      </c>
    </row>
    <row r="918" spans="1:6" x14ac:dyDescent="0.3">
      <c r="A918">
        <v>591868</v>
      </c>
      <c r="B918" t="s">
        <v>2658</v>
      </c>
      <c r="C918" t="s">
        <v>2659</v>
      </c>
      <c r="D918" t="s">
        <v>2660</v>
      </c>
      <c r="E918" t="s">
        <v>143</v>
      </c>
      <c r="F918" s="1">
        <v>45179</v>
      </c>
    </row>
    <row r="919" spans="1:6" x14ac:dyDescent="0.3">
      <c r="A919">
        <v>920375</v>
      </c>
      <c r="B919" t="s">
        <v>2661</v>
      </c>
      <c r="C919" t="s">
        <v>2662</v>
      </c>
      <c r="D919" t="s">
        <v>2663</v>
      </c>
      <c r="E919" t="s">
        <v>17</v>
      </c>
      <c r="F919" s="1">
        <v>44940</v>
      </c>
    </row>
    <row r="920" spans="1:6" x14ac:dyDescent="0.3">
      <c r="A920">
        <v>195189</v>
      </c>
      <c r="B920" t="s">
        <v>2664</v>
      </c>
      <c r="C920" t="s">
        <v>2665</v>
      </c>
      <c r="D920" t="s">
        <v>2666</v>
      </c>
      <c r="E920" t="s">
        <v>32</v>
      </c>
      <c r="F920" s="1">
        <v>45283</v>
      </c>
    </row>
    <row r="921" spans="1:6" x14ac:dyDescent="0.3">
      <c r="A921">
        <v>629435</v>
      </c>
      <c r="B921" t="s">
        <v>2667</v>
      </c>
      <c r="C921" t="s">
        <v>2668</v>
      </c>
      <c r="D921" t="s">
        <v>2669</v>
      </c>
      <c r="E921" t="s">
        <v>143</v>
      </c>
      <c r="F921" s="1">
        <v>45645</v>
      </c>
    </row>
    <row r="922" spans="1:6" x14ac:dyDescent="0.3">
      <c r="A922">
        <v>395548</v>
      </c>
      <c r="B922" t="s">
        <v>2670</v>
      </c>
      <c r="C922" t="s">
        <v>2671</v>
      </c>
      <c r="D922" t="s">
        <v>2672</v>
      </c>
      <c r="E922" t="s">
        <v>28</v>
      </c>
      <c r="F922" s="1">
        <v>45000</v>
      </c>
    </row>
    <row r="923" spans="1:6" x14ac:dyDescent="0.3">
      <c r="A923">
        <v>484264</v>
      </c>
      <c r="B923" t="s">
        <v>2308</v>
      </c>
      <c r="C923" t="s">
        <v>2673</v>
      </c>
      <c r="D923" t="s">
        <v>2674</v>
      </c>
      <c r="E923" t="s">
        <v>62</v>
      </c>
      <c r="F923" s="1">
        <v>44781</v>
      </c>
    </row>
    <row r="924" spans="1:6" x14ac:dyDescent="0.3">
      <c r="A924">
        <v>544692</v>
      </c>
      <c r="B924" t="s">
        <v>535</v>
      </c>
      <c r="C924" t="s">
        <v>2675</v>
      </c>
      <c r="D924" t="s">
        <v>2676</v>
      </c>
      <c r="E924" t="s">
        <v>13</v>
      </c>
      <c r="F924" s="1">
        <v>44793</v>
      </c>
    </row>
    <row r="925" spans="1:6" x14ac:dyDescent="0.3">
      <c r="A925">
        <v>588533</v>
      </c>
      <c r="B925" t="s">
        <v>2677</v>
      </c>
      <c r="C925" t="s">
        <v>2678</v>
      </c>
      <c r="D925" t="s">
        <v>2679</v>
      </c>
      <c r="E925" t="s">
        <v>117</v>
      </c>
      <c r="F925" s="1">
        <v>45301</v>
      </c>
    </row>
    <row r="926" spans="1:6" x14ac:dyDescent="0.3">
      <c r="A926">
        <v>186243</v>
      </c>
      <c r="B926" t="s">
        <v>2680</v>
      </c>
      <c r="C926" t="s">
        <v>2681</v>
      </c>
      <c r="D926" t="s">
        <v>2682</v>
      </c>
      <c r="E926" t="s">
        <v>24</v>
      </c>
      <c r="F926" s="1">
        <v>45142</v>
      </c>
    </row>
    <row r="927" spans="1:6" x14ac:dyDescent="0.3">
      <c r="A927">
        <v>820420</v>
      </c>
      <c r="B927" t="s">
        <v>2683</v>
      </c>
      <c r="C927" t="s">
        <v>2684</v>
      </c>
      <c r="D927" t="s">
        <v>2685</v>
      </c>
      <c r="E927" t="s">
        <v>13</v>
      </c>
      <c r="F927" s="1">
        <v>45157</v>
      </c>
    </row>
    <row r="928" spans="1:6" x14ac:dyDescent="0.3">
      <c r="A928">
        <v>981913</v>
      </c>
      <c r="B928" t="s">
        <v>2686</v>
      </c>
      <c r="C928" t="s">
        <v>2687</v>
      </c>
      <c r="D928" t="s">
        <v>2688</v>
      </c>
      <c r="E928" t="s">
        <v>399</v>
      </c>
      <c r="F928" s="1">
        <v>44588</v>
      </c>
    </row>
    <row r="929" spans="1:6" x14ac:dyDescent="0.3">
      <c r="A929">
        <v>515623</v>
      </c>
      <c r="B929" t="s">
        <v>2689</v>
      </c>
      <c r="C929" t="s">
        <v>2690</v>
      </c>
      <c r="D929" t="s">
        <v>2691</v>
      </c>
      <c r="E929" t="s">
        <v>143</v>
      </c>
      <c r="F929" s="1">
        <v>44806</v>
      </c>
    </row>
    <row r="930" spans="1:6" x14ac:dyDescent="0.3">
      <c r="A930">
        <v>828799</v>
      </c>
      <c r="B930" t="s">
        <v>2692</v>
      </c>
      <c r="C930" t="s">
        <v>2693</v>
      </c>
      <c r="D930" t="s">
        <v>2694</v>
      </c>
      <c r="E930" t="s">
        <v>399</v>
      </c>
      <c r="F930" s="1">
        <v>44694</v>
      </c>
    </row>
    <row r="931" spans="1:6" x14ac:dyDescent="0.3">
      <c r="A931">
        <v>309991</v>
      </c>
      <c r="B931" t="s">
        <v>2695</v>
      </c>
      <c r="C931" t="s">
        <v>2696</v>
      </c>
      <c r="D931" t="s">
        <v>2697</v>
      </c>
      <c r="E931" t="s">
        <v>36</v>
      </c>
      <c r="F931" s="1">
        <v>45431</v>
      </c>
    </row>
    <row r="932" spans="1:6" x14ac:dyDescent="0.3">
      <c r="A932">
        <v>901968</v>
      </c>
      <c r="B932" t="s">
        <v>2698</v>
      </c>
      <c r="C932" t="s">
        <v>2699</v>
      </c>
      <c r="D932" t="s">
        <v>2700</v>
      </c>
      <c r="E932" t="s">
        <v>24</v>
      </c>
      <c r="F932" s="1">
        <v>45291</v>
      </c>
    </row>
    <row r="933" spans="1:6" x14ac:dyDescent="0.3">
      <c r="A933">
        <v>608069</v>
      </c>
      <c r="B933" t="s">
        <v>1844</v>
      </c>
      <c r="C933" t="s">
        <v>2701</v>
      </c>
      <c r="D933" t="s">
        <v>2702</v>
      </c>
      <c r="E933" t="s">
        <v>62</v>
      </c>
      <c r="F933" s="1">
        <v>44783</v>
      </c>
    </row>
    <row r="934" spans="1:6" x14ac:dyDescent="0.3">
      <c r="A934">
        <v>621429</v>
      </c>
      <c r="B934" t="s">
        <v>2703</v>
      </c>
      <c r="C934" t="s">
        <v>2704</v>
      </c>
      <c r="D934" t="s">
        <v>2705</v>
      </c>
      <c r="E934" t="s">
        <v>399</v>
      </c>
      <c r="F934" s="1">
        <v>44622</v>
      </c>
    </row>
    <row r="935" spans="1:6" x14ac:dyDescent="0.3">
      <c r="A935">
        <v>970645</v>
      </c>
      <c r="B935" t="s">
        <v>2706</v>
      </c>
      <c r="C935" t="s">
        <v>2707</v>
      </c>
      <c r="D935" t="s">
        <v>2708</v>
      </c>
      <c r="E935" t="s">
        <v>143</v>
      </c>
      <c r="F935" s="1">
        <v>44928</v>
      </c>
    </row>
    <row r="936" spans="1:6" x14ac:dyDescent="0.3">
      <c r="A936">
        <v>260155</v>
      </c>
      <c r="B936" t="s">
        <v>2709</v>
      </c>
      <c r="C936" t="s">
        <v>2710</v>
      </c>
      <c r="D936" t="s">
        <v>2711</v>
      </c>
      <c r="E936" t="s">
        <v>28</v>
      </c>
      <c r="F936" s="1">
        <v>44718</v>
      </c>
    </row>
    <row r="937" spans="1:6" x14ac:dyDescent="0.3">
      <c r="A937">
        <v>904857</v>
      </c>
      <c r="B937" t="s">
        <v>2712</v>
      </c>
      <c r="C937" t="s">
        <v>2713</v>
      </c>
      <c r="D937" t="s">
        <v>197</v>
      </c>
      <c r="E937" t="s">
        <v>133</v>
      </c>
      <c r="F937" s="1">
        <v>45581</v>
      </c>
    </row>
    <row r="938" spans="1:6" x14ac:dyDescent="0.3">
      <c r="A938">
        <v>668787</v>
      </c>
      <c r="B938" t="s">
        <v>2714</v>
      </c>
      <c r="C938" t="s">
        <v>2715</v>
      </c>
      <c r="D938" t="s">
        <v>2716</v>
      </c>
      <c r="E938" t="s">
        <v>143</v>
      </c>
      <c r="F938" s="1">
        <v>44626</v>
      </c>
    </row>
    <row r="939" spans="1:6" x14ac:dyDescent="0.3">
      <c r="A939">
        <v>571980</v>
      </c>
      <c r="B939" t="s">
        <v>2717</v>
      </c>
      <c r="C939" t="s">
        <v>2718</v>
      </c>
      <c r="D939" t="s">
        <v>2719</v>
      </c>
      <c r="E939" t="s">
        <v>62</v>
      </c>
      <c r="F939" s="1">
        <v>44635</v>
      </c>
    </row>
    <row r="940" spans="1:6" x14ac:dyDescent="0.3">
      <c r="A940">
        <v>840356</v>
      </c>
      <c r="B940" t="s">
        <v>2720</v>
      </c>
      <c r="C940" t="s">
        <v>2721</v>
      </c>
      <c r="D940" t="s">
        <v>2722</v>
      </c>
      <c r="E940" t="s">
        <v>399</v>
      </c>
      <c r="F940" s="1">
        <v>45201</v>
      </c>
    </row>
    <row r="941" spans="1:6" x14ac:dyDescent="0.3">
      <c r="A941">
        <v>901123</v>
      </c>
      <c r="B941" t="s">
        <v>258</v>
      </c>
      <c r="C941" t="s">
        <v>2723</v>
      </c>
      <c r="D941" t="s">
        <v>2724</v>
      </c>
      <c r="E941" t="s">
        <v>117</v>
      </c>
      <c r="F941" s="1">
        <v>45524</v>
      </c>
    </row>
    <row r="942" spans="1:6" x14ac:dyDescent="0.3">
      <c r="A942">
        <v>631297</v>
      </c>
      <c r="B942" t="s">
        <v>2725</v>
      </c>
      <c r="C942" t="s">
        <v>2726</v>
      </c>
      <c r="D942" t="s">
        <v>2727</v>
      </c>
      <c r="E942" t="s">
        <v>117</v>
      </c>
      <c r="F942" s="1">
        <v>45335</v>
      </c>
    </row>
    <row r="943" spans="1:6" x14ac:dyDescent="0.3">
      <c r="A943">
        <v>903702</v>
      </c>
      <c r="B943" t="s">
        <v>2728</v>
      </c>
      <c r="C943" t="s">
        <v>2729</v>
      </c>
      <c r="D943" t="s">
        <v>2730</v>
      </c>
      <c r="E943" t="s">
        <v>143</v>
      </c>
      <c r="F943" s="1">
        <v>44654</v>
      </c>
    </row>
    <row r="944" spans="1:6" x14ac:dyDescent="0.3">
      <c r="A944">
        <v>948878</v>
      </c>
      <c r="B944" t="s">
        <v>2731</v>
      </c>
      <c r="C944" t="s">
        <v>2732</v>
      </c>
      <c r="D944" t="s">
        <v>2733</v>
      </c>
      <c r="E944" t="s">
        <v>46</v>
      </c>
      <c r="F944" s="1">
        <v>45341</v>
      </c>
    </row>
    <row r="945" spans="1:6" x14ac:dyDescent="0.3">
      <c r="A945">
        <v>474725</v>
      </c>
      <c r="B945" t="s">
        <v>2734</v>
      </c>
      <c r="C945" t="s">
        <v>2735</v>
      </c>
      <c r="D945" t="s">
        <v>2736</v>
      </c>
      <c r="E945" t="s">
        <v>36</v>
      </c>
      <c r="F945" s="1">
        <v>45069</v>
      </c>
    </row>
    <row r="946" spans="1:6" x14ac:dyDescent="0.3">
      <c r="A946">
        <v>721314</v>
      </c>
      <c r="B946" t="s">
        <v>2737</v>
      </c>
      <c r="C946" t="s">
        <v>2738</v>
      </c>
      <c r="D946" t="s">
        <v>2739</v>
      </c>
      <c r="E946" t="s">
        <v>133</v>
      </c>
      <c r="F946" s="1">
        <v>44796</v>
      </c>
    </row>
    <row r="947" spans="1:6" x14ac:dyDescent="0.3">
      <c r="A947">
        <v>664570</v>
      </c>
      <c r="B947" t="s">
        <v>2740</v>
      </c>
      <c r="C947" t="s">
        <v>2741</v>
      </c>
      <c r="D947" t="s">
        <v>2742</v>
      </c>
      <c r="E947" t="s">
        <v>13</v>
      </c>
      <c r="F947" s="1">
        <v>45616</v>
      </c>
    </row>
    <row r="948" spans="1:6" x14ac:dyDescent="0.3">
      <c r="A948">
        <v>829765</v>
      </c>
      <c r="B948" t="s">
        <v>2743</v>
      </c>
      <c r="C948" t="s">
        <v>2744</v>
      </c>
      <c r="D948" t="s">
        <v>2745</v>
      </c>
      <c r="E948" t="s">
        <v>46</v>
      </c>
      <c r="F948" s="1">
        <v>45335</v>
      </c>
    </row>
    <row r="949" spans="1:6" x14ac:dyDescent="0.3">
      <c r="A949">
        <v>700350</v>
      </c>
      <c r="B949" t="s">
        <v>2746</v>
      </c>
      <c r="C949" t="s">
        <v>2747</v>
      </c>
      <c r="D949" t="s">
        <v>2748</v>
      </c>
      <c r="E949" t="s">
        <v>17</v>
      </c>
      <c r="F949" s="1">
        <v>45250</v>
      </c>
    </row>
    <row r="950" spans="1:6" x14ac:dyDescent="0.3">
      <c r="A950">
        <v>274721</v>
      </c>
      <c r="B950" t="s">
        <v>784</v>
      </c>
      <c r="C950" t="s">
        <v>2749</v>
      </c>
      <c r="D950" t="s">
        <v>2750</v>
      </c>
      <c r="E950" t="s">
        <v>13</v>
      </c>
      <c r="F950" s="1">
        <v>44975</v>
      </c>
    </row>
    <row r="951" spans="1:6" x14ac:dyDescent="0.3">
      <c r="A951">
        <v>981202</v>
      </c>
      <c r="B951" t="s">
        <v>2751</v>
      </c>
      <c r="C951" t="s">
        <v>2752</v>
      </c>
      <c r="D951" t="s">
        <v>2753</v>
      </c>
      <c r="E951" t="s">
        <v>9</v>
      </c>
      <c r="F951" s="1">
        <v>44659</v>
      </c>
    </row>
    <row r="952" spans="1:6" x14ac:dyDescent="0.3">
      <c r="A952">
        <v>943687</v>
      </c>
      <c r="B952" t="s">
        <v>2754</v>
      </c>
      <c r="C952" t="s">
        <v>2755</v>
      </c>
      <c r="D952" t="s">
        <v>2756</v>
      </c>
      <c r="E952" t="s">
        <v>143</v>
      </c>
      <c r="F952" s="1">
        <v>44756</v>
      </c>
    </row>
    <row r="953" spans="1:6" x14ac:dyDescent="0.3">
      <c r="A953">
        <v>170537</v>
      </c>
      <c r="B953" t="s">
        <v>2757</v>
      </c>
      <c r="C953" t="s">
        <v>2758</v>
      </c>
      <c r="D953" t="s">
        <v>2759</v>
      </c>
      <c r="E953" t="s">
        <v>13</v>
      </c>
      <c r="F953" s="1">
        <v>44991</v>
      </c>
    </row>
    <row r="954" spans="1:6" x14ac:dyDescent="0.3">
      <c r="A954">
        <v>629152</v>
      </c>
      <c r="B954" t="s">
        <v>2760</v>
      </c>
      <c r="C954" t="s">
        <v>2761</v>
      </c>
      <c r="D954" t="s">
        <v>2762</v>
      </c>
      <c r="E954" t="s">
        <v>46</v>
      </c>
      <c r="F954" s="1">
        <v>44971</v>
      </c>
    </row>
    <row r="955" spans="1:6" x14ac:dyDescent="0.3">
      <c r="A955">
        <v>755322</v>
      </c>
      <c r="B955" t="s">
        <v>2763</v>
      </c>
      <c r="C955" t="s">
        <v>2764</v>
      </c>
      <c r="D955" t="s">
        <v>2765</v>
      </c>
      <c r="E955" t="s">
        <v>399</v>
      </c>
      <c r="F955" s="1">
        <v>44600</v>
      </c>
    </row>
    <row r="956" spans="1:6" x14ac:dyDescent="0.3">
      <c r="A956">
        <v>295600</v>
      </c>
      <c r="B956" t="s">
        <v>2766</v>
      </c>
      <c r="C956" t="s">
        <v>2767</v>
      </c>
      <c r="D956" t="s">
        <v>2768</v>
      </c>
      <c r="E956" t="s">
        <v>62</v>
      </c>
      <c r="F956" s="1">
        <v>45110</v>
      </c>
    </row>
    <row r="957" spans="1:6" x14ac:dyDescent="0.3">
      <c r="A957">
        <v>693616</v>
      </c>
      <c r="B957" t="s">
        <v>2769</v>
      </c>
      <c r="C957" t="s">
        <v>2770</v>
      </c>
      <c r="D957" t="s">
        <v>2771</v>
      </c>
      <c r="E957" t="s">
        <v>17</v>
      </c>
      <c r="F957" s="1">
        <v>45308</v>
      </c>
    </row>
    <row r="958" spans="1:6" x14ac:dyDescent="0.3">
      <c r="A958">
        <v>257782</v>
      </c>
      <c r="B958" t="s">
        <v>1258</v>
      </c>
      <c r="C958" t="s">
        <v>2772</v>
      </c>
      <c r="D958" t="s">
        <v>2773</v>
      </c>
      <c r="E958" t="s">
        <v>13</v>
      </c>
      <c r="F958" s="1">
        <v>45402</v>
      </c>
    </row>
    <row r="959" spans="1:6" x14ac:dyDescent="0.3">
      <c r="A959">
        <v>987060</v>
      </c>
      <c r="B959" t="s">
        <v>2774</v>
      </c>
      <c r="C959" t="s">
        <v>2775</v>
      </c>
      <c r="D959" t="s">
        <v>2776</v>
      </c>
      <c r="E959" t="s">
        <v>133</v>
      </c>
      <c r="F959" s="1">
        <v>44890</v>
      </c>
    </row>
    <row r="960" spans="1:6" x14ac:dyDescent="0.3">
      <c r="A960">
        <v>525581</v>
      </c>
      <c r="B960" t="s">
        <v>2777</v>
      </c>
      <c r="C960" t="s">
        <v>2778</v>
      </c>
      <c r="D960" t="s">
        <v>2779</v>
      </c>
      <c r="E960" t="s">
        <v>17</v>
      </c>
      <c r="F960" s="1">
        <v>44618</v>
      </c>
    </row>
    <row r="961" spans="1:6" x14ac:dyDescent="0.3">
      <c r="A961">
        <v>608960</v>
      </c>
      <c r="B961" t="s">
        <v>2780</v>
      </c>
      <c r="C961" t="s">
        <v>2781</v>
      </c>
      <c r="D961" t="s">
        <v>2782</v>
      </c>
      <c r="E961" t="s">
        <v>143</v>
      </c>
      <c r="F961" s="1">
        <v>44975</v>
      </c>
    </row>
    <row r="962" spans="1:6" x14ac:dyDescent="0.3">
      <c r="A962">
        <v>130557</v>
      </c>
      <c r="B962" t="s">
        <v>2783</v>
      </c>
      <c r="C962" t="s">
        <v>2784</v>
      </c>
      <c r="D962" t="s">
        <v>2785</v>
      </c>
      <c r="E962" t="s">
        <v>399</v>
      </c>
      <c r="F962" s="1">
        <v>44648</v>
      </c>
    </row>
    <row r="963" spans="1:6" x14ac:dyDescent="0.3">
      <c r="A963">
        <v>158014</v>
      </c>
      <c r="B963" t="s">
        <v>2786</v>
      </c>
      <c r="C963" t="s">
        <v>2787</v>
      </c>
      <c r="D963" t="s">
        <v>2788</v>
      </c>
      <c r="E963" t="s">
        <v>133</v>
      </c>
      <c r="F963" s="1">
        <v>44692</v>
      </c>
    </row>
    <row r="964" spans="1:6" x14ac:dyDescent="0.3">
      <c r="A964">
        <v>516174</v>
      </c>
      <c r="B964" t="s">
        <v>711</v>
      </c>
      <c r="C964" t="s">
        <v>2789</v>
      </c>
      <c r="D964" t="s">
        <v>2790</v>
      </c>
      <c r="E964" t="s">
        <v>28</v>
      </c>
      <c r="F964" s="1">
        <v>45630</v>
      </c>
    </row>
    <row r="965" spans="1:6" x14ac:dyDescent="0.3">
      <c r="A965">
        <v>364039</v>
      </c>
      <c r="B965" t="s">
        <v>1966</v>
      </c>
      <c r="C965" t="s">
        <v>2791</v>
      </c>
      <c r="D965" t="s">
        <v>2792</v>
      </c>
      <c r="E965" t="s">
        <v>28</v>
      </c>
      <c r="F965" s="1">
        <v>45203</v>
      </c>
    </row>
    <row r="966" spans="1:6" x14ac:dyDescent="0.3">
      <c r="A966">
        <v>944986</v>
      </c>
      <c r="B966" t="s">
        <v>2793</v>
      </c>
      <c r="C966" t="s">
        <v>2794</v>
      </c>
      <c r="D966" t="s">
        <v>2795</v>
      </c>
      <c r="E966" t="s">
        <v>399</v>
      </c>
      <c r="F966" s="1">
        <v>44780</v>
      </c>
    </row>
    <row r="967" spans="1:6" x14ac:dyDescent="0.3">
      <c r="A967">
        <v>560823</v>
      </c>
      <c r="B967" t="s">
        <v>2796</v>
      </c>
      <c r="C967" t="s">
        <v>2797</v>
      </c>
      <c r="D967" t="s">
        <v>2798</v>
      </c>
      <c r="E967" t="s">
        <v>143</v>
      </c>
      <c r="F967" s="1">
        <v>45566</v>
      </c>
    </row>
    <row r="968" spans="1:6" x14ac:dyDescent="0.3">
      <c r="A968">
        <v>431863</v>
      </c>
      <c r="B968" t="s">
        <v>2799</v>
      </c>
      <c r="C968" t="s">
        <v>2800</v>
      </c>
      <c r="D968" t="s">
        <v>2801</v>
      </c>
      <c r="E968" t="s">
        <v>36</v>
      </c>
      <c r="F968" s="1">
        <v>45130</v>
      </c>
    </row>
    <row r="969" spans="1:6" x14ac:dyDescent="0.3">
      <c r="A969">
        <v>850435</v>
      </c>
      <c r="B969" t="s">
        <v>2802</v>
      </c>
      <c r="C969" t="s">
        <v>2803</v>
      </c>
      <c r="D969" t="s">
        <v>2804</v>
      </c>
      <c r="E969" t="s">
        <v>143</v>
      </c>
      <c r="F969" s="1">
        <v>44673</v>
      </c>
    </row>
    <row r="970" spans="1:6" x14ac:dyDescent="0.3">
      <c r="A970">
        <v>365271</v>
      </c>
      <c r="B970" t="s">
        <v>2805</v>
      </c>
      <c r="C970" t="s">
        <v>2806</v>
      </c>
      <c r="D970" t="s">
        <v>2807</v>
      </c>
      <c r="E970" t="s">
        <v>32</v>
      </c>
      <c r="F970" s="1">
        <v>44811</v>
      </c>
    </row>
    <row r="971" spans="1:6" x14ac:dyDescent="0.3">
      <c r="A971">
        <v>507341</v>
      </c>
      <c r="B971" t="s">
        <v>2808</v>
      </c>
      <c r="C971" t="s">
        <v>2809</v>
      </c>
      <c r="D971" t="s">
        <v>2810</v>
      </c>
      <c r="E971" t="s">
        <v>9</v>
      </c>
      <c r="F971" s="1">
        <v>45178</v>
      </c>
    </row>
    <row r="972" spans="1:6" x14ac:dyDescent="0.3">
      <c r="A972">
        <v>411870</v>
      </c>
      <c r="B972" t="s">
        <v>2811</v>
      </c>
      <c r="C972" t="s">
        <v>2812</v>
      </c>
      <c r="D972" t="s">
        <v>2813</v>
      </c>
      <c r="E972" t="s">
        <v>62</v>
      </c>
      <c r="F972" s="1">
        <v>45211</v>
      </c>
    </row>
    <row r="973" spans="1:6" x14ac:dyDescent="0.3">
      <c r="A973">
        <v>927659</v>
      </c>
      <c r="B973" t="s">
        <v>2814</v>
      </c>
      <c r="C973" t="s">
        <v>2815</v>
      </c>
      <c r="D973" t="s">
        <v>2816</v>
      </c>
      <c r="E973" t="s">
        <v>143</v>
      </c>
      <c r="F973" s="1">
        <v>45568</v>
      </c>
    </row>
    <row r="974" spans="1:6" x14ac:dyDescent="0.3">
      <c r="A974">
        <v>982023</v>
      </c>
      <c r="B974" t="s">
        <v>2817</v>
      </c>
      <c r="C974" t="s">
        <v>2818</v>
      </c>
      <c r="D974" t="s">
        <v>2819</v>
      </c>
      <c r="E974" t="s">
        <v>28</v>
      </c>
      <c r="F974" s="1">
        <v>44890</v>
      </c>
    </row>
    <row r="975" spans="1:6" x14ac:dyDescent="0.3">
      <c r="A975">
        <v>169591</v>
      </c>
      <c r="B975" t="s">
        <v>2820</v>
      </c>
      <c r="C975" t="s">
        <v>2821</v>
      </c>
      <c r="D975" t="s">
        <v>2822</v>
      </c>
      <c r="E975" t="s">
        <v>46</v>
      </c>
      <c r="F975" s="1">
        <v>45490</v>
      </c>
    </row>
    <row r="976" spans="1:6" x14ac:dyDescent="0.3">
      <c r="A976">
        <v>772528</v>
      </c>
      <c r="B976" t="s">
        <v>2823</v>
      </c>
      <c r="C976" t="s">
        <v>2824</v>
      </c>
      <c r="D976" t="s">
        <v>2825</v>
      </c>
      <c r="E976" t="s">
        <v>62</v>
      </c>
      <c r="F976" s="1">
        <v>44840</v>
      </c>
    </row>
    <row r="977" spans="1:6" x14ac:dyDescent="0.3">
      <c r="A977">
        <v>758816</v>
      </c>
      <c r="B977" t="s">
        <v>2225</v>
      </c>
      <c r="C977" t="s">
        <v>2826</v>
      </c>
      <c r="D977" t="s">
        <v>2827</v>
      </c>
      <c r="E977" t="s">
        <v>143</v>
      </c>
      <c r="F977" s="1">
        <v>44788</v>
      </c>
    </row>
    <row r="978" spans="1:6" x14ac:dyDescent="0.3">
      <c r="A978">
        <v>848226</v>
      </c>
      <c r="B978" t="s">
        <v>2828</v>
      </c>
      <c r="C978" t="s">
        <v>2829</v>
      </c>
      <c r="D978" t="s">
        <v>2830</v>
      </c>
      <c r="E978" t="s">
        <v>13</v>
      </c>
      <c r="F978" s="1">
        <v>45216</v>
      </c>
    </row>
    <row r="979" spans="1:6" x14ac:dyDescent="0.3">
      <c r="A979">
        <v>373342</v>
      </c>
      <c r="B979" t="s">
        <v>2831</v>
      </c>
      <c r="C979" t="s">
        <v>2832</v>
      </c>
      <c r="D979" t="s">
        <v>2833</v>
      </c>
      <c r="E979" t="s">
        <v>46</v>
      </c>
      <c r="F979" s="1">
        <v>45139</v>
      </c>
    </row>
    <row r="980" spans="1:6" x14ac:dyDescent="0.3">
      <c r="A980">
        <v>485456</v>
      </c>
      <c r="B980" t="s">
        <v>2834</v>
      </c>
      <c r="C980" t="s">
        <v>2835</v>
      </c>
      <c r="D980" t="s">
        <v>2836</v>
      </c>
      <c r="E980" t="s">
        <v>24</v>
      </c>
      <c r="F980" s="1">
        <v>45021</v>
      </c>
    </row>
    <row r="981" spans="1:6" x14ac:dyDescent="0.3">
      <c r="A981">
        <v>193298</v>
      </c>
      <c r="B981" t="s">
        <v>2837</v>
      </c>
      <c r="C981" t="s">
        <v>2838</v>
      </c>
      <c r="D981" t="s">
        <v>2839</v>
      </c>
      <c r="E981" t="s">
        <v>399</v>
      </c>
      <c r="F981" s="1">
        <v>44663</v>
      </c>
    </row>
    <row r="982" spans="1:6" x14ac:dyDescent="0.3">
      <c r="A982">
        <v>729557</v>
      </c>
      <c r="B982" t="s">
        <v>2840</v>
      </c>
      <c r="C982" t="s">
        <v>2841</v>
      </c>
      <c r="D982" t="s">
        <v>2842</v>
      </c>
      <c r="E982" t="s">
        <v>32</v>
      </c>
      <c r="F982" s="1">
        <v>44910</v>
      </c>
    </row>
    <row r="983" spans="1:6" x14ac:dyDescent="0.3">
      <c r="A983">
        <v>853489</v>
      </c>
      <c r="B983" t="s">
        <v>2843</v>
      </c>
      <c r="C983" t="s">
        <v>2844</v>
      </c>
      <c r="D983" t="s">
        <v>2845</v>
      </c>
      <c r="E983" t="s">
        <v>62</v>
      </c>
      <c r="F983" s="1">
        <v>45574</v>
      </c>
    </row>
    <row r="984" spans="1:6" x14ac:dyDescent="0.3">
      <c r="A984">
        <v>299800</v>
      </c>
      <c r="B984" t="s">
        <v>2846</v>
      </c>
      <c r="C984" t="s">
        <v>2847</v>
      </c>
      <c r="D984" t="s">
        <v>2848</v>
      </c>
      <c r="E984" t="s">
        <v>117</v>
      </c>
      <c r="F984" s="1">
        <v>45344</v>
      </c>
    </row>
    <row r="985" spans="1:6" x14ac:dyDescent="0.3">
      <c r="A985">
        <v>729232</v>
      </c>
      <c r="B985" t="s">
        <v>2849</v>
      </c>
      <c r="C985" t="s">
        <v>2850</v>
      </c>
      <c r="D985" t="s">
        <v>2851</v>
      </c>
      <c r="E985" t="s">
        <v>17</v>
      </c>
      <c r="F985" s="1">
        <v>45418</v>
      </c>
    </row>
    <row r="986" spans="1:6" x14ac:dyDescent="0.3">
      <c r="A986">
        <v>130170</v>
      </c>
      <c r="B986" t="s">
        <v>2852</v>
      </c>
      <c r="C986" t="s">
        <v>2853</v>
      </c>
      <c r="D986" t="s">
        <v>2854</v>
      </c>
      <c r="E986" t="s">
        <v>62</v>
      </c>
      <c r="F986" s="1">
        <v>45070</v>
      </c>
    </row>
    <row r="987" spans="1:6" x14ac:dyDescent="0.3">
      <c r="A987">
        <v>189903</v>
      </c>
      <c r="B987" t="s">
        <v>2337</v>
      </c>
      <c r="C987" t="s">
        <v>2855</v>
      </c>
      <c r="D987" t="s">
        <v>2856</v>
      </c>
      <c r="E987" t="s">
        <v>46</v>
      </c>
      <c r="F987" s="1">
        <v>45376</v>
      </c>
    </row>
    <row r="988" spans="1:6" x14ac:dyDescent="0.3">
      <c r="A988">
        <v>842866</v>
      </c>
      <c r="B988" t="s">
        <v>2857</v>
      </c>
      <c r="C988" t="s">
        <v>2858</v>
      </c>
      <c r="D988" t="s">
        <v>2859</v>
      </c>
      <c r="E988" t="s">
        <v>143</v>
      </c>
      <c r="F988" s="1">
        <v>44757</v>
      </c>
    </row>
    <row r="989" spans="1:6" x14ac:dyDescent="0.3">
      <c r="A989">
        <v>449031</v>
      </c>
      <c r="B989" t="s">
        <v>2860</v>
      </c>
      <c r="C989" t="s">
        <v>2861</v>
      </c>
      <c r="D989" t="s">
        <v>2862</v>
      </c>
      <c r="E989" t="s">
        <v>32</v>
      </c>
      <c r="F989" s="1">
        <v>44655</v>
      </c>
    </row>
    <row r="990" spans="1:6" x14ac:dyDescent="0.3">
      <c r="A990">
        <v>749758</v>
      </c>
      <c r="B990" t="s">
        <v>2863</v>
      </c>
      <c r="C990" t="s">
        <v>2864</v>
      </c>
      <c r="D990" t="s">
        <v>2865</v>
      </c>
      <c r="E990" t="s">
        <v>32</v>
      </c>
      <c r="F990" s="1">
        <v>44832</v>
      </c>
    </row>
    <row r="991" spans="1:6" x14ac:dyDescent="0.3">
      <c r="A991">
        <v>372935</v>
      </c>
      <c r="B991" t="s">
        <v>2866</v>
      </c>
      <c r="C991" t="s">
        <v>2867</v>
      </c>
      <c r="D991" t="s">
        <v>2868</v>
      </c>
      <c r="E991" t="s">
        <v>46</v>
      </c>
      <c r="F991" s="1">
        <v>45520</v>
      </c>
    </row>
    <row r="992" spans="1:6" x14ac:dyDescent="0.3">
      <c r="A992">
        <v>844756</v>
      </c>
      <c r="B992" t="s">
        <v>2843</v>
      </c>
      <c r="C992" t="s">
        <v>2869</v>
      </c>
      <c r="D992" t="s">
        <v>2870</v>
      </c>
      <c r="E992" t="s">
        <v>9</v>
      </c>
      <c r="F992" s="1">
        <v>44801</v>
      </c>
    </row>
    <row r="993" spans="1:6" x14ac:dyDescent="0.3">
      <c r="A993">
        <v>623460</v>
      </c>
      <c r="B993" t="s">
        <v>2871</v>
      </c>
      <c r="C993" t="s">
        <v>2872</v>
      </c>
      <c r="D993" t="s">
        <v>2873</v>
      </c>
      <c r="E993" t="s">
        <v>13</v>
      </c>
      <c r="F993" s="1">
        <v>45141</v>
      </c>
    </row>
    <row r="994" spans="1:6" x14ac:dyDescent="0.3">
      <c r="A994">
        <v>642085</v>
      </c>
      <c r="B994" t="s">
        <v>2874</v>
      </c>
      <c r="C994" t="s">
        <v>2875</v>
      </c>
      <c r="D994" t="s">
        <v>2876</v>
      </c>
      <c r="E994" t="s">
        <v>399</v>
      </c>
      <c r="F994" s="1">
        <v>45208</v>
      </c>
    </row>
    <row r="995" spans="1:6" x14ac:dyDescent="0.3">
      <c r="A995">
        <v>682667</v>
      </c>
      <c r="B995" t="s">
        <v>2877</v>
      </c>
      <c r="C995" t="s">
        <v>2878</v>
      </c>
      <c r="D995" t="s">
        <v>2879</v>
      </c>
      <c r="E995" t="s">
        <v>62</v>
      </c>
      <c r="F995" s="1">
        <v>44670</v>
      </c>
    </row>
    <row r="996" spans="1:6" x14ac:dyDescent="0.3">
      <c r="A996">
        <v>341026</v>
      </c>
      <c r="B996" t="s">
        <v>2880</v>
      </c>
      <c r="C996" t="s">
        <v>2881</v>
      </c>
      <c r="D996" t="s">
        <v>2882</v>
      </c>
      <c r="E996" t="s">
        <v>9</v>
      </c>
      <c r="F996" s="1">
        <v>44896</v>
      </c>
    </row>
    <row r="997" spans="1:6" x14ac:dyDescent="0.3">
      <c r="A997">
        <v>221660</v>
      </c>
      <c r="B997" t="s">
        <v>2883</v>
      </c>
      <c r="C997" t="s">
        <v>2884</v>
      </c>
      <c r="D997" t="s">
        <v>2885</v>
      </c>
      <c r="E997" t="s">
        <v>32</v>
      </c>
      <c r="F997" s="1">
        <v>45555</v>
      </c>
    </row>
    <row r="998" spans="1:6" x14ac:dyDescent="0.3">
      <c r="A998">
        <v>986925</v>
      </c>
      <c r="B998" t="s">
        <v>2886</v>
      </c>
      <c r="C998" t="s">
        <v>2887</v>
      </c>
      <c r="D998" t="s">
        <v>2888</v>
      </c>
      <c r="E998" t="s">
        <v>143</v>
      </c>
      <c r="F998" s="1">
        <v>44979</v>
      </c>
    </row>
    <row r="999" spans="1:6" x14ac:dyDescent="0.3">
      <c r="A999">
        <v>886365</v>
      </c>
      <c r="B999" t="s">
        <v>2889</v>
      </c>
      <c r="C999" t="s">
        <v>2890</v>
      </c>
      <c r="D999" t="s">
        <v>2891</v>
      </c>
      <c r="E999" t="s">
        <v>17</v>
      </c>
      <c r="F999" s="1">
        <v>44570</v>
      </c>
    </row>
    <row r="1000" spans="1:6" x14ac:dyDescent="0.3">
      <c r="A1000">
        <v>536646</v>
      </c>
      <c r="B1000" t="s">
        <v>2892</v>
      </c>
      <c r="C1000" t="s">
        <v>2893</v>
      </c>
      <c r="D1000" t="s">
        <v>2894</v>
      </c>
      <c r="E1000" t="s">
        <v>117</v>
      </c>
      <c r="F1000" s="1">
        <v>44755</v>
      </c>
    </row>
    <row r="1001" spans="1:6" x14ac:dyDescent="0.3">
      <c r="A1001">
        <v>814407</v>
      </c>
      <c r="B1001" t="s">
        <v>2895</v>
      </c>
      <c r="C1001" t="s">
        <v>2896</v>
      </c>
      <c r="D1001" t="s">
        <v>2897</v>
      </c>
      <c r="E1001" t="s">
        <v>32</v>
      </c>
      <c r="F1001" s="1">
        <v>44779</v>
      </c>
    </row>
    <row r="1002" spans="1:6" x14ac:dyDescent="0.3">
      <c r="A1002">
        <v>185000</v>
      </c>
      <c r="B1002" t="s">
        <v>2898</v>
      </c>
      <c r="C1002" t="s">
        <v>2899</v>
      </c>
      <c r="D1002" t="s">
        <v>2900</v>
      </c>
      <c r="E1002" t="s">
        <v>62</v>
      </c>
      <c r="F1002" s="1">
        <v>45113</v>
      </c>
    </row>
    <row r="1003" spans="1:6" x14ac:dyDescent="0.3">
      <c r="A1003">
        <v>445429</v>
      </c>
      <c r="B1003" t="s">
        <v>2901</v>
      </c>
      <c r="C1003" t="s">
        <v>2902</v>
      </c>
      <c r="D1003" t="s">
        <v>2903</v>
      </c>
      <c r="E1003" t="s">
        <v>62</v>
      </c>
      <c r="F1003" s="1">
        <v>45227</v>
      </c>
    </row>
    <row r="1004" spans="1:6" x14ac:dyDescent="0.3">
      <c r="A1004">
        <v>321634</v>
      </c>
      <c r="B1004" t="s">
        <v>622</v>
      </c>
      <c r="C1004" t="s">
        <v>2904</v>
      </c>
      <c r="D1004" t="s">
        <v>2905</v>
      </c>
      <c r="E1004" t="s">
        <v>46</v>
      </c>
      <c r="F1004" s="1">
        <v>44675</v>
      </c>
    </row>
    <row r="1005" spans="1:6" x14ac:dyDescent="0.3">
      <c r="A1005">
        <v>731548</v>
      </c>
      <c r="B1005" t="s">
        <v>2906</v>
      </c>
      <c r="C1005" t="s">
        <v>2907</v>
      </c>
      <c r="D1005" t="s">
        <v>2908</v>
      </c>
      <c r="E1005" t="s">
        <v>9</v>
      </c>
      <c r="F1005" s="1">
        <v>44926</v>
      </c>
    </row>
    <row r="1006" spans="1:6" x14ac:dyDescent="0.3">
      <c r="A1006">
        <v>193520</v>
      </c>
      <c r="B1006" t="s">
        <v>2909</v>
      </c>
      <c r="C1006" t="s">
        <v>2910</v>
      </c>
      <c r="D1006" t="s">
        <v>2911</v>
      </c>
      <c r="E1006" t="s">
        <v>24</v>
      </c>
      <c r="F1006" s="1">
        <v>45386</v>
      </c>
    </row>
    <row r="1007" spans="1:6" x14ac:dyDescent="0.3">
      <c r="A1007">
        <v>226460</v>
      </c>
      <c r="B1007" t="s">
        <v>2912</v>
      </c>
      <c r="C1007" t="s">
        <v>2913</v>
      </c>
      <c r="D1007" t="s">
        <v>2914</v>
      </c>
      <c r="E1007" t="s">
        <v>13</v>
      </c>
      <c r="F1007" s="1">
        <v>45197</v>
      </c>
    </row>
    <row r="1008" spans="1:6" x14ac:dyDescent="0.3">
      <c r="A1008">
        <v>476485</v>
      </c>
      <c r="B1008" t="s">
        <v>849</v>
      </c>
      <c r="C1008" t="s">
        <v>2915</v>
      </c>
      <c r="D1008" t="s">
        <v>2916</v>
      </c>
      <c r="E1008" t="s">
        <v>32</v>
      </c>
      <c r="F1008" s="1">
        <v>45611</v>
      </c>
    </row>
    <row r="1009" spans="1:6" x14ac:dyDescent="0.3">
      <c r="A1009">
        <v>506941</v>
      </c>
      <c r="B1009" t="s">
        <v>2917</v>
      </c>
      <c r="C1009" t="s">
        <v>2918</v>
      </c>
      <c r="D1009" t="s">
        <v>2919</v>
      </c>
      <c r="E1009" t="s">
        <v>13</v>
      </c>
      <c r="F1009" s="1">
        <v>44746</v>
      </c>
    </row>
    <row r="1010" spans="1:6" x14ac:dyDescent="0.3">
      <c r="A1010">
        <v>743687</v>
      </c>
      <c r="B1010" t="s">
        <v>2920</v>
      </c>
      <c r="C1010" t="s">
        <v>2921</v>
      </c>
      <c r="D1010" t="s">
        <v>2922</v>
      </c>
      <c r="E1010" t="s">
        <v>13</v>
      </c>
      <c r="F1010" s="1">
        <v>44752</v>
      </c>
    </row>
    <row r="1011" spans="1:6" x14ac:dyDescent="0.3">
      <c r="A1011">
        <v>586041</v>
      </c>
      <c r="B1011" t="s">
        <v>2923</v>
      </c>
      <c r="C1011" t="s">
        <v>2924</v>
      </c>
      <c r="D1011" t="s">
        <v>2925</v>
      </c>
      <c r="E1011" t="s">
        <v>399</v>
      </c>
      <c r="F1011" s="1">
        <v>45576</v>
      </c>
    </row>
    <row r="1012" spans="1:6" x14ac:dyDescent="0.3">
      <c r="A1012">
        <v>188049</v>
      </c>
      <c r="B1012" t="s">
        <v>2926</v>
      </c>
      <c r="C1012" t="s">
        <v>2927</v>
      </c>
      <c r="D1012" t="s">
        <v>2928</v>
      </c>
      <c r="E1012" t="s">
        <v>143</v>
      </c>
      <c r="F1012" s="1">
        <v>45540</v>
      </c>
    </row>
    <row r="1013" spans="1:6" x14ac:dyDescent="0.3">
      <c r="A1013">
        <v>817555</v>
      </c>
      <c r="B1013" t="s">
        <v>2929</v>
      </c>
      <c r="C1013" t="s">
        <v>2930</v>
      </c>
      <c r="D1013" t="s">
        <v>2931</v>
      </c>
      <c r="E1013" t="s">
        <v>13</v>
      </c>
      <c r="F1013" s="1">
        <v>45167</v>
      </c>
    </row>
    <row r="1014" spans="1:6" x14ac:dyDescent="0.3">
      <c r="A1014">
        <v>147285</v>
      </c>
      <c r="B1014" t="s">
        <v>2932</v>
      </c>
      <c r="C1014" t="s">
        <v>2933</v>
      </c>
      <c r="D1014" t="s">
        <v>2934</v>
      </c>
      <c r="E1014" t="s">
        <v>13</v>
      </c>
      <c r="F1014" s="1">
        <v>45407</v>
      </c>
    </row>
    <row r="1015" spans="1:6" x14ac:dyDescent="0.3">
      <c r="A1015">
        <v>472724</v>
      </c>
      <c r="B1015" t="s">
        <v>2935</v>
      </c>
      <c r="C1015" t="s">
        <v>2936</v>
      </c>
      <c r="D1015" t="s">
        <v>2937</v>
      </c>
      <c r="E1015" t="s">
        <v>143</v>
      </c>
      <c r="F1015" s="1">
        <v>44795</v>
      </c>
    </row>
    <row r="1016" spans="1:6" x14ac:dyDescent="0.3">
      <c r="A1016">
        <v>288274</v>
      </c>
      <c r="B1016" t="s">
        <v>2834</v>
      </c>
      <c r="C1016" t="s">
        <v>2938</v>
      </c>
      <c r="D1016" t="s">
        <v>2939</v>
      </c>
      <c r="E1016" t="s">
        <v>143</v>
      </c>
      <c r="F1016" s="1">
        <v>45414</v>
      </c>
    </row>
    <row r="1017" spans="1:6" x14ac:dyDescent="0.3">
      <c r="A1017">
        <v>715732</v>
      </c>
      <c r="B1017" t="s">
        <v>2940</v>
      </c>
      <c r="C1017" t="s">
        <v>2941</v>
      </c>
      <c r="D1017" t="s">
        <v>197</v>
      </c>
      <c r="E1017" t="s">
        <v>9</v>
      </c>
      <c r="F1017" s="1">
        <v>45261</v>
      </c>
    </row>
    <row r="1018" spans="1:6" x14ac:dyDescent="0.3">
      <c r="A1018">
        <v>182020</v>
      </c>
      <c r="B1018" t="s">
        <v>2942</v>
      </c>
      <c r="C1018" t="s">
        <v>2943</v>
      </c>
      <c r="D1018" t="s">
        <v>2944</v>
      </c>
      <c r="E1018" t="s">
        <v>28</v>
      </c>
      <c r="F1018" s="1">
        <v>45450</v>
      </c>
    </row>
    <row r="1019" spans="1:6" x14ac:dyDescent="0.3">
      <c r="A1019">
        <v>514118</v>
      </c>
      <c r="B1019" t="s">
        <v>2945</v>
      </c>
      <c r="C1019" t="s">
        <v>2946</v>
      </c>
      <c r="D1019" t="s">
        <v>2947</v>
      </c>
      <c r="E1019" t="s">
        <v>117</v>
      </c>
      <c r="F1019" s="1">
        <v>45504</v>
      </c>
    </row>
    <row r="1020" spans="1:6" x14ac:dyDescent="0.3">
      <c r="A1020">
        <v>417508</v>
      </c>
      <c r="B1020" t="s">
        <v>2948</v>
      </c>
      <c r="C1020" t="s">
        <v>2949</v>
      </c>
      <c r="D1020" t="s">
        <v>2950</v>
      </c>
      <c r="E1020" t="s">
        <v>24</v>
      </c>
      <c r="F1020" s="1">
        <v>45181</v>
      </c>
    </row>
    <row r="1021" spans="1:6" x14ac:dyDescent="0.3">
      <c r="A1021">
        <v>114549</v>
      </c>
      <c r="B1021" t="s">
        <v>2951</v>
      </c>
      <c r="C1021" t="s">
        <v>2952</v>
      </c>
      <c r="D1021" t="s">
        <v>197</v>
      </c>
      <c r="E1021" t="s">
        <v>143</v>
      </c>
      <c r="F1021" s="1">
        <v>44947</v>
      </c>
    </row>
    <row r="1022" spans="1:6" x14ac:dyDescent="0.3">
      <c r="A1022">
        <v>780130</v>
      </c>
      <c r="B1022" t="s">
        <v>2953</v>
      </c>
      <c r="C1022" t="s">
        <v>2954</v>
      </c>
      <c r="D1022" t="s">
        <v>2955</v>
      </c>
      <c r="E1022" t="s">
        <v>13</v>
      </c>
      <c r="F1022" s="1">
        <v>44952</v>
      </c>
    </row>
    <row r="1023" spans="1:6" x14ac:dyDescent="0.3">
      <c r="A1023">
        <v>255362</v>
      </c>
      <c r="B1023" t="s">
        <v>2956</v>
      </c>
      <c r="C1023" t="s">
        <v>2957</v>
      </c>
      <c r="D1023" t="s">
        <v>2958</v>
      </c>
      <c r="E1023" t="s">
        <v>28</v>
      </c>
      <c r="F1023" s="1">
        <v>44902</v>
      </c>
    </row>
    <row r="1024" spans="1:6" x14ac:dyDescent="0.3">
      <c r="A1024">
        <v>608608</v>
      </c>
      <c r="B1024" t="s">
        <v>2959</v>
      </c>
      <c r="C1024" t="s">
        <v>2960</v>
      </c>
      <c r="D1024" t="s">
        <v>2961</v>
      </c>
      <c r="E1024" t="s">
        <v>62</v>
      </c>
      <c r="F1024" s="1">
        <v>45058</v>
      </c>
    </row>
    <row r="1025" spans="1:6" x14ac:dyDescent="0.3">
      <c r="A1025">
        <v>153395</v>
      </c>
      <c r="B1025" t="s">
        <v>2962</v>
      </c>
      <c r="C1025" t="s">
        <v>2963</v>
      </c>
      <c r="D1025" t="s">
        <v>2964</v>
      </c>
      <c r="E1025" t="s">
        <v>13</v>
      </c>
      <c r="F1025" s="1">
        <v>45413</v>
      </c>
    </row>
    <row r="1026" spans="1:6" x14ac:dyDescent="0.3">
      <c r="A1026">
        <v>138815</v>
      </c>
      <c r="B1026" t="s">
        <v>2965</v>
      </c>
      <c r="C1026" t="s">
        <v>2966</v>
      </c>
      <c r="D1026" t="s">
        <v>2967</v>
      </c>
      <c r="E1026" t="s">
        <v>117</v>
      </c>
      <c r="F1026" s="1">
        <v>45036</v>
      </c>
    </row>
    <row r="1027" spans="1:6" x14ac:dyDescent="0.3">
      <c r="A1027">
        <v>119943</v>
      </c>
      <c r="B1027" t="s">
        <v>2968</v>
      </c>
      <c r="C1027" t="s">
        <v>2969</v>
      </c>
      <c r="D1027" t="s">
        <v>2970</v>
      </c>
      <c r="E1027" t="s">
        <v>143</v>
      </c>
      <c r="F1027" s="1">
        <v>45110</v>
      </c>
    </row>
    <row r="1028" spans="1:6" x14ac:dyDescent="0.3">
      <c r="A1028">
        <v>222621</v>
      </c>
      <c r="B1028" t="s">
        <v>2971</v>
      </c>
      <c r="C1028" t="s">
        <v>2972</v>
      </c>
      <c r="D1028" t="s">
        <v>2973</v>
      </c>
      <c r="E1028" t="s">
        <v>32</v>
      </c>
      <c r="F1028" s="1">
        <v>45480</v>
      </c>
    </row>
    <row r="1029" spans="1:6" x14ac:dyDescent="0.3">
      <c r="A1029">
        <v>269170</v>
      </c>
      <c r="B1029" t="s">
        <v>2974</v>
      </c>
      <c r="C1029" t="s">
        <v>2975</v>
      </c>
      <c r="D1029" t="s">
        <v>2976</v>
      </c>
      <c r="E1029" t="s">
        <v>32</v>
      </c>
      <c r="F1029" s="1">
        <v>45459</v>
      </c>
    </row>
    <row r="1030" spans="1:6" x14ac:dyDescent="0.3">
      <c r="A1030">
        <v>716204</v>
      </c>
      <c r="B1030" t="s">
        <v>2977</v>
      </c>
      <c r="C1030" t="s">
        <v>2978</v>
      </c>
      <c r="D1030" t="s">
        <v>2979</v>
      </c>
      <c r="E1030" t="s">
        <v>62</v>
      </c>
      <c r="F1030" s="1">
        <v>44830</v>
      </c>
    </row>
    <row r="1031" spans="1:6" x14ac:dyDescent="0.3">
      <c r="A1031">
        <v>537110</v>
      </c>
      <c r="B1031" t="s">
        <v>2980</v>
      </c>
      <c r="C1031" t="s">
        <v>2981</v>
      </c>
      <c r="D1031" t="s">
        <v>2982</v>
      </c>
      <c r="E1031" t="s">
        <v>32</v>
      </c>
      <c r="F1031" s="1">
        <v>45529</v>
      </c>
    </row>
    <row r="1032" spans="1:6" x14ac:dyDescent="0.3">
      <c r="A1032">
        <v>396177</v>
      </c>
      <c r="B1032" t="s">
        <v>1426</v>
      </c>
      <c r="C1032" t="s">
        <v>2983</v>
      </c>
      <c r="D1032" t="s">
        <v>2984</v>
      </c>
      <c r="E1032" t="s">
        <v>117</v>
      </c>
      <c r="F1032" s="1">
        <v>44826</v>
      </c>
    </row>
    <row r="1033" spans="1:6" x14ac:dyDescent="0.3">
      <c r="A1033">
        <v>735173</v>
      </c>
      <c r="B1033" t="s">
        <v>2985</v>
      </c>
      <c r="C1033" t="s">
        <v>2986</v>
      </c>
      <c r="D1033" t="s">
        <v>2987</v>
      </c>
      <c r="E1033" t="s">
        <v>13</v>
      </c>
      <c r="F1033" s="1">
        <v>45573</v>
      </c>
    </row>
    <row r="1034" spans="1:6" x14ac:dyDescent="0.3">
      <c r="A1034">
        <v>683879</v>
      </c>
      <c r="B1034" t="s">
        <v>2988</v>
      </c>
      <c r="C1034" t="s">
        <v>2989</v>
      </c>
      <c r="D1034" t="s">
        <v>2990</v>
      </c>
      <c r="E1034" t="s">
        <v>9</v>
      </c>
      <c r="F1034" s="1">
        <v>45293</v>
      </c>
    </row>
    <row r="1035" spans="1:6" x14ac:dyDescent="0.3">
      <c r="A1035">
        <v>968167</v>
      </c>
      <c r="B1035" t="s">
        <v>2991</v>
      </c>
      <c r="C1035" t="s">
        <v>2992</v>
      </c>
      <c r="D1035" t="s">
        <v>2993</v>
      </c>
      <c r="E1035" t="s">
        <v>143</v>
      </c>
      <c r="F1035" s="1">
        <v>45253</v>
      </c>
    </row>
    <row r="1036" spans="1:6" x14ac:dyDescent="0.3">
      <c r="A1036">
        <v>226550</v>
      </c>
      <c r="B1036" t="s">
        <v>2994</v>
      </c>
      <c r="C1036" t="s">
        <v>2995</v>
      </c>
      <c r="D1036" t="s">
        <v>2996</v>
      </c>
      <c r="E1036" t="s">
        <v>9</v>
      </c>
      <c r="F1036" s="1">
        <v>45258</v>
      </c>
    </row>
    <row r="1037" spans="1:6" x14ac:dyDescent="0.3">
      <c r="A1037">
        <v>907503</v>
      </c>
      <c r="B1037" t="s">
        <v>2997</v>
      </c>
      <c r="C1037" t="s">
        <v>2998</v>
      </c>
      <c r="D1037" t="s">
        <v>2999</v>
      </c>
      <c r="E1037" t="s">
        <v>399</v>
      </c>
      <c r="F1037" s="1">
        <v>45617</v>
      </c>
    </row>
    <row r="1038" spans="1:6" x14ac:dyDescent="0.3">
      <c r="A1038">
        <v>840719</v>
      </c>
      <c r="B1038" t="s">
        <v>3000</v>
      </c>
      <c r="C1038" t="s">
        <v>3001</v>
      </c>
      <c r="D1038" t="s">
        <v>3002</v>
      </c>
      <c r="E1038" t="s">
        <v>62</v>
      </c>
      <c r="F1038" s="1">
        <v>44789</v>
      </c>
    </row>
    <row r="1039" spans="1:6" x14ac:dyDescent="0.3">
      <c r="A1039">
        <v>963617</v>
      </c>
      <c r="B1039" t="s">
        <v>3003</v>
      </c>
      <c r="C1039" t="s">
        <v>3004</v>
      </c>
      <c r="D1039" t="s">
        <v>3005</v>
      </c>
      <c r="E1039" t="s">
        <v>28</v>
      </c>
      <c r="F1039" s="1">
        <v>44904</v>
      </c>
    </row>
    <row r="1040" spans="1:6" x14ac:dyDescent="0.3">
      <c r="A1040">
        <v>479205</v>
      </c>
      <c r="B1040" t="s">
        <v>3006</v>
      </c>
      <c r="C1040" t="s">
        <v>3007</v>
      </c>
      <c r="D1040" t="s">
        <v>3008</v>
      </c>
      <c r="E1040" t="s">
        <v>62</v>
      </c>
      <c r="F1040" s="1">
        <v>45598</v>
      </c>
    </row>
    <row r="1041" spans="1:6" x14ac:dyDescent="0.3">
      <c r="A1041">
        <v>261790</v>
      </c>
      <c r="B1041" t="s">
        <v>690</v>
      </c>
      <c r="C1041" t="s">
        <v>3009</v>
      </c>
      <c r="D1041" t="s">
        <v>3010</v>
      </c>
      <c r="E1041" t="s">
        <v>399</v>
      </c>
      <c r="F1041" s="1">
        <v>44813</v>
      </c>
    </row>
    <row r="1042" spans="1:6" x14ac:dyDescent="0.3">
      <c r="A1042">
        <v>906584</v>
      </c>
      <c r="B1042" t="s">
        <v>3011</v>
      </c>
      <c r="C1042" t="s">
        <v>3012</v>
      </c>
      <c r="D1042" t="s">
        <v>197</v>
      </c>
      <c r="E1042" t="s">
        <v>117</v>
      </c>
      <c r="F1042" s="1">
        <v>45261</v>
      </c>
    </row>
    <row r="1043" spans="1:6" x14ac:dyDescent="0.3">
      <c r="A1043">
        <v>189374</v>
      </c>
      <c r="B1043" t="s">
        <v>3013</v>
      </c>
      <c r="C1043" t="s">
        <v>3014</v>
      </c>
      <c r="D1043" t="s">
        <v>3015</v>
      </c>
      <c r="E1043" t="s">
        <v>13</v>
      </c>
      <c r="F1043" s="1">
        <v>45300</v>
      </c>
    </row>
    <row r="1044" spans="1:6" x14ac:dyDescent="0.3">
      <c r="A1044">
        <v>258975</v>
      </c>
      <c r="B1044" t="s">
        <v>3016</v>
      </c>
      <c r="C1044" t="s">
        <v>3017</v>
      </c>
      <c r="D1044" t="s">
        <v>3018</v>
      </c>
      <c r="E1044" t="s">
        <v>36</v>
      </c>
      <c r="F1044" s="1">
        <v>44844</v>
      </c>
    </row>
    <row r="1045" spans="1:6" x14ac:dyDescent="0.3">
      <c r="A1045">
        <v>581037</v>
      </c>
      <c r="B1045" t="s">
        <v>3019</v>
      </c>
      <c r="C1045" t="s">
        <v>3020</v>
      </c>
      <c r="D1045" t="s">
        <v>3021</v>
      </c>
      <c r="E1045" t="s">
        <v>143</v>
      </c>
      <c r="F1045" s="1">
        <v>45468</v>
      </c>
    </row>
    <row r="1046" spans="1:6" x14ac:dyDescent="0.3">
      <c r="A1046">
        <v>852485</v>
      </c>
      <c r="B1046" t="s">
        <v>3022</v>
      </c>
      <c r="C1046" t="s">
        <v>3023</v>
      </c>
      <c r="D1046" t="s">
        <v>3024</v>
      </c>
      <c r="E1046" t="s">
        <v>46</v>
      </c>
      <c r="F1046" s="1">
        <v>45206</v>
      </c>
    </row>
    <row r="1047" spans="1:6" x14ac:dyDescent="0.3">
      <c r="A1047">
        <v>555157</v>
      </c>
      <c r="B1047" t="s">
        <v>2725</v>
      </c>
      <c r="C1047" t="s">
        <v>3025</v>
      </c>
      <c r="D1047" t="s">
        <v>3026</v>
      </c>
      <c r="E1047" t="s">
        <v>143</v>
      </c>
      <c r="F1047" s="1">
        <v>44871</v>
      </c>
    </row>
    <row r="1048" spans="1:6" x14ac:dyDescent="0.3">
      <c r="A1048">
        <v>410089</v>
      </c>
      <c r="B1048" t="s">
        <v>3027</v>
      </c>
      <c r="C1048" t="s">
        <v>3028</v>
      </c>
      <c r="D1048" t="s">
        <v>3029</v>
      </c>
      <c r="E1048" t="s">
        <v>133</v>
      </c>
      <c r="F1048" s="1">
        <v>45204</v>
      </c>
    </row>
    <row r="1049" spans="1:6" x14ac:dyDescent="0.3">
      <c r="A1049">
        <v>653429</v>
      </c>
      <c r="B1049" t="s">
        <v>3030</v>
      </c>
      <c r="C1049" t="s">
        <v>3031</v>
      </c>
      <c r="D1049" t="s">
        <v>3032</v>
      </c>
      <c r="E1049" t="s">
        <v>24</v>
      </c>
      <c r="F1049" s="1">
        <v>45475</v>
      </c>
    </row>
    <row r="1050" spans="1:6" x14ac:dyDescent="0.3">
      <c r="A1050">
        <v>754688</v>
      </c>
      <c r="B1050" t="s">
        <v>3033</v>
      </c>
      <c r="C1050" t="s">
        <v>3034</v>
      </c>
      <c r="D1050" t="s">
        <v>3035</v>
      </c>
      <c r="E1050" t="s">
        <v>32</v>
      </c>
      <c r="F1050" s="1">
        <v>45390</v>
      </c>
    </row>
    <row r="1051" spans="1:6" x14ac:dyDescent="0.3">
      <c r="A1051">
        <v>188374</v>
      </c>
      <c r="B1051" t="s">
        <v>1483</v>
      </c>
      <c r="C1051" t="s">
        <v>3036</v>
      </c>
      <c r="D1051" t="s">
        <v>3037</v>
      </c>
      <c r="E1051" t="s">
        <v>24</v>
      </c>
      <c r="F1051" s="1">
        <v>44820</v>
      </c>
    </row>
    <row r="1052" spans="1:6" x14ac:dyDescent="0.3">
      <c r="A1052">
        <v>324116</v>
      </c>
      <c r="B1052" t="s">
        <v>3038</v>
      </c>
      <c r="C1052" t="s">
        <v>3039</v>
      </c>
      <c r="D1052" t="s">
        <v>3040</v>
      </c>
      <c r="E1052" t="s">
        <v>133</v>
      </c>
      <c r="F1052" s="1">
        <v>45629</v>
      </c>
    </row>
    <row r="1053" spans="1:6" x14ac:dyDescent="0.3">
      <c r="A1053">
        <v>124559</v>
      </c>
      <c r="B1053" t="s">
        <v>3041</v>
      </c>
      <c r="C1053" t="s">
        <v>3042</v>
      </c>
      <c r="D1053" t="s">
        <v>3043</v>
      </c>
      <c r="E1053" t="s">
        <v>9</v>
      </c>
      <c r="F1053" s="1">
        <v>45056</v>
      </c>
    </row>
    <row r="1054" spans="1:6" x14ac:dyDescent="0.3">
      <c r="A1054">
        <v>629818</v>
      </c>
      <c r="B1054" t="s">
        <v>3044</v>
      </c>
      <c r="C1054" t="s">
        <v>3045</v>
      </c>
      <c r="D1054" t="s">
        <v>3046</v>
      </c>
      <c r="E1054" t="s">
        <v>32</v>
      </c>
      <c r="F1054" s="1">
        <v>45093</v>
      </c>
    </row>
    <row r="1055" spans="1:6" x14ac:dyDescent="0.3">
      <c r="A1055">
        <v>229827</v>
      </c>
      <c r="B1055" t="s">
        <v>3047</v>
      </c>
      <c r="C1055" t="s">
        <v>3048</v>
      </c>
      <c r="D1055" t="s">
        <v>3049</v>
      </c>
      <c r="E1055" t="s">
        <v>28</v>
      </c>
      <c r="F1055" s="1">
        <v>45481</v>
      </c>
    </row>
    <row r="1056" spans="1:6" x14ac:dyDescent="0.3">
      <c r="A1056">
        <v>575159</v>
      </c>
      <c r="B1056" t="s">
        <v>3050</v>
      </c>
      <c r="C1056" t="s">
        <v>3051</v>
      </c>
      <c r="D1056" t="s">
        <v>3052</v>
      </c>
      <c r="E1056" t="s">
        <v>36</v>
      </c>
      <c r="F1056" s="1">
        <v>45279</v>
      </c>
    </row>
    <row r="1057" spans="1:6" x14ac:dyDescent="0.3">
      <c r="A1057">
        <v>849051</v>
      </c>
      <c r="B1057" t="s">
        <v>3053</v>
      </c>
      <c r="C1057" t="s">
        <v>3054</v>
      </c>
      <c r="D1057" t="s">
        <v>3055</v>
      </c>
      <c r="E1057" t="s">
        <v>36</v>
      </c>
      <c r="F1057" s="1">
        <v>44777</v>
      </c>
    </row>
    <row r="1058" spans="1:6" x14ac:dyDescent="0.3">
      <c r="A1058">
        <v>962813</v>
      </c>
      <c r="B1058" t="s">
        <v>3056</v>
      </c>
      <c r="C1058" t="s">
        <v>3057</v>
      </c>
      <c r="D1058" t="s">
        <v>3058</v>
      </c>
      <c r="E1058" t="s">
        <v>399</v>
      </c>
      <c r="F1058" s="1">
        <v>45433</v>
      </c>
    </row>
    <row r="1059" spans="1:6" x14ac:dyDescent="0.3">
      <c r="A1059">
        <v>165214</v>
      </c>
      <c r="B1059" t="s">
        <v>3059</v>
      </c>
      <c r="C1059" t="s">
        <v>3060</v>
      </c>
      <c r="D1059" t="s">
        <v>3061</v>
      </c>
      <c r="E1059" t="s">
        <v>17</v>
      </c>
      <c r="F1059" s="1">
        <v>45475</v>
      </c>
    </row>
    <row r="1060" spans="1:6" x14ac:dyDescent="0.3">
      <c r="A1060">
        <v>522317</v>
      </c>
      <c r="B1060" t="s">
        <v>3062</v>
      </c>
      <c r="C1060" t="s">
        <v>3063</v>
      </c>
      <c r="D1060" t="s">
        <v>3064</v>
      </c>
      <c r="E1060" t="s">
        <v>24</v>
      </c>
      <c r="F1060" s="1">
        <v>45102</v>
      </c>
    </row>
    <row r="1061" spans="1:6" x14ac:dyDescent="0.3">
      <c r="A1061">
        <v>561457</v>
      </c>
      <c r="B1061" t="s">
        <v>1918</v>
      </c>
      <c r="C1061" t="s">
        <v>3065</v>
      </c>
      <c r="D1061" t="s">
        <v>3066</v>
      </c>
      <c r="E1061" t="s">
        <v>13</v>
      </c>
      <c r="F1061" s="1">
        <v>44895</v>
      </c>
    </row>
    <row r="1062" spans="1:6" x14ac:dyDescent="0.3">
      <c r="A1062">
        <v>608312</v>
      </c>
      <c r="B1062" t="s">
        <v>3067</v>
      </c>
      <c r="C1062" t="s">
        <v>3068</v>
      </c>
      <c r="D1062" t="s">
        <v>3069</v>
      </c>
      <c r="E1062" t="s">
        <v>28</v>
      </c>
      <c r="F1062" s="1">
        <v>44997</v>
      </c>
    </row>
    <row r="1063" spans="1:6" x14ac:dyDescent="0.3">
      <c r="A1063">
        <v>882758</v>
      </c>
      <c r="B1063" t="s">
        <v>3070</v>
      </c>
      <c r="C1063" t="s">
        <v>3071</v>
      </c>
      <c r="D1063" t="s">
        <v>3072</v>
      </c>
      <c r="E1063" t="s">
        <v>28</v>
      </c>
      <c r="F1063" s="1">
        <v>45398</v>
      </c>
    </row>
    <row r="1064" spans="1:6" x14ac:dyDescent="0.3">
      <c r="A1064">
        <v>699538</v>
      </c>
      <c r="B1064" t="s">
        <v>3073</v>
      </c>
      <c r="C1064" t="s">
        <v>3074</v>
      </c>
      <c r="D1064" t="s">
        <v>3075</v>
      </c>
      <c r="E1064" t="s">
        <v>399</v>
      </c>
      <c r="F1064" s="1">
        <v>44803</v>
      </c>
    </row>
    <row r="1065" spans="1:6" x14ac:dyDescent="0.3">
      <c r="A1065">
        <v>417991</v>
      </c>
      <c r="B1065" t="s">
        <v>3076</v>
      </c>
      <c r="C1065" t="s">
        <v>3077</v>
      </c>
      <c r="D1065" t="s">
        <v>3078</v>
      </c>
      <c r="E1065" t="s">
        <v>399</v>
      </c>
      <c r="F1065" s="1">
        <v>44853</v>
      </c>
    </row>
    <row r="1066" spans="1:6" x14ac:dyDescent="0.3">
      <c r="A1066">
        <v>419987</v>
      </c>
      <c r="B1066" t="s">
        <v>3079</v>
      </c>
      <c r="C1066" t="s">
        <v>3080</v>
      </c>
      <c r="D1066" t="s">
        <v>3081</v>
      </c>
      <c r="E1066" t="s">
        <v>117</v>
      </c>
      <c r="F1066" s="1">
        <v>44566</v>
      </c>
    </row>
    <row r="1067" spans="1:6" x14ac:dyDescent="0.3">
      <c r="A1067">
        <v>170846</v>
      </c>
      <c r="B1067" t="s">
        <v>3082</v>
      </c>
      <c r="C1067" t="s">
        <v>3083</v>
      </c>
      <c r="D1067" t="s">
        <v>3084</v>
      </c>
      <c r="E1067" t="s">
        <v>133</v>
      </c>
      <c r="F1067" s="1">
        <v>45488</v>
      </c>
    </row>
    <row r="1068" spans="1:6" x14ac:dyDescent="0.3">
      <c r="A1068">
        <v>974994</v>
      </c>
      <c r="B1068" t="s">
        <v>2385</v>
      </c>
      <c r="C1068" t="s">
        <v>3085</v>
      </c>
      <c r="D1068" t="s">
        <v>3086</v>
      </c>
      <c r="E1068" t="s">
        <v>399</v>
      </c>
      <c r="F1068" s="1">
        <v>45595</v>
      </c>
    </row>
    <row r="1069" spans="1:6" x14ac:dyDescent="0.3">
      <c r="A1069">
        <v>799631</v>
      </c>
      <c r="B1069" t="s">
        <v>3087</v>
      </c>
      <c r="C1069" t="s">
        <v>3088</v>
      </c>
      <c r="D1069" t="s">
        <v>3089</v>
      </c>
      <c r="E1069" t="s">
        <v>46</v>
      </c>
      <c r="F1069" s="1">
        <v>44744</v>
      </c>
    </row>
    <row r="1070" spans="1:6" x14ac:dyDescent="0.3">
      <c r="A1070">
        <v>506045</v>
      </c>
      <c r="B1070" t="s">
        <v>3090</v>
      </c>
      <c r="C1070" t="s">
        <v>3091</v>
      </c>
      <c r="D1070" t="s">
        <v>3092</v>
      </c>
      <c r="E1070" t="s">
        <v>143</v>
      </c>
      <c r="F1070" s="1">
        <v>45469</v>
      </c>
    </row>
    <row r="1071" spans="1:6" x14ac:dyDescent="0.3">
      <c r="A1071">
        <v>273659</v>
      </c>
      <c r="B1071" t="s">
        <v>3093</v>
      </c>
      <c r="C1071" t="s">
        <v>3094</v>
      </c>
      <c r="D1071" t="s">
        <v>3095</v>
      </c>
      <c r="E1071" t="s">
        <v>133</v>
      </c>
      <c r="F1071" s="1">
        <v>44815</v>
      </c>
    </row>
    <row r="1072" spans="1:6" x14ac:dyDescent="0.3">
      <c r="A1072">
        <v>301774</v>
      </c>
      <c r="B1072" t="s">
        <v>3096</v>
      </c>
      <c r="C1072" t="s">
        <v>3097</v>
      </c>
      <c r="D1072" t="s">
        <v>3098</v>
      </c>
      <c r="E1072" t="s">
        <v>143</v>
      </c>
      <c r="F1072" s="1">
        <v>45630</v>
      </c>
    </row>
    <row r="1073" spans="1:6" x14ac:dyDescent="0.3">
      <c r="A1073">
        <v>627054</v>
      </c>
      <c r="B1073" t="s">
        <v>3099</v>
      </c>
      <c r="C1073" t="s">
        <v>3100</v>
      </c>
      <c r="D1073" t="s">
        <v>3101</v>
      </c>
      <c r="E1073" t="s">
        <v>399</v>
      </c>
      <c r="F1073" s="1">
        <v>44600</v>
      </c>
    </row>
    <row r="1074" spans="1:6" x14ac:dyDescent="0.3">
      <c r="A1074">
        <v>969993</v>
      </c>
      <c r="B1074" t="s">
        <v>3102</v>
      </c>
      <c r="C1074" t="s">
        <v>3103</v>
      </c>
      <c r="D1074" t="s">
        <v>3104</v>
      </c>
      <c r="E1074" t="s">
        <v>46</v>
      </c>
      <c r="F1074" s="1">
        <v>45384</v>
      </c>
    </row>
    <row r="1075" spans="1:6" x14ac:dyDescent="0.3">
      <c r="A1075">
        <v>124393</v>
      </c>
      <c r="B1075" t="s">
        <v>3105</v>
      </c>
      <c r="C1075" t="s">
        <v>3106</v>
      </c>
      <c r="D1075" t="s">
        <v>3107</v>
      </c>
      <c r="E1075" t="s">
        <v>13</v>
      </c>
      <c r="F1075" s="1">
        <v>44611</v>
      </c>
    </row>
    <row r="1076" spans="1:6" x14ac:dyDescent="0.3">
      <c r="A1076">
        <v>369670</v>
      </c>
      <c r="B1076" t="s">
        <v>3108</v>
      </c>
      <c r="C1076" t="s">
        <v>3109</v>
      </c>
      <c r="D1076" t="s">
        <v>3110</v>
      </c>
      <c r="E1076" t="s">
        <v>399</v>
      </c>
      <c r="F1076" s="1">
        <v>45146</v>
      </c>
    </row>
    <row r="1077" spans="1:6" x14ac:dyDescent="0.3">
      <c r="A1077">
        <v>905625</v>
      </c>
      <c r="B1077" t="s">
        <v>3111</v>
      </c>
      <c r="C1077" t="s">
        <v>3112</v>
      </c>
      <c r="D1077" t="s">
        <v>3113</v>
      </c>
      <c r="E1077" t="s">
        <v>13</v>
      </c>
      <c r="F1077" s="1">
        <v>44908</v>
      </c>
    </row>
    <row r="1078" spans="1:6" x14ac:dyDescent="0.3">
      <c r="A1078">
        <v>290272</v>
      </c>
      <c r="B1078" t="s">
        <v>3114</v>
      </c>
      <c r="C1078" t="s">
        <v>3115</v>
      </c>
      <c r="D1078" t="s">
        <v>3116</v>
      </c>
      <c r="E1078" t="s">
        <v>24</v>
      </c>
      <c r="F1078" s="1">
        <v>44764</v>
      </c>
    </row>
    <row r="1079" spans="1:6" x14ac:dyDescent="0.3">
      <c r="A1079">
        <v>439966</v>
      </c>
      <c r="B1079" t="s">
        <v>3117</v>
      </c>
      <c r="C1079" t="s">
        <v>3118</v>
      </c>
      <c r="D1079" t="s">
        <v>3119</v>
      </c>
      <c r="E1079" t="s">
        <v>28</v>
      </c>
      <c r="F1079" s="1">
        <v>44668</v>
      </c>
    </row>
    <row r="1080" spans="1:6" x14ac:dyDescent="0.3">
      <c r="A1080">
        <v>616926</v>
      </c>
      <c r="B1080" t="s">
        <v>3120</v>
      </c>
      <c r="C1080" t="s">
        <v>3121</v>
      </c>
      <c r="D1080" t="s">
        <v>3122</v>
      </c>
      <c r="E1080" t="s">
        <v>28</v>
      </c>
      <c r="F1080" s="1">
        <v>45113</v>
      </c>
    </row>
    <row r="1081" spans="1:6" x14ac:dyDescent="0.3">
      <c r="A1081">
        <v>679989</v>
      </c>
      <c r="B1081" t="s">
        <v>3123</v>
      </c>
      <c r="C1081" t="s">
        <v>3124</v>
      </c>
      <c r="D1081" t="s">
        <v>3125</v>
      </c>
      <c r="E1081" t="s">
        <v>143</v>
      </c>
      <c r="F1081" s="1">
        <v>45396</v>
      </c>
    </row>
    <row r="1082" spans="1:6" x14ac:dyDescent="0.3">
      <c r="A1082">
        <v>382234</v>
      </c>
      <c r="B1082" t="s">
        <v>3126</v>
      </c>
      <c r="C1082" t="s">
        <v>3127</v>
      </c>
      <c r="D1082" t="s">
        <v>3128</v>
      </c>
      <c r="E1082" t="s">
        <v>28</v>
      </c>
      <c r="F1082" s="1">
        <v>45066</v>
      </c>
    </row>
    <row r="1083" spans="1:6" x14ac:dyDescent="0.3">
      <c r="A1083">
        <v>419409</v>
      </c>
      <c r="B1083" t="s">
        <v>3129</v>
      </c>
      <c r="C1083" t="s">
        <v>3130</v>
      </c>
      <c r="D1083" t="s">
        <v>3131</v>
      </c>
      <c r="E1083" t="s">
        <v>143</v>
      </c>
      <c r="F1083" s="1">
        <v>45586</v>
      </c>
    </row>
    <row r="1084" spans="1:6" x14ac:dyDescent="0.3">
      <c r="A1084">
        <v>666692</v>
      </c>
      <c r="B1084" t="s">
        <v>1065</v>
      </c>
      <c r="C1084" t="s">
        <v>3132</v>
      </c>
      <c r="D1084" t="s">
        <v>3133</v>
      </c>
      <c r="E1084" t="s">
        <v>13</v>
      </c>
      <c r="F1084" s="1">
        <v>45487</v>
      </c>
    </row>
    <row r="1085" spans="1:6" x14ac:dyDescent="0.3">
      <c r="A1085">
        <v>969659</v>
      </c>
      <c r="B1085" t="s">
        <v>995</v>
      </c>
      <c r="C1085" t="s">
        <v>3134</v>
      </c>
      <c r="D1085" t="s">
        <v>3135</v>
      </c>
      <c r="E1085" t="s">
        <v>399</v>
      </c>
      <c r="F1085" s="1">
        <v>44563</v>
      </c>
    </row>
    <row r="1086" spans="1:6" x14ac:dyDescent="0.3">
      <c r="A1086">
        <v>726909</v>
      </c>
      <c r="B1086" t="s">
        <v>3136</v>
      </c>
      <c r="C1086" t="s">
        <v>3137</v>
      </c>
      <c r="D1086" t="s">
        <v>3138</v>
      </c>
      <c r="E1086" t="s">
        <v>32</v>
      </c>
      <c r="F1086" s="1">
        <v>44997</v>
      </c>
    </row>
    <row r="1087" spans="1:6" x14ac:dyDescent="0.3">
      <c r="A1087">
        <v>147694</v>
      </c>
      <c r="B1087" t="s">
        <v>3139</v>
      </c>
      <c r="C1087" t="s">
        <v>3140</v>
      </c>
      <c r="D1087" t="s">
        <v>3141</v>
      </c>
      <c r="E1087" t="s">
        <v>143</v>
      </c>
      <c r="F1087" s="1">
        <v>45177</v>
      </c>
    </row>
    <row r="1088" spans="1:6" x14ac:dyDescent="0.3">
      <c r="A1088">
        <v>970840</v>
      </c>
      <c r="B1088" t="s">
        <v>3142</v>
      </c>
      <c r="C1088" t="s">
        <v>3143</v>
      </c>
      <c r="D1088" t="s">
        <v>3144</v>
      </c>
      <c r="E1088" t="s">
        <v>13</v>
      </c>
      <c r="F1088" s="1">
        <v>44993</v>
      </c>
    </row>
    <row r="1089" spans="1:6" x14ac:dyDescent="0.3">
      <c r="A1089">
        <v>815234</v>
      </c>
      <c r="B1089" t="s">
        <v>3145</v>
      </c>
      <c r="C1089" t="s">
        <v>3146</v>
      </c>
      <c r="D1089" t="s">
        <v>3147</v>
      </c>
      <c r="E1089" t="s">
        <v>62</v>
      </c>
      <c r="F1089" s="1">
        <v>45121</v>
      </c>
    </row>
    <row r="1090" spans="1:6" x14ac:dyDescent="0.3">
      <c r="A1090">
        <v>458224</v>
      </c>
      <c r="B1090" t="s">
        <v>3148</v>
      </c>
      <c r="C1090" t="s">
        <v>3149</v>
      </c>
      <c r="D1090" t="s">
        <v>197</v>
      </c>
      <c r="E1090" t="s">
        <v>46</v>
      </c>
      <c r="F1090" s="1">
        <v>44594</v>
      </c>
    </row>
    <row r="1091" spans="1:6" x14ac:dyDescent="0.3">
      <c r="A1091">
        <v>738359</v>
      </c>
      <c r="B1091" t="s">
        <v>3150</v>
      </c>
      <c r="C1091" t="s">
        <v>3151</v>
      </c>
      <c r="D1091" t="s">
        <v>3152</v>
      </c>
      <c r="E1091" t="s">
        <v>143</v>
      </c>
      <c r="F1091" s="1">
        <v>44917</v>
      </c>
    </row>
    <row r="1092" spans="1:6" x14ac:dyDescent="0.3">
      <c r="A1092">
        <v>899502</v>
      </c>
      <c r="B1092" t="s">
        <v>3153</v>
      </c>
      <c r="C1092" t="s">
        <v>3154</v>
      </c>
      <c r="D1092" t="s">
        <v>3155</v>
      </c>
      <c r="E1092" t="s">
        <v>143</v>
      </c>
      <c r="F1092" s="1">
        <v>44625</v>
      </c>
    </row>
    <row r="1093" spans="1:6" x14ac:dyDescent="0.3">
      <c r="A1093">
        <v>470141</v>
      </c>
      <c r="B1093" t="s">
        <v>3156</v>
      </c>
      <c r="C1093" t="s">
        <v>3157</v>
      </c>
      <c r="D1093" t="s">
        <v>3158</v>
      </c>
      <c r="E1093" t="s">
        <v>24</v>
      </c>
      <c r="F1093" s="1">
        <v>44924</v>
      </c>
    </row>
    <row r="1094" spans="1:6" x14ac:dyDescent="0.3">
      <c r="A1094">
        <v>230824</v>
      </c>
      <c r="B1094" t="s">
        <v>3159</v>
      </c>
      <c r="C1094" t="s">
        <v>3160</v>
      </c>
      <c r="D1094" t="s">
        <v>3161</v>
      </c>
      <c r="E1094" t="s">
        <v>17</v>
      </c>
      <c r="F1094" s="1">
        <v>45472</v>
      </c>
    </row>
    <row r="1095" spans="1:6" x14ac:dyDescent="0.3">
      <c r="A1095">
        <v>895262</v>
      </c>
      <c r="B1095" t="s">
        <v>3162</v>
      </c>
      <c r="C1095" t="s">
        <v>3163</v>
      </c>
      <c r="D1095" t="s">
        <v>3164</v>
      </c>
      <c r="E1095" t="s">
        <v>32</v>
      </c>
      <c r="F1095" s="1">
        <v>44954</v>
      </c>
    </row>
    <row r="1096" spans="1:6" x14ac:dyDescent="0.3">
      <c r="A1096">
        <v>947684</v>
      </c>
      <c r="B1096" t="s">
        <v>3165</v>
      </c>
      <c r="C1096" t="s">
        <v>3166</v>
      </c>
      <c r="D1096" t="s">
        <v>3167</v>
      </c>
      <c r="E1096" t="s">
        <v>32</v>
      </c>
      <c r="F1096" s="1">
        <v>44637</v>
      </c>
    </row>
    <row r="1097" spans="1:6" x14ac:dyDescent="0.3">
      <c r="A1097">
        <v>107482</v>
      </c>
      <c r="B1097" t="s">
        <v>728</v>
      </c>
      <c r="C1097" t="s">
        <v>3168</v>
      </c>
      <c r="D1097" t="s">
        <v>3169</v>
      </c>
      <c r="E1097" t="s">
        <v>28</v>
      </c>
      <c r="F1097" s="1">
        <v>45130</v>
      </c>
    </row>
    <row r="1098" spans="1:6" x14ac:dyDescent="0.3">
      <c r="A1098">
        <v>278758</v>
      </c>
      <c r="B1098" t="s">
        <v>3170</v>
      </c>
      <c r="C1098" t="s">
        <v>3171</v>
      </c>
      <c r="D1098" t="s">
        <v>3172</v>
      </c>
      <c r="E1098" t="s">
        <v>399</v>
      </c>
      <c r="F1098" s="1">
        <v>44695</v>
      </c>
    </row>
    <row r="1099" spans="1:6" x14ac:dyDescent="0.3">
      <c r="A1099">
        <v>233620</v>
      </c>
      <c r="B1099" t="s">
        <v>3173</v>
      </c>
      <c r="C1099" t="s">
        <v>3174</v>
      </c>
      <c r="D1099" t="s">
        <v>3175</v>
      </c>
      <c r="E1099" t="s">
        <v>36</v>
      </c>
      <c r="F1099" s="1">
        <v>45633</v>
      </c>
    </row>
    <row r="1100" spans="1:6" x14ac:dyDescent="0.3">
      <c r="A1100">
        <v>988843</v>
      </c>
      <c r="B1100" t="s">
        <v>3176</v>
      </c>
      <c r="C1100" t="s">
        <v>3177</v>
      </c>
      <c r="D1100" t="s">
        <v>3178</v>
      </c>
      <c r="E1100" t="s">
        <v>9</v>
      </c>
      <c r="F1100" s="1">
        <v>45491</v>
      </c>
    </row>
    <row r="1101" spans="1:6" x14ac:dyDescent="0.3">
      <c r="A1101">
        <v>995336</v>
      </c>
      <c r="B1101" t="s">
        <v>3179</v>
      </c>
      <c r="C1101" t="s">
        <v>3180</v>
      </c>
      <c r="D1101" t="s">
        <v>3181</v>
      </c>
      <c r="E1101" t="s">
        <v>13</v>
      </c>
      <c r="F1101" s="1">
        <v>45123</v>
      </c>
    </row>
    <row r="1102" spans="1:6" x14ac:dyDescent="0.3">
      <c r="A1102">
        <v>589251</v>
      </c>
      <c r="B1102" t="s">
        <v>3182</v>
      </c>
      <c r="C1102" t="s">
        <v>3183</v>
      </c>
      <c r="D1102" t="s">
        <v>3184</v>
      </c>
      <c r="E1102" t="s">
        <v>143</v>
      </c>
      <c r="F1102" s="1">
        <v>45021</v>
      </c>
    </row>
    <row r="1103" spans="1:6" x14ac:dyDescent="0.3">
      <c r="A1103">
        <v>658272</v>
      </c>
      <c r="B1103" t="s">
        <v>3185</v>
      </c>
      <c r="C1103" t="s">
        <v>3186</v>
      </c>
      <c r="D1103" t="s">
        <v>3187</v>
      </c>
      <c r="E1103" t="s">
        <v>24</v>
      </c>
      <c r="F1103" s="1">
        <v>44960</v>
      </c>
    </row>
    <row r="1104" spans="1:6" x14ac:dyDescent="0.3">
      <c r="A1104">
        <v>873266</v>
      </c>
      <c r="B1104" t="s">
        <v>3188</v>
      </c>
      <c r="C1104" t="s">
        <v>3189</v>
      </c>
      <c r="D1104" t="s">
        <v>3190</v>
      </c>
      <c r="E1104" t="s">
        <v>143</v>
      </c>
      <c r="F1104" s="1">
        <v>45073</v>
      </c>
    </row>
    <row r="1105" spans="1:6" x14ac:dyDescent="0.3">
      <c r="A1105">
        <v>425903</v>
      </c>
      <c r="B1105" t="s">
        <v>3191</v>
      </c>
      <c r="C1105" t="s">
        <v>3192</v>
      </c>
      <c r="D1105" t="s">
        <v>3193</v>
      </c>
      <c r="E1105" t="s">
        <v>28</v>
      </c>
      <c r="F1105" s="1">
        <v>44619</v>
      </c>
    </row>
    <row r="1106" spans="1:6" x14ac:dyDescent="0.3">
      <c r="A1106">
        <v>721313</v>
      </c>
      <c r="B1106" t="s">
        <v>3194</v>
      </c>
      <c r="C1106" t="s">
        <v>3195</v>
      </c>
      <c r="D1106" t="s">
        <v>3196</v>
      </c>
      <c r="E1106" t="s">
        <v>9</v>
      </c>
      <c r="F1106" s="1">
        <v>45068</v>
      </c>
    </row>
    <row r="1107" spans="1:6" x14ac:dyDescent="0.3">
      <c r="A1107">
        <v>457356</v>
      </c>
      <c r="B1107" t="s">
        <v>3197</v>
      </c>
      <c r="C1107" t="s">
        <v>3198</v>
      </c>
      <c r="D1107" t="s">
        <v>3199</v>
      </c>
      <c r="E1107" t="s">
        <v>36</v>
      </c>
      <c r="F1107" s="1">
        <v>44711</v>
      </c>
    </row>
    <row r="1108" spans="1:6" x14ac:dyDescent="0.3">
      <c r="A1108">
        <v>901215</v>
      </c>
      <c r="B1108" t="s">
        <v>2454</v>
      </c>
      <c r="C1108" t="s">
        <v>3200</v>
      </c>
      <c r="D1108" t="s">
        <v>3201</v>
      </c>
      <c r="E1108" t="s">
        <v>28</v>
      </c>
      <c r="F1108" s="1">
        <v>44737</v>
      </c>
    </row>
    <row r="1109" spans="1:6" x14ac:dyDescent="0.3">
      <c r="A1109">
        <v>428497</v>
      </c>
      <c r="B1109" t="s">
        <v>3202</v>
      </c>
      <c r="C1109" t="s">
        <v>3203</v>
      </c>
      <c r="D1109" t="s">
        <v>197</v>
      </c>
      <c r="E1109" t="s">
        <v>399</v>
      </c>
      <c r="F1109" s="1">
        <v>44688</v>
      </c>
    </row>
    <row r="1110" spans="1:6" x14ac:dyDescent="0.3">
      <c r="A1110">
        <v>740405</v>
      </c>
      <c r="B1110" t="s">
        <v>3204</v>
      </c>
      <c r="C1110" t="s">
        <v>3205</v>
      </c>
      <c r="D1110" t="s">
        <v>3206</v>
      </c>
      <c r="E1110" t="s">
        <v>28</v>
      </c>
      <c r="F1110" s="1">
        <v>44676</v>
      </c>
    </row>
    <row r="1111" spans="1:6" x14ac:dyDescent="0.3">
      <c r="A1111">
        <v>991215</v>
      </c>
      <c r="B1111" t="s">
        <v>3207</v>
      </c>
      <c r="C1111" t="s">
        <v>3208</v>
      </c>
      <c r="D1111" t="s">
        <v>3209</v>
      </c>
      <c r="E1111" t="s">
        <v>13</v>
      </c>
      <c r="F1111" s="1">
        <v>45039</v>
      </c>
    </row>
    <row r="1112" spans="1:6" x14ac:dyDescent="0.3">
      <c r="A1112">
        <v>575436</v>
      </c>
      <c r="B1112" t="s">
        <v>3210</v>
      </c>
      <c r="C1112" t="s">
        <v>3211</v>
      </c>
      <c r="D1112" t="s">
        <v>3212</v>
      </c>
      <c r="E1112" t="s">
        <v>13</v>
      </c>
      <c r="F1112" s="1">
        <v>44769</v>
      </c>
    </row>
    <row r="1113" spans="1:6" x14ac:dyDescent="0.3">
      <c r="A1113">
        <v>576133</v>
      </c>
      <c r="B1113" t="s">
        <v>3213</v>
      </c>
      <c r="C1113" t="s">
        <v>3214</v>
      </c>
      <c r="D1113" t="s">
        <v>3215</v>
      </c>
      <c r="E1113" t="s">
        <v>17</v>
      </c>
      <c r="F1113" s="1">
        <v>44783</v>
      </c>
    </row>
    <row r="1114" spans="1:6" x14ac:dyDescent="0.3">
      <c r="A1114">
        <v>721686</v>
      </c>
      <c r="B1114" t="s">
        <v>3216</v>
      </c>
      <c r="C1114" t="s">
        <v>3217</v>
      </c>
      <c r="D1114" t="s">
        <v>3218</v>
      </c>
      <c r="E1114" t="s">
        <v>9</v>
      </c>
      <c r="F1114" s="1">
        <v>45289</v>
      </c>
    </row>
    <row r="1115" spans="1:6" x14ac:dyDescent="0.3">
      <c r="A1115">
        <v>294954</v>
      </c>
      <c r="B1115" t="s">
        <v>3219</v>
      </c>
      <c r="C1115" t="s">
        <v>3220</v>
      </c>
      <c r="D1115" t="s">
        <v>3221</v>
      </c>
      <c r="E1115" t="s">
        <v>143</v>
      </c>
      <c r="F1115" s="1">
        <v>44685</v>
      </c>
    </row>
    <row r="1116" spans="1:6" x14ac:dyDescent="0.3">
      <c r="A1116">
        <v>638051</v>
      </c>
      <c r="B1116" t="s">
        <v>3222</v>
      </c>
      <c r="C1116" t="s">
        <v>3223</v>
      </c>
      <c r="D1116" t="s">
        <v>3224</v>
      </c>
      <c r="E1116" t="s">
        <v>399</v>
      </c>
      <c r="F1116" s="1">
        <v>44863</v>
      </c>
    </row>
    <row r="1117" spans="1:6" x14ac:dyDescent="0.3">
      <c r="A1117">
        <v>405202</v>
      </c>
      <c r="B1117" t="s">
        <v>3225</v>
      </c>
      <c r="C1117" t="s">
        <v>3226</v>
      </c>
      <c r="D1117" t="s">
        <v>3227</v>
      </c>
      <c r="E1117" t="s">
        <v>399</v>
      </c>
      <c r="F1117" s="1">
        <v>44679</v>
      </c>
    </row>
    <row r="1118" spans="1:6" x14ac:dyDescent="0.3">
      <c r="A1118">
        <v>542563</v>
      </c>
      <c r="B1118" t="s">
        <v>3228</v>
      </c>
      <c r="C1118" t="s">
        <v>3229</v>
      </c>
      <c r="D1118" t="s">
        <v>3230</v>
      </c>
      <c r="E1118" t="s">
        <v>17</v>
      </c>
      <c r="F1118" s="1">
        <v>44702</v>
      </c>
    </row>
    <row r="1119" spans="1:6" x14ac:dyDescent="0.3">
      <c r="A1119">
        <v>828531</v>
      </c>
      <c r="B1119" t="s">
        <v>3231</v>
      </c>
      <c r="C1119" t="s">
        <v>3232</v>
      </c>
      <c r="D1119" t="s">
        <v>3233</v>
      </c>
      <c r="E1119" t="s">
        <v>46</v>
      </c>
      <c r="F1119" s="1">
        <v>45249</v>
      </c>
    </row>
    <row r="1120" spans="1:6" x14ac:dyDescent="0.3">
      <c r="A1120">
        <v>444582</v>
      </c>
      <c r="B1120" t="s">
        <v>1537</v>
      </c>
      <c r="C1120" t="s">
        <v>3234</v>
      </c>
      <c r="D1120" t="s">
        <v>3235</v>
      </c>
      <c r="E1120" t="s">
        <v>143</v>
      </c>
      <c r="F1120" s="1">
        <v>45577</v>
      </c>
    </row>
    <row r="1121" spans="1:6" x14ac:dyDescent="0.3">
      <c r="A1121">
        <v>826894</v>
      </c>
      <c r="B1121" t="s">
        <v>3236</v>
      </c>
      <c r="C1121" t="s">
        <v>3237</v>
      </c>
      <c r="D1121" t="s">
        <v>3238</v>
      </c>
      <c r="E1121" t="s">
        <v>17</v>
      </c>
      <c r="F1121" s="1">
        <v>45051</v>
      </c>
    </row>
    <row r="1122" spans="1:6" x14ac:dyDescent="0.3">
      <c r="A1122">
        <v>946485</v>
      </c>
      <c r="B1122" t="s">
        <v>3239</v>
      </c>
      <c r="C1122" t="s">
        <v>3240</v>
      </c>
      <c r="D1122" t="s">
        <v>3241</v>
      </c>
      <c r="E1122" t="s">
        <v>399</v>
      </c>
      <c r="F1122" s="1">
        <v>44575</v>
      </c>
    </row>
    <row r="1123" spans="1:6" x14ac:dyDescent="0.3">
      <c r="A1123">
        <v>475271</v>
      </c>
      <c r="B1123" t="s">
        <v>2104</v>
      </c>
      <c r="C1123" t="s">
        <v>3242</v>
      </c>
      <c r="D1123" t="s">
        <v>3243</v>
      </c>
      <c r="E1123" t="s">
        <v>399</v>
      </c>
      <c r="F1123" s="1">
        <v>45157</v>
      </c>
    </row>
    <row r="1124" spans="1:6" x14ac:dyDescent="0.3">
      <c r="A1124">
        <v>146037</v>
      </c>
      <c r="B1124" t="s">
        <v>3244</v>
      </c>
      <c r="C1124" t="s">
        <v>3245</v>
      </c>
      <c r="D1124" t="s">
        <v>3246</v>
      </c>
      <c r="E1124" t="s">
        <v>133</v>
      </c>
      <c r="F1124" s="1">
        <v>44918</v>
      </c>
    </row>
    <row r="1125" spans="1:6" x14ac:dyDescent="0.3">
      <c r="A1125">
        <v>456324</v>
      </c>
      <c r="B1125" t="s">
        <v>3247</v>
      </c>
      <c r="C1125" t="s">
        <v>3248</v>
      </c>
      <c r="D1125" t="s">
        <v>3249</v>
      </c>
      <c r="E1125" t="s">
        <v>17</v>
      </c>
      <c r="F1125" s="1">
        <v>44606</v>
      </c>
    </row>
    <row r="1126" spans="1:6" x14ac:dyDescent="0.3">
      <c r="A1126">
        <v>122013</v>
      </c>
      <c r="B1126" t="s">
        <v>3250</v>
      </c>
      <c r="C1126" t="s">
        <v>3251</v>
      </c>
      <c r="D1126" t="s">
        <v>3252</v>
      </c>
      <c r="E1126" t="s">
        <v>28</v>
      </c>
      <c r="F1126" s="1">
        <v>45255</v>
      </c>
    </row>
    <row r="1127" spans="1:6" x14ac:dyDescent="0.3">
      <c r="A1127">
        <v>351815</v>
      </c>
      <c r="B1127" t="s">
        <v>3253</v>
      </c>
      <c r="C1127" t="s">
        <v>3254</v>
      </c>
      <c r="D1127" t="s">
        <v>3255</v>
      </c>
      <c r="E1127" t="s">
        <v>399</v>
      </c>
      <c r="F1127" s="1">
        <v>45641</v>
      </c>
    </row>
    <row r="1128" spans="1:6" x14ac:dyDescent="0.3">
      <c r="A1128">
        <v>224249</v>
      </c>
      <c r="B1128" t="s">
        <v>3256</v>
      </c>
      <c r="C1128" t="s">
        <v>3257</v>
      </c>
      <c r="D1128" t="s">
        <v>3258</v>
      </c>
      <c r="E1128" t="s">
        <v>17</v>
      </c>
      <c r="F1128" s="1">
        <v>44954</v>
      </c>
    </row>
    <row r="1129" spans="1:6" x14ac:dyDescent="0.3">
      <c r="A1129">
        <v>433396</v>
      </c>
      <c r="B1129" t="s">
        <v>3259</v>
      </c>
      <c r="C1129" t="s">
        <v>3260</v>
      </c>
      <c r="D1129" t="s">
        <v>3261</v>
      </c>
      <c r="E1129" t="s">
        <v>36</v>
      </c>
      <c r="F1129" s="1">
        <v>44656</v>
      </c>
    </row>
    <row r="1130" spans="1:6" x14ac:dyDescent="0.3">
      <c r="A1130">
        <v>995940</v>
      </c>
      <c r="B1130" t="s">
        <v>3262</v>
      </c>
      <c r="C1130" t="s">
        <v>3263</v>
      </c>
      <c r="D1130" t="s">
        <v>197</v>
      </c>
      <c r="E1130" t="s">
        <v>399</v>
      </c>
      <c r="F1130" s="1">
        <v>45233</v>
      </c>
    </row>
    <row r="1131" spans="1:6" x14ac:dyDescent="0.3">
      <c r="A1131">
        <v>232601</v>
      </c>
      <c r="B1131" t="s">
        <v>3264</v>
      </c>
      <c r="C1131" t="s">
        <v>3265</v>
      </c>
      <c r="D1131" t="s">
        <v>3266</v>
      </c>
      <c r="E1131" t="s">
        <v>117</v>
      </c>
      <c r="F1131" s="1">
        <v>44990</v>
      </c>
    </row>
    <row r="1132" spans="1:6" x14ac:dyDescent="0.3">
      <c r="A1132">
        <v>929420</v>
      </c>
      <c r="B1132" t="s">
        <v>3267</v>
      </c>
      <c r="C1132" t="s">
        <v>3268</v>
      </c>
      <c r="D1132" t="s">
        <v>3269</v>
      </c>
      <c r="E1132" t="s">
        <v>399</v>
      </c>
      <c r="F1132" s="1">
        <v>45603</v>
      </c>
    </row>
    <row r="1133" spans="1:6" x14ac:dyDescent="0.3">
      <c r="A1133">
        <v>492446</v>
      </c>
      <c r="B1133" t="s">
        <v>3270</v>
      </c>
      <c r="C1133" t="s">
        <v>3271</v>
      </c>
      <c r="D1133" t="s">
        <v>3272</v>
      </c>
      <c r="E1133" t="s">
        <v>399</v>
      </c>
      <c r="F1133" s="1">
        <v>45221</v>
      </c>
    </row>
    <row r="1134" spans="1:6" x14ac:dyDescent="0.3">
      <c r="A1134">
        <v>828246</v>
      </c>
      <c r="B1134" t="s">
        <v>3273</v>
      </c>
      <c r="C1134" t="s">
        <v>3274</v>
      </c>
      <c r="D1134" t="s">
        <v>3275</v>
      </c>
      <c r="E1134" t="s">
        <v>9</v>
      </c>
      <c r="F1134" s="1">
        <v>45383</v>
      </c>
    </row>
    <row r="1135" spans="1:6" x14ac:dyDescent="0.3">
      <c r="A1135">
        <v>317264</v>
      </c>
      <c r="B1135" t="s">
        <v>3276</v>
      </c>
      <c r="C1135" t="s">
        <v>3277</v>
      </c>
      <c r="D1135" t="s">
        <v>3278</v>
      </c>
      <c r="E1135" t="s">
        <v>36</v>
      </c>
      <c r="F1135" s="1">
        <v>45372</v>
      </c>
    </row>
    <row r="1136" spans="1:6" x14ac:dyDescent="0.3">
      <c r="A1136">
        <v>495400</v>
      </c>
      <c r="B1136" t="s">
        <v>3279</v>
      </c>
      <c r="C1136" t="s">
        <v>3280</v>
      </c>
      <c r="D1136" t="s">
        <v>197</v>
      </c>
      <c r="E1136" t="s">
        <v>32</v>
      </c>
      <c r="F1136" s="1">
        <v>45083</v>
      </c>
    </row>
    <row r="1137" spans="1:6" x14ac:dyDescent="0.3">
      <c r="A1137">
        <v>888133</v>
      </c>
      <c r="B1137" t="s">
        <v>3281</v>
      </c>
      <c r="C1137" t="s">
        <v>3282</v>
      </c>
      <c r="D1137" t="s">
        <v>3283</v>
      </c>
      <c r="E1137" t="s">
        <v>32</v>
      </c>
      <c r="F1137" s="1">
        <v>45033</v>
      </c>
    </row>
    <row r="1138" spans="1:6" x14ac:dyDescent="0.3">
      <c r="A1138">
        <v>637145</v>
      </c>
      <c r="B1138" t="s">
        <v>3284</v>
      </c>
      <c r="C1138" t="s">
        <v>3285</v>
      </c>
      <c r="D1138" t="s">
        <v>3286</v>
      </c>
      <c r="E1138" t="s">
        <v>62</v>
      </c>
      <c r="F1138" s="1">
        <v>45519</v>
      </c>
    </row>
    <row r="1139" spans="1:6" x14ac:dyDescent="0.3">
      <c r="A1139">
        <v>943584</v>
      </c>
      <c r="B1139" t="s">
        <v>3287</v>
      </c>
      <c r="C1139" t="s">
        <v>3288</v>
      </c>
      <c r="D1139" t="s">
        <v>3289</v>
      </c>
      <c r="E1139" t="s">
        <v>24</v>
      </c>
      <c r="F1139" s="1">
        <v>44612</v>
      </c>
    </row>
    <row r="1140" spans="1:6" x14ac:dyDescent="0.3">
      <c r="A1140">
        <v>378527</v>
      </c>
      <c r="B1140" t="s">
        <v>3290</v>
      </c>
      <c r="C1140" t="s">
        <v>3291</v>
      </c>
      <c r="D1140" t="s">
        <v>3292</v>
      </c>
      <c r="E1140" t="s">
        <v>143</v>
      </c>
      <c r="F1140" s="1">
        <v>45165</v>
      </c>
    </row>
    <row r="1141" spans="1:6" x14ac:dyDescent="0.3">
      <c r="A1141">
        <v>774920</v>
      </c>
      <c r="B1141" t="s">
        <v>3293</v>
      </c>
      <c r="C1141" t="s">
        <v>3294</v>
      </c>
      <c r="D1141" t="s">
        <v>3295</v>
      </c>
      <c r="E1141" t="s">
        <v>36</v>
      </c>
      <c r="F1141" s="1">
        <v>44763</v>
      </c>
    </row>
    <row r="1142" spans="1:6" x14ac:dyDescent="0.3">
      <c r="A1142">
        <v>140140</v>
      </c>
      <c r="B1142" t="s">
        <v>3296</v>
      </c>
      <c r="C1142" t="s">
        <v>3297</v>
      </c>
      <c r="D1142" t="s">
        <v>3298</v>
      </c>
      <c r="E1142" t="s">
        <v>17</v>
      </c>
      <c r="F1142" s="1">
        <v>45236</v>
      </c>
    </row>
    <row r="1143" spans="1:6" x14ac:dyDescent="0.3">
      <c r="A1143">
        <v>299903</v>
      </c>
      <c r="B1143" t="s">
        <v>3299</v>
      </c>
      <c r="C1143" t="s">
        <v>3300</v>
      </c>
      <c r="D1143" t="s">
        <v>3301</v>
      </c>
      <c r="E1143" t="s">
        <v>9</v>
      </c>
      <c r="F1143" s="1">
        <v>44579</v>
      </c>
    </row>
    <row r="1144" spans="1:6" x14ac:dyDescent="0.3">
      <c r="A1144">
        <v>962253</v>
      </c>
      <c r="B1144" t="s">
        <v>3302</v>
      </c>
      <c r="C1144" t="s">
        <v>3303</v>
      </c>
      <c r="D1144" t="s">
        <v>3304</v>
      </c>
      <c r="E1144" t="s">
        <v>24</v>
      </c>
      <c r="F1144" s="1">
        <v>44586</v>
      </c>
    </row>
    <row r="1145" spans="1:6" x14ac:dyDescent="0.3">
      <c r="A1145">
        <v>898134</v>
      </c>
      <c r="B1145" t="s">
        <v>3305</v>
      </c>
      <c r="C1145" t="s">
        <v>3306</v>
      </c>
      <c r="D1145" t="s">
        <v>3307</v>
      </c>
      <c r="E1145" t="s">
        <v>36</v>
      </c>
      <c r="F1145" s="1">
        <v>44991</v>
      </c>
    </row>
    <row r="1146" spans="1:6" x14ac:dyDescent="0.3">
      <c r="A1146">
        <v>715517</v>
      </c>
      <c r="B1146" t="s">
        <v>1686</v>
      </c>
      <c r="C1146" t="s">
        <v>3308</v>
      </c>
      <c r="D1146" t="s">
        <v>3309</v>
      </c>
      <c r="E1146" t="s">
        <v>62</v>
      </c>
      <c r="F1146" s="1">
        <v>45259</v>
      </c>
    </row>
    <row r="1147" spans="1:6" x14ac:dyDescent="0.3">
      <c r="A1147">
        <v>549622</v>
      </c>
      <c r="B1147" t="s">
        <v>3310</v>
      </c>
      <c r="C1147" t="s">
        <v>3311</v>
      </c>
      <c r="D1147" t="s">
        <v>3312</v>
      </c>
      <c r="E1147" t="s">
        <v>62</v>
      </c>
      <c r="F1147" s="1">
        <v>45483</v>
      </c>
    </row>
    <row r="1148" spans="1:6" x14ac:dyDescent="0.3">
      <c r="A1148">
        <v>245699</v>
      </c>
      <c r="B1148" t="s">
        <v>2570</v>
      </c>
      <c r="C1148" t="s">
        <v>3313</v>
      </c>
      <c r="D1148" t="s">
        <v>3314</v>
      </c>
      <c r="E1148" t="s">
        <v>143</v>
      </c>
      <c r="F1148" s="1">
        <v>45585</v>
      </c>
    </row>
    <row r="1149" spans="1:6" x14ac:dyDescent="0.3">
      <c r="A1149">
        <v>336444</v>
      </c>
      <c r="B1149" t="s">
        <v>1185</v>
      </c>
      <c r="C1149" t="s">
        <v>3315</v>
      </c>
      <c r="D1149" t="s">
        <v>3316</v>
      </c>
      <c r="E1149" t="s">
        <v>24</v>
      </c>
      <c r="F1149" s="1">
        <v>45175</v>
      </c>
    </row>
    <row r="1150" spans="1:6" x14ac:dyDescent="0.3">
      <c r="A1150">
        <v>695148</v>
      </c>
      <c r="B1150" t="s">
        <v>3317</v>
      </c>
      <c r="C1150" t="s">
        <v>3318</v>
      </c>
      <c r="D1150" t="s">
        <v>3319</v>
      </c>
      <c r="E1150" t="s">
        <v>46</v>
      </c>
      <c r="F1150" s="1">
        <v>45362</v>
      </c>
    </row>
    <row r="1151" spans="1:6" x14ac:dyDescent="0.3">
      <c r="A1151">
        <v>166803</v>
      </c>
      <c r="B1151" t="s">
        <v>3320</v>
      </c>
      <c r="C1151" t="s">
        <v>3321</v>
      </c>
      <c r="D1151" t="s">
        <v>3322</v>
      </c>
      <c r="E1151" t="s">
        <v>117</v>
      </c>
      <c r="F1151" s="1">
        <v>44784</v>
      </c>
    </row>
    <row r="1152" spans="1:6" x14ac:dyDescent="0.3">
      <c r="A1152">
        <v>770043</v>
      </c>
      <c r="B1152" t="s">
        <v>3323</v>
      </c>
      <c r="C1152" t="s">
        <v>3324</v>
      </c>
      <c r="D1152" t="s">
        <v>3325</v>
      </c>
      <c r="E1152" t="s">
        <v>28</v>
      </c>
      <c r="F1152" s="1">
        <v>44925</v>
      </c>
    </row>
    <row r="1153" spans="1:6" x14ac:dyDescent="0.3">
      <c r="A1153">
        <v>128142</v>
      </c>
      <c r="B1153" t="s">
        <v>2097</v>
      </c>
      <c r="C1153" t="s">
        <v>3326</v>
      </c>
      <c r="D1153" t="s">
        <v>3327</v>
      </c>
      <c r="E1153" t="s">
        <v>24</v>
      </c>
      <c r="F1153" s="1">
        <v>45143</v>
      </c>
    </row>
    <row r="1154" spans="1:6" x14ac:dyDescent="0.3">
      <c r="A1154">
        <v>791609</v>
      </c>
      <c r="B1154" t="s">
        <v>3328</v>
      </c>
      <c r="C1154" t="s">
        <v>3329</v>
      </c>
      <c r="D1154" t="s">
        <v>197</v>
      </c>
      <c r="E1154" t="s">
        <v>143</v>
      </c>
      <c r="F1154" s="1">
        <v>45316</v>
      </c>
    </row>
    <row r="1155" spans="1:6" x14ac:dyDescent="0.3">
      <c r="A1155">
        <v>442645</v>
      </c>
      <c r="B1155" t="s">
        <v>3330</v>
      </c>
      <c r="C1155" t="s">
        <v>3331</v>
      </c>
      <c r="D1155" t="s">
        <v>3332</v>
      </c>
      <c r="E1155" t="s">
        <v>28</v>
      </c>
      <c r="F1155" s="1">
        <v>44826</v>
      </c>
    </row>
    <row r="1156" spans="1:6" x14ac:dyDescent="0.3">
      <c r="A1156">
        <v>879241</v>
      </c>
      <c r="B1156" t="s">
        <v>59</v>
      </c>
      <c r="C1156" t="s">
        <v>3333</v>
      </c>
      <c r="D1156" t="s">
        <v>197</v>
      </c>
      <c r="E1156" t="s">
        <v>17</v>
      </c>
      <c r="F1156" s="1">
        <v>44828</v>
      </c>
    </row>
    <row r="1157" spans="1:6" x14ac:dyDescent="0.3">
      <c r="A1157">
        <v>957626</v>
      </c>
      <c r="B1157" t="s">
        <v>3334</v>
      </c>
      <c r="C1157" t="s">
        <v>3335</v>
      </c>
      <c r="D1157" t="s">
        <v>3336</v>
      </c>
      <c r="E1157" t="s">
        <v>133</v>
      </c>
      <c r="F1157" s="1">
        <v>44977</v>
      </c>
    </row>
    <row r="1158" spans="1:6" x14ac:dyDescent="0.3">
      <c r="A1158">
        <v>388820</v>
      </c>
      <c r="B1158" t="s">
        <v>3337</v>
      </c>
      <c r="C1158" t="s">
        <v>3338</v>
      </c>
      <c r="D1158" t="s">
        <v>3339</v>
      </c>
      <c r="E1158" t="s">
        <v>62</v>
      </c>
      <c r="F1158" s="1">
        <v>44693</v>
      </c>
    </row>
    <row r="1159" spans="1:6" x14ac:dyDescent="0.3">
      <c r="A1159">
        <v>651400</v>
      </c>
      <c r="B1159" t="s">
        <v>3340</v>
      </c>
      <c r="C1159" t="s">
        <v>3341</v>
      </c>
      <c r="D1159" t="s">
        <v>3342</v>
      </c>
      <c r="E1159" t="s">
        <v>117</v>
      </c>
      <c r="F1159" s="1">
        <v>45504</v>
      </c>
    </row>
    <row r="1160" spans="1:6" x14ac:dyDescent="0.3">
      <c r="A1160">
        <v>873105</v>
      </c>
      <c r="B1160" t="s">
        <v>3343</v>
      </c>
      <c r="C1160" t="s">
        <v>3344</v>
      </c>
      <c r="D1160" t="s">
        <v>3345</v>
      </c>
      <c r="E1160" t="s">
        <v>62</v>
      </c>
      <c r="F1160" s="1">
        <v>45272</v>
      </c>
    </row>
    <row r="1161" spans="1:6" x14ac:dyDescent="0.3">
      <c r="A1161">
        <v>510087</v>
      </c>
      <c r="B1161" t="s">
        <v>3346</v>
      </c>
      <c r="C1161" t="s">
        <v>3347</v>
      </c>
      <c r="D1161" t="s">
        <v>3348</v>
      </c>
      <c r="E1161" t="s">
        <v>36</v>
      </c>
      <c r="F1161" s="1">
        <v>44929</v>
      </c>
    </row>
    <row r="1162" spans="1:6" x14ac:dyDescent="0.3">
      <c r="A1162">
        <v>580067</v>
      </c>
      <c r="B1162" t="s">
        <v>3349</v>
      </c>
      <c r="C1162" t="s">
        <v>3350</v>
      </c>
      <c r="D1162" t="s">
        <v>3351</v>
      </c>
      <c r="E1162" t="s">
        <v>28</v>
      </c>
      <c r="F1162" s="1">
        <v>45367</v>
      </c>
    </row>
    <row r="1163" spans="1:6" x14ac:dyDescent="0.3">
      <c r="A1163">
        <v>265603</v>
      </c>
      <c r="B1163" t="s">
        <v>3352</v>
      </c>
      <c r="C1163" t="s">
        <v>3353</v>
      </c>
      <c r="D1163" t="s">
        <v>3354</v>
      </c>
      <c r="E1163" t="s">
        <v>133</v>
      </c>
      <c r="F1163" s="1">
        <v>44698</v>
      </c>
    </row>
    <row r="1164" spans="1:6" x14ac:dyDescent="0.3">
      <c r="A1164">
        <v>617459</v>
      </c>
      <c r="B1164" t="s">
        <v>3355</v>
      </c>
      <c r="C1164" t="s">
        <v>3356</v>
      </c>
      <c r="D1164" t="s">
        <v>3357</v>
      </c>
      <c r="E1164" t="s">
        <v>32</v>
      </c>
      <c r="F1164" s="1">
        <v>44718</v>
      </c>
    </row>
    <row r="1165" spans="1:6" x14ac:dyDescent="0.3">
      <c r="A1165">
        <v>903774</v>
      </c>
      <c r="B1165" t="s">
        <v>3358</v>
      </c>
      <c r="C1165" t="s">
        <v>3359</v>
      </c>
      <c r="D1165" t="s">
        <v>3360</v>
      </c>
      <c r="E1165" t="s">
        <v>399</v>
      </c>
      <c r="F1165" s="1">
        <v>45079</v>
      </c>
    </row>
    <row r="1166" spans="1:6" x14ac:dyDescent="0.3">
      <c r="A1166">
        <v>584617</v>
      </c>
      <c r="B1166" t="s">
        <v>3361</v>
      </c>
      <c r="C1166" t="s">
        <v>3362</v>
      </c>
      <c r="D1166" t="s">
        <v>3363</v>
      </c>
      <c r="E1166" t="s">
        <v>62</v>
      </c>
      <c r="F1166" s="1">
        <v>45342</v>
      </c>
    </row>
    <row r="1167" spans="1:6" x14ac:dyDescent="0.3">
      <c r="A1167">
        <v>997343</v>
      </c>
      <c r="B1167" t="s">
        <v>3364</v>
      </c>
      <c r="C1167" t="s">
        <v>3365</v>
      </c>
      <c r="D1167" t="s">
        <v>3366</v>
      </c>
      <c r="E1167" t="s">
        <v>143</v>
      </c>
      <c r="F1167" s="1">
        <v>45075</v>
      </c>
    </row>
    <row r="1168" spans="1:6" x14ac:dyDescent="0.3">
      <c r="A1168">
        <v>443000</v>
      </c>
      <c r="B1168" t="s">
        <v>3367</v>
      </c>
      <c r="C1168" t="s">
        <v>3368</v>
      </c>
      <c r="D1168" t="s">
        <v>3369</v>
      </c>
      <c r="E1168" t="s">
        <v>62</v>
      </c>
      <c r="F1168" s="1">
        <v>44701</v>
      </c>
    </row>
    <row r="1169" spans="1:6" x14ac:dyDescent="0.3">
      <c r="A1169">
        <v>848244</v>
      </c>
      <c r="B1169" t="s">
        <v>1906</v>
      </c>
      <c r="C1169" t="s">
        <v>3370</v>
      </c>
      <c r="D1169" t="s">
        <v>3371</v>
      </c>
      <c r="E1169" t="s">
        <v>9</v>
      </c>
      <c r="F1169" s="1">
        <v>44892</v>
      </c>
    </row>
    <row r="1170" spans="1:6" x14ac:dyDescent="0.3">
      <c r="A1170">
        <v>285846</v>
      </c>
      <c r="B1170" t="s">
        <v>3372</v>
      </c>
      <c r="C1170" t="s">
        <v>3373</v>
      </c>
      <c r="D1170" t="s">
        <v>3374</v>
      </c>
      <c r="E1170" t="s">
        <v>24</v>
      </c>
      <c r="F1170" s="1">
        <v>44906</v>
      </c>
    </row>
    <row r="1171" spans="1:6" x14ac:dyDescent="0.3">
      <c r="A1171">
        <v>810287</v>
      </c>
      <c r="B1171" t="s">
        <v>3375</v>
      </c>
      <c r="C1171" t="s">
        <v>3376</v>
      </c>
      <c r="D1171" t="s">
        <v>3377</v>
      </c>
      <c r="E1171" t="s">
        <v>32</v>
      </c>
      <c r="F1171" s="1">
        <v>44926</v>
      </c>
    </row>
    <row r="1172" spans="1:6" x14ac:dyDescent="0.3">
      <c r="A1172">
        <v>807835</v>
      </c>
      <c r="B1172" t="s">
        <v>2751</v>
      </c>
      <c r="C1172" t="s">
        <v>3378</v>
      </c>
      <c r="D1172" t="s">
        <v>3379</v>
      </c>
      <c r="E1172" t="s">
        <v>143</v>
      </c>
      <c r="F1172" s="1">
        <v>45632</v>
      </c>
    </row>
    <row r="1173" spans="1:6" x14ac:dyDescent="0.3">
      <c r="A1173">
        <v>509593</v>
      </c>
      <c r="B1173" t="s">
        <v>3380</v>
      </c>
      <c r="C1173" t="s">
        <v>3381</v>
      </c>
      <c r="D1173" t="s">
        <v>3382</v>
      </c>
      <c r="E1173" t="s">
        <v>143</v>
      </c>
      <c r="F1173" s="1">
        <v>44571</v>
      </c>
    </row>
    <row r="1174" spans="1:6" x14ac:dyDescent="0.3">
      <c r="A1174">
        <v>904377</v>
      </c>
      <c r="B1174" t="s">
        <v>3383</v>
      </c>
      <c r="C1174" t="s">
        <v>3384</v>
      </c>
      <c r="D1174" t="s">
        <v>3385</v>
      </c>
      <c r="E1174" t="s">
        <v>36</v>
      </c>
      <c r="F1174" s="1">
        <v>44971</v>
      </c>
    </row>
    <row r="1175" spans="1:6" x14ac:dyDescent="0.3">
      <c r="A1175">
        <v>129301</v>
      </c>
      <c r="B1175" t="s">
        <v>3386</v>
      </c>
      <c r="C1175" t="s">
        <v>3387</v>
      </c>
      <c r="D1175" t="s">
        <v>3388</v>
      </c>
      <c r="E1175" t="s">
        <v>17</v>
      </c>
      <c r="F1175" s="1">
        <v>44691</v>
      </c>
    </row>
    <row r="1176" spans="1:6" x14ac:dyDescent="0.3">
      <c r="A1176">
        <v>859181</v>
      </c>
      <c r="B1176" t="s">
        <v>3389</v>
      </c>
      <c r="C1176" t="s">
        <v>3390</v>
      </c>
      <c r="D1176" t="s">
        <v>3391</v>
      </c>
      <c r="E1176" t="s">
        <v>28</v>
      </c>
      <c r="F1176" s="1">
        <v>45231</v>
      </c>
    </row>
    <row r="1177" spans="1:6" x14ac:dyDescent="0.3">
      <c r="A1177">
        <v>755017</v>
      </c>
      <c r="B1177" t="s">
        <v>3392</v>
      </c>
      <c r="C1177" t="s">
        <v>3393</v>
      </c>
      <c r="D1177" t="s">
        <v>3394</v>
      </c>
      <c r="E1177" t="s">
        <v>13</v>
      </c>
      <c r="F1177" s="1">
        <v>44809</v>
      </c>
    </row>
    <row r="1178" spans="1:6" x14ac:dyDescent="0.3">
      <c r="A1178">
        <v>473897</v>
      </c>
      <c r="B1178" t="s">
        <v>3395</v>
      </c>
      <c r="C1178" t="s">
        <v>3396</v>
      </c>
      <c r="D1178" t="s">
        <v>3397</v>
      </c>
      <c r="E1178" t="s">
        <v>24</v>
      </c>
      <c r="F1178" s="1">
        <v>45209</v>
      </c>
    </row>
    <row r="1179" spans="1:6" x14ac:dyDescent="0.3">
      <c r="A1179">
        <v>581061</v>
      </c>
      <c r="B1179" t="s">
        <v>3398</v>
      </c>
      <c r="C1179" t="s">
        <v>3399</v>
      </c>
      <c r="D1179" t="s">
        <v>3400</v>
      </c>
      <c r="E1179" t="s">
        <v>9</v>
      </c>
      <c r="F1179" s="1">
        <v>45317</v>
      </c>
    </row>
    <row r="1180" spans="1:6" x14ac:dyDescent="0.3">
      <c r="A1180">
        <v>531066</v>
      </c>
      <c r="B1180" t="s">
        <v>3401</v>
      </c>
      <c r="C1180" t="s">
        <v>3402</v>
      </c>
      <c r="D1180" t="s">
        <v>3403</v>
      </c>
      <c r="E1180" t="s">
        <v>28</v>
      </c>
      <c r="F1180" s="1">
        <v>44913</v>
      </c>
    </row>
    <row r="1181" spans="1:6" x14ac:dyDescent="0.3">
      <c r="A1181">
        <v>761519</v>
      </c>
      <c r="B1181" t="s">
        <v>210</v>
      </c>
      <c r="C1181" t="s">
        <v>3404</v>
      </c>
      <c r="D1181" t="s">
        <v>3405</v>
      </c>
      <c r="E1181" t="s">
        <v>399</v>
      </c>
      <c r="F1181" s="1">
        <v>45242</v>
      </c>
    </row>
    <row r="1182" spans="1:6" x14ac:dyDescent="0.3">
      <c r="A1182">
        <v>992919</v>
      </c>
      <c r="B1182" t="s">
        <v>3406</v>
      </c>
      <c r="C1182" t="s">
        <v>3407</v>
      </c>
      <c r="D1182" t="s">
        <v>3408</v>
      </c>
      <c r="E1182" t="s">
        <v>46</v>
      </c>
      <c r="F1182" s="1">
        <v>44598</v>
      </c>
    </row>
    <row r="1183" spans="1:6" x14ac:dyDescent="0.3">
      <c r="A1183">
        <v>500945</v>
      </c>
      <c r="B1183" t="s">
        <v>3409</v>
      </c>
      <c r="C1183" t="s">
        <v>3410</v>
      </c>
      <c r="D1183" t="s">
        <v>3411</v>
      </c>
      <c r="E1183" t="s">
        <v>36</v>
      </c>
      <c r="F1183" s="1">
        <v>45593</v>
      </c>
    </row>
    <row r="1184" spans="1:6" x14ac:dyDescent="0.3">
      <c r="A1184">
        <v>343904</v>
      </c>
      <c r="B1184" t="s">
        <v>3412</v>
      </c>
      <c r="C1184" t="s">
        <v>3413</v>
      </c>
      <c r="D1184" t="s">
        <v>3414</v>
      </c>
      <c r="E1184" t="s">
        <v>28</v>
      </c>
      <c r="F1184" s="1">
        <v>45194</v>
      </c>
    </row>
    <row r="1185" spans="1:6" x14ac:dyDescent="0.3">
      <c r="A1185">
        <v>894029</v>
      </c>
      <c r="B1185" t="s">
        <v>3415</v>
      </c>
      <c r="C1185" t="s">
        <v>3416</v>
      </c>
      <c r="D1185" t="s">
        <v>3417</v>
      </c>
      <c r="E1185" t="s">
        <v>143</v>
      </c>
      <c r="F1185" s="1">
        <v>44843</v>
      </c>
    </row>
    <row r="1186" spans="1:6" x14ac:dyDescent="0.3">
      <c r="A1186">
        <v>311824</v>
      </c>
      <c r="B1186" t="s">
        <v>3418</v>
      </c>
      <c r="C1186" t="s">
        <v>3419</v>
      </c>
      <c r="D1186" t="s">
        <v>3420</v>
      </c>
      <c r="E1186" t="s">
        <v>143</v>
      </c>
      <c r="F1186" s="1">
        <v>45049</v>
      </c>
    </row>
    <row r="1187" spans="1:6" x14ac:dyDescent="0.3">
      <c r="A1187">
        <v>875165</v>
      </c>
      <c r="B1187" t="s">
        <v>3421</v>
      </c>
      <c r="C1187" t="s">
        <v>3422</v>
      </c>
      <c r="D1187" t="s">
        <v>3423</v>
      </c>
      <c r="E1187" t="s">
        <v>46</v>
      </c>
      <c r="F1187" s="1">
        <v>44643</v>
      </c>
    </row>
    <row r="1188" spans="1:6" x14ac:dyDescent="0.3">
      <c r="A1188">
        <v>887009</v>
      </c>
      <c r="B1188" t="s">
        <v>3424</v>
      </c>
      <c r="C1188" t="s">
        <v>3425</v>
      </c>
      <c r="D1188" t="s">
        <v>3426</v>
      </c>
      <c r="E1188" t="s">
        <v>46</v>
      </c>
      <c r="F1188" s="1">
        <v>45263</v>
      </c>
    </row>
    <row r="1189" spans="1:6" x14ac:dyDescent="0.3">
      <c r="A1189">
        <v>156700</v>
      </c>
      <c r="B1189" t="s">
        <v>3427</v>
      </c>
      <c r="C1189" t="s">
        <v>3428</v>
      </c>
      <c r="D1189" t="s">
        <v>3429</v>
      </c>
      <c r="E1189" t="s">
        <v>36</v>
      </c>
      <c r="F1189" s="1">
        <v>45343</v>
      </c>
    </row>
    <row r="1190" spans="1:6" x14ac:dyDescent="0.3">
      <c r="A1190">
        <v>563849</v>
      </c>
      <c r="B1190" t="s">
        <v>3430</v>
      </c>
      <c r="C1190" t="s">
        <v>3431</v>
      </c>
      <c r="D1190" t="s">
        <v>3432</v>
      </c>
      <c r="E1190" t="s">
        <v>117</v>
      </c>
      <c r="F1190" s="1">
        <v>44705</v>
      </c>
    </row>
    <row r="1191" spans="1:6" x14ac:dyDescent="0.3">
      <c r="A1191">
        <v>314140</v>
      </c>
      <c r="B1191" t="s">
        <v>2264</v>
      </c>
      <c r="C1191" t="s">
        <v>3433</v>
      </c>
      <c r="D1191" t="s">
        <v>3434</v>
      </c>
      <c r="E1191" t="s">
        <v>17</v>
      </c>
      <c r="F1191" s="1">
        <v>45045</v>
      </c>
    </row>
    <row r="1192" spans="1:6" x14ac:dyDescent="0.3">
      <c r="A1192">
        <v>860206</v>
      </c>
      <c r="B1192" t="s">
        <v>3435</v>
      </c>
      <c r="C1192" t="s">
        <v>3436</v>
      </c>
      <c r="D1192" t="s">
        <v>3437</v>
      </c>
      <c r="E1192" t="s">
        <v>17</v>
      </c>
      <c r="F1192" s="1">
        <v>45063</v>
      </c>
    </row>
    <row r="1193" spans="1:6" x14ac:dyDescent="0.3">
      <c r="A1193">
        <v>417824</v>
      </c>
      <c r="B1193" t="s">
        <v>3438</v>
      </c>
      <c r="C1193" t="s">
        <v>3439</v>
      </c>
      <c r="D1193" t="s">
        <v>3440</v>
      </c>
      <c r="E1193" t="s">
        <v>17</v>
      </c>
      <c r="F1193" s="1">
        <v>45118</v>
      </c>
    </row>
    <row r="1194" spans="1:6" x14ac:dyDescent="0.3">
      <c r="A1194">
        <v>517589</v>
      </c>
      <c r="B1194" t="s">
        <v>3441</v>
      </c>
      <c r="C1194" t="s">
        <v>3442</v>
      </c>
      <c r="D1194" t="s">
        <v>3443</v>
      </c>
      <c r="E1194" t="s">
        <v>62</v>
      </c>
      <c r="F1194" s="1">
        <v>45427</v>
      </c>
    </row>
    <row r="1195" spans="1:6" x14ac:dyDescent="0.3">
      <c r="A1195">
        <v>897257</v>
      </c>
      <c r="B1195" t="s">
        <v>3444</v>
      </c>
      <c r="C1195" t="s">
        <v>3445</v>
      </c>
      <c r="D1195" t="s">
        <v>3446</v>
      </c>
      <c r="E1195" t="s">
        <v>24</v>
      </c>
      <c r="F1195" s="1">
        <v>45437</v>
      </c>
    </row>
    <row r="1196" spans="1:6" x14ac:dyDescent="0.3">
      <c r="A1196">
        <v>724094</v>
      </c>
      <c r="B1196" t="s">
        <v>3447</v>
      </c>
      <c r="C1196" t="s">
        <v>3448</v>
      </c>
      <c r="D1196" t="s">
        <v>3449</v>
      </c>
      <c r="E1196" t="s">
        <v>399</v>
      </c>
      <c r="F1196" s="1">
        <v>45088</v>
      </c>
    </row>
    <row r="1197" spans="1:6" x14ac:dyDescent="0.3">
      <c r="A1197">
        <v>575637</v>
      </c>
      <c r="B1197" t="s">
        <v>619</v>
      </c>
      <c r="C1197" t="s">
        <v>3450</v>
      </c>
      <c r="D1197" t="s">
        <v>3451</v>
      </c>
      <c r="E1197" t="s">
        <v>117</v>
      </c>
      <c r="F1197" s="1">
        <v>44709</v>
      </c>
    </row>
    <row r="1198" spans="1:6" x14ac:dyDescent="0.3">
      <c r="A1198">
        <v>305222</v>
      </c>
      <c r="B1198" t="s">
        <v>3452</v>
      </c>
      <c r="C1198" t="s">
        <v>3453</v>
      </c>
      <c r="D1198" t="s">
        <v>3454</v>
      </c>
      <c r="E1198" t="s">
        <v>143</v>
      </c>
      <c r="F1198" s="1">
        <v>45587</v>
      </c>
    </row>
    <row r="1199" spans="1:6" x14ac:dyDescent="0.3">
      <c r="A1199">
        <v>615326</v>
      </c>
      <c r="B1199" t="s">
        <v>3455</v>
      </c>
      <c r="C1199" t="s">
        <v>3456</v>
      </c>
      <c r="D1199" t="s">
        <v>3457</v>
      </c>
      <c r="E1199" t="s">
        <v>24</v>
      </c>
      <c r="F1199" s="1">
        <v>45326</v>
      </c>
    </row>
    <row r="1200" spans="1:6" x14ac:dyDescent="0.3">
      <c r="A1200">
        <v>772188</v>
      </c>
      <c r="B1200" t="s">
        <v>3458</v>
      </c>
      <c r="C1200" t="s">
        <v>3459</v>
      </c>
      <c r="D1200" t="s">
        <v>3460</v>
      </c>
      <c r="E1200" t="s">
        <v>143</v>
      </c>
      <c r="F1200" s="1">
        <v>44816</v>
      </c>
    </row>
    <row r="1201" spans="1:6" x14ac:dyDescent="0.3">
      <c r="A1201">
        <v>303663</v>
      </c>
      <c r="B1201" t="s">
        <v>3461</v>
      </c>
      <c r="C1201" t="s">
        <v>3462</v>
      </c>
      <c r="D1201" t="s">
        <v>3463</v>
      </c>
      <c r="E1201" t="s">
        <v>32</v>
      </c>
      <c r="F1201" s="1">
        <v>45605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A64C-0367-4A7D-9884-2791B41E25EA}">
  <dimension ref="A1:D11"/>
  <sheetViews>
    <sheetView workbookViewId="0"/>
  </sheetViews>
  <sheetFormatPr defaultRowHeight="14.4" x14ac:dyDescent="0.3"/>
  <cols>
    <col min="1" max="1" width="9.33203125" bestFit="1" customWidth="1"/>
    <col min="2" max="2" width="12.33203125" bestFit="1" customWidth="1"/>
    <col min="3" max="3" width="13.6640625" bestFit="1" customWidth="1"/>
    <col min="4" max="4" width="7.5546875" bestFit="1" customWidth="1"/>
  </cols>
  <sheetData>
    <row r="1" spans="1:4" x14ac:dyDescent="0.3">
      <c r="A1" t="s">
        <v>3464</v>
      </c>
      <c r="B1" t="s">
        <v>3465</v>
      </c>
      <c r="C1" t="s">
        <v>3466</v>
      </c>
      <c r="D1" t="s">
        <v>3467</v>
      </c>
    </row>
    <row r="2" spans="1:4" x14ac:dyDescent="0.3">
      <c r="A2">
        <v>1000</v>
      </c>
      <c r="B2" t="s">
        <v>3468</v>
      </c>
      <c r="C2" t="s">
        <v>3469</v>
      </c>
      <c r="D2">
        <v>19</v>
      </c>
    </row>
    <row r="3" spans="1:4" x14ac:dyDescent="0.3">
      <c r="A3">
        <v>1001</v>
      </c>
      <c r="B3" t="s">
        <v>3468</v>
      </c>
      <c r="C3" t="s">
        <v>3470</v>
      </c>
      <c r="D3">
        <v>190</v>
      </c>
    </row>
    <row r="4" spans="1:4" x14ac:dyDescent="0.3">
      <c r="A4">
        <v>1002</v>
      </c>
      <c r="B4" t="s">
        <v>3471</v>
      </c>
      <c r="C4" t="s">
        <v>3469</v>
      </c>
      <c r="D4">
        <v>39</v>
      </c>
    </row>
    <row r="5" spans="1:4" x14ac:dyDescent="0.3">
      <c r="A5">
        <v>1003</v>
      </c>
      <c r="B5" t="s">
        <v>3471</v>
      </c>
      <c r="C5" t="s">
        <v>3470</v>
      </c>
      <c r="D5">
        <v>390</v>
      </c>
    </row>
    <row r="6" spans="1:4" x14ac:dyDescent="0.3">
      <c r="A6">
        <v>1004</v>
      </c>
      <c r="B6" t="s">
        <v>3472</v>
      </c>
      <c r="C6" t="s">
        <v>3469</v>
      </c>
      <c r="D6">
        <v>79</v>
      </c>
    </row>
    <row r="7" spans="1:4" x14ac:dyDescent="0.3">
      <c r="A7">
        <v>1005</v>
      </c>
      <c r="B7" t="s">
        <v>3472</v>
      </c>
      <c r="C7" t="s">
        <v>3470</v>
      </c>
      <c r="D7">
        <v>790</v>
      </c>
    </row>
    <row r="8" spans="1:4" x14ac:dyDescent="0.3">
      <c r="A8">
        <v>1006</v>
      </c>
      <c r="B8" t="s">
        <v>3473</v>
      </c>
      <c r="C8" t="s">
        <v>3469</v>
      </c>
      <c r="D8">
        <v>149</v>
      </c>
    </row>
    <row r="9" spans="1:4" x14ac:dyDescent="0.3">
      <c r="A9">
        <v>1007</v>
      </c>
      <c r="B9" t="s">
        <v>3473</v>
      </c>
      <c r="C9" t="s">
        <v>3470</v>
      </c>
      <c r="D9">
        <v>1490</v>
      </c>
    </row>
    <row r="10" spans="1:4" x14ac:dyDescent="0.3">
      <c r="A10">
        <v>1008</v>
      </c>
      <c r="B10" t="s">
        <v>3474</v>
      </c>
      <c r="C10" t="s">
        <v>3469</v>
      </c>
      <c r="D10">
        <v>299</v>
      </c>
    </row>
    <row r="11" spans="1:4" x14ac:dyDescent="0.3">
      <c r="A11">
        <v>1009</v>
      </c>
      <c r="B11" t="s">
        <v>3474</v>
      </c>
      <c r="C11" t="s">
        <v>3470</v>
      </c>
      <c r="D11">
        <v>2990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C5D0-A278-42E6-8BAF-E120D9543A13}">
  <dimension ref="A1:J1501"/>
  <sheetViews>
    <sheetView workbookViewId="0">
      <selection activeCell="G1" sqref="G1:J1048576"/>
    </sheetView>
  </sheetViews>
  <sheetFormatPr defaultRowHeight="14.4" x14ac:dyDescent="0.3"/>
  <cols>
    <col min="1" max="1" width="16.21875" bestFit="1" customWidth="1"/>
    <col min="2" max="2" width="13.5546875" bestFit="1" customWidth="1"/>
    <col min="3" max="3" width="9.33203125" bestFit="1" customWidth="1"/>
    <col min="4" max="4" width="11.6640625" bestFit="1" customWidth="1"/>
    <col min="5" max="5" width="10.88671875" bestFit="1" customWidth="1"/>
    <col min="6" max="6" width="8.33203125" bestFit="1" customWidth="1"/>
    <col min="7" max="7" width="16.88671875" hidden="1" customWidth="1"/>
    <col min="8" max="8" width="17.21875" hidden="1" customWidth="1"/>
    <col min="9" max="9" width="21.6640625" hidden="1" customWidth="1"/>
    <col min="10" max="10" width="21" hidden="1" customWidth="1"/>
  </cols>
  <sheetData>
    <row r="1" spans="1:10" x14ac:dyDescent="0.3">
      <c r="A1" t="s">
        <v>3475</v>
      </c>
      <c r="B1" t="s">
        <v>0</v>
      </c>
      <c r="C1" t="s">
        <v>3464</v>
      </c>
      <c r="D1" t="s">
        <v>3476</v>
      </c>
      <c r="E1" t="s">
        <v>3477</v>
      </c>
      <c r="F1" t="s">
        <v>3478</v>
      </c>
      <c r="G1" t="s">
        <v>3494</v>
      </c>
      <c r="H1" t="s">
        <v>3495</v>
      </c>
      <c r="I1" t="s">
        <v>3496</v>
      </c>
      <c r="J1" t="s">
        <v>3497</v>
      </c>
    </row>
    <row r="2" spans="1:10" x14ac:dyDescent="0.3">
      <c r="A2">
        <v>1968122</v>
      </c>
      <c r="B2">
        <v>955662</v>
      </c>
      <c r="C2">
        <v>1006</v>
      </c>
      <c r="D2" s="1">
        <v>45351</v>
      </c>
      <c r="E2" s="1">
        <v>45507</v>
      </c>
      <c r="F2" t="s">
        <v>3479</v>
      </c>
      <c r="G2" t="str">
        <f>IF(ISNA(_xlfn.XLOOKUP(subscriptions[[#This Row],[customer_id]], customers[customer_id], customers[customer_id])), "NO", "YES")</f>
        <v>YES</v>
      </c>
      <c r="H2">
        <f>IF(AND(subscriptions[[#This Row],[end_date]]&lt;&gt;"", subscriptions[[#This Row],[end_date]] &lt; subscriptions[[#This Row],[start_date]]), 1, 0)</f>
        <v>0</v>
      </c>
      <c r="I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">
        <f>IF(
  AND(subscriptions[[#This Row],[end_before_start]]=0, subscriptions[[#This Row],[status_end_mismatch]]=0),
  1,
  0
)</f>
        <v>1</v>
      </c>
    </row>
    <row r="3" spans="1:10" x14ac:dyDescent="0.3">
      <c r="A3">
        <v>5066006</v>
      </c>
      <c r="B3">
        <v>602681</v>
      </c>
      <c r="C3">
        <v>1000</v>
      </c>
      <c r="D3" s="1">
        <v>45540</v>
      </c>
      <c r="E3" s="1"/>
      <c r="F3" t="s">
        <v>3480</v>
      </c>
      <c r="G3" t="str">
        <f>IF(ISNA(_xlfn.XLOOKUP(subscriptions[[#This Row],[customer_id]], customers[customer_id], customers[customer_id])), "NO", "YES")</f>
        <v>YES</v>
      </c>
      <c r="H3">
        <f>IF(AND(subscriptions[[#This Row],[end_date]]&lt;&gt;"", subscriptions[[#This Row],[end_date]] &lt; subscriptions[[#This Row],[start_date]]), 1, 0)</f>
        <v>0</v>
      </c>
      <c r="I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">
        <f>IF(
  AND(subscriptions[[#This Row],[end_before_start]]=0, subscriptions[[#This Row],[status_end_mismatch]]=0),
  1,
  0
)</f>
        <v>1</v>
      </c>
    </row>
    <row r="4" spans="1:10" x14ac:dyDescent="0.3">
      <c r="A4">
        <v>7063525</v>
      </c>
      <c r="B4">
        <v>292811</v>
      </c>
      <c r="C4">
        <v>1005</v>
      </c>
      <c r="D4" s="1">
        <v>44619</v>
      </c>
      <c r="E4" s="1">
        <v>44979</v>
      </c>
      <c r="F4" t="s">
        <v>3479</v>
      </c>
      <c r="G4" t="str">
        <f>IF(ISNA(_xlfn.XLOOKUP(subscriptions[[#This Row],[customer_id]], customers[customer_id], customers[customer_id])), "NO", "YES")</f>
        <v>YES</v>
      </c>
      <c r="H4">
        <f>IF(AND(subscriptions[[#This Row],[end_date]]&lt;&gt;"", subscriptions[[#This Row],[end_date]] &lt; subscriptions[[#This Row],[start_date]]), 1, 0)</f>
        <v>0</v>
      </c>
      <c r="I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">
        <f>IF(
  AND(subscriptions[[#This Row],[end_before_start]]=0, subscriptions[[#This Row],[status_end_mismatch]]=0),
  1,
  0
)</f>
        <v>1</v>
      </c>
    </row>
    <row r="5" spans="1:10" x14ac:dyDescent="0.3">
      <c r="A5">
        <v>3481086</v>
      </c>
      <c r="B5">
        <v>789880</v>
      </c>
      <c r="C5">
        <v>1004</v>
      </c>
      <c r="D5" s="1">
        <v>45097</v>
      </c>
      <c r="E5" s="1">
        <v>45475</v>
      </c>
      <c r="F5" t="s">
        <v>3479</v>
      </c>
      <c r="G5" t="str">
        <f>IF(ISNA(_xlfn.XLOOKUP(subscriptions[[#This Row],[customer_id]], customers[customer_id], customers[customer_id])), "NO", "YES")</f>
        <v>YES</v>
      </c>
      <c r="H5">
        <f>IF(AND(subscriptions[[#This Row],[end_date]]&lt;&gt;"", subscriptions[[#This Row],[end_date]] &lt; subscriptions[[#This Row],[start_date]]), 1, 0)</f>
        <v>0</v>
      </c>
      <c r="I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">
        <f>IF(
  AND(subscriptions[[#This Row],[end_before_start]]=0, subscriptions[[#This Row],[status_end_mismatch]]=0),
  1,
  0
)</f>
        <v>1</v>
      </c>
    </row>
    <row r="6" spans="1:10" x14ac:dyDescent="0.3">
      <c r="A6">
        <v>3472414</v>
      </c>
      <c r="B6">
        <v>574012</v>
      </c>
      <c r="C6">
        <v>1008</v>
      </c>
      <c r="D6" s="1">
        <v>45082</v>
      </c>
      <c r="E6" s="1"/>
      <c r="F6" t="s">
        <v>3480</v>
      </c>
      <c r="G6" t="str">
        <f>IF(ISNA(_xlfn.XLOOKUP(subscriptions[[#This Row],[customer_id]], customers[customer_id], customers[customer_id])), "NO", "YES")</f>
        <v>YES</v>
      </c>
      <c r="H6">
        <f>IF(AND(subscriptions[[#This Row],[end_date]]&lt;&gt;"", subscriptions[[#This Row],[end_date]] &lt; subscriptions[[#This Row],[start_date]]), 1, 0)</f>
        <v>0</v>
      </c>
      <c r="I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">
        <f>IF(
  AND(subscriptions[[#This Row],[end_before_start]]=0, subscriptions[[#This Row],[status_end_mismatch]]=0),
  1,
  0
)</f>
        <v>1</v>
      </c>
    </row>
    <row r="7" spans="1:10" x14ac:dyDescent="0.3">
      <c r="A7">
        <v>3708302</v>
      </c>
      <c r="B7">
        <v>249375</v>
      </c>
      <c r="C7">
        <v>1004</v>
      </c>
      <c r="D7" s="1">
        <v>44587</v>
      </c>
      <c r="E7" s="1"/>
      <c r="F7" t="s">
        <v>3480</v>
      </c>
      <c r="G7" t="str">
        <f>IF(ISNA(_xlfn.XLOOKUP(subscriptions[[#This Row],[customer_id]], customers[customer_id], customers[customer_id])), "NO", "YES")</f>
        <v>YES</v>
      </c>
      <c r="H7">
        <f>IF(AND(subscriptions[[#This Row],[end_date]]&lt;&gt;"", subscriptions[[#This Row],[end_date]] &lt; subscriptions[[#This Row],[start_date]]), 1, 0)</f>
        <v>0</v>
      </c>
      <c r="I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">
        <f>IF(
  AND(subscriptions[[#This Row],[end_before_start]]=0, subscriptions[[#This Row],[status_end_mismatch]]=0),
  1,
  0
)</f>
        <v>1</v>
      </c>
    </row>
    <row r="8" spans="1:10" x14ac:dyDescent="0.3">
      <c r="A8">
        <v>2548634</v>
      </c>
      <c r="B8">
        <v>668373</v>
      </c>
      <c r="C8">
        <v>1004</v>
      </c>
      <c r="D8" s="1">
        <v>45349</v>
      </c>
      <c r="E8" s="1"/>
      <c r="F8" t="s">
        <v>3480</v>
      </c>
      <c r="G8" t="str">
        <f>IF(ISNA(_xlfn.XLOOKUP(subscriptions[[#This Row],[customer_id]], customers[customer_id], customers[customer_id])), "NO", "YES")</f>
        <v>YES</v>
      </c>
      <c r="H8">
        <f>IF(AND(subscriptions[[#This Row],[end_date]]&lt;&gt;"", subscriptions[[#This Row],[end_date]] &lt; subscriptions[[#This Row],[start_date]]), 1, 0)</f>
        <v>0</v>
      </c>
      <c r="I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">
        <f>IF(
  AND(subscriptions[[#This Row],[end_before_start]]=0, subscriptions[[#This Row],[status_end_mismatch]]=0),
  1,
  0
)</f>
        <v>1</v>
      </c>
    </row>
    <row r="9" spans="1:10" x14ac:dyDescent="0.3">
      <c r="A9">
        <v>2348021</v>
      </c>
      <c r="B9">
        <v>384218</v>
      </c>
      <c r="C9">
        <v>1002</v>
      </c>
      <c r="D9" s="1">
        <v>44948</v>
      </c>
      <c r="E9" s="1">
        <v>45062</v>
      </c>
      <c r="F9" t="s">
        <v>3479</v>
      </c>
      <c r="G9" t="str">
        <f>IF(ISNA(_xlfn.XLOOKUP(subscriptions[[#This Row],[customer_id]], customers[customer_id], customers[customer_id])), "NO", "YES")</f>
        <v>YES</v>
      </c>
      <c r="H9">
        <f>IF(AND(subscriptions[[#This Row],[end_date]]&lt;&gt;"", subscriptions[[#This Row],[end_date]] &lt; subscriptions[[#This Row],[start_date]]), 1, 0)</f>
        <v>0</v>
      </c>
      <c r="I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">
        <f>IF(
  AND(subscriptions[[#This Row],[end_before_start]]=0, subscriptions[[#This Row],[status_end_mismatch]]=0),
  1,
  0
)</f>
        <v>1</v>
      </c>
    </row>
    <row r="10" spans="1:10" x14ac:dyDescent="0.3">
      <c r="A10">
        <v>8161714</v>
      </c>
      <c r="B10">
        <v>537605</v>
      </c>
      <c r="C10">
        <v>1005</v>
      </c>
      <c r="D10" s="1">
        <v>45079</v>
      </c>
      <c r="E10" s="1">
        <v>45365</v>
      </c>
      <c r="F10" t="s">
        <v>3479</v>
      </c>
      <c r="G10" t="str">
        <f>IF(ISNA(_xlfn.XLOOKUP(subscriptions[[#This Row],[customer_id]], customers[customer_id], customers[customer_id])), "NO", "YES")</f>
        <v>YES</v>
      </c>
      <c r="H10">
        <f>IF(AND(subscriptions[[#This Row],[end_date]]&lt;&gt;"", subscriptions[[#This Row],[end_date]] &lt; subscriptions[[#This Row],[start_date]]), 1, 0)</f>
        <v>0</v>
      </c>
      <c r="I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">
        <f>IF(
  AND(subscriptions[[#This Row],[end_before_start]]=0, subscriptions[[#This Row],[status_end_mismatch]]=0),
  1,
  0
)</f>
        <v>1</v>
      </c>
    </row>
    <row r="11" spans="1:10" x14ac:dyDescent="0.3">
      <c r="A11">
        <v>9945633</v>
      </c>
      <c r="B11">
        <v>211579</v>
      </c>
      <c r="C11">
        <v>1000</v>
      </c>
      <c r="D11" s="1">
        <v>45345</v>
      </c>
      <c r="E11" s="1"/>
      <c r="F11" t="s">
        <v>3480</v>
      </c>
      <c r="G11" t="str">
        <f>IF(ISNA(_xlfn.XLOOKUP(subscriptions[[#This Row],[customer_id]], customers[customer_id], customers[customer_id])), "NO", "YES")</f>
        <v>YES</v>
      </c>
      <c r="H11">
        <f>IF(AND(subscriptions[[#This Row],[end_date]]&lt;&gt;"", subscriptions[[#This Row],[end_date]] &lt; subscriptions[[#This Row],[start_date]]), 1, 0)</f>
        <v>0</v>
      </c>
      <c r="I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">
        <f>IF(
  AND(subscriptions[[#This Row],[end_before_start]]=0, subscriptions[[#This Row],[status_end_mismatch]]=0),
  1,
  0
)</f>
        <v>1</v>
      </c>
    </row>
    <row r="12" spans="1:10" x14ac:dyDescent="0.3">
      <c r="A12">
        <v>7905652</v>
      </c>
      <c r="B12">
        <v>929090</v>
      </c>
      <c r="C12">
        <v>1006</v>
      </c>
      <c r="D12" s="1">
        <v>44744</v>
      </c>
      <c r="E12" s="1"/>
      <c r="F12" t="s">
        <v>3480</v>
      </c>
      <c r="G12" t="str">
        <f>IF(ISNA(_xlfn.XLOOKUP(subscriptions[[#This Row],[customer_id]], customers[customer_id], customers[customer_id])), "NO", "YES")</f>
        <v>YES</v>
      </c>
      <c r="H12">
        <f>IF(AND(subscriptions[[#This Row],[end_date]]&lt;&gt;"", subscriptions[[#This Row],[end_date]] &lt; subscriptions[[#This Row],[start_date]]), 1, 0)</f>
        <v>0</v>
      </c>
      <c r="I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">
        <f>IF(
  AND(subscriptions[[#This Row],[end_before_start]]=0, subscriptions[[#This Row],[status_end_mismatch]]=0),
  1,
  0
)</f>
        <v>1</v>
      </c>
    </row>
    <row r="13" spans="1:10" x14ac:dyDescent="0.3">
      <c r="A13">
        <v>6777952</v>
      </c>
      <c r="B13">
        <v>947684</v>
      </c>
      <c r="C13">
        <v>1001</v>
      </c>
      <c r="D13" s="1">
        <v>44854</v>
      </c>
      <c r="E13" s="1"/>
      <c r="F13" t="s">
        <v>3480</v>
      </c>
      <c r="G13" t="str">
        <f>IF(ISNA(_xlfn.XLOOKUP(subscriptions[[#This Row],[customer_id]], customers[customer_id], customers[customer_id])), "NO", "YES")</f>
        <v>YES</v>
      </c>
      <c r="H13">
        <f>IF(AND(subscriptions[[#This Row],[end_date]]&lt;&gt;"", subscriptions[[#This Row],[end_date]] &lt; subscriptions[[#This Row],[start_date]]), 1, 0)</f>
        <v>0</v>
      </c>
      <c r="I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">
        <f>IF(
  AND(subscriptions[[#This Row],[end_before_start]]=0, subscriptions[[#This Row],[status_end_mismatch]]=0),
  1,
  0
)</f>
        <v>1</v>
      </c>
    </row>
    <row r="14" spans="1:10" x14ac:dyDescent="0.3">
      <c r="A14">
        <v>4515255</v>
      </c>
      <c r="B14">
        <v>268546</v>
      </c>
      <c r="C14">
        <v>1000</v>
      </c>
      <c r="D14" s="1">
        <v>45377</v>
      </c>
      <c r="E14" s="1">
        <v>45410</v>
      </c>
      <c r="F14" t="s">
        <v>3479</v>
      </c>
      <c r="G14" t="str">
        <f>IF(ISNA(_xlfn.XLOOKUP(subscriptions[[#This Row],[customer_id]], customers[customer_id], customers[customer_id])), "NO", "YES")</f>
        <v>YES</v>
      </c>
      <c r="H14">
        <f>IF(AND(subscriptions[[#This Row],[end_date]]&lt;&gt;"", subscriptions[[#This Row],[end_date]] &lt; subscriptions[[#This Row],[start_date]]), 1, 0)</f>
        <v>0</v>
      </c>
      <c r="I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">
        <f>IF(
  AND(subscriptions[[#This Row],[end_before_start]]=0, subscriptions[[#This Row],[status_end_mismatch]]=0),
  1,
  0
)</f>
        <v>1</v>
      </c>
    </row>
    <row r="15" spans="1:10" x14ac:dyDescent="0.3">
      <c r="A15">
        <v>3825261</v>
      </c>
      <c r="B15">
        <v>536646</v>
      </c>
      <c r="C15">
        <v>1000</v>
      </c>
      <c r="D15" s="1">
        <v>45569</v>
      </c>
      <c r="E15" s="1"/>
      <c r="F15" t="s">
        <v>3480</v>
      </c>
      <c r="G15" t="str">
        <f>IF(ISNA(_xlfn.XLOOKUP(subscriptions[[#This Row],[customer_id]], customers[customer_id], customers[customer_id])), "NO", "YES")</f>
        <v>YES</v>
      </c>
      <c r="H15">
        <f>IF(AND(subscriptions[[#This Row],[end_date]]&lt;&gt;"", subscriptions[[#This Row],[end_date]] &lt; subscriptions[[#This Row],[start_date]]), 1, 0)</f>
        <v>0</v>
      </c>
      <c r="I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">
        <f>IF(
  AND(subscriptions[[#This Row],[end_before_start]]=0, subscriptions[[#This Row],[status_end_mismatch]]=0),
  1,
  0
)</f>
        <v>1</v>
      </c>
    </row>
    <row r="16" spans="1:10" x14ac:dyDescent="0.3">
      <c r="A16">
        <v>2171745</v>
      </c>
      <c r="B16">
        <v>972064</v>
      </c>
      <c r="C16">
        <v>1009</v>
      </c>
      <c r="D16" s="1">
        <v>45417</v>
      </c>
      <c r="E16" s="1"/>
      <c r="F16" t="s">
        <v>3480</v>
      </c>
      <c r="G16" t="str">
        <f>IF(ISNA(_xlfn.XLOOKUP(subscriptions[[#This Row],[customer_id]], customers[customer_id], customers[customer_id])), "NO", "YES")</f>
        <v>YES</v>
      </c>
      <c r="H16">
        <f>IF(AND(subscriptions[[#This Row],[end_date]]&lt;&gt;"", subscriptions[[#This Row],[end_date]] &lt; subscriptions[[#This Row],[start_date]]), 1, 0)</f>
        <v>0</v>
      </c>
      <c r="I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">
        <f>IF(
  AND(subscriptions[[#This Row],[end_before_start]]=0, subscriptions[[#This Row],[status_end_mismatch]]=0),
  1,
  0
)</f>
        <v>1</v>
      </c>
    </row>
    <row r="17" spans="1:10" x14ac:dyDescent="0.3">
      <c r="A17">
        <v>5837546</v>
      </c>
      <c r="B17">
        <v>854701</v>
      </c>
      <c r="C17">
        <v>1002</v>
      </c>
      <c r="D17" s="1">
        <v>45444</v>
      </c>
      <c r="E17" s="1"/>
      <c r="F17" t="s">
        <v>3480</v>
      </c>
      <c r="G17" t="str">
        <f>IF(ISNA(_xlfn.XLOOKUP(subscriptions[[#This Row],[customer_id]], customers[customer_id], customers[customer_id])), "NO", "YES")</f>
        <v>YES</v>
      </c>
      <c r="H17">
        <f>IF(AND(subscriptions[[#This Row],[end_date]]&lt;&gt;"", subscriptions[[#This Row],[end_date]] &lt; subscriptions[[#This Row],[start_date]]), 1, 0)</f>
        <v>0</v>
      </c>
      <c r="I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">
        <f>IF(
  AND(subscriptions[[#This Row],[end_before_start]]=0, subscriptions[[#This Row],[status_end_mismatch]]=0),
  1,
  0
)</f>
        <v>1</v>
      </c>
    </row>
    <row r="18" spans="1:10" x14ac:dyDescent="0.3">
      <c r="A18">
        <v>7285607</v>
      </c>
      <c r="B18">
        <v>448098</v>
      </c>
      <c r="C18">
        <v>1007</v>
      </c>
      <c r="D18" s="1">
        <v>44943</v>
      </c>
      <c r="E18" s="1">
        <v>45074</v>
      </c>
      <c r="F18" t="s">
        <v>3479</v>
      </c>
      <c r="G18" t="str">
        <f>IF(ISNA(_xlfn.XLOOKUP(subscriptions[[#This Row],[customer_id]], customers[customer_id], customers[customer_id])), "NO", "YES")</f>
        <v>YES</v>
      </c>
      <c r="H18">
        <f>IF(AND(subscriptions[[#This Row],[end_date]]&lt;&gt;"", subscriptions[[#This Row],[end_date]] &lt; subscriptions[[#This Row],[start_date]]), 1, 0)</f>
        <v>0</v>
      </c>
      <c r="I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">
        <f>IF(
  AND(subscriptions[[#This Row],[end_before_start]]=0, subscriptions[[#This Row],[status_end_mismatch]]=0),
  1,
  0
)</f>
        <v>1</v>
      </c>
    </row>
    <row r="19" spans="1:10" x14ac:dyDescent="0.3">
      <c r="A19">
        <v>9161633</v>
      </c>
      <c r="B19">
        <v>546157</v>
      </c>
      <c r="C19">
        <v>1006</v>
      </c>
      <c r="D19" s="1">
        <v>44934</v>
      </c>
      <c r="E19" s="1"/>
      <c r="F19" t="s">
        <v>3480</v>
      </c>
      <c r="G19" t="str">
        <f>IF(ISNA(_xlfn.XLOOKUP(subscriptions[[#This Row],[customer_id]], customers[customer_id], customers[customer_id])), "NO", "YES")</f>
        <v>YES</v>
      </c>
      <c r="H19">
        <f>IF(AND(subscriptions[[#This Row],[end_date]]&lt;&gt;"", subscriptions[[#This Row],[end_date]] &lt; subscriptions[[#This Row],[start_date]]), 1, 0)</f>
        <v>0</v>
      </c>
      <c r="I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">
        <f>IF(
  AND(subscriptions[[#This Row],[end_before_start]]=0, subscriptions[[#This Row],[status_end_mismatch]]=0),
  1,
  0
)</f>
        <v>1</v>
      </c>
    </row>
    <row r="20" spans="1:10" x14ac:dyDescent="0.3">
      <c r="A20">
        <v>2849490</v>
      </c>
      <c r="B20">
        <v>694223</v>
      </c>
      <c r="C20">
        <v>1004</v>
      </c>
      <c r="D20" s="1">
        <v>45484</v>
      </c>
      <c r="E20" s="1"/>
      <c r="F20" t="s">
        <v>3480</v>
      </c>
      <c r="G20" t="str">
        <f>IF(ISNA(_xlfn.XLOOKUP(subscriptions[[#This Row],[customer_id]], customers[customer_id], customers[customer_id])), "NO", "YES")</f>
        <v>YES</v>
      </c>
      <c r="H20">
        <f>IF(AND(subscriptions[[#This Row],[end_date]]&lt;&gt;"", subscriptions[[#This Row],[end_date]] &lt; subscriptions[[#This Row],[start_date]]), 1, 0)</f>
        <v>0</v>
      </c>
      <c r="I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">
        <f>IF(
  AND(subscriptions[[#This Row],[end_before_start]]=0, subscriptions[[#This Row],[status_end_mismatch]]=0),
  1,
  0
)</f>
        <v>1</v>
      </c>
    </row>
    <row r="21" spans="1:10" x14ac:dyDescent="0.3">
      <c r="A21">
        <v>4566389</v>
      </c>
      <c r="B21">
        <v>270387</v>
      </c>
      <c r="C21">
        <v>1007</v>
      </c>
      <c r="D21" s="1">
        <v>44942</v>
      </c>
      <c r="E21" s="1"/>
      <c r="F21" t="s">
        <v>3480</v>
      </c>
      <c r="G21" t="str">
        <f>IF(ISNA(_xlfn.XLOOKUP(subscriptions[[#This Row],[customer_id]], customers[customer_id], customers[customer_id])), "NO", "YES")</f>
        <v>YES</v>
      </c>
      <c r="H21">
        <f>IF(AND(subscriptions[[#This Row],[end_date]]&lt;&gt;"", subscriptions[[#This Row],[end_date]] &lt; subscriptions[[#This Row],[start_date]]), 1, 0)</f>
        <v>0</v>
      </c>
      <c r="I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">
        <f>IF(
  AND(subscriptions[[#This Row],[end_before_start]]=0, subscriptions[[#This Row],[status_end_mismatch]]=0),
  1,
  0
)</f>
        <v>1</v>
      </c>
    </row>
    <row r="22" spans="1:10" x14ac:dyDescent="0.3">
      <c r="A22">
        <v>4065690</v>
      </c>
      <c r="B22">
        <v>621433</v>
      </c>
      <c r="C22">
        <v>1003</v>
      </c>
      <c r="D22" s="1">
        <v>44954</v>
      </c>
      <c r="E22" s="1"/>
      <c r="F22" t="s">
        <v>3480</v>
      </c>
      <c r="G22" t="str">
        <f>IF(ISNA(_xlfn.XLOOKUP(subscriptions[[#This Row],[customer_id]], customers[customer_id], customers[customer_id])), "NO", "YES")</f>
        <v>YES</v>
      </c>
      <c r="H22">
        <f>IF(AND(subscriptions[[#This Row],[end_date]]&lt;&gt;"", subscriptions[[#This Row],[end_date]] &lt; subscriptions[[#This Row],[start_date]]), 1, 0)</f>
        <v>0</v>
      </c>
      <c r="I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">
        <f>IF(
  AND(subscriptions[[#This Row],[end_before_start]]=0, subscriptions[[#This Row],[status_end_mismatch]]=0),
  1,
  0
)</f>
        <v>1</v>
      </c>
    </row>
    <row r="23" spans="1:10" x14ac:dyDescent="0.3">
      <c r="A23">
        <v>7858398</v>
      </c>
      <c r="B23">
        <v>861253</v>
      </c>
      <c r="C23">
        <v>1006</v>
      </c>
      <c r="D23" s="1">
        <v>45464</v>
      </c>
      <c r="E23" s="1">
        <v>45654</v>
      </c>
      <c r="F23" t="s">
        <v>3479</v>
      </c>
      <c r="G23" t="str">
        <f>IF(ISNA(_xlfn.XLOOKUP(subscriptions[[#This Row],[customer_id]], customers[customer_id], customers[customer_id])), "NO", "YES")</f>
        <v>YES</v>
      </c>
      <c r="H23">
        <f>IF(AND(subscriptions[[#This Row],[end_date]]&lt;&gt;"", subscriptions[[#This Row],[end_date]] &lt; subscriptions[[#This Row],[start_date]]), 1, 0)</f>
        <v>0</v>
      </c>
      <c r="I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">
        <f>IF(
  AND(subscriptions[[#This Row],[end_before_start]]=0, subscriptions[[#This Row],[status_end_mismatch]]=0),
  1,
  0
)</f>
        <v>1</v>
      </c>
    </row>
    <row r="24" spans="1:10" x14ac:dyDescent="0.3">
      <c r="A24">
        <v>3787134</v>
      </c>
      <c r="B24">
        <v>601903</v>
      </c>
      <c r="C24">
        <v>1008</v>
      </c>
      <c r="D24" s="1">
        <v>44725</v>
      </c>
      <c r="E24" s="1"/>
      <c r="F24" t="s">
        <v>3480</v>
      </c>
      <c r="G24" t="str">
        <f>IF(ISNA(_xlfn.XLOOKUP(subscriptions[[#This Row],[customer_id]], customers[customer_id], customers[customer_id])), "NO", "YES")</f>
        <v>YES</v>
      </c>
      <c r="H24">
        <f>IF(AND(subscriptions[[#This Row],[end_date]]&lt;&gt;"", subscriptions[[#This Row],[end_date]] &lt; subscriptions[[#This Row],[start_date]]), 1, 0)</f>
        <v>0</v>
      </c>
      <c r="I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">
        <f>IF(
  AND(subscriptions[[#This Row],[end_before_start]]=0, subscriptions[[#This Row],[status_end_mismatch]]=0),
  1,
  0
)</f>
        <v>1</v>
      </c>
    </row>
    <row r="25" spans="1:10" x14ac:dyDescent="0.3">
      <c r="A25">
        <v>7337233</v>
      </c>
      <c r="B25">
        <v>771088</v>
      </c>
      <c r="C25">
        <v>1001</v>
      </c>
      <c r="D25" s="1">
        <v>44817</v>
      </c>
      <c r="E25" s="1"/>
      <c r="F25" t="s">
        <v>3480</v>
      </c>
      <c r="G25" t="str">
        <f>IF(ISNA(_xlfn.XLOOKUP(subscriptions[[#This Row],[customer_id]], customers[customer_id], customers[customer_id])), "NO", "YES")</f>
        <v>YES</v>
      </c>
      <c r="H25">
        <f>IF(AND(subscriptions[[#This Row],[end_date]]&lt;&gt;"", subscriptions[[#This Row],[end_date]] &lt; subscriptions[[#This Row],[start_date]]), 1, 0)</f>
        <v>0</v>
      </c>
      <c r="I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">
        <f>IF(
  AND(subscriptions[[#This Row],[end_before_start]]=0, subscriptions[[#This Row],[status_end_mismatch]]=0),
  1,
  0
)</f>
        <v>1</v>
      </c>
    </row>
    <row r="26" spans="1:10" x14ac:dyDescent="0.3">
      <c r="A26">
        <v>6740356</v>
      </c>
      <c r="B26">
        <v>597643</v>
      </c>
      <c r="C26">
        <v>1000</v>
      </c>
      <c r="D26" s="1">
        <v>44622</v>
      </c>
      <c r="E26" s="1"/>
      <c r="F26" t="s">
        <v>3480</v>
      </c>
      <c r="G26" t="str">
        <f>IF(ISNA(_xlfn.XLOOKUP(subscriptions[[#This Row],[customer_id]], customers[customer_id], customers[customer_id])), "NO", "YES")</f>
        <v>YES</v>
      </c>
      <c r="H26">
        <f>IF(AND(subscriptions[[#This Row],[end_date]]&lt;&gt;"", subscriptions[[#This Row],[end_date]] &lt; subscriptions[[#This Row],[start_date]]), 1, 0)</f>
        <v>0</v>
      </c>
      <c r="I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">
        <f>IF(
  AND(subscriptions[[#This Row],[end_before_start]]=0, subscriptions[[#This Row],[status_end_mismatch]]=0),
  1,
  0
)</f>
        <v>1</v>
      </c>
    </row>
    <row r="27" spans="1:10" x14ac:dyDescent="0.3">
      <c r="A27">
        <v>9017783</v>
      </c>
      <c r="B27">
        <v>950576</v>
      </c>
      <c r="C27">
        <v>1007</v>
      </c>
      <c r="D27" s="1">
        <v>45555</v>
      </c>
      <c r="E27" s="1">
        <v>45636</v>
      </c>
      <c r="F27" t="s">
        <v>3479</v>
      </c>
      <c r="G27" t="str">
        <f>IF(ISNA(_xlfn.XLOOKUP(subscriptions[[#This Row],[customer_id]], customers[customer_id], customers[customer_id])), "NO", "YES")</f>
        <v>YES</v>
      </c>
      <c r="H27">
        <f>IF(AND(subscriptions[[#This Row],[end_date]]&lt;&gt;"", subscriptions[[#This Row],[end_date]] &lt; subscriptions[[#This Row],[start_date]]), 1, 0)</f>
        <v>0</v>
      </c>
      <c r="I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">
        <f>IF(
  AND(subscriptions[[#This Row],[end_before_start]]=0, subscriptions[[#This Row],[status_end_mismatch]]=0),
  1,
  0
)</f>
        <v>1</v>
      </c>
    </row>
    <row r="28" spans="1:10" x14ac:dyDescent="0.3">
      <c r="A28">
        <v>1159493</v>
      </c>
      <c r="B28">
        <v>852470</v>
      </c>
      <c r="C28">
        <v>1006</v>
      </c>
      <c r="D28" s="1">
        <v>44687</v>
      </c>
      <c r="E28" s="1"/>
      <c r="F28" t="s">
        <v>3480</v>
      </c>
      <c r="G28" t="str">
        <f>IF(ISNA(_xlfn.XLOOKUP(subscriptions[[#This Row],[customer_id]], customers[customer_id], customers[customer_id])), "NO", "YES")</f>
        <v>YES</v>
      </c>
      <c r="H28">
        <f>IF(AND(subscriptions[[#This Row],[end_date]]&lt;&gt;"", subscriptions[[#This Row],[end_date]] &lt; subscriptions[[#This Row],[start_date]]), 1, 0)</f>
        <v>0</v>
      </c>
      <c r="I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">
        <f>IF(
  AND(subscriptions[[#This Row],[end_before_start]]=0, subscriptions[[#This Row],[status_end_mismatch]]=0),
  1,
  0
)</f>
        <v>1</v>
      </c>
    </row>
    <row r="29" spans="1:10" x14ac:dyDescent="0.3">
      <c r="A29">
        <v>1121243</v>
      </c>
      <c r="B29">
        <v>124906</v>
      </c>
      <c r="C29">
        <v>1004</v>
      </c>
      <c r="D29" s="1">
        <v>44647</v>
      </c>
      <c r="E29" s="1"/>
      <c r="F29" t="s">
        <v>3480</v>
      </c>
      <c r="G29" t="str">
        <f>IF(ISNA(_xlfn.XLOOKUP(subscriptions[[#This Row],[customer_id]], customers[customer_id], customers[customer_id])), "NO", "YES")</f>
        <v>YES</v>
      </c>
      <c r="H29">
        <f>IF(AND(subscriptions[[#This Row],[end_date]]&lt;&gt;"", subscriptions[[#This Row],[end_date]] &lt; subscriptions[[#This Row],[start_date]]), 1, 0)</f>
        <v>0</v>
      </c>
      <c r="I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">
        <f>IF(
  AND(subscriptions[[#This Row],[end_before_start]]=0, subscriptions[[#This Row],[status_end_mismatch]]=0),
  1,
  0
)</f>
        <v>1</v>
      </c>
    </row>
    <row r="30" spans="1:10" x14ac:dyDescent="0.3">
      <c r="A30">
        <v>9763319</v>
      </c>
      <c r="B30">
        <v>520651</v>
      </c>
      <c r="C30">
        <v>1005</v>
      </c>
      <c r="D30" s="1">
        <v>44576</v>
      </c>
      <c r="E30" s="1"/>
      <c r="F30" t="s">
        <v>3480</v>
      </c>
      <c r="G30" t="str">
        <f>IF(ISNA(_xlfn.XLOOKUP(subscriptions[[#This Row],[customer_id]], customers[customer_id], customers[customer_id])), "NO", "YES")</f>
        <v>YES</v>
      </c>
      <c r="H30">
        <f>IF(AND(subscriptions[[#This Row],[end_date]]&lt;&gt;"", subscriptions[[#This Row],[end_date]] &lt; subscriptions[[#This Row],[start_date]]), 1, 0)</f>
        <v>0</v>
      </c>
      <c r="I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">
        <f>IF(
  AND(subscriptions[[#This Row],[end_before_start]]=0, subscriptions[[#This Row],[status_end_mismatch]]=0),
  1,
  0
)</f>
        <v>1</v>
      </c>
    </row>
    <row r="31" spans="1:10" x14ac:dyDescent="0.3">
      <c r="A31">
        <v>9725395</v>
      </c>
      <c r="B31">
        <v>983456</v>
      </c>
      <c r="C31">
        <v>1007</v>
      </c>
      <c r="D31" s="1">
        <v>45106</v>
      </c>
      <c r="E31" s="1">
        <v>45378</v>
      </c>
      <c r="F31" t="s">
        <v>3479</v>
      </c>
      <c r="G31" t="str">
        <f>IF(ISNA(_xlfn.XLOOKUP(subscriptions[[#This Row],[customer_id]], customers[customer_id], customers[customer_id])), "NO", "YES")</f>
        <v>YES</v>
      </c>
      <c r="H31">
        <f>IF(AND(subscriptions[[#This Row],[end_date]]&lt;&gt;"", subscriptions[[#This Row],[end_date]] &lt; subscriptions[[#This Row],[start_date]]), 1, 0)</f>
        <v>0</v>
      </c>
      <c r="I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">
        <f>IF(
  AND(subscriptions[[#This Row],[end_before_start]]=0, subscriptions[[#This Row],[status_end_mismatch]]=0),
  1,
  0
)</f>
        <v>1</v>
      </c>
    </row>
    <row r="32" spans="1:10" x14ac:dyDescent="0.3">
      <c r="A32">
        <v>6654424</v>
      </c>
      <c r="B32">
        <v>100716</v>
      </c>
      <c r="C32">
        <v>1002</v>
      </c>
      <c r="D32" s="1">
        <v>45441</v>
      </c>
      <c r="E32" s="1"/>
      <c r="F32" t="s">
        <v>3480</v>
      </c>
      <c r="G32" t="str">
        <f>IF(ISNA(_xlfn.XLOOKUP(subscriptions[[#This Row],[customer_id]], customers[customer_id], customers[customer_id])), "NO", "YES")</f>
        <v>YES</v>
      </c>
      <c r="H32">
        <f>IF(AND(subscriptions[[#This Row],[end_date]]&lt;&gt;"", subscriptions[[#This Row],[end_date]] &lt; subscriptions[[#This Row],[start_date]]), 1, 0)</f>
        <v>0</v>
      </c>
      <c r="I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">
        <f>IF(
  AND(subscriptions[[#This Row],[end_before_start]]=0, subscriptions[[#This Row],[status_end_mismatch]]=0),
  1,
  0
)</f>
        <v>1</v>
      </c>
    </row>
    <row r="33" spans="1:10" x14ac:dyDescent="0.3">
      <c r="A33">
        <v>6755884</v>
      </c>
      <c r="B33">
        <v>376021</v>
      </c>
      <c r="C33">
        <v>1007</v>
      </c>
      <c r="D33" s="1">
        <v>45207</v>
      </c>
      <c r="E33" s="1">
        <v>45421</v>
      </c>
      <c r="F33" t="s">
        <v>3479</v>
      </c>
      <c r="G33" t="str">
        <f>IF(ISNA(_xlfn.XLOOKUP(subscriptions[[#This Row],[customer_id]], customers[customer_id], customers[customer_id])), "NO", "YES")</f>
        <v>YES</v>
      </c>
      <c r="H33">
        <f>IF(AND(subscriptions[[#This Row],[end_date]]&lt;&gt;"", subscriptions[[#This Row],[end_date]] &lt; subscriptions[[#This Row],[start_date]]), 1, 0)</f>
        <v>0</v>
      </c>
      <c r="I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">
        <f>IF(
  AND(subscriptions[[#This Row],[end_before_start]]=0, subscriptions[[#This Row],[status_end_mismatch]]=0),
  1,
  0
)</f>
        <v>1</v>
      </c>
    </row>
    <row r="34" spans="1:10" x14ac:dyDescent="0.3">
      <c r="A34">
        <v>7685239</v>
      </c>
      <c r="B34">
        <v>236543</v>
      </c>
      <c r="C34">
        <v>1006</v>
      </c>
      <c r="D34" s="1">
        <v>45337</v>
      </c>
      <c r="E34" s="1">
        <v>45549</v>
      </c>
      <c r="F34" t="s">
        <v>3479</v>
      </c>
      <c r="G34" t="str">
        <f>IF(ISNA(_xlfn.XLOOKUP(subscriptions[[#This Row],[customer_id]], customers[customer_id], customers[customer_id])), "NO", "YES")</f>
        <v>YES</v>
      </c>
      <c r="H34">
        <f>IF(AND(subscriptions[[#This Row],[end_date]]&lt;&gt;"", subscriptions[[#This Row],[end_date]] &lt; subscriptions[[#This Row],[start_date]]), 1, 0)</f>
        <v>0</v>
      </c>
      <c r="I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">
        <f>IF(
  AND(subscriptions[[#This Row],[end_before_start]]=0, subscriptions[[#This Row],[status_end_mismatch]]=0),
  1,
  0
)</f>
        <v>1</v>
      </c>
    </row>
    <row r="35" spans="1:10" x14ac:dyDescent="0.3">
      <c r="A35">
        <v>6540763</v>
      </c>
      <c r="B35">
        <v>544278</v>
      </c>
      <c r="C35">
        <v>1008</v>
      </c>
      <c r="D35" s="1">
        <v>44767</v>
      </c>
      <c r="E35" s="1"/>
      <c r="F35" t="s">
        <v>3480</v>
      </c>
      <c r="G35" t="str">
        <f>IF(ISNA(_xlfn.XLOOKUP(subscriptions[[#This Row],[customer_id]], customers[customer_id], customers[customer_id])), "NO", "YES")</f>
        <v>YES</v>
      </c>
      <c r="H35">
        <f>IF(AND(subscriptions[[#This Row],[end_date]]&lt;&gt;"", subscriptions[[#This Row],[end_date]] &lt; subscriptions[[#This Row],[start_date]]), 1, 0)</f>
        <v>0</v>
      </c>
      <c r="I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">
        <f>IF(
  AND(subscriptions[[#This Row],[end_before_start]]=0, subscriptions[[#This Row],[status_end_mismatch]]=0),
  1,
  0
)</f>
        <v>1</v>
      </c>
    </row>
    <row r="36" spans="1:10" x14ac:dyDescent="0.3">
      <c r="A36">
        <v>7741225</v>
      </c>
      <c r="B36">
        <v>753425</v>
      </c>
      <c r="C36">
        <v>1003</v>
      </c>
      <c r="D36" s="1">
        <v>44846</v>
      </c>
      <c r="E36" s="1"/>
      <c r="F36" t="s">
        <v>3480</v>
      </c>
      <c r="G36" t="str">
        <f>IF(ISNA(_xlfn.XLOOKUP(subscriptions[[#This Row],[customer_id]], customers[customer_id], customers[customer_id])), "NO", "YES")</f>
        <v>YES</v>
      </c>
      <c r="H36">
        <f>IF(AND(subscriptions[[#This Row],[end_date]]&lt;&gt;"", subscriptions[[#This Row],[end_date]] &lt; subscriptions[[#This Row],[start_date]]), 1, 0)</f>
        <v>0</v>
      </c>
      <c r="I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">
        <f>IF(
  AND(subscriptions[[#This Row],[end_before_start]]=0, subscriptions[[#This Row],[status_end_mismatch]]=0),
  1,
  0
)</f>
        <v>1</v>
      </c>
    </row>
    <row r="37" spans="1:10" x14ac:dyDescent="0.3">
      <c r="A37">
        <v>3061828</v>
      </c>
      <c r="B37">
        <v>532322</v>
      </c>
      <c r="C37">
        <v>1008</v>
      </c>
      <c r="D37" s="1">
        <v>45134</v>
      </c>
      <c r="E37" s="1">
        <v>45291</v>
      </c>
      <c r="F37" t="s">
        <v>3479</v>
      </c>
      <c r="G37" t="str">
        <f>IF(ISNA(_xlfn.XLOOKUP(subscriptions[[#This Row],[customer_id]], customers[customer_id], customers[customer_id])), "NO", "YES")</f>
        <v>YES</v>
      </c>
      <c r="H37">
        <f>IF(AND(subscriptions[[#This Row],[end_date]]&lt;&gt;"", subscriptions[[#This Row],[end_date]] &lt; subscriptions[[#This Row],[start_date]]), 1, 0)</f>
        <v>0</v>
      </c>
      <c r="I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">
        <f>IF(
  AND(subscriptions[[#This Row],[end_before_start]]=0, subscriptions[[#This Row],[status_end_mismatch]]=0),
  1,
  0
)</f>
        <v>1</v>
      </c>
    </row>
    <row r="38" spans="1:10" x14ac:dyDescent="0.3">
      <c r="A38">
        <v>7181227</v>
      </c>
      <c r="B38">
        <v>506951</v>
      </c>
      <c r="C38">
        <v>1007</v>
      </c>
      <c r="D38" s="1">
        <v>45487</v>
      </c>
      <c r="E38" s="1">
        <v>45630</v>
      </c>
      <c r="F38" t="s">
        <v>3479</v>
      </c>
      <c r="G38" t="str">
        <f>IF(ISNA(_xlfn.XLOOKUP(subscriptions[[#This Row],[customer_id]], customers[customer_id], customers[customer_id])), "NO", "YES")</f>
        <v>YES</v>
      </c>
      <c r="H38">
        <f>IF(AND(subscriptions[[#This Row],[end_date]]&lt;&gt;"", subscriptions[[#This Row],[end_date]] &lt; subscriptions[[#This Row],[start_date]]), 1, 0)</f>
        <v>0</v>
      </c>
      <c r="I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">
        <f>IF(
  AND(subscriptions[[#This Row],[end_before_start]]=0, subscriptions[[#This Row],[status_end_mismatch]]=0),
  1,
  0
)</f>
        <v>1</v>
      </c>
    </row>
    <row r="39" spans="1:10" x14ac:dyDescent="0.3">
      <c r="A39">
        <v>8972523</v>
      </c>
      <c r="B39">
        <v>156700</v>
      </c>
      <c r="C39">
        <v>1003</v>
      </c>
      <c r="D39" s="1">
        <v>45408</v>
      </c>
      <c r="E39" s="1">
        <v>45439</v>
      </c>
      <c r="F39" t="s">
        <v>3479</v>
      </c>
      <c r="G39" t="str">
        <f>IF(ISNA(_xlfn.XLOOKUP(subscriptions[[#This Row],[customer_id]], customers[customer_id], customers[customer_id])), "NO", "YES")</f>
        <v>YES</v>
      </c>
      <c r="H39">
        <f>IF(AND(subscriptions[[#This Row],[end_date]]&lt;&gt;"", subscriptions[[#This Row],[end_date]] &lt; subscriptions[[#This Row],[start_date]]), 1, 0)</f>
        <v>0</v>
      </c>
      <c r="I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">
        <f>IF(
  AND(subscriptions[[#This Row],[end_before_start]]=0, subscriptions[[#This Row],[status_end_mismatch]]=0),
  1,
  0
)</f>
        <v>1</v>
      </c>
    </row>
    <row r="40" spans="1:10" x14ac:dyDescent="0.3">
      <c r="A40">
        <v>6405343</v>
      </c>
      <c r="B40">
        <v>726909</v>
      </c>
      <c r="C40">
        <v>1004</v>
      </c>
      <c r="D40" s="1">
        <v>44596</v>
      </c>
      <c r="E40" s="1">
        <v>44649</v>
      </c>
      <c r="F40" t="s">
        <v>3479</v>
      </c>
      <c r="G40" t="str">
        <f>IF(ISNA(_xlfn.XLOOKUP(subscriptions[[#This Row],[customer_id]], customers[customer_id], customers[customer_id])), "NO", "YES")</f>
        <v>YES</v>
      </c>
      <c r="H40">
        <f>IF(AND(subscriptions[[#This Row],[end_date]]&lt;&gt;"", subscriptions[[#This Row],[end_date]] &lt; subscriptions[[#This Row],[start_date]]), 1, 0)</f>
        <v>0</v>
      </c>
      <c r="I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">
        <f>IF(
  AND(subscriptions[[#This Row],[end_before_start]]=0, subscriptions[[#This Row],[status_end_mismatch]]=0),
  1,
  0
)</f>
        <v>1</v>
      </c>
    </row>
    <row r="41" spans="1:10" x14ac:dyDescent="0.3">
      <c r="A41">
        <v>6461406</v>
      </c>
      <c r="B41">
        <v>495129</v>
      </c>
      <c r="C41">
        <v>1009</v>
      </c>
      <c r="D41" s="1">
        <v>45471</v>
      </c>
      <c r="E41" s="1"/>
      <c r="F41" t="s">
        <v>3480</v>
      </c>
      <c r="G41" t="str">
        <f>IF(ISNA(_xlfn.XLOOKUP(subscriptions[[#This Row],[customer_id]], customers[customer_id], customers[customer_id])), "NO", "YES")</f>
        <v>YES</v>
      </c>
      <c r="H41">
        <f>IF(AND(subscriptions[[#This Row],[end_date]]&lt;&gt;"", subscriptions[[#This Row],[end_date]] &lt; subscriptions[[#This Row],[start_date]]), 1, 0)</f>
        <v>0</v>
      </c>
      <c r="I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">
        <f>IF(
  AND(subscriptions[[#This Row],[end_before_start]]=0, subscriptions[[#This Row],[status_end_mismatch]]=0),
  1,
  0
)</f>
        <v>1</v>
      </c>
    </row>
    <row r="42" spans="1:10" x14ac:dyDescent="0.3">
      <c r="A42">
        <v>9129167</v>
      </c>
      <c r="B42">
        <v>987060</v>
      </c>
      <c r="C42">
        <v>1004</v>
      </c>
      <c r="D42" s="1">
        <v>45381</v>
      </c>
      <c r="E42" s="1">
        <v>45452</v>
      </c>
      <c r="F42" t="s">
        <v>3479</v>
      </c>
      <c r="G42" t="str">
        <f>IF(ISNA(_xlfn.XLOOKUP(subscriptions[[#This Row],[customer_id]], customers[customer_id], customers[customer_id])), "NO", "YES")</f>
        <v>YES</v>
      </c>
      <c r="H42">
        <f>IF(AND(subscriptions[[#This Row],[end_date]]&lt;&gt;"", subscriptions[[#This Row],[end_date]] &lt; subscriptions[[#This Row],[start_date]]), 1, 0)</f>
        <v>0</v>
      </c>
      <c r="I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">
        <f>IF(
  AND(subscriptions[[#This Row],[end_before_start]]=0, subscriptions[[#This Row],[status_end_mismatch]]=0),
  1,
  0
)</f>
        <v>1</v>
      </c>
    </row>
    <row r="43" spans="1:10" x14ac:dyDescent="0.3">
      <c r="A43">
        <v>6844074</v>
      </c>
      <c r="B43">
        <v>586279</v>
      </c>
      <c r="C43">
        <v>1006</v>
      </c>
      <c r="D43" s="1">
        <v>45438</v>
      </c>
      <c r="E43" s="1">
        <v>45636</v>
      </c>
      <c r="F43" t="s">
        <v>3479</v>
      </c>
      <c r="G43" t="str">
        <f>IF(ISNA(_xlfn.XLOOKUP(subscriptions[[#This Row],[customer_id]], customers[customer_id], customers[customer_id])), "NO", "YES")</f>
        <v>YES</v>
      </c>
      <c r="H43">
        <f>IF(AND(subscriptions[[#This Row],[end_date]]&lt;&gt;"", subscriptions[[#This Row],[end_date]] &lt; subscriptions[[#This Row],[start_date]]), 1, 0)</f>
        <v>0</v>
      </c>
      <c r="I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">
        <f>IF(
  AND(subscriptions[[#This Row],[end_before_start]]=0, subscriptions[[#This Row],[status_end_mismatch]]=0),
  1,
  0
)</f>
        <v>1</v>
      </c>
    </row>
    <row r="44" spans="1:10" x14ac:dyDescent="0.3">
      <c r="A44">
        <v>2685367</v>
      </c>
      <c r="B44">
        <v>894541</v>
      </c>
      <c r="C44">
        <v>1001</v>
      </c>
      <c r="D44" s="1">
        <v>45350</v>
      </c>
      <c r="E44" s="1"/>
      <c r="F44" t="s">
        <v>3480</v>
      </c>
      <c r="G44" t="str">
        <f>IF(ISNA(_xlfn.XLOOKUP(subscriptions[[#This Row],[customer_id]], customers[customer_id], customers[customer_id])), "NO", "YES")</f>
        <v>YES</v>
      </c>
      <c r="H44">
        <f>IF(AND(subscriptions[[#This Row],[end_date]]&lt;&gt;"", subscriptions[[#This Row],[end_date]] &lt; subscriptions[[#This Row],[start_date]]), 1, 0)</f>
        <v>0</v>
      </c>
      <c r="I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">
        <f>IF(
  AND(subscriptions[[#This Row],[end_before_start]]=0, subscriptions[[#This Row],[status_end_mismatch]]=0),
  1,
  0
)</f>
        <v>1</v>
      </c>
    </row>
    <row r="45" spans="1:10" x14ac:dyDescent="0.3">
      <c r="A45">
        <v>4272848</v>
      </c>
      <c r="B45">
        <v>722899</v>
      </c>
      <c r="C45">
        <v>1009</v>
      </c>
      <c r="D45" s="1">
        <v>44855</v>
      </c>
      <c r="E45" s="1">
        <v>45177</v>
      </c>
      <c r="F45" t="s">
        <v>3479</v>
      </c>
      <c r="G45" t="str">
        <f>IF(ISNA(_xlfn.XLOOKUP(subscriptions[[#This Row],[customer_id]], customers[customer_id], customers[customer_id])), "NO", "YES")</f>
        <v>YES</v>
      </c>
      <c r="H45">
        <f>IF(AND(subscriptions[[#This Row],[end_date]]&lt;&gt;"", subscriptions[[#This Row],[end_date]] &lt; subscriptions[[#This Row],[start_date]]), 1, 0)</f>
        <v>0</v>
      </c>
      <c r="I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">
        <f>IF(
  AND(subscriptions[[#This Row],[end_before_start]]=0, subscriptions[[#This Row],[status_end_mismatch]]=0),
  1,
  0
)</f>
        <v>1</v>
      </c>
    </row>
    <row r="46" spans="1:10" x14ac:dyDescent="0.3">
      <c r="A46">
        <v>9466397</v>
      </c>
      <c r="B46">
        <v>163941</v>
      </c>
      <c r="C46">
        <v>1008</v>
      </c>
      <c r="D46" s="1">
        <v>44627</v>
      </c>
      <c r="E46" s="1"/>
      <c r="F46" t="s">
        <v>3480</v>
      </c>
      <c r="G46" t="str">
        <f>IF(ISNA(_xlfn.XLOOKUP(subscriptions[[#This Row],[customer_id]], customers[customer_id], customers[customer_id])), "NO", "YES")</f>
        <v>YES</v>
      </c>
      <c r="H46">
        <f>IF(AND(subscriptions[[#This Row],[end_date]]&lt;&gt;"", subscriptions[[#This Row],[end_date]] &lt; subscriptions[[#This Row],[start_date]]), 1, 0)</f>
        <v>0</v>
      </c>
      <c r="I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">
        <f>IF(
  AND(subscriptions[[#This Row],[end_before_start]]=0, subscriptions[[#This Row],[status_end_mismatch]]=0),
  1,
  0
)</f>
        <v>1</v>
      </c>
    </row>
    <row r="47" spans="1:10" x14ac:dyDescent="0.3">
      <c r="A47">
        <v>2461125</v>
      </c>
      <c r="B47">
        <v>589251</v>
      </c>
      <c r="C47">
        <v>1001</v>
      </c>
      <c r="D47" s="1">
        <v>45179</v>
      </c>
      <c r="E47" s="1">
        <v>45489</v>
      </c>
      <c r="F47" t="s">
        <v>3479</v>
      </c>
      <c r="G47" t="str">
        <f>IF(ISNA(_xlfn.XLOOKUP(subscriptions[[#This Row],[customer_id]], customers[customer_id], customers[customer_id])), "NO", "YES")</f>
        <v>YES</v>
      </c>
      <c r="H47">
        <f>IF(AND(subscriptions[[#This Row],[end_date]]&lt;&gt;"", subscriptions[[#This Row],[end_date]] &lt; subscriptions[[#This Row],[start_date]]), 1, 0)</f>
        <v>0</v>
      </c>
      <c r="I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">
        <f>IF(
  AND(subscriptions[[#This Row],[end_before_start]]=0, subscriptions[[#This Row],[status_end_mismatch]]=0),
  1,
  0
)</f>
        <v>1</v>
      </c>
    </row>
    <row r="48" spans="1:10" x14ac:dyDescent="0.3">
      <c r="A48">
        <v>8831655</v>
      </c>
      <c r="B48">
        <v>691655</v>
      </c>
      <c r="C48">
        <v>1005</v>
      </c>
      <c r="D48" s="1">
        <v>44906</v>
      </c>
      <c r="E48" s="1">
        <v>44995</v>
      </c>
      <c r="F48" t="s">
        <v>3479</v>
      </c>
      <c r="G48" t="str">
        <f>IF(ISNA(_xlfn.XLOOKUP(subscriptions[[#This Row],[customer_id]], customers[customer_id], customers[customer_id])), "NO", "YES")</f>
        <v>YES</v>
      </c>
      <c r="H48">
        <f>IF(AND(subscriptions[[#This Row],[end_date]]&lt;&gt;"", subscriptions[[#This Row],[end_date]] &lt; subscriptions[[#This Row],[start_date]]), 1, 0)</f>
        <v>0</v>
      </c>
      <c r="I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">
        <f>IF(
  AND(subscriptions[[#This Row],[end_before_start]]=0, subscriptions[[#This Row],[status_end_mismatch]]=0),
  1,
  0
)</f>
        <v>1</v>
      </c>
    </row>
    <row r="49" spans="1:10" x14ac:dyDescent="0.3">
      <c r="A49">
        <v>9089445</v>
      </c>
      <c r="B49">
        <v>130359</v>
      </c>
      <c r="C49">
        <v>1007</v>
      </c>
      <c r="D49" s="1">
        <v>45055</v>
      </c>
      <c r="E49" s="1"/>
      <c r="F49" t="s">
        <v>3480</v>
      </c>
      <c r="G49" t="str">
        <f>IF(ISNA(_xlfn.XLOOKUP(subscriptions[[#This Row],[customer_id]], customers[customer_id], customers[customer_id])), "NO", "YES")</f>
        <v>YES</v>
      </c>
      <c r="H49">
        <f>IF(AND(subscriptions[[#This Row],[end_date]]&lt;&gt;"", subscriptions[[#This Row],[end_date]] &lt; subscriptions[[#This Row],[start_date]]), 1, 0)</f>
        <v>0</v>
      </c>
      <c r="I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">
        <f>IF(
  AND(subscriptions[[#This Row],[end_before_start]]=0, subscriptions[[#This Row],[status_end_mismatch]]=0),
  1,
  0
)</f>
        <v>1</v>
      </c>
    </row>
    <row r="50" spans="1:10" x14ac:dyDescent="0.3">
      <c r="A50">
        <v>3859391</v>
      </c>
      <c r="B50">
        <v>645175</v>
      </c>
      <c r="C50">
        <v>1001</v>
      </c>
      <c r="D50" s="1">
        <v>44745</v>
      </c>
      <c r="E50" s="1"/>
      <c r="F50" t="s">
        <v>3480</v>
      </c>
      <c r="G50" t="str">
        <f>IF(ISNA(_xlfn.XLOOKUP(subscriptions[[#This Row],[customer_id]], customers[customer_id], customers[customer_id])), "NO", "YES")</f>
        <v>YES</v>
      </c>
      <c r="H50">
        <f>IF(AND(subscriptions[[#This Row],[end_date]]&lt;&gt;"", subscriptions[[#This Row],[end_date]] &lt; subscriptions[[#This Row],[start_date]]), 1, 0)</f>
        <v>0</v>
      </c>
      <c r="I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">
        <f>IF(
  AND(subscriptions[[#This Row],[end_before_start]]=0, subscriptions[[#This Row],[status_end_mismatch]]=0),
  1,
  0
)</f>
        <v>1</v>
      </c>
    </row>
    <row r="51" spans="1:10" x14ac:dyDescent="0.3">
      <c r="A51">
        <v>1490260</v>
      </c>
      <c r="B51">
        <v>514118</v>
      </c>
      <c r="C51">
        <v>1009</v>
      </c>
      <c r="D51" s="1">
        <v>44890</v>
      </c>
      <c r="E51" s="1">
        <v>45087</v>
      </c>
      <c r="F51" t="s">
        <v>3479</v>
      </c>
      <c r="G51" t="str">
        <f>IF(ISNA(_xlfn.XLOOKUP(subscriptions[[#This Row],[customer_id]], customers[customer_id], customers[customer_id])), "NO", "YES")</f>
        <v>YES</v>
      </c>
      <c r="H51">
        <f>IF(AND(subscriptions[[#This Row],[end_date]]&lt;&gt;"", subscriptions[[#This Row],[end_date]] &lt; subscriptions[[#This Row],[start_date]]), 1, 0)</f>
        <v>0</v>
      </c>
      <c r="I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">
        <f>IF(
  AND(subscriptions[[#This Row],[end_before_start]]=0, subscriptions[[#This Row],[status_end_mismatch]]=0),
  1,
  0
)</f>
        <v>1</v>
      </c>
    </row>
    <row r="52" spans="1:10" x14ac:dyDescent="0.3">
      <c r="A52">
        <v>7433891</v>
      </c>
      <c r="B52">
        <v>576133</v>
      </c>
      <c r="C52">
        <v>1004</v>
      </c>
      <c r="D52" s="1">
        <v>45136</v>
      </c>
      <c r="E52" s="1"/>
      <c r="F52" t="s">
        <v>3480</v>
      </c>
      <c r="G52" t="str">
        <f>IF(ISNA(_xlfn.XLOOKUP(subscriptions[[#This Row],[customer_id]], customers[customer_id], customers[customer_id])), "NO", "YES")</f>
        <v>YES</v>
      </c>
      <c r="H52">
        <f>IF(AND(subscriptions[[#This Row],[end_date]]&lt;&gt;"", subscriptions[[#This Row],[end_date]] &lt; subscriptions[[#This Row],[start_date]]), 1, 0)</f>
        <v>0</v>
      </c>
      <c r="I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">
        <f>IF(
  AND(subscriptions[[#This Row],[end_before_start]]=0, subscriptions[[#This Row],[status_end_mismatch]]=0),
  1,
  0
)</f>
        <v>1</v>
      </c>
    </row>
    <row r="53" spans="1:10" x14ac:dyDescent="0.3">
      <c r="A53">
        <v>5322289</v>
      </c>
      <c r="B53">
        <v>208239</v>
      </c>
      <c r="C53">
        <v>1000</v>
      </c>
      <c r="D53" s="1">
        <v>45537</v>
      </c>
      <c r="E53" s="1">
        <v>45654</v>
      </c>
      <c r="F53" t="s">
        <v>3479</v>
      </c>
      <c r="G53" t="str">
        <f>IF(ISNA(_xlfn.XLOOKUP(subscriptions[[#This Row],[customer_id]], customers[customer_id], customers[customer_id])), "NO", "YES")</f>
        <v>YES</v>
      </c>
      <c r="H53">
        <f>IF(AND(subscriptions[[#This Row],[end_date]]&lt;&gt;"", subscriptions[[#This Row],[end_date]] &lt; subscriptions[[#This Row],[start_date]]), 1, 0)</f>
        <v>0</v>
      </c>
      <c r="I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">
        <f>IF(
  AND(subscriptions[[#This Row],[end_before_start]]=0, subscriptions[[#This Row],[status_end_mismatch]]=0),
  1,
  0
)</f>
        <v>1</v>
      </c>
    </row>
    <row r="54" spans="1:10" x14ac:dyDescent="0.3">
      <c r="A54">
        <v>3277614</v>
      </c>
      <c r="B54">
        <v>356600</v>
      </c>
      <c r="C54">
        <v>1002</v>
      </c>
      <c r="D54" s="1">
        <v>45569</v>
      </c>
      <c r="E54" s="1"/>
      <c r="F54" t="s">
        <v>3480</v>
      </c>
      <c r="G54" t="str">
        <f>IF(ISNA(_xlfn.XLOOKUP(subscriptions[[#This Row],[customer_id]], customers[customer_id], customers[customer_id])), "NO", "YES")</f>
        <v>YES</v>
      </c>
      <c r="H54">
        <f>IF(AND(subscriptions[[#This Row],[end_date]]&lt;&gt;"", subscriptions[[#This Row],[end_date]] &lt; subscriptions[[#This Row],[start_date]]), 1, 0)</f>
        <v>0</v>
      </c>
      <c r="I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">
        <f>IF(
  AND(subscriptions[[#This Row],[end_before_start]]=0, subscriptions[[#This Row],[status_end_mismatch]]=0),
  1,
  0
)</f>
        <v>1</v>
      </c>
    </row>
    <row r="55" spans="1:10" x14ac:dyDescent="0.3">
      <c r="A55">
        <v>6583476</v>
      </c>
      <c r="B55">
        <v>716204</v>
      </c>
      <c r="C55">
        <v>1008</v>
      </c>
      <c r="D55" s="1">
        <v>45020</v>
      </c>
      <c r="E55" s="1">
        <v>45357</v>
      </c>
      <c r="F55" t="s">
        <v>3479</v>
      </c>
      <c r="G55" t="str">
        <f>IF(ISNA(_xlfn.XLOOKUP(subscriptions[[#This Row],[customer_id]], customers[customer_id], customers[customer_id])), "NO", "YES")</f>
        <v>YES</v>
      </c>
      <c r="H55">
        <f>IF(AND(subscriptions[[#This Row],[end_date]]&lt;&gt;"", subscriptions[[#This Row],[end_date]] &lt; subscriptions[[#This Row],[start_date]]), 1, 0)</f>
        <v>0</v>
      </c>
      <c r="I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">
        <f>IF(
  AND(subscriptions[[#This Row],[end_before_start]]=0, subscriptions[[#This Row],[status_end_mismatch]]=0),
  1,
  0
)</f>
        <v>1</v>
      </c>
    </row>
    <row r="56" spans="1:10" x14ac:dyDescent="0.3">
      <c r="A56">
        <v>2084932</v>
      </c>
      <c r="B56">
        <v>948878</v>
      </c>
      <c r="C56">
        <v>1002</v>
      </c>
      <c r="D56" s="1">
        <v>45264</v>
      </c>
      <c r="E56" s="1"/>
      <c r="F56" t="s">
        <v>3480</v>
      </c>
      <c r="G56" t="str">
        <f>IF(ISNA(_xlfn.XLOOKUP(subscriptions[[#This Row],[customer_id]], customers[customer_id], customers[customer_id])), "NO", "YES")</f>
        <v>YES</v>
      </c>
      <c r="H56">
        <f>IF(AND(subscriptions[[#This Row],[end_date]]&lt;&gt;"", subscriptions[[#This Row],[end_date]] &lt; subscriptions[[#This Row],[start_date]]), 1, 0)</f>
        <v>0</v>
      </c>
      <c r="I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">
        <f>IF(
  AND(subscriptions[[#This Row],[end_before_start]]=0, subscriptions[[#This Row],[status_end_mismatch]]=0),
  1,
  0
)</f>
        <v>1</v>
      </c>
    </row>
    <row r="57" spans="1:10" x14ac:dyDescent="0.3">
      <c r="A57">
        <v>7403032</v>
      </c>
      <c r="B57">
        <v>921875</v>
      </c>
      <c r="C57">
        <v>1000</v>
      </c>
      <c r="D57" s="1">
        <v>45456</v>
      </c>
      <c r="E57" s="1">
        <v>45600</v>
      </c>
      <c r="F57" t="s">
        <v>3479</v>
      </c>
      <c r="G57" t="str">
        <f>IF(ISNA(_xlfn.XLOOKUP(subscriptions[[#This Row],[customer_id]], customers[customer_id], customers[customer_id])), "NO", "YES")</f>
        <v>YES</v>
      </c>
      <c r="H57">
        <f>IF(AND(subscriptions[[#This Row],[end_date]]&lt;&gt;"", subscriptions[[#This Row],[end_date]] &lt; subscriptions[[#This Row],[start_date]]), 1, 0)</f>
        <v>0</v>
      </c>
      <c r="I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">
        <f>IF(
  AND(subscriptions[[#This Row],[end_before_start]]=0, subscriptions[[#This Row],[status_end_mismatch]]=0),
  1,
  0
)</f>
        <v>1</v>
      </c>
    </row>
    <row r="58" spans="1:10" x14ac:dyDescent="0.3">
      <c r="A58">
        <v>5346875</v>
      </c>
      <c r="B58">
        <v>239849</v>
      </c>
      <c r="C58">
        <v>1005</v>
      </c>
      <c r="D58" s="1">
        <v>44798</v>
      </c>
      <c r="E58" s="1"/>
      <c r="F58" t="s">
        <v>3480</v>
      </c>
      <c r="G58" t="str">
        <f>IF(ISNA(_xlfn.XLOOKUP(subscriptions[[#This Row],[customer_id]], customers[customer_id], customers[customer_id])), "NO", "YES")</f>
        <v>YES</v>
      </c>
      <c r="H58">
        <f>IF(AND(subscriptions[[#This Row],[end_date]]&lt;&gt;"", subscriptions[[#This Row],[end_date]] &lt; subscriptions[[#This Row],[start_date]]), 1, 0)</f>
        <v>0</v>
      </c>
      <c r="I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">
        <f>IF(
  AND(subscriptions[[#This Row],[end_before_start]]=0, subscriptions[[#This Row],[status_end_mismatch]]=0),
  1,
  0
)</f>
        <v>1</v>
      </c>
    </row>
    <row r="59" spans="1:10" x14ac:dyDescent="0.3">
      <c r="A59">
        <v>2868688</v>
      </c>
      <c r="B59">
        <v>904373</v>
      </c>
      <c r="C59">
        <v>1003</v>
      </c>
      <c r="D59" s="1">
        <v>44744</v>
      </c>
      <c r="E59" s="1"/>
      <c r="F59" t="s">
        <v>3480</v>
      </c>
      <c r="G59" t="str">
        <f>IF(ISNA(_xlfn.XLOOKUP(subscriptions[[#This Row],[customer_id]], customers[customer_id], customers[customer_id])), "NO", "YES")</f>
        <v>YES</v>
      </c>
      <c r="H59">
        <f>IF(AND(subscriptions[[#This Row],[end_date]]&lt;&gt;"", subscriptions[[#This Row],[end_date]] &lt; subscriptions[[#This Row],[start_date]]), 1, 0)</f>
        <v>0</v>
      </c>
      <c r="I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">
        <f>IF(
  AND(subscriptions[[#This Row],[end_before_start]]=0, subscriptions[[#This Row],[status_end_mismatch]]=0),
  1,
  0
)</f>
        <v>1</v>
      </c>
    </row>
    <row r="60" spans="1:10" x14ac:dyDescent="0.3">
      <c r="A60">
        <v>4156740</v>
      </c>
      <c r="B60">
        <v>100716</v>
      </c>
      <c r="C60">
        <v>1002</v>
      </c>
      <c r="D60" s="1">
        <v>44799</v>
      </c>
      <c r="E60" s="1"/>
      <c r="F60" t="s">
        <v>3480</v>
      </c>
      <c r="G60" t="str">
        <f>IF(ISNA(_xlfn.XLOOKUP(subscriptions[[#This Row],[customer_id]], customers[customer_id], customers[customer_id])), "NO", "YES")</f>
        <v>YES</v>
      </c>
      <c r="H60">
        <f>IF(AND(subscriptions[[#This Row],[end_date]]&lt;&gt;"", subscriptions[[#This Row],[end_date]] &lt; subscriptions[[#This Row],[start_date]]), 1, 0)</f>
        <v>0</v>
      </c>
      <c r="I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">
        <f>IF(
  AND(subscriptions[[#This Row],[end_before_start]]=0, subscriptions[[#This Row],[status_end_mismatch]]=0),
  1,
  0
)</f>
        <v>1</v>
      </c>
    </row>
    <row r="61" spans="1:10" x14ac:dyDescent="0.3">
      <c r="A61">
        <v>3137710</v>
      </c>
      <c r="B61">
        <v>890075</v>
      </c>
      <c r="C61">
        <v>1009</v>
      </c>
      <c r="D61" s="1">
        <v>45203</v>
      </c>
      <c r="E61" s="1">
        <v>45528</v>
      </c>
      <c r="F61" t="s">
        <v>3479</v>
      </c>
      <c r="G61" t="str">
        <f>IF(ISNA(_xlfn.XLOOKUP(subscriptions[[#This Row],[customer_id]], customers[customer_id], customers[customer_id])), "NO", "YES")</f>
        <v>YES</v>
      </c>
      <c r="H61">
        <f>IF(AND(subscriptions[[#This Row],[end_date]]&lt;&gt;"", subscriptions[[#This Row],[end_date]] &lt; subscriptions[[#This Row],[start_date]]), 1, 0)</f>
        <v>0</v>
      </c>
      <c r="I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">
        <f>IF(
  AND(subscriptions[[#This Row],[end_before_start]]=0, subscriptions[[#This Row],[status_end_mismatch]]=0),
  1,
  0
)</f>
        <v>1</v>
      </c>
    </row>
    <row r="62" spans="1:10" x14ac:dyDescent="0.3">
      <c r="A62">
        <v>1028160</v>
      </c>
      <c r="B62">
        <v>894029</v>
      </c>
      <c r="C62">
        <v>1004</v>
      </c>
      <c r="D62" s="1">
        <v>45198</v>
      </c>
      <c r="E62" s="1"/>
      <c r="F62" t="s">
        <v>3480</v>
      </c>
      <c r="G62" t="str">
        <f>IF(ISNA(_xlfn.XLOOKUP(subscriptions[[#This Row],[customer_id]], customers[customer_id], customers[customer_id])), "NO", "YES")</f>
        <v>YES</v>
      </c>
      <c r="H62">
        <f>IF(AND(subscriptions[[#This Row],[end_date]]&lt;&gt;"", subscriptions[[#This Row],[end_date]] &lt; subscriptions[[#This Row],[start_date]]), 1, 0)</f>
        <v>0</v>
      </c>
      <c r="I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">
        <f>IF(
  AND(subscriptions[[#This Row],[end_before_start]]=0, subscriptions[[#This Row],[status_end_mismatch]]=0),
  1,
  0
)</f>
        <v>1</v>
      </c>
    </row>
    <row r="63" spans="1:10" x14ac:dyDescent="0.3">
      <c r="A63">
        <v>9985927</v>
      </c>
      <c r="B63">
        <v>519093</v>
      </c>
      <c r="C63">
        <v>1009</v>
      </c>
      <c r="D63" s="1">
        <v>44950</v>
      </c>
      <c r="E63" s="1">
        <v>45196</v>
      </c>
      <c r="F63" t="s">
        <v>3479</v>
      </c>
      <c r="G63" t="str">
        <f>IF(ISNA(_xlfn.XLOOKUP(subscriptions[[#This Row],[customer_id]], customers[customer_id], customers[customer_id])), "NO", "YES")</f>
        <v>YES</v>
      </c>
      <c r="H63">
        <f>IF(AND(subscriptions[[#This Row],[end_date]]&lt;&gt;"", subscriptions[[#This Row],[end_date]] &lt; subscriptions[[#This Row],[start_date]]), 1, 0)</f>
        <v>0</v>
      </c>
      <c r="I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">
        <f>IF(
  AND(subscriptions[[#This Row],[end_before_start]]=0, subscriptions[[#This Row],[status_end_mismatch]]=0),
  1,
  0
)</f>
        <v>1</v>
      </c>
    </row>
    <row r="64" spans="1:10" x14ac:dyDescent="0.3">
      <c r="A64">
        <v>6362719</v>
      </c>
      <c r="B64">
        <v>903702</v>
      </c>
      <c r="C64">
        <v>1007</v>
      </c>
      <c r="D64" s="1">
        <v>45309</v>
      </c>
      <c r="E64" s="1">
        <v>45403</v>
      </c>
      <c r="F64" t="s">
        <v>3479</v>
      </c>
      <c r="G64" t="str">
        <f>IF(ISNA(_xlfn.XLOOKUP(subscriptions[[#This Row],[customer_id]], customers[customer_id], customers[customer_id])), "NO", "YES")</f>
        <v>YES</v>
      </c>
      <c r="H64">
        <f>IF(AND(subscriptions[[#This Row],[end_date]]&lt;&gt;"", subscriptions[[#This Row],[end_date]] &lt; subscriptions[[#This Row],[start_date]]), 1, 0)</f>
        <v>0</v>
      </c>
      <c r="I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">
        <f>IF(
  AND(subscriptions[[#This Row],[end_before_start]]=0, subscriptions[[#This Row],[status_end_mismatch]]=0),
  1,
  0
)</f>
        <v>1</v>
      </c>
    </row>
    <row r="65" spans="1:10" x14ac:dyDescent="0.3">
      <c r="A65">
        <v>9719981</v>
      </c>
      <c r="B65">
        <v>936433</v>
      </c>
      <c r="C65">
        <v>1000</v>
      </c>
      <c r="D65" s="1">
        <v>45016</v>
      </c>
      <c r="E65" s="1"/>
      <c r="F65" t="s">
        <v>3480</v>
      </c>
      <c r="G65" t="str">
        <f>IF(ISNA(_xlfn.XLOOKUP(subscriptions[[#This Row],[customer_id]], customers[customer_id], customers[customer_id])), "NO", "YES")</f>
        <v>YES</v>
      </c>
      <c r="H65">
        <f>IF(AND(subscriptions[[#This Row],[end_date]]&lt;&gt;"", subscriptions[[#This Row],[end_date]] &lt; subscriptions[[#This Row],[start_date]]), 1, 0)</f>
        <v>0</v>
      </c>
      <c r="I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">
        <f>IF(
  AND(subscriptions[[#This Row],[end_before_start]]=0, subscriptions[[#This Row],[status_end_mismatch]]=0),
  1,
  0
)</f>
        <v>1</v>
      </c>
    </row>
    <row r="66" spans="1:10" x14ac:dyDescent="0.3">
      <c r="A66">
        <v>1154157</v>
      </c>
      <c r="B66">
        <v>299659</v>
      </c>
      <c r="C66">
        <v>1005</v>
      </c>
      <c r="D66" s="1">
        <v>45505</v>
      </c>
      <c r="E66" s="1"/>
      <c r="F66" t="s">
        <v>3480</v>
      </c>
      <c r="G66" t="str">
        <f>IF(ISNA(_xlfn.XLOOKUP(subscriptions[[#This Row],[customer_id]], customers[customer_id], customers[customer_id])), "NO", "YES")</f>
        <v>YES</v>
      </c>
      <c r="H66">
        <f>IF(AND(subscriptions[[#This Row],[end_date]]&lt;&gt;"", subscriptions[[#This Row],[end_date]] &lt; subscriptions[[#This Row],[start_date]]), 1, 0)</f>
        <v>0</v>
      </c>
      <c r="I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">
        <f>IF(
  AND(subscriptions[[#This Row],[end_before_start]]=0, subscriptions[[#This Row],[status_end_mismatch]]=0),
  1,
  0
)</f>
        <v>1</v>
      </c>
    </row>
    <row r="67" spans="1:10" x14ac:dyDescent="0.3">
      <c r="A67">
        <v>5979872</v>
      </c>
      <c r="B67">
        <v>367382</v>
      </c>
      <c r="C67">
        <v>1004</v>
      </c>
      <c r="D67" s="1">
        <v>45010</v>
      </c>
      <c r="E67" s="1"/>
      <c r="F67" t="s">
        <v>3480</v>
      </c>
      <c r="G67" t="str">
        <f>IF(ISNA(_xlfn.XLOOKUP(subscriptions[[#This Row],[customer_id]], customers[customer_id], customers[customer_id])), "NO", "YES")</f>
        <v>YES</v>
      </c>
      <c r="H67">
        <f>IF(AND(subscriptions[[#This Row],[end_date]]&lt;&gt;"", subscriptions[[#This Row],[end_date]] &lt; subscriptions[[#This Row],[start_date]]), 1, 0)</f>
        <v>0</v>
      </c>
      <c r="I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">
        <f>IF(
  AND(subscriptions[[#This Row],[end_before_start]]=0, subscriptions[[#This Row],[status_end_mismatch]]=0),
  1,
  0
)</f>
        <v>1</v>
      </c>
    </row>
    <row r="68" spans="1:10" x14ac:dyDescent="0.3">
      <c r="A68">
        <v>8646795</v>
      </c>
      <c r="B68">
        <v>934904</v>
      </c>
      <c r="C68">
        <v>1004</v>
      </c>
      <c r="D68" s="1">
        <v>44863</v>
      </c>
      <c r="E68" s="1">
        <v>44967</v>
      </c>
      <c r="F68" t="s">
        <v>3479</v>
      </c>
      <c r="G68" t="str">
        <f>IF(ISNA(_xlfn.XLOOKUP(subscriptions[[#This Row],[customer_id]], customers[customer_id], customers[customer_id])), "NO", "YES")</f>
        <v>YES</v>
      </c>
      <c r="H68">
        <f>IF(AND(subscriptions[[#This Row],[end_date]]&lt;&gt;"", subscriptions[[#This Row],[end_date]] &lt; subscriptions[[#This Row],[start_date]]), 1, 0)</f>
        <v>0</v>
      </c>
      <c r="I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">
        <f>IF(
  AND(subscriptions[[#This Row],[end_before_start]]=0, subscriptions[[#This Row],[status_end_mismatch]]=0),
  1,
  0
)</f>
        <v>1</v>
      </c>
    </row>
    <row r="69" spans="1:10" x14ac:dyDescent="0.3">
      <c r="A69">
        <v>1576194</v>
      </c>
      <c r="B69">
        <v>432043</v>
      </c>
      <c r="C69">
        <v>1004</v>
      </c>
      <c r="D69" s="1">
        <v>45217</v>
      </c>
      <c r="E69" s="1"/>
      <c r="F69" t="s">
        <v>3480</v>
      </c>
      <c r="G69" t="str">
        <f>IF(ISNA(_xlfn.XLOOKUP(subscriptions[[#This Row],[customer_id]], customers[customer_id], customers[customer_id])), "NO", "YES")</f>
        <v>YES</v>
      </c>
      <c r="H69">
        <f>IF(AND(subscriptions[[#This Row],[end_date]]&lt;&gt;"", subscriptions[[#This Row],[end_date]] &lt; subscriptions[[#This Row],[start_date]]), 1, 0)</f>
        <v>0</v>
      </c>
      <c r="I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">
        <f>IF(
  AND(subscriptions[[#This Row],[end_before_start]]=0, subscriptions[[#This Row],[status_end_mismatch]]=0),
  1,
  0
)</f>
        <v>1</v>
      </c>
    </row>
    <row r="70" spans="1:10" x14ac:dyDescent="0.3">
      <c r="A70">
        <v>3071382</v>
      </c>
      <c r="B70">
        <v>192296</v>
      </c>
      <c r="C70">
        <v>1008</v>
      </c>
      <c r="D70" s="1">
        <v>45122</v>
      </c>
      <c r="E70" s="1">
        <v>45513</v>
      </c>
      <c r="F70" t="s">
        <v>3479</v>
      </c>
      <c r="G70" t="str">
        <f>IF(ISNA(_xlfn.XLOOKUP(subscriptions[[#This Row],[customer_id]], customers[customer_id], customers[customer_id])), "NO", "YES")</f>
        <v>YES</v>
      </c>
      <c r="H70">
        <f>IF(AND(subscriptions[[#This Row],[end_date]]&lt;&gt;"", subscriptions[[#This Row],[end_date]] &lt; subscriptions[[#This Row],[start_date]]), 1, 0)</f>
        <v>0</v>
      </c>
      <c r="I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">
        <f>IF(
  AND(subscriptions[[#This Row],[end_before_start]]=0, subscriptions[[#This Row],[status_end_mismatch]]=0),
  1,
  0
)</f>
        <v>1</v>
      </c>
    </row>
    <row r="71" spans="1:10" x14ac:dyDescent="0.3">
      <c r="A71">
        <v>9024252</v>
      </c>
      <c r="B71">
        <v>913185</v>
      </c>
      <c r="C71">
        <v>1005</v>
      </c>
      <c r="D71" s="1">
        <v>45003</v>
      </c>
      <c r="E71" s="1"/>
      <c r="F71" t="s">
        <v>3480</v>
      </c>
      <c r="G71" t="str">
        <f>IF(ISNA(_xlfn.XLOOKUP(subscriptions[[#This Row],[customer_id]], customers[customer_id], customers[customer_id])), "NO", "YES")</f>
        <v>YES</v>
      </c>
      <c r="H71">
        <f>IF(AND(subscriptions[[#This Row],[end_date]]&lt;&gt;"", subscriptions[[#This Row],[end_date]] &lt; subscriptions[[#This Row],[start_date]]), 1, 0)</f>
        <v>0</v>
      </c>
      <c r="I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">
        <f>IF(
  AND(subscriptions[[#This Row],[end_before_start]]=0, subscriptions[[#This Row],[status_end_mismatch]]=0),
  1,
  0
)</f>
        <v>1</v>
      </c>
    </row>
    <row r="72" spans="1:10" x14ac:dyDescent="0.3">
      <c r="A72">
        <v>7320122</v>
      </c>
      <c r="B72">
        <v>506941</v>
      </c>
      <c r="C72">
        <v>1008</v>
      </c>
      <c r="D72" s="1">
        <v>44682</v>
      </c>
      <c r="E72" s="1">
        <v>44882</v>
      </c>
      <c r="F72" t="s">
        <v>3479</v>
      </c>
      <c r="G72" t="str">
        <f>IF(ISNA(_xlfn.XLOOKUP(subscriptions[[#This Row],[customer_id]], customers[customer_id], customers[customer_id])), "NO", "YES")</f>
        <v>YES</v>
      </c>
      <c r="H72">
        <f>IF(AND(subscriptions[[#This Row],[end_date]]&lt;&gt;"", subscriptions[[#This Row],[end_date]] &lt; subscriptions[[#This Row],[start_date]]), 1, 0)</f>
        <v>0</v>
      </c>
      <c r="I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">
        <f>IF(
  AND(subscriptions[[#This Row],[end_before_start]]=0, subscriptions[[#This Row],[status_end_mismatch]]=0),
  1,
  0
)</f>
        <v>1</v>
      </c>
    </row>
    <row r="73" spans="1:10" x14ac:dyDescent="0.3">
      <c r="A73">
        <v>3561918</v>
      </c>
      <c r="B73">
        <v>468154</v>
      </c>
      <c r="C73">
        <v>1004</v>
      </c>
      <c r="D73" s="1">
        <v>44993</v>
      </c>
      <c r="E73" s="1">
        <v>45138</v>
      </c>
      <c r="F73" t="s">
        <v>3479</v>
      </c>
      <c r="G73" t="str">
        <f>IF(ISNA(_xlfn.XLOOKUP(subscriptions[[#This Row],[customer_id]], customers[customer_id], customers[customer_id])), "NO", "YES")</f>
        <v>YES</v>
      </c>
      <c r="H73">
        <f>IF(AND(subscriptions[[#This Row],[end_date]]&lt;&gt;"", subscriptions[[#This Row],[end_date]] &lt; subscriptions[[#This Row],[start_date]]), 1, 0)</f>
        <v>0</v>
      </c>
      <c r="I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">
        <f>IF(
  AND(subscriptions[[#This Row],[end_before_start]]=0, subscriptions[[#This Row],[status_end_mismatch]]=0),
  1,
  0
)</f>
        <v>1</v>
      </c>
    </row>
    <row r="74" spans="1:10" x14ac:dyDescent="0.3">
      <c r="A74">
        <v>1881916</v>
      </c>
      <c r="B74">
        <v>186424</v>
      </c>
      <c r="C74">
        <v>1000</v>
      </c>
      <c r="D74" s="1">
        <v>44928</v>
      </c>
      <c r="E74" s="1">
        <v>45158</v>
      </c>
      <c r="F74" t="s">
        <v>3479</v>
      </c>
      <c r="G74" t="str">
        <f>IF(ISNA(_xlfn.XLOOKUP(subscriptions[[#This Row],[customer_id]], customers[customer_id], customers[customer_id])), "NO", "YES")</f>
        <v>YES</v>
      </c>
      <c r="H74">
        <f>IF(AND(subscriptions[[#This Row],[end_date]]&lt;&gt;"", subscriptions[[#This Row],[end_date]] &lt; subscriptions[[#This Row],[start_date]]), 1, 0)</f>
        <v>0</v>
      </c>
      <c r="I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">
        <f>IF(
  AND(subscriptions[[#This Row],[end_before_start]]=0, subscriptions[[#This Row],[status_end_mismatch]]=0),
  1,
  0
)</f>
        <v>1</v>
      </c>
    </row>
    <row r="75" spans="1:10" x14ac:dyDescent="0.3">
      <c r="A75">
        <v>6018095</v>
      </c>
      <c r="B75">
        <v>948097</v>
      </c>
      <c r="C75">
        <v>1006</v>
      </c>
      <c r="D75" s="1">
        <v>44888</v>
      </c>
      <c r="E75" s="1">
        <v>45198</v>
      </c>
      <c r="F75" t="s">
        <v>3479</v>
      </c>
      <c r="G75" t="str">
        <f>IF(ISNA(_xlfn.XLOOKUP(subscriptions[[#This Row],[customer_id]], customers[customer_id], customers[customer_id])), "NO", "YES")</f>
        <v>YES</v>
      </c>
      <c r="H75">
        <f>IF(AND(subscriptions[[#This Row],[end_date]]&lt;&gt;"", subscriptions[[#This Row],[end_date]] &lt; subscriptions[[#This Row],[start_date]]), 1, 0)</f>
        <v>0</v>
      </c>
      <c r="I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">
        <f>IF(
  AND(subscriptions[[#This Row],[end_before_start]]=0, subscriptions[[#This Row],[status_end_mismatch]]=0),
  1,
  0
)</f>
        <v>1</v>
      </c>
    </row>
    <row r="76" spans="1:10" x14ac:dyDescent="0.3">
      <c r="A76">
        <v>7581459</v>
      </c>
      <c r="B76">
        <v>493247</v>
      </c>
      <c r="C76">
        <v>1007</v>
      </c>
      <c r="D76" s="1">
        <v>45253</v>
      </c>
      <c r="E76" s="1"/>
      <c r="F76" t="s">
        <v>3480</v>
      </c>
      <c r="G76" t="str">
        <f>IF(ISNA(_xlfn.XLOOKUP(subscriptions[[#This Row],[customer_id]], customers[customer_id], customers[customer_id])), "NO", "YES")</f>
        <v>YES</v>
      </c>
      <c r="H76">
        <f>IF(AND(subscriptions[[#This Row],[end_date]]&lt;&gt;"", subscriptions[[#This Row],[end_date]] &lt; subscriptions[[#This Row],[start_date]]), 1, 0)</f>
        <v>0</v>
      </c>
      <c r="I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">
        <f>IF(
  AND(subscriptions[[#This Row],[end_before_start]]=0, subscriptions[[#This Row],[status_end_mismatch]]=0),
  1,
  0
)</f>
        <v>1</v>
      </c>
    </row>
    <row r="77" spans="1:10" x14ac:dyDescent="0.3">
      <c r="A77">
        <v>8942696</v>
      </c>
      <c r="B77">
        <v>970840</v>
      </c>
      <c r="C77">
        <v>1004</v>
      </c>
      <c r="D77" s="1">
        <v>45275</v>
      </c>
      <c r="E77" s="1">
        <v>45505</v>
      </c>
      <c r="F77" t="s">
        <v>3479</v>
      </c>
      <c r="G77" t="str">
        <f>IF(ISNA(_xlfn.XLOOKUP(subscriptions[[#This Row],[customer_id]], customers[customer_id], customers[customer_id])), "NO", "YES")</f>
        <v>YES</v>
      </c>
      <c r="H77">
        <f>IF(AND(subscriptions[[#This Row],[end_date]]&lt;&gt;"", subscriptions[[#This Row],[end_date]] &lt; subscriptions[[#This Row],[start_date]]), 1, 0)</f>
        <v>0</v>
      </c>
      <c r="I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">
        <f>IF(
  AND(subscriptions[[#This Row],[end_before_start]]=0, subscriptions[[#This Row],[status_end_mismatch]]=0),
  1,
  0
)</f>
        <v>1</v>
      </c>
    </row>
    <row r="78" spans="1:10" x14ac:dyDescent="0.3">
      <c r="A78">
        <v>2204993</v>
      </c>
      <c r="B78">
        <v>568288</v>
      </c>
      <c r="C78">
        <v>1000</v>
      </c>
      <c r="D78" s="1">
        <v>45141</v>
      </c>
      <c r="E78" s="1"/>
      <c r="F78" t="s">
        <v>3480</v>
      </c>
      <c r="G78" t="str">
        <f>IF(ISNA(_xlfn.XLOOKUP(subscriptions[[#This Row],[customer_id]], customers[customer_id], customers[customer_id])), "NO", "YES")</f>
        <v>YES</v>
      </c>
      <c r="H78">
        <f>IF(AND(subscriptions[[#This Row],[end_date]]&lt;&gt;"", subscriptions[[#This Row],[end_date]] &lt; subscriptions[[#This Row],[start_date]]), 1, 0)</f>
        <v>0</v>
      </c>
      <c r="I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">
        <f>IF(
  AND(subscriptions[[#This Row],[end_before_start]]=0, subscriptions[[#This Row],[status_end_mismatch]]=0),
  1,
  0
)</f>
        <v>1</v>
      </c>
    </row>
    <row r="79" spans="1:10" x14ac:dyDescent="0.3">
      <c r="A79">
        <v>4273103</v>
      </c>
      <c r="B79">
        <v>873266</v>
      </c>
      <c r="C79">
        <v>1005</v>
      </c>
      <c r="D79" s="1">
        <v>45368</v>
      </c>
      <c r="E79" s="1"/>
      <c r="F79" t="s">
        <v>3480</v>
      </c>
      <c r="G79" t="str">
        <f>IF(ISNA(_xlfn.XLOOKUP(subscriptions[[#This Row],[customer_id]], customers[customer_id], customers[customer_id])), "NO", "YES")</f>
        <v>YES</v>
      </c>
      <c r="H79">
        <f>IF(AND(subscriptions[[#This Row],[end_date]]&lt;&gt;"", subscriptions[[#This Row],[end_date]] &lt; subscriptions[[#This Row],[start_date]]), 1, 0)</f>
        <v>0</v>
      </c>
      <c r="I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">
        <f>IF(
  AND(subscriptions[[#This Row],[end_before_start]]=0, subscriptions[[#This Row],[status_end_mismatch]]=0),
  1,
  0
)</f>
        <v>1</v>
      </c>
    </row>
    <row r="80" spans="1:10" x14ac:dyDescent="0.3">
      <c r="A80">
        <v>6426063</v>
      </c>
      <c r="B80">
        <v>136554</v>
      </c>
      <c r="C80">
        <v>1003</v>
      </c>
      <c r="D80" s="1">
        <v>44672</v>
      </c>
      <c r="E80" s="1">
        <v>45065</v>
      </c>
      <c r="F80" t="s">
        <v>3479</v>
      </c>
      <c r="G80" t="str">
        <f>IF(ISNA(_xlfn.XLOOKUP(subscriptions[[#This Row],[customer_id]], customers[customer_id], customers[customer_id])), "NO", "YES")</f>
        <v>YES</v>
      </c>
      <c r="H80">
        <f>IF(AND(subscriptions[[#This Row],[end_date]]&lt;&gt;"", subscriptions[[#This Row],[end_date]] &lt; subscriptions[[#This Row],[start_date]]), 1, 0)</f>
        <v>0</v>
      </c>
      <c r="I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">
        <f>IF(
  AND(subscriptions[[#This Row],[end_before_start]]=0, subscriptions[[#This Row],[status_end_mismatch]]=0),
  1,
  0
)</f>
        <v>1</v>
      </c>
    </row>
    <row r="81" spans="1:10" x14ac:dyDescent="0.3">
      <c r="A81">
        <v>6101515</v>
      </c>
      <c r="B81">
        <v>903702</v>
      </c>
      <c r="C81">
        <v>1000</v>
      </c>
      <c r="D81" s="1">
        <v>45499</v>
      </c>
      <c r="E81" s="1">
        <v>45653</v>
      </c>
      <c r="F81" t="s">
        <v>3479</v>
      </c>
      <c r="G81" t="str">
        <f>IF(ISNA(_xlfn.XLOOKUP(subscriptions[[#This Row],[customer_id]], customers[customer_id], customers[customer_id])), "NO", "YES")</f>
        <v>YES</v>
      </c>
      <c r="H81">
        <f>IF(AND(subscriptions[[#This Row],[end_date]]&lt;&gt;"", subscriptions[[#This Row],[end_date]] &lt; subscriptions[[#This Row],[start_date]]), 1, 0)</f>
        <v>0</v>
      </c>
      <c r="I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">
        <f>IF(
  AND(subscriptions[[#This Row],[end_before_start]]=0, subscriptions[[#This Row],[status_end_mismatch]]=0),
  1,
  0
)</f>
        <v>1</v>
      </c>
    </row>
    <row r="82" spans="1:10" x14ac:dyDescent="0.3">
      <c r="A82">
        <v>8413578</v>
      </c>
      <c r="B82">
        <v>528728</v>
      </c>
      <c r="C82">
        <v>1004</v>
      </c>
      <c r="D82" s="1">
        <v>45550</v>
      </c>
      <c r="E82" s="1"/>
      <c r="F82" t="s">
        <v>3480</v>
      </c>
      <c r="G82" t="str">
        <f>IF(ISNA(_xlfn.XLOOKUP(subscriptions[[#This Row],[customer_id]], customers[customer_id], customers[customer_id])), "NO", "YES")</f>
        <v>YES</v>
      </c>
      <c r="H82">
        <f>IF(AND(subscriptions[[#This Row],[end_date]]&lt;&gt;"", subscriptions[[#This Row],[end_date]] &lt; subscriptions[[#This Row],[start_date]]), 1, 0)</f>
        <v>0</v>
      </c>
      <c r="I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">
        <f>IF(
  AND(subscriptions[[#This Row],[end_before_start]]=0, subscriptions[[#This Row],[status_end_mismatch]]=0),
  1,
  0
)</f>
        <v>1</v>
      </c>
    </row>
    <row r="83" spans="1:10" x14ac:dyDescent="0.3">
      <c r="A83">
        <v>3429724</v>
      </c>
      <c r="B83">
        <v>734366</v>
      </c>
      <c r="C83">
        <v>1005</v>
      </c>
      <c r="D83" s="1">
        <v>44991</v>
      </c>
      <c r="E83" s="1"/>
      <c r="F83" t="s">
        <v>3480</v>
      </c>
      <c r="G83" t="str">
        <f>IF(ISNA(_xlfn.XLOOKUP(subscriptions[[#This Row],[customer_id]], customers[customer_id], customers[customer_id])), "NO", "YES")</f>
        <v>YES</v>
      </c>
      <c r="H83">
        <f>IF(AND(subscriptions[[#This Row],[end_date]]&lt;&gt;"", subscriptions[[#This Row],[end_date]] &lt; subscriptions[[#This Row],[start_date]]), 1, 0)</f>
        <v>0</v>
      </c>
      <c r="I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">
        <f>IF(
  AND(subscriptions[[#This Row],[end_before_start]]=0, subscriptions[[#This Row],[status_end_mismatch]]=0),
  1,
  0
)</f>
        <v>1</v>
      </c>
    </row>
    <row r="84" spans="1:10" x14ac:dyDescent="0.3">
      <c r="A84">
        <v>4282547</v>
      </c>
      <c r="B84">
        <v>629818</v>
      </c>
      <c r="C84">
        <v>1006</v>
      </c>
      <c r="D84" s="1">
        <v>44580</v>
      </c>
      <c r="E84" s="1"/>
      <c r="F84" t="s">
        <v>3480</v>
      </c>
      <c r="G84" t="str">
        <f>IF(ISNA(_xlfn.XLOOKUP(subscriptions[[#This Row],[customer_id]], customers[customer_id], customers[customer_id])), "NO", "YES")</f>
        <v>YES</v>
      </c>
      <c r="H84">
        <f>IF(AND(subscriptions[[#This Row],[end_date]]&lt;&gt;"", subscriptions[[#This Row],[end_date]] &lt; subscriptions[[#This Row],[start_date]]), 1, 0)</f>
        <v>0</v>
      </c>
      <c r="I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">
        <f>IF(
  AND(subscriptions[[#This Row],[end_before_start]]=0, subscriptions[[#This Row],[status_end_mismatch]]=0),
  1,
  0
)</f>
        <v>1</v>
      </c>
    </row>
    <row r="85" spans="1:10" x14ac:dyDescent="0.3">
      <c r="A85">
        <v>2710400</v>
      </c>
      <c r="B85">
        <v>204180</v>
      </c>
      <c r="C85">
        <v>1007</v>
      </c>
      <c r="D85" s="1">
        <v>44864</v>
      </c>
      <c r="E85" s="1"/>
      <c r="F85" t="s">
        <v>3480</v>
      </c>
      <c r="G85" t="str">
        <f>IF(ISNA(_xlfn.XLOOKUP(subscriptions[[#This Row],[customer_id]], customers[customer_id], customers[customer_id])), "NO", "YES")</f>
        <v>YES</v>
      </c>
      <c r="H85">
        <f>IF(AND(subscriptions[[#This Row],[end_date]]&lt;&gt;"", subscriptions[[#This Row],[end_date]] &lt; subscriptions[[#This Row],[start_date]]), 1, 0)</f>
        <v>0</v>
      </c>
      <c r="I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">
        <f>IF(
  AND(subscriptions[[#This Row],[end_before_start]]=0, subscriptions[[#This Row],[status_end_mismatch]]=0),
  1,
  0
)</f>
        <v>1</v>
      </c>
    </row>
    <row r="86" spans="1:10" x14ac:dyDescent="0.3">
      <c r="A86">
        <v>8165734</v>
      </c>
      <c r="B86">
        <v>252640</v>
      </c>
      <c r="C86">
        <v>1004</v>
      </c>
      <c r="D86" s="1">
        <v>44906</v>
      </c>
      <c r="E86" s="1">
        <v>44985</v>
      </c>
      <c r="F86" t="s">
        <v>3479</v>
      </c>
      <c r="G86" t="str">
        <f>IF(ISNA(_xlfn.XLOOKUP(subscriptions[[#This Row],[customer_id]], customers[customer_id], customers[customer_id])), "NO", "YES")</f>
        <v>YES</v>
      </c>
      <c r="H86">
        <f>IF(AND(subscriptions[[#This Row],[end_date]]&lt;&gt;"", subscriptions[[#This Row],[end_date]] &lt; subscriptions[[#This Row],[start_date]]), 1, 0)</f>
        <v>0</v>
      </c>
      <c r="I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">
        <f>IF(
  AND(subscriptions[[#This Row],[end_before_start]]=0, subscriptions[[#This Row],[status_end_mismatch]]=0),
  1,
  0
)</f>
        <v>1</v>
      </c>
    </row>
    <row r="87" spans="1:10" x14ac:dyDescent="0.3">
      <c r="A87">
        <v>6965707</v>
      </c>
      <c r="B87">
        <v>352356</v>
      </c>
      <c r="C87">
        <v>1002</v>
      </c>
      <c r="D87" s="1">
        <v>45532</v>
      </c>
      <c r="E87" s="1"/>
      <c r="F87" t="s">
        <v>3480</v>
      </c>
      <c r="G87" t="str">
        <f>IF(ISNA(_xlfn.XLOOKUP(subscriptions[[#This Row],[customer_id]], customers[customer_id], customers[customer_id])), "NO", "YES")</f>
        <v>YES</v>
      </c>
      <c r="H87">
        <f>IF(AND(subscriptions[[#This Row],[end_date]]&lt;&gt;"", subscriptions[[#This Row],[end_date]] &lt; subscriptions[[#This Row],[start_date]]), 1, 0)</f>
        <v>0</v>
      </c>
      <c r="I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">
        <f>IF(
  AND(subscriptions[[#This Row],[end_before_start]]=0, subscriptions[[#This Row],[status_end_mismatch]]=0),
  1,
  0
)</f>
        <v>1</v>
      </c>
    </row>
    <row r="88" spans="1:10" x14ac:dyDescent="0.3">
      <c r="A88">
        <v>1880336</v>
      </c>
      <c r="B88">
        <v>517568</v>
      </c>
      <c r="C88">
        <v>1006</v>
      </c>
      <c r="D88" s="1">
        <v>44802</v>
      </c>
      <c r="E88" s="1">
        <v>45164</v>
      </c>
      <c r="F88" t="s">
        <v>3479</v>
      </c>
      <c r="G88" t="str">
        <f>IF(ISNA(_xlfn.XLOOKUP(subscriptions[[#This Row],[customer_id]], customers[customer_id], customers[customer_id])), "NO", "YES")</f>
        <v>YES</v>
      </c>
      <c r="H88">
        <f>IF(AND(subscriptions[[#This Row],[end_date]]&lt;&gt;"", subscriptions[[#This Row],[end_date]] &lt; subscriptions[[#This Row],[start_date]]), 1, 0)</f>
        <v>0</v>
      </c>
      <c r="I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">
        <f>IF(
  AND(subscriptions[[#This Row],[end_before_start]]=0, subscriptions[[#This Row],[status_end_mismatch]]=0),
  1,
  0
)</f>
        <v>1</v>
      </c>
    </row>
    <row r="89" spans="1:10" x14ac:dyDescent="0.3">
      <c r="A89">
        <v>6678849</v>
      </c>
      <c r="B89">
        <v>921875</v>
      </c>
      <c r="C89">
        <v>1008</v>
      </c>
      <c r="D89" s="1">
        <v>45450</v>
      </c>
      <c r="E89" s="1">
        <v>45634</v>
      </c>
      <c r="F89" t="s">
        <v>3479</v>
      </c>
      <c r="G89" t="str">
        <f>IF(ISNA(_xlfn.XLOOKUP(subscriptions[[#This Row],[customer_id]], customers[customer_id], customers[customer_id])), "NO", "YES")</f>
        <v>YES</v>
      </c>
      <c r="H89">
        <f>IF(AND(subscriptions[[#This Row],[end_date]]&lt;&gt;"", subscriptions[[#This Row],[end_date]] &lt; subscriptions[[#This Row],[start_date]]), 1, 0)</f>
        <v>0</v>
      </c>
      <c r="I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">
        <f>IF(
  AND(subscriptions[[#This Row],[end_before_start]]=0, subscriptions[[#This Row],[status_end_mismatch]]=0),
  1,
  0
)</f>
        <v>1</v>
      </c>
    </row>
    <row r="90" spans="1:10" x14ac:dyDescent="0.3">
      <c r="A90">
        <v>7777894</v>
      </c>
      <c r="B90">
        <v>828799</v>
      </c>
      <c r="C90">
        <v>1002</v>
      </c>
      <c r="D90" s="1">
        <v>45063</v>
      </c>
      <c r="E90" s="1"/>
      <c r="F90" t="s">
        <v>3480</v>
      </c>
      <c r="G90" t="str">
        <f>IF(ISNA(_xlfn.XLOOKUP(subscriptions[[#This Row],[customer_id]], customers[customer_id], customers[customer_id])), "NO", "YES")</f>
        <v>YES</v>
      </c>
      <c r="H90">
        <f>IF(AND(subscriptions[[#This Row],[end_date]]&lt;&gt;"", subscriptions[[#This Row],[end_date]] &lt; subscriptions[[#This Row],[start_date]]), 1, 0)</f>
        <v>0</v>
      </c>
      <c r="I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">
        <f>IF(
  AND(subscriptions[[#This Row],[end_before_start]]=0, subscriptions[[#This Row],[status_end_mismatch]]=0),
  1,
  0
)</f>
        <v>1</v>
      </c>
    </row>
    <row r="91" spans="1:10" x14ac:dyDescent="0.3">
      <c r="A91">
        <v>5040883</v>
      </c>
      <c r="B91">
        <v>954441</v>
      </c>
      <c r="C91">
        <v>1001</v>
      </c>
      <c r="D91" s="1">
        <v>45374</v>
      </c>
      <c r="E91" s="1"/>
      <c r="F91" t="s">
        <v>3480</v>
      </c>
      <c r="G91" t="str">
        <f>IF(ISNA(_xlfn.XLOOKUP(subscriptions[[#This Row],[customer_id]], customers[customer_id], customers[customer_id])), "NO", "YES")</f>
        <v>YES</v>
      </c>
      <c r="H91">
        <f>IF(AND(subscriptions[[#This Row],[end_date]]&lt;&gt;"", subscriptions[[#This Row],[end_date]] &lt; subscriptions[[#This Row],[start_date]]), 1, 0)</f>
        <v>0</v>
      </c>
      <c r="I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">
        <f>IF(
  AND(subscriptions[[#This Row],[end_before_start]]=0, subscriptions[[#This Row],[status_end_mismatch]]=0),
  1,
  0
)</f>
        <v>1</v>
      </c>
    </row>
    <row r="92" spans="1:10" x14ac:dyDescent="0.3">
      <c r="A92">
        <v>3893851</v>
      </c>
      <c r="B92">
        <v>586288</v>
      </c>
      <c r="C92">
        <v>1004</v>
      </c>
      <c r="D92" s="1">
        <v>45330</v>
      </c>
      <c r="E92" s="1">
        <v>45636</v>
      </c>
      <c r="F92" t="s">
        <v>3479</v>
      </c>
      <c r="G92" t="str">
        <f>IF(ISNA(_xlfn.XLOOKUP(subscriptions[[#This Row],[customer_id]], customers[customer_id], customers[customer_id])), "NO", "YES")</f>
        <v>YES</v>
      </c>
      <c r="H92">
        <f>IF(AND(subscriptions[[#This Row],[end_date]]&lt;&gt;"", subscriptions[[#This Row],[end_date]] &lt; subscriptions[[#This Row],[start_date]]), 1, 0)</f>
        <v>0</v>
      </c>
      <c r="I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">
        <f>IF(
  AND(subscriptions[[#This Row],[end_before_start]]=0, subscriptions[[#This Row],[status_end_mismatch]]=0),
  1,
  0
)</f>
        <v>1</v>
      </c>
    </row>
    <row r="93" spans="1:10" x14ac:dyDescent="0.3">
      <c r="A93">
        <v>2503425</v>
      </c>
      <c r="B93">
        <v>299742</v>
      </c>
      <c r="C93">
        <v>1003</v>
      </c>
      <c r="D93" s="1">
        <v>45511</v>
      </c>
      <c r="E93" s="1">
        <v>45645</v>
      </c>
      <c r="F93" t="s">
        <v>3479</v>
      </c>
      <c r="G93" t="str">
        <f>IF(ISNA(_xlfn.XLOOKUP(subscriptions[[#This Row],[customer_id]], customers[customer_id], customers[customer_id])), "NO", "YES")</f>
        <v>YES</v>
      </c>
      <c r="H93">
        <f>IF(AND(subscriptions[[#This Row],[end_date]]&lt;&gt;"", subscriptions[[#This Row],[end_date]] &lt; subscriptions[[#This Row],[start_date]]), 1, 0)</f>
        <v>0</v>
      </c>
      <c r="I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">
        <f>IF(
  AND(subscriptions[[#This Row],[end_before_start]]=0, subscriptions[[#This Row],[status_end_mismatch]]=0),
  1,
  0
)</f>
        <v>1</v>
      </c>
    </row>
    <row r="94" spans="1:10" x14ac:dyDescent="0.3">
      <c r="A94">
        <v>5617358</v>
      </c>
      <c r="B94">
        <v>969693</v>
      </c>
      <c r="C94">
        <v>1001</v>
      </c>
      <c r="D94" s="1">
        <v>45473</v>
      </c>
      <c r="E94" s="1"/>
      <c r="F94" t="s">
        <v>3480</v>
      </c>
      <c r="G94" t="str">
        <f>IF(ISNA(_xlfn.XLOOKUP(subscriptions[[#This Row],[customer_id]], customers[customer_id], customers[customer_id])), "NO", "YES")</f>
        <v>YES</v>
      </c>
      <c r="H94">
        <f>IF(AND(subscriptions[[#This Row],[end_date]]&lt;&gt;"", subscriptions[[#This Row],[end_date]] &lt; subscriptions[[#This Row],[start_date]]), 1, 0)</f>
        <v>0</v>
      </c>
      <c r="I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">
        <f>IF(
  AND(subscriptions[[#This Row],[end_before_start]]=0, subscriptions[[#This Row],[status_end_mismatch]]=0),
  1,
  0
)</f>
        <v>1</v>
      </c>
    </row>
    <row r="95" spans="1:10" x14ac:dyDescent="0.3">
      <c r="A95">
        <v>3013272</v>
      </c>
      <c r="B95">
        <v>243167</v>
      </c>
      <c r="C95">
        <v>1001</v>
      </c>
      <c r="D95" s="1">
        <v>44800</v>
      </c>
      <c r="E95" s="1"/>
      <c r="F95" t="s">
        <v>3480</v>
      </c>
      <c r="G95" t="str">
        <f>IF(ISNA(_xlfn.XLOOKUP(subscriptions[[#This Row],[customer_id]], customers[customer_id], customers[customer_id])), "NO", "YES")</f>
        <v>YES</v>
      </c>
      <c r="H95">
        <f>IF(AND(subscriptions[[#This Row],[end_date]]&lt;&gt;"", subscriptions[[#This Row],[end_date]] &lt; subscriptions[[#This Row],[start_date]]), 1, 0)</f>
        <v>0</v>
      </c>
      <c r="I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">
        <f>IF(
  AND(subscriptions[[#This Row],[end_before_start]]=0, subscriptions[[#This Row],[status_end_mismatch]]=0),
  1,
  0
)</f>
        <v>1</v>
      </c>
    </row>
    <row r="96" spans="1:10" x14ac:dyDescent="0.3">
      <c r="A96">
        <v>9207723</v>
      </c>
      <c r="B96">
        <v>645209</v>
      </c>
      <c r="C96">
        <v>1006</v>
      </c>
      <c r="D96" s="1">
        <v>45022</v>
      </c>
      <c r="E96" s="1"/>
      <c r="F96" t="s">
        <v>3480</v>
      </c>
      <c r="G96" t="str">
        <f>IF(ISNA(_xlfn.XLOOKUP(subscriptions[[#This Row],[customer_id]], customers[customer_id], customers[customer_id])), "NO", "YES")</f>
        <v>YES</v>
      </c>
      <c r="H96">
        <f>IF(AND(subscriptions[[#This Row],[end_date]]&lt;&gt;"", subscriptions[[#This Row],[end_date]] &lt; subscriptions[[#This Row],[start_date]]), 1, 0)</f>
        <v>0</v>
      </c>
      <c r="I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">
        <f>IF(
  AND(subscriptions[[#This Row],[end_before_start]]=0, subscriptions[[#This Row],[status_end_mismatch]]=0),
  1,
  0
)</f>
        <v>1</v>
      </c>
    </row>
    <row r="97" spans="1:10" x14ac:dyDescent="0.3">
      <c r="A97">
        <v>9044647</v>
      </c>
      <c r="B97">
        <v>115063</v>
      </c>
      <c r="C97">
        <v>1002</v>
      </c>
      <c r="D97" s="1">
        <v>45122</v>
      </c>
      <c r="E97" s="1">
        <v>45200</v>
      </c>
      <c r="F97" t="s">
        <v>3479</v>
      </c>
      <c r="G97" t="str">
        <f>IF(ISNA(_xlfn.XLOOKUP(subscriptions[[#This Row],[customer_id]], customers[customer_id], customers[customer_id])), "NO", "YES")</f>
        <v>YES</v>
      </c>
      <c r="H97">
        <f>IF(AND(subscriptions[[#This Row],[end_date]]&lt;&gt;"", subscriptions[[#This Row],[end_date]] &lt; subscriptions[[#This Row],[start_date]]), 1, 0)</f>
        <v>0</v>
      </c>
      <c r="I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">
        <f>IF(
  AND(subscriptions[[#This Row],[end_before_start]]=0, subscriptions[[#This Row],[status_end_mismatch]]=0),
  1,
  0
)</f>
        <v>1</v>
      </c>
    </row>
    <row r="98" spans="1:10" x14ac:dyDescent="0.3">
      <c r="A98">
        <v>4038296</v>
      </c>
      <c r="B98">
        <v>344312</v>
      </c>
      <c r="C98">
        <v>1004</v>
      </c>
      <c r="D98" s="1">
        <v>45348</v>
      </c>
      <c r="E98" s="1"/>
      <c r="F98" t="s">
        <v>3480</v>
      </c>
      <c r="G98" t="str">
        <f>IF(ISNA(_xlfn.XLOOKUP(subscriptions[[#This Row],[customer_id]], customers[customer_id], customers[customer_id])), "NO", "YES")</f>
        <v>YES</v>
      </c>
      <c r="H98">
        <f>IF(AND(subscriptions[[#This Row],[end_date]]&lt;&gt;"", subscriptions[[#This Row],[end_date]] &lt; subscriptions[[#This Row],[start_date]]), 1, 0)</f>
        <v>0</v>
      </c>
      <c r="I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">
        <f>IF(
  AND(subscriptions[[#This Row],[end_before_start]]=0, subscriptions[[#This Row],[status_end_mismatch]]=0),
  1,
  0
)</f>
        <v>1</v>
      </c>
    </row>
    <row r="99" spans="1:10" x14ac:dyDescent="0.3">
      <c r="A99">
        <v>8275548</v>
      </c>
      <c r="B99">
        <v>544692</v>
      </c>
      <c r="C99">
        <v>1005</v>
      </c>
      <c r="D99" s="1">
        <v>45173</v>
      </c>
      <c r="E99" s="1"/>
      <c r="F99" t="s">
        <v>3480</v>
      </c>
      <c r="G99" t="str">
        <f>IF(ISNA(_xlfn.XLOOKUP(subscriptions[[#This Row],[customer_id]], customers[customer_id], customers[customer_id])), "NO", "YES")</f>
        <v>YES</v>
      </c>
      <c r="H99">
        <f>IF(AND(subscriptions[[#This Row],[end_date]]&lt;&gt;"", subscriptions[[#This Row],[end_date]] &lt; subscriptions[[#This Row],[start_date]]), 1, 0)</f>
        <v>0</v>
      </c>
      <c r="I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">
        <f>IF(
  AND(subscriptions[[#This Row],[end_before_start]]=0, subscriptions[[#This Row],[status_end_mismatch]]=0),
  1,
  0
)</f>
        <v>1</v>
      </c>
    </row>
    <row r="100" spans="1:10" x14ac:dyDescent="0.3">
      <c r="A100">
        <v>2668347</v>
      </c>
      <c r="B100">
        <v>514798</v>
      </c>
      <c r="C100">
        <v>1003</v>
      </c>
      <c r="D100" s="1">
        <v>45228</v>
      </c>
      <c r="E100" s="1"/>
      <c r="F100" t="s">
        <v>3480</v>
      </c>
      <c r="G100" t="str">
        <f>IF(ISNA(_xlfn.XLOOKUP(subscriptions[[#This Row],[customer_id]], customers[customer_id], customers[customer_id])), "NO", "YES")</f>
        <v>YES</v>
      </c>
      <c r="H100">
        <f>IF(AND(subscriptions[[#This Row],[end_date]]&lt;&gt;"", subscriptions[[#This Row],[end_date]] &lt; subscriptions[[#This Row],[start_date]]), 1, 0)</f>
        <v>0</v>
      </c>
      <c r="I1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">
        <f>IF(
  AND(subscriptions[[#This Row],[end_before_start]]=0, subscriptions[[#This Row],[status_end_mismatch]]=0),
  1,
  0
)</f>
        <v>1</v>
      </c>
    </row>
    <row r="101" spans="1:10" x14ac:dyDescent="0.3">
      <c r="A101">
        <v>4101936</v>
      </c>
      <c r="B101">
        <v>560767</v>
      </c>
      <c r="C101">
        <v>1000</v>
      </c>
      <c r="D101" s="1">
        <v>45392</v>
      </c>
      <c r="E101" s="1">
        <v>45432</v>
      </c>
      <c r="F101" t="s">
        <v>3479</v>
      </c>
      <c r="G101" t="str">
        <f>IF(ISNA(_xlfn.XLOOKUP(subscriptions[[#This Row],[customer_id]], customers[customer_id], customers[customer_id])), "NO", "YES")</f>
        <v>YES</v>
      </c>
      <c r="H101">
        <f>IF(AND(subscriptions[[#This Row],[end_date]]&lt;&gt;"", subscriptions[[#This Row],[end_date]] &lt; subscriptions[[#This Row],[start_date]]), 1, 0)</f>
        <v>0</v>
      </c>
      <c r="I1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">
        <f>IF(
  AND(subscriptions[[#This Row],[end_before_start]]=0, subscriptions[[#This Row],[status_end_mismatch]]=0),
  1,
  0
)</f>
        <v>1</v>
      </c>
    </row>
    <row r="102" spans="1:10" x14ac:dyDescent="0.3">
      <c r="A102">
        <v>7606809</v>
      </c>
      <c r="B102">
        <v>895262</v>
      </c>
      <c r="C102">
        <v>1001</v>
      </c>
      <c r="D102" s="1">
        <v>45562</v>
      </c>
      <c r="E102" s="1"/>
      <c r="F102" t="s">
        <v>3480</v>
      </c>
      <c r="G102" t="str">
        <f>IF(ISNA(_xlfn.XLOOKUP(subscriptions[[#This Row],[customer_id]], customers[customer_id], customers[customer_id])), "NO", "YES")</f>
        <v>YES</v>
      </c>
      <c r="H102">
        <f>IF(AND(subscriptions[[#This Row],[end_date]]&lt;&gt;"", subscriptions[[#This Row],[end_date]] &lt; subscriptions[[#This Row],[start_date]]), 1, 0)</f>
        <v>0</v>
      </c>
      <c r="I1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">
        <f>IF(
  AND(subscriptions[[#This Row],[end_before_start]]=0, subscriptions[[#This Row],[status_end_mismatch]]=0),
  1,
  0
)</f>
        <v>1</v>
      </c>
    </row>
    <row r="103" spans="1:10" x14ac:dyDescent="0.3">
      <c r="A103">
        <v>3081873</v>
      </c>
      <c r="B103">
        <v>555791</v>
      </c>
      <c r="C103">
        <v>1009</v>
      </c>
      <c r="D103" s="1">
        <v>44986</v>
      </c>
      <c r="E103" s="1">
        <v>45076</v>
      </c>
      <c r="F103" t="s">
        <v>3479</v>
      </c>
      <c r="G103" t="str">
        <f>IF(ISNA(_xlfn.XLOOKUP(subscriptions[[#This Row],[customer_id]], customers[customer_id], customers[customer_id])), "NO", "YES")</f>
        <v>YES</v>
      </c>
      <c r="H103">
        <f>IF(AND(subscriptions[[#This Row],[end_date]]&lt;&gt;"", subscriptions[[#This Row],[end_date]] &lt; subscriptions[[#This Row],[start_date]]), 1, 0)</f>
        <v>0</v>
      </c>
      <c r="I1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">
        <f>IF(
  AND(subscriptions[[#This Row],[end_before_start]]=0, subscriptions[[#This Row],[status_end_mismatch]]=0),
  1,
  0
)</f>
        <v>1</v>
      </c>
    </row>
    <row r="104" spans="1:10" x14ac:dyDescent="0.3">
      <c r="A104">
        <v>4031041</v>
      </c>
      <c r="B104">
        <v>789880</v>
      </c>
      <c r="C104">
        <v>1008</v>
      </c>
      <c r="D104" s="1">
        <v>44930</v>
      </c>
      <c r="E104" s="1"/>
      <c r="F104" t="s">
        <v>3480</v>
      </c>
      <c r="G104" t="str">
        <f>IF(ISNA(_xlfn.XLOOKUP(subscriptions[[#This Row],[customer_id]], customers[customer_id], customers[customer_id])), "NO", "YES")</f>
        <v>YES</v>
      </c>
      <c r="H104">
        <f>IF(AND(subscriptions[[#This Row],[end_date]]&lt;&gt;"", subscriptions[[#This Row],[end_date]] &lt; subscriptions[[#This Row],[start_date]]), 1, 0)</f>
        <v>0</v>
      </c>
      <c r="I1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">
        <f>IF(
  AND(subscriptions[[#This Row],[end_before_start]]=0, subscriptions[[#This Row],[status_end_mismatch]]=0),
  1,
  0
)</f>
        <v>1</v>
      </c>
    </row>
    <row r="105" spans="1:10" x14ac:dyDescent="0.3">
      <c r="A105">
        <v>8503322</v>
      </c>
      <c r="B105">
        <v>970300</v>
      </c>
      <c r="C105">
        <v>1000</v>
      </c>
      <c r="D105" s="1">
        <v>45205</v>
      </c>
      <c r="E105" s="1"/>
      <c r="F105" t="s">
        <v>3480</v>
      </c>
      <c r="G105" t="str">
        <f>IF(ISNA(_xlfn.XLOOKUP(subscriptions[[#This Row],[customer_id]], customers[customer_id], customers[customer_id])), "NO", "YES")</f>
        <v>YES</v>
      </c>
      <c r="H105">
        <f>IF(AND(subscriptions[[#This Row],[end_date]]&lt;&gt;"", subscriptions[[#This Row],[end_date]] &lt; subscriptions[[#This Row],[start_date]]), 1, 0)</f>
        <v>0</v>
      </c>
      <c r="I1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">
        <f>IF(
  AND(subscriptions[[#This Row],[end_before_start]]=0, subscriptions[[#This Row],[status_end_mismatch]]=0),
  1,
  0
)</f>
        <v>1</v>
      </c>
    </row>
    <row r="106" spans="1:10" x14ac:dyDescent="0.3">
      <c r="A106">
        <v>3161173</v>
      </c>
      <c r="B106">
        <v>774079</v>
      </c>
      <c r="C106">
        <v>1009</v>
      </c>
      <c r="D106" s="1">
        <v>44984</v>
      </c>
      <c r="E106" s="1">
        <v>45058</v>
      </c>
      <c r="F106" t="s">
        <v>3479</v>
      </c>
      <c r="G106" t="str">
        <f>IF(ISNA(_xlfn.XLOOKUP(subscriptions[[#This Row],[customer_id]], customers[customer_id], customers[customer_id])), "NO", "YES")</f>
        <v>YES</v>
      </c>
      <c r="H106">
        <f>IF(AND(subscriptions[[#This Row],[end_date]]&lt;&gt;"", subscriptions[[#This Row],[end_date]] &lt; subscriptions[[#This Row],[start_date]]), 1, 0)</f>
        <v>0</v>
      </c>
      <c r="I1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">
        <f>IF(
  AND(subscriptions[[#This Row],[end_before_start]]=0, subscriptions[[#This Row],[status_end_mismatch]]=0),
  1,
  0
)</f>
        <v>1</v>
      </c>
    </row>
    <row r="107" spans="1:10" x14ac:dyDescent="0.3">
      <c r="A107">
        <v>5307726</v>
      </c>
      <c r="B107">
        <v>339030</v>
      </c>
      <c r="C107">
        <v>1005</v>
      </c>
      <c r="D107" s="1">
        <v>44633</v>
      </c>
      <c r="E107" s="1"/>
      <c r="F107" t="s">
        <v>3480</v>
      </c>
      <c r="G107" t="str">
        <f>IF(ISNA(_xlfn.XLOOKUP(subscriptions[[#This Row],[customer_id]], customers[customer_id], customers[customer_id])), "NO", "YES")</f>
        <v>YES</v>
      </c>
      <c r="H107">
        <f>IF(AND(subscriptions[[#This Row],[end_date]]&lt;&gt;"", subscriptions[[#This Row],[end_date]] &lt; subscriptions[[#This Row],[start_date]]), 1, 0)</f>
        <v>0</v>
      </c>
      <c r="I1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">
        <f>IF(
  AND(subscriptions[[#This Row],[end_before_start]]=0, subscriptions[[#This Row],[status_end_mismatch]]=0),
  1,
  0
)</f>
        <v>1</v>
      </c>
    </row>
    <row r="108" spans="1:10" x14ac:dyDescent="0.3">
      <c r="A108">
        <v>3092406</v>
      </c>
      <c r="B108">
        <v>354235</v>
      </c>
      <c r="C108">
        <v>1008</v>
      </c>
      <c r="D108" s="1">
        <v>45598</v>
      </c>
      <c r="E108" s="1"/>
      <c r="F108" t="s">
        <v>3480</v>
      </c>
      <c r="G108" t="str">
        <f>IF(ISNA(_xlfn.XLOOKUP(subscriptions[[#This Row],[customer_id]], customers[customer_id], customers[customer_id])), "NO", "YES")</f>
        <v>YES</v>
      </c>
      <c r="H108">
        <f>IF(AND(subscriptions[[#This Row],[end_date]]&lt;&gt;"", subscriptions[[#This Row],[end_date]] &lt; subscriptions[[#This Row],[start_date]]), 1, 0)</f>
        <v>0</v>
      </c>
      <c r="I1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">
        <f>IF(
  AND(subscriptions[[#This Row],[end_before_start]]=0, subscriptions[[#This Row],[status_end_mismatch]]=0),
  1,
  0
)</f>
        <v>1</v>
      </c>
    </row>
    <row r="109" spans="1:10" x14ac:dyDescent="0.3">
      <c r="A109">
        <v>3879023</v>
      </c>
      <c r="B109">
        <v>882351</v>
      </c>
      <c r="C109">
        <v>1009</v>
      </c>
      <c r="D109" s="1">
        <v>45428</v>
      </c>
      <c r="E109" s="1">
        <v>45657</v>
      </c>
      <c r="F109" t="s">
        <v>3479</v>
      </c>
      <c r="G109" t="str">
        <f>IF(ISNA(_xlfn.XLOOKUP(subscriptions[[#This Row],[customer_id]], customers[customer_id], customers[customer_id])), "NO", "YES")</f>
        <v>YES</v>
      </c>
      <c r="H109">
        <f>IF(AND(subscriptions[[#This Row],[end_date]]&lt;&gt;"", subscriptions[[#This Row],[end_date]] &lt; subscriptions[[#This Row],[start_date]]), 1, 0)</f>
        <v>0</v>
      </c>
      <c r="I1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">
        <f>IF(
  AND(subscriptions[[#This Row],[end_before_start]]=0, subscriptions[[#This Row],[status_end_mismatch]]=0),
  1,
  0
)</f>
        <v>1</v>
      </c>
    </row>
    <row r="110" spans="1:10" x14ac:dyDescent="0.3">
      <c r="A110">
        <v>5166404</v>
      </c>
      <c r="B110">
        <v>387936</v>
      </c>
      <c r="C110">
        <v>1001</v>
      </c>
      <c r="D110" s="1">
        <v>45177</v>
      </c>
      <c r="E110" s="1"/>
      <c r="F110" t="s">
        <v>3480</v>
      </c>
      <c r="G110" t="str">
        <f>IF(ISNA(_xlfn.XLOOKUP(subscriptions[[#This Row],[customer_id]], customers[customer_id], customers[customer_id])), "NO", "YES")</f>
        <v>YES</v>
      </c>
      <c r="H110">
        <f>IF(AND(subscriptions[[#This Row],[end_date]]&lt;&gt;"", subscriptions[[#This Row],[end_date]] &lt; subscriptions[[#This Row],[start_date]]), 1, 0)</f>
        <v>0</v>
      </c>
      <c r="I1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">
        <f>IF(
  AND(subscriptions[[#This Row],[end_before_start]]=0, subscriptions[[#This Row],[status_end_mismatch]]=0),
  1,
  0
)</f>
        <v>1</v>
      </c>
    </row>
    <row r="111" spans="1:10" x14ac:dyDescent="0.3">
      <c r="A111">
        <v>9714808</v>
      </c>
      <c r="B111">
        <v>601903</v>
      </c>
      <c r="C111">
        <v>1004</v>
      </c>
      <c r="D111" s="1">
        <v>45162</v>
      </c>
      <c r="E111" s="1">
        <v>45419</v>
      </c>
      <c r="F111" t="s">
        <v>3479</v>
      </c>
      <c r="G111" t="str">
        <f>IF(ISNA(_xlfn.XLOOKUP(subscriptions[[#This Row],[customer_id]], customers[customer_id], customers[customer_id])), "NO", "YES")</f>
        <v>YES</v>
      </c>
      <c r="H111">
        <f>IF(AND(subscriptions[[#This Row],[end_date]]&lt;&gt;"", subscriptions[[#This Row],[end_date]] &lt; subscriptions[[#This Row],[start_date]]), 1, 0)</f>
        <v>0</v>
      </c>
      <c r="I1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">
        <f>IF(
  AND(subscriptions[[#This Row],[end_before_start]]=0, subscriptions[[#This Row],[status_end_mismatch]]=0),
  1,
  0
)</f>
        <v>1</v>
      </c>
    </row>
    <row r="112" spans="1:10" x14ac:dyDescent="0.3">
      <c r="A112">
        <v>3346378</v>
      </c>
      <c r="B112">
        <v>906584</v>
      </c>
      <c r="C112">
        <v>1002</v>
      </c>
      <c r="D112" s="1">
        <v>45566</v>
      </c>
      <c r="E112" s="1">
        <v>45628</v>
      </c>
      <c r="F112" t="s">
        <v>3479</v>
      </c>
      <c r="G112" t="str">
        <f>IF(ISNA(_xlfn.XLOOKUP(subscriptions[[#This Row],[customer_id]], customers[customer_id], customers[customer_id])), "NO", "YES")</f>
        <v>YES</v>
      </c>
      <c r="H112">
        <f>IF(AND(subscriptions[[#This Row],[end_date]]&lt;&gt;"", subscriptions[[#This Row],[end_date]] &lt; subscriptions[[#This Row],[start_date]]), 1, 0)</f>
        <v>0</v>
      </c>
      <c r="I1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">
        <f>IF(
  AND(subscriptions[[#This Row],[end_before_start]]=0, subscriptions[[#This Row],[status_end_mismatch]]=0),
  1,
  0
)</f>
        <v>1</v>
      </c>
    </row>
    <row r="113" spans="1:10" x14ac:dyDescent="0.3">
      <c r="A113">
        <v>6907545</v>
      </c>
      <c r="B113">
        <v>685126</v>
      </c>
      <c r="C113">
        <v>1003</v>
      </c>
      <c r="D113" s="1">
        <v>44991</v>
      </c>
      <c r="E113" s="1">
        <v>45360</v>
      </c>
      <c r="F113" t="s">
        <v>3479</v>
      </c>
      <c r="G113" t="str">
        <f>IF(ISNA(_xlfn.XLOOKUP(subscriptions[[#This Row],[customer_id]], customers[customer_id], customers[customer_id])), "NO", "YES")</f>
        <v>YES</v>
      </c>
      <c r="H113">
        <f>IF(AND(subscriptions[[#This Row],[end_date]]&lt;&gt;"", subscriptions[[#This Row],[end_date]] &lt; subscriptions[[#This Row],[start_date]]), 1, 0)</f>
        <v>0</v>
      </c>
      <c r="I1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">
        <f>IF(
  AND(subscriptions[[#This Row],[end_before_start]]=0, subscriptions[[#This Row],[status_end_mismatch]]=0),
  1,
  0
)</f>
        <v>1</v>
      </c>
    </row>
    <row r="114" spans="1:10" x14ac:dyDescent="0.3">
      <c r="A114">
        <v>1750538</v>
      </c>
      <c r="B114">
        <v>534096</v>
      </c>
      <c r="C114">
        <v>1002</v>
      </c>
      <c r="D114" s="1">
        <v>45047</v>
      </c>
      <c r="E114" s="1"/>
      <c r="F114" t="s">
        <v>3480</v>
      </c>
      <c r="G114" t="str">
        <f>IF(ISNA(_xlfn.XLOOKUP(subscriptions[[#This Row],[customer_id]], customers[customer_id], customers[customer_id])), "NO", "YES")</f>
        <v>YES</v>
      </c>
      <c r="H114">
        <f>IF(AND(subscriptions[[#This Row],[end_date]]&lt;&gt;"", subscriptions[[#This Row],[end_date]] &lt; subscriptions[[#This Row],[start_date]]), 1, 0)</f>
        <v>0</v>
      </c>
      <c r="I1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">
        <f>IF(
  AND(subscriptions[[#This Row],[end_before_start]]=0, subscriptions[[#This Row],[status_end_mismatch]]=0),
  1,
  0
)</f>
        <v>1</v>
      </c>
    </row>
    <row r="115" spans="1:10" x14ac:dyDescent="0.3">
      <c r="A115">
        <v>3376783</v>
      </c>
      <c r="B115">
        <v>194834</v>
      </c>
      <c r="C115">
        <v>1006</v>
      </c>
      <c r="D115" s="1">
        <v>45175</v>
      </c>
      <c r="E115" s="1">
        <v>45315</v>
      </c>
      <c r="F115" t="s">
        <v>3479</v>
      </c>
      <c r="G115" t="str">
        <f>IF(ISNA(_xlfn.XLOOKUP(subscriptions[[#This Row],[customer_id]], customers[customer_id], customers[customer_id])), "NO", "YES")</f>
        <v>YES</v>
      </c>
      <c r="H115">
        <f>IF(AND(subscriptions[[#This Row],[end_date]]&lt;&gt;"", subscriptions[[#This Row],[end_date]] &lt; subscriptions[[#This Row],[start_date]]), 1, 0)</f>
        <v>0</v>
      </c>
      <c r="I1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">
        <f>IF(
  AND(subscriptions[[#This Row],[end_before_start]]=0, subscriptions[[#This Row],[status_end_mismatch]]=0),
  1,
  0
)</f>
        <v>1</v>
      </c>
    </row>
    <row r="116" spans="1:10" x14ac:dyDescent="0.3">
      <c r="A116">
        <v>3251636</v>
      </c>
      <c r="B116">
        <v>116703</v>
      </c>
      <c r="C116">
        <v>1006</v>
      </c>
      <c r="D116" s="1">
        <v>45004</v>
      </c>
      <c r="E116" s="1"/>
      <c r="F116" t="s">
        <v>3480</v>
      </c>
      <c r="G116" t="str">
        <f>IF(ISNA(_xlfn.XLOOKUP(subscriptions[[#This Row],[customer_id]], customers[customer_id], customers[customer_id])), "NO", "YES")</f>
        <v>YES</v>
      </c>
      <c r="H116">
        <f>IF(AND(subscriptions[[#This Row],[end_date]]&lt;&gt;"", subscriptions[[#This Row],[end_date]] &lt; subscriptions[[#This Row],[start_date]]), 1, 0)</f>
        <v>0</v>
      </c>
      <c r="I1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">
        <f>IF(
  AND(subscriptions[[#This Row],[end_before_start]]=0, subscriptions[[#This Row],[status_end_mismatch]]=0),
  1,
  0
)</f>
        <v>1</v>
      </c>
    </row>
    <row r="117" spans="1:10" x14ac:dyDescent="0.3">
      <c r="A117">
        <v>5653927</v>
      </c>
      <c r="B117">
        <v>493892</v>
      </c>
      <c r="C117">
        <v>1002</v>
      </c>
      <c r="D117" s="1">
        <v>44825</v>
      </c>
      <c r="E117" s="1">
        <v>45071</v>
      </c>
      <c r="F117" t="s">
        <v>3479</v>
      </c>
      <c r="G117" t="str">
        <f>IF(ISNA(_xlfn.XLOOKUP(subscriptions[[#This Row],[customer_id]], customers[customer_id], customers[customer_id])), "NO", "YES")</f>
        <v>YES</v>
      </c>
      <c r="H117">
        <f>IF(AND(subscriptions[[#This Row],[end_date]]&lt;&gt;"", subscriptions[[#This Row],[end_date]] &lt; subscriptions[[#This Row],[start_date]]), 1, 0)</f>
        <v>0</v>
      </c>
      <c r="I1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">
        <f>IF(
  AND(subscriptions[[#This Row],[end_before_start]]=0, subscriptions[[#This Row],[status_end_mismatch]]=0),
  1,
  0
)</f>
        <v>1</v>
      </c>
    </row>
    <row r="118" spans="1:10" x14ac:dyDescent="0.3">
      <c r="A118">
        <v>2247548</v>
      </c>
      <c r="B118">
        <v>828246</v>
      </c>
      <c r="C118">
        <v>1003</v>
      </c>
      <c r="D118" s="1">
        <v>45084</v>
      </c>
      <c r="E118" s="1"/>
      <c r="F118" t="s">
        <v>3480</v>
      </c>
      <c r="G118" t="str">
        <f>IF(ISNA(_xlfn.XLOOKUP(subscriptions[[#This Row],[customer_id]], customers[customer_id], customers[customer_id])), "NO", "YES")</f>
        <v>YES</v>
      </c>
      <c r="H118">
        <f>IF(AND(subscriptions[[#This Row],[end_date]]&lt;&gt;"", subscriptions[[#This Row],[end_date]] &lt; subscriptions[[#This Row],[start_date]]), 1, 0)</f>
        <v>0</v>
      </c>
      <c r="I1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">
        <f>IF(
  AND(subscriptions[[#This Row],[end_before_start]]=0, subscriptions[[#This Row],[status_end_mismatch]]=0),
  1,
  0
)</f>
        <v>1</v>
      </c>
    </row>
    <row r="119" spans="1:10" x14ac:dyDescent="0.3">
      <c r="A119">
        <v>3740044</v>
      </c>
      <c r="B119">
        <v>228093</v>
      </c>
      <c r="C119">
        <v>1003</v>
      </c>
      <c r="D119" s="1">
        <v>45381</v>
      </c>
      <c r="E119" s="1"/>
      <c r="F119" t="s">
        <v>3480</v>
      </c>
      <c r="G119" t="str">
        <f>IF(ISNA(_xlfn.XLOOKUP(subscriptions[[#This Row],[customer_id]], customers[customer_id], customers[customer_id])), "NO", "YES")</f>
        <v>YES</v>
      </c>
      <c r="H119">
        <f>IF(AND(subscriptions[[#This Row],[end_date]]&lt;&gt;"", subscriptions[[#This Row],[end_date]] &lt; subscriptions[[#This Row],[start_date]]), 1, 0)</f>
        <v>0</v>
      </c>
      <c r="I1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">
        <f>IF(
  AND(subscriptions[[#This Row],[end_before_start]]=0, subscriptions[[#This Row],[status_end_mismatch]]=0),
  1,
  0
)</f>
        <v>1</v>
      </c>
    </row>
    <row r="120" spans="1:10" x14ac:dyDescent="0.3">
      <c r="A120">
        <v>5264422</v>
      </c>
      <c r="B120">
        <v>952117</v>
      </c>
      <c r="C120">
        <v>1005</v>
      </c>
      <c r="D120" s="1">
        <v>45433</v>
      </c>
      <c r="E120" s="1">
        <v>45536</v>
      </c>
      <c r="F120" t="s">
        <v>3479</v>
      </c>
      <c r="G120" t="str">
        <f>IF(ISNA(_xlfn.XLOOKUP(subscriptions[[#This Row],[customer_id]], customers[customer_id], customers[customer_id])), "NO", "YES")</f>
        <v>YES</v>
      </c>
      <c r="H120">
        <f>IF(AND(subscriptions[[#This Row],[end_date]]&lt;&gt;"", subscriptions[[#This Row],[end_date]] &lt; subscriptions[[#This Row],[start_date]]), 1, 0)</f>
        <v>0</v>
      </c>
      <c r="I1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">
        <f>IF(
  AND(subscriptions[[#This Row],[end_before_start]]=0, subscriptions[[#This Row],[status_end_mismatch]]=0),
  1,
  0
)</f>
        <v>1</v>
      </c>
    </row>
    <row r="121" spans="1:10" x14ac:dyDescent="0.3">
      <c r="A121">
        <v>9990982</v>
      </c>
      <c r="B121">
        <v>317221</v>
      </c>
      <c r="C121">
        <v>1007</v>
      </c>
      <c r="D121" s="1">
        <v>44979</v>
      </c>
      <c r="E121" s="1"/>
      <c r="F121" t="s">
        <v>3480</v>
      </c>
      <c r="G121" t="str">
        <f>IF(ISNA(_xlfn.XLOOKUP(subscriptions[[#This Row],[customer_id]], customers[customer_id], customers[customer_id])), "NO", "YES")</f>
        <v>YES</v>
      </c>
      <c r="H121">
        <f>IF(AND(subscriptions[[#This Row],[end_date]]&lt;&gt;"", subscriptions[[#This Row],[end_date]] &lt; subscriptions[[#This Row],[start_date]]), 1, 0)</f>
        <v>0</v>
      </c>
      <c r="I1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">
        <f>IF(
  AND(subscriptions[[#This Row],[end_before_start]]=0, subscriptions[[#This Row],[status_end_mismatch]]=0),
  1,
  0
)</f>
        <v>1</v>
      </c>
    </row>
    <row r="122" spans="1:10" x14ac:dyDescent="0.3">
      <c r="A122">
        <v>5519776</v>
      </c>
      <c r="B122">
        <v>114400</v>
      </c>
      <c r="C122">
        <v>1001</v>
      </c>
      <c r="D122" s="1">
        <v>44956</v>
      </c>
      <c r="E122" s="1">
        <v>45274</v>
      </c>
      <c r="F122" t="s">
        <v>3479</v>
      </c>
      <c r="G122" t="str">
        <f>IF(ISNA(_xlfn.XLOOKUP(subscriptions[[#This Row],[customer_id]], customers[customer_id], customers[customer_id])), "NO", "YES")</f>
        <v>YES</v>
      </c>
      <c r="H122">
        <f>IF(AND(subscriptions[[#This Row],[end_date]]&lt;&gt;"", subscriptions[[#This Row],[end_date]] &lt; subscriptions[[#This Row],[start_date]]), 1, 0)</f>
        <v>0</v>
      </c>
      <c r="I1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">
        <f>IF(
  AND(subscriptions[[#This Row],[end_before_start]]=0, subscriptions[[#This Row],[status_end_mismatch]]=0),
  1,
  0
)</f>
        <v>1</v>
      </c>
    </row>
    <row r="123" spans="1:10" x14ac:dyDescent="0.3">
      <c r="A123">
        <v>9580328</v>
      </c>
      <c r="B123">
        <v>981202</v>
      </c>
      <c r="C123">
        <v>1006</v>
      </c>
      <c r="D123" s="1">
        <v>44897</v>
      </c>
      <c r="E123" s="1"/>
      <c r="F123" t="s">
        <v>3480</v>
      </c>
      <c r="G123" t="str">
        <f>IF(ISNA(_xlfn.XLOOKUP(subscriptions[[#This Row],[customer_id]], customers[customer_id], customers[customer_id])), "NO", "YES")</f>
        <v>YES</v>
      </c>
      <c r="H123">
        <f>IF(AND(subscriptions[[#This Row],[end_date]]&lt;&gt;"", subscriptions[[#This Row],[end_date]] &lt; subscriptions[[#This Row],[start_date]]), 1, 0)</f>
        <v>0</v>
      </c>
      <c r="I1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">
        <f>IF(
  AND(subscriptions[[#This Row],[end_before_start]]=0, subscriptions[[#This Row],[status_end_mismatch]]=0),
  1,
  0
)</f>
        <v>1</v>
      </c>
    </row>
    <row r="124" spans="1:10" x14ac:dyDescent="0.3">
      <c r="A124">
        <v>3575158</v>
      </c>
      <c r="B124">
        <v>687997</v>
      </c>
      <c r="C124">
        <v>1000</v>
      </c>
      <c r="D124" s="1">
        <v>45209</v>
      </c>
      <c r="E124" s="1">
        <v>45461</v>
      </c>
      <c r="F124" t="s">
        <v>3479</v>
      </c>
      <c r="G124" t="str">
        <f>IF(ISNA(_xlfn.XLOOKUP(subscriptions[[#This Row],[customer_id]], customers[customer_id], customers[customer_id])), "NO", "YES")</f>
        <v>YES</v>
      </c>
      <c r="H124">
        <f>IF(AND(subscriptions[[#This Row],[end_date]]&lt;&gt;"", subscriptions[[#This Row],[end_date]] &lt; subscriptions[[#This Row],[start_date]]), 1, 0)</f>
        <v>0</v>
      </c>
      <c r="I1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">
        <f>IF(
  AND(subscriptions[[#This Row],[end_before_start]]=0, subscriptions[[#This Row],[status_end_mismatch]]=0),
  1,
  0
)</f>
        <v>1</v>
      </c>
    </row>
    <row r="125" spans="1:10" x14ac:dyDescent="0.3">
      <c r="A125">
        <v>7357590</v>
      </c>
      <c r="B125">
        <v>114463</v>
      </c>
      <c r="C125">
        <v>1004</v>
      </c>
      <c r="D125" s="1">
        <v>44615</v>
      </c>
      <c r="E125" s="1">
        <v>44771</v>
      </c>
      <c r="F125" t="s">
        <v>3479</v>
      </c>
      <c r="G125" t="str">
        <f>IF(ISNA(_xlfn.XLOOKUP(subscriptions[[#This Row],[customer_id]], customers[customer_id], customers[customer_id])), "NO", "YES")</f>
        <v>YES</v>
      </c>
      <c r="H125">
        <f>IF(AND(subscriptions[[#This Row],[end_date]]&lt;&gt;"", subscriptions[[#This Row],[end_date]] &lt; subscriptions[[#This Row],[start_date]]), 1, 0)</f>
        <v>0</v>
      </c>
      <c r="I1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">
        <f>IF(
  AND(subscriptions[[#This Row],[end_before_start]]=0, subscriptions[[#This Row],[status_end_mismatch]]=0),
  1,
  0
)</f>
        <v>1</v>
      </c>
    </row>
    <row r="126" spans="1:10" x14ac:dyDescent="0.3">
      <c r="A126">
        <v>2300646</v>
      </c>
      <c r="B126">
        <v>871501</v>
      </c>
      <c r="C126">
        <v>1009</v>
      </c>
      <c r="D126" s="1">
        <v>45115</v>
      </c>
      <c r="E126" s="1"/>
      <c r="F126" t="s">
        <v>3480</v>
      </c>
      <c r="G126" t="str">
        <f>IF(ISNA(_xlfn.XLOOKUP(subscriptions[[#This Row],[customer_id]], customers[customer_id], customers[customer_id])), "NO", "YES")</f>
        <v>YES</v>
      </c>
      <c r="H126">
        <f>IF(AND(subscriptions[[#This Row],[end_date]]&lt;&gt;"", subscriptions[[#This Row],[end_date]] &lt; subscriptions[[#This Row],[start_date]]), 1, 0)</f>
        <v>0</v>
      </c>
      <c r="I1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">
        <f>IF(
  AND(subscriptions[[#This Row],[end_before_start]]=0, subscriptions[[#This Row],[status_end_mismatch]]=0),
  1,
  0
)</f>
        <v>1</v>
      </c>
    </row>
    <row r="127" spans="1:10" x14ac:dyDescent="0.3">
      <c r="A127">
        <v>2845328</v>
      </c>
      <c r="B127">
        <v>493247</v>
      </c>
      <c r="C127">
        <v>1002</v>
      </c>
      <c r="D127" s="1">
        <v>45395</v>
      </c>
      <c r="E127" s="1"/>
      <c r="F127" t="s">
        <v>3480</v>
      </c>
      <c r="G127" t="str">
        <f>IF(ISNA(_xlfn.XLOOKUP(subscriptions[[#This Row],[customer_id]], customers[customer_id], customers[customer_id])), "NO", "YES")</f>
        <v>YES</v>
      </c>
      <c r="H127">
        <f>IF(AND(subscriptions[[#This Row],[end_date]]&lt;&gt;"", subscriptions[[#This Row],[end_date]] &lt; subscriptions[[#This Row],[start_date]]), 1, 0)</f>
        <v>0</v>
      </c>
      <c r="I1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">
        <f>IF(
  AND(subscriptions[[#This Row],[end_before_start]]=0, subscriptions[[#This Row],[status_end_mismatch]]=0),
  1,
  0
)</f>
        <v>1</v>
      </c>
    </row>
    <row r="128" spans="1:10" x14ac:dyDescent="0.3">
      <c r="A128">
        <v>2492738</v>
      </c>
      <c r="B128">
        <v>997343</v>
      </c>
      <c r="C128">
        <v>1003</v>
      </c>
      <c r="D128" s="1">
        <v>45305</v>
      </c>
      <c r="E128" s="1">
        <v>45474</v>
      </c>
      <c r="F128" t="s">
        <v>3479</v>
      </c>
      <c r="G128" t="str">
        <f>IF(ISNA(_xlfn.XLOOKUP(subscriptions[[#This Row],[customer_id]], customers[customer_id], customers[customer_id])), "NO", "YES")</f>
        <v>YES</v>
      </c>
      <c r="H128">
        <f>IF(AND(subscriptions[[#This Row],[end_date]]&lt;&gt;"", subscriptions[[#This Row],[end_date]] &lt; subscriptions[[#This Row],[start_date]]), 1, 0)</f>
        <v>0</v>
      </c>
      <c r="I1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">
        <f>IF(
  AND(subscriptions[[#This Row],[end_before_start]]=0, subscriptions[[#This Row],[status_end_mismatch]]=0),
  1,
  0
)</f>
        <v>1</v>
      </c>
    </row>
    <row r="129" spans="1:10" x14ac:dyDescent="0.3">
      <c r="A129">
        <v>3455003</v>
      </c>
      <c r="B129">
        <v>651033</v>
      </c>
      <c r="C129">
        <v>1004</v>
      </c>
      <c r="D129" s="1">
        <v>45024</v>
      </c>
      <c r="E129" s="1"/>
      <c r="F129" t="s">
        <v>3480</v>
      </c>
      <c r="G129" t="str">
        <f>IF(ISNA(_xlfn.XLOOKUP(subscriptions[[#This Row],[customer_id]], customers[customer_id], customers[customer_id])), "NO", "YES")</f>
        <v>YES</v>
      </c>
      <c r="H129">
        <f>IF(AND(subscriptions[[#This Row],[end_date]]&lt;&gt;"", subscriptions[[#This Row],[end_date]] &lt; subscriptions[[#This Row],[start_date]]), 1, 0)</f>
        <v>0</v>
      </c>
      <c r="I1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">
        <f>IF(
  AND(subscriptions[[#This Row],[end_before_start]]=0, subscriptions[[#This Row],[status_end_mismatch]]=0),
  1,
  0
)</f>
        <v>1</v>
      </c>
    </row>
    <row r="130" spans="1:10" x14ac:dyDescent="0.3">
      <c r="A130">
        <v>2643275</v>
      </c>
      <c r="B130">
        <v>906066</v>
      </c>
      <c r="C130">
        <v>1006</v>
      </c>
      <c r="D130" s="1">
        <v>45334</v>
      </c>
      <c r="E130" s="1">
        <v>45477</v>
      </c>
      <c r="F130" t="s">
        <v>3479</v>
      </c>
      <c r="G130" t="str">
        <f>IF(ISNA(_xlfn.XLOOKUP(subscriptions[[#This Row],[customer_id]], customers[customer_id], customers[customer_id])), "NO", "YES")</f>
        <v>YES</v>
      </c>
      <c r="H130">
        <f>IF(AND(subscriptions[[#This Row],[end_date]]&lt;&gt;"", subscriptions[[#This Row],[end_date]] &lt; subscriptions[[#This Row],[start_date]]), 1, 0)</f>
        <v>0</v>
      </c>
      <c r="I1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">
        <f>IF(
  AND(subscriptions[[#This Row],[end_before_start]]=0, subscriptions[[#This Row],[status_end_mismatch]]=0),
  1,
  0
)</f>
        <v>1</v>
      </c>
    </row>
    <row r="131" spans="1:10" x14ac:dyDescent="0.3">
      <c r="A131">
        <v>7352396</v>
      </c>
      <c r="B131">
        <v>361250</v>
      </c>
      <c r="C131">
        <v>1009</v>
      </c>
      <c r="D131" s="1">
        <v>44777</v>
      </c>
      <c r="E131" s="1">
        <v>44870</v>
      </c>
      <c r="F131" t="s">
        <v>3479</v>
      </c>
      <c r="G131" t="str">
        <f>IF(ISNA(_xlfn.XLOOKUP(subscriptions[[#This Row],[customer_id]], customers[customer_id], customers[customer_id])), "NO", "YES")</f>
        <v>YES</v>
      </c>
      <c r="H131">
        <f>IF(AND(subscriptions[[#This Row],[end_date]]&lt;&gt;"", subscriptions[[#This Row],[end_date]] &lt; subscriptions[[#This Row],[start_date]]), 1, 0)</f>
        <v>0</v>
      </c>
      <c r="I1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">
        <f>IF(
  AND(subscriptions[[#This Row],[end_before_start]]=0, subscriptions[[#This Row],[status_end_mismatch]]=0),
  1,
  0
)</f>
        <v>1</v>
      </c>
    </row>
    <row r="132" spans="1:10" x14ac:dyDescent="0.3">
      <c r="A132">
        <v>3948283</v>
      </c>
      <c r="B132">
        <v>584498</v>
      </c>
      <c r="C132">
        <v>1008</v>
      </c>
      <c r="D132" s="1">
        <v>45189</v>
      </c>
      <c r="E132" s="1"/>
      <c r="F132" t="s">
        <v>3480</v>
      </c>
      <c r="G132" t="str">
        <f>IF(ISNA(_xlfn.XLOOKUP(subscriptions[[#This Row],[customer_id]], customers[customer_id], customers[customer_id])), "NO", "YES")</f>
        <v>YES</v>
      </c>
      <c r="H132">
        <f>IF(AND(subscriptions[[#This Row],[end_date]]&lt;&gt;"", subscriptions[[#This Row],[end_date]] &lt; subscriptions[[#This Row],[start_date]]), 1, 0)</f>
        <v>0</v>
      </c>
      <c r="I1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">
        <f>IF(
  AND(subscriptions[[#This Row],[end_before_start]]=0, subscriptions[[#This Row],[status_end_mismatch]]=0),
  1,
  0
)</f>
        <v>1</v>
      </c>
    </row>
    <row r="133" spans="1:10" x14ac:dyDescent="0.3">
      <c r="A133">
        <v>9214437</v>
      </c>
      <c r="B133">
        <v>157105</v>
      </c>
      <c r="C133">
        <v>1000</v>
      </c>
      <c r="D133" s="1">
        <v>44757</v>
      </c>
      <c r="E133" s="1"/>
      <c r="F133" t="s">
        <v>3480</v>
      </c>
      <c r="G133" t="str">
        <f>IF(ISNA(_xlfn.XLOOKUP(subscriptions[[#This Row],[customer_id]], customers[customer_id], customers[customer_id])), "NO", "YES")</f>
        <v>YES</v>
      </c>
      <c r="H133">
        <f>IF(AND(subscriptions[[#This Row],[end_date]]&lt;&gt;"", subscriptions[[#This Row],[end_date]] &lt; subscriptions[[#This Row],[start_date]]), 1, 0)</f>
        <v>0</v>
      </c>
      <c r="I1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">
        <f>IF(
  AND(subscriptions[[#This Row],[end_before_start]]=0, subscriptions[[#This Row],[status_end_mismatch]]=0),
  1,
  0
)</f>
        <v>1</v>
      </c>
    </row>
    <row r="134" spans="1:10" x14ac:dyDescent="0.3">
      <c r="A134">
        <v>5731119</v>
      </c>
      <c r="B134">
        <v>536045</v>
      </c>
      <c r="C134">
        <v>1001</v>
      </c>
      <c r="D134" s="1">
        <v>45117</v>
      </c>
      <c r="E134" s="1">
        <v>45171</v>
      </c>
      <c r="F134" t="s">
        <v>3479</v>
      </c>
      <c r="G134" t="str">
        <f>IF(ISNA(_xlfn.XLOOKUP(subscriptions[[#This Row],[customer_id]], customers[customer_id], customers[customer_id])), "NO", "YES")</f>
        <v>YES</v>
      </c>
      <c r="H134">
        <f>IF(AND(subscriptions[[#This Row],[end_date]]&lt;&gt;"", subscriptions[[#This Row],[end_date]] &lt; subscriptions[[#This Row],[start_date]]), 1, 0)</f>
        <v>0</v>
      </c>
      <c r="I1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">
        <f>IF(
  AND(subscriptions[[#This Row],[end_before_start]]=0, subscriptions[[#This Row],[status_end_mismatch]]=0),
  1,
  0
)</f>
        <v>1</v>
      </c>
    </row>
    <row r="135" spans="1:10" x14ac:dyDescent="0.3">
      <c r="A135">
        <v>3864666</v>
      </c>
      <c r="B135">
        <v>555596</v>
      </c>
      <c r="C135">
        <v>1005</v>
      </c>
      <c r="D135" s="1">
        <v>45213</v>
      </c>
      <c r="E135" s="1">
        <v>45442</v>
      </c>
      <c r="F135" t="s">
        <v>3479</v>
      </c>
      <c r="G135" t="str">
        <f>IF(ISNA(_xlfn.XLOOKUP(subscriptions[[#This Row],[customer_id]], customers[customer_id], customers[customer_id])), "NO", "YES")</f>
        <v>YES</v>
      </c>
      <c r="H135">
        <f>IF(AND(subscriptions[[#This Row],[end_date]]&lt;&gt;"", subscriptions[[#This Row],[end_date]] &lt; subscriptions[[#This Row],[start_date]]), 1, 0)</f>
        <v>0</v>
      </c>
      <c r="I1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">
        <f>IF(
  AND(subscriptions[[#This Row],[end_before_start]]=0, subscriptions[[#This Row],[status_end_mismatch]]=0),
  1,
  0
)</f>
        <v>1</v>
      </c>
    </row>
    <row r="136" spans="1:10" x14ac:dyDescent="0.3">
      <c r="A136">
        <v>4031181</v>
      </c>
      <c r="B136">
        <v>683879</v>
      </c>
      <c r="C136">
        <v>1004</v>
      </c>
      <c r="D136" s="1">
        <v>45268</v>
      </c>
      <c r="E136" s="1">
        <v>45645</v>
      </c>
      <c r="F136" t="s">
        <v>3479</v>
      </c>
      <c r="G136" t="str">
        <f>IF(ISNA(_xlfn.XLOOKUP(subscriptions[[#This Row],[customer_id]], customers[customer_id], customers[customer_id])), "NO", "YES")</f>
        <v>YES</v>
      </c>
      <c r="H136">
        <f>IF(AND(subscriptions[[#This Row],[end_date]]&lt;&gt;"", subscriptions[[#This Row],[end_date]] &lt; subscriptions[[#This Row],[start_date]]), 1, 0)</f>
        <v>0</v>
      </c>
      <c r="I1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">
        <f>IF(
  AND(subscriptions[[#This Row],[end_before_start]]=0, subscriptions[[#This Row],[status_end_mismatch]]=0),
  1,
  0
)</f>
        <v>1</v>
      </c>
    </row>
    <row r="137" spans="1:10" x14ac:dyDescent="0.3">
      <c r="A137">
        <v>9920146</v>
      </c>
      <c r="B137">
        <v>378082</v>
      </c>
      <c r="C137">
        <v>1007</v>
      </c>
      <c r="D137" s="1">
        <v>45386</v>
      </c>
      <c r="E137" s="1"/>
      <c r="F137" t="s">
        <v>3480</v>
      </c>
      <c r="G137" t="str">
        <f>IF(ISNA(_xlfn.XLOOKUP(subscriptions[[#This Row],[customer_id]], customers[customer_id], customers[customer_id])), "NO", "YES")</f>
        <v>YES</v>
      </c>
      <c r="H137">
        <f>IF(AND(subscriptions[[#This Row],[end_date]]&lt;&gt;"", subscriptions[[#This Row],[end_date]] &lt; subscriptions[[#This Row],[start_date]]), 1, 0)</f>
        <v>0</v>
      </c>
      <c r="I1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">
        <f>IF(
  AND(subscriptions[[#This Row],[end_before_start]]=0, subscriptions[[#This Row],[status_end_mismatch]]=0),
  1,
  0
)</f>
        <v>1</v>
      </c>
    </row>
    <row r="138" spans="1:10" x14ac:dyDescent="0.3">
      <c r="A138">
        <v>3140306</v>
      </c>
      <c r="B138">
        <v>665579</v>
      </c>
      <c r="C138">
        <v>1000</v>
      </c>
      <c r="D138" s="1">
        <v>45092</v>
      </c>
      <c r="E138" s="1"/>
      <c r="F138" t="s">
        <v>3480</v>
      </c>
      <c r="G138" t="str">
        <f>IF(ISNA(_xlfn.XLOOKUP(subscriptions[[#This Row],[customer_id]], customers[customer_id], customers[customer_id])), "NO", "YES")</f>
        <v>YES</v>
      </c>
      <c r="H138">
        <f>IF(AND(subscriptions[[#This Row],[end_date]]&lt;&gt;"", subscriptions[[#This Row],[end_date]] &lt; subscriptions[[#This Row],[start_date]]), 1, 0)</f>
        <v>0</v>
      </c>
      <c r="I1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">
        <f>IF(
  AND(subscriptions[[#This Row],[end_before_start]]=0, subscriptions[[#This Row],[status_end_mismatch]]=0),
  1,
  0
)</f>
        <v>1</v>
      </c>
    </row>
    <row r="139" spans="1:10" x14ac:dyDescent="0.3">
      <c r="A139">
        <v>9616197</v>
      </c>
      <c r="B139">
        <v>290272</v>
      </c>
      <c r="C139">
        <v>1004</v>
      </c>
      <c r="D139" s="1">
        <v>44880</v>
      </c>
      <c r="E139" s="1">
        <v>44983</v>
      </c>
      <c r="F139" t="s">
        <v>3479</v>
      </c>
      <c r="G139" t="str">
        <f>IF(ISNA(_xlfn.XLOOKUP(subscriptions[[#This Row],[customer_id]], customers[customer_id], customers[customer_id])), "NO", "YES")</f>
        <v>YES</v>
      </c>
      <c r="H139">
        <f>IF(AND(subscriptions[[#This Row],[end_date]]&lt;&gt;"", subscriptions[[#This Row],[end_date]] &lt; subscriptions[[#This Row],[start_date]]), 1, 0)</f>
        <v>0</v>
      </c>
      <c r="I1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">
        <f>IF(
  AND(subscriptions[[#This Row],[end_before_start]]=0, subscriptions[[#This Row],[status_end_mismatch]]=0),
  1,
  0
)</f>
        <v>1</v>
      </c>
    </row>
    <row r="140" spans="1:10" x14ac:dyDescent="0.3">
      <c r="A140">
        <v>7355220</v>
      </c>
      <c r="B140">
        <v>645175</v>
      </c>
      <c r="C140">
        <v>1006</v>
      </c>
      <c r="D140" s="1">
        <v>45109</v>
      </c>
      <c r="E140" s="1"/>
      <c r="F140" t="s">
        <v>3480</v>
      </c>
      <c r="G140" t="str">
        <f>IF(ISNA(_xlfn.XLOOKUP(subscriptions[[#This Row],[customer_id]], customers[customer_id], customers[customer_id])), "NO", "YES")</f>
        <v>YES</v>
      </c>
      <c r="H140">
        <f>IF(AND(subscriptions[[#This Row],[end_date]]&lt;&gt;"", subscriptions[[#This Row],[end_date]] &lt; subscriptions[[#This Row],[start_date]]), 1, 0)</f>
        <v>0</v>
      </c>
      <c r="I1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">
        <f>IF(
  AND(subscriptions[[#This Row],[end_before_start]]=0, subscriptions[[#This Row],[status_end_mismatch]]=0),
  1,
  0
)</f>
        <v>1</v>
      </c>
    </row>
    <row r="141" spans="1:10" x14ac:dyDescent="0.3">
      <c r="A141">
        <v>7210098</v>
      </c>
      <c r="B141">
        <v>970645</v>
      </c>
      <c r="C141">
        <v>1006</v>
      </c>
      <c r="D141" s="1">
        <v>45072</v>
      </c>
      <c r="E141" s="1">
        <v>45316</v>
      </c>
      <c r="F141" t="s">
        <v>3479</v>
      </c>
      <c r="G141" t="str">
        <f>IF(ISNA(_xlfn.XLOOKUP(subscriptions[[#This Row],[customer_id]], customers[customer_id], customers[customer_id])), "NO", "YES")</f>
        <v>YES</v>
      </c>
      <c r="H141">
        <f>IF(AND(subscriptions[[#This Row],[end_date]]&lt;&gt;"", subscriptions[[#This Row],[end_date]] &lt; subscriptions[[#This Row],[start_date]]), 1, 0)</f>
        <v>0</v>
      </c>
      <c r="I1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">
        <f>IF(
  AND(subscriptions[[#This Row],[end_before_start]]=0, subscriptions[[#This Row],[status_end_mismatch]]=0),
  1,
  0
)</f>
        <v>1</v>
      </c>
    </row>
    <row r="142" spans="1:10" x14ac:dyDescent="0.3">
      <c r="A142">
        <v>8680384</v>
      </c>
      <c r="B142">
        <v>452737</v>
      </c>
      <c r="C142">
        <v>1004</v>
      </c>
      <c r="D142" s="1">
        <v>44936</v>
      </c>
      <c r="E142" s="1"/>
      <c r="F142" t="s">
        <v>3480</v>
      </c>
      <c r="G142" t="str">
        <f>IF(ISNA(_xlfn.XLOOKUP(subscriptions[[#This Row],[customer_id]], customers[customer_id], customers[customer_id])), "NO", "YES")</f>
        <v>YES</v>
      </c>
      <c r="H142">
        <f>IF(AND(subscriptions[[#This Row],[end_date]]&lt;&gt;"", subscriptions[[#This Row],[end_date]] &lt; subscriptions[[#This Row],[start_date]]), 1, 0)</f>
        <v>0</v>
      </c>
      <c r="I1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">
        <f>IF(
  AND(subscriptions[[#This Row],[end_before_start]]=0, subscriptions[[#This Row],[status_end_mismatch]]=0),
  1,
  0
)</f>
        <v>1</v>
      </c>
    </row>
    <row r="143" spans="1:10" x14ac:dyDescent="0.3">
      <c r="A143">
        <v>6939158</v>
      </c>
      <c r="B143">
        <v>687997</v>
      </c>
      <c r="C143">
        <v>1005</v>
      </c>
      <c r="D143" s="1">
        <v>45521</v>
      </c>
      <c r="E143" s="1"/>
      <c r="F143" t="s">
        <v>3480</v>
      </c>
      <c r="G143" t="str">
        <f>IF(ISNA(_xlfn.XLOOKUP(subscriptions[[#This Row],[customer_id]], customers[customer_id], customers[customer_id])), "NO", "YES")</f>
        <v>YES</v>
      </c>
      <c r="H143">
        <f>IF(AND(subscriptions[[#This Row],[end_date]]&lt;&gt;"", subscriptions[[#This Row],[end_date]] &lt; subscriptions[[#This Row],[start_date]]), 1, 0)</f>
        <v>0</v>
      </c>
      <c r="I1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">
        <f>IF(
  AND(subscriptions[[#This Row],[end_before_start]]=0, subscriptions[[#This Row],[status_end_mismatch]]=0),
  1,
  0
)</f>
        <v>1</v>
      </c>
    </row>
    <row r="144" spans="1:10" x14ac:dyDescent="0.3">
      <c r="A144">
        <v>5627541</v>
      </c>
      <c r="B144">
        <v>575458</v>
      </c>
      <c r="C144">
        <v>1003</v>
      </c>
      <c r="D144" s="1">
        <v>45438</v>
      </c>
      <c r="E144" s="1"/>
      <c r="F144" t="s">
        <v>3480</v>
      </c>
      <c r="G144" t="str">
        <f>IF(ISNA(_xlfn.XLOOKUP(subscriptions[[#This Row],[customer_id]], customers[customer_id], customers[customer_id])), "NO", "YES")</f>
        <v>YES</v>
      </c>
      <c r="H144">
        <f>IF(AND(subscriptions[[#This Row],[end_date]]&lt;&gt;"", subscriptions[[#This Row],[end_date]] &lt; subscriptions[[#This Row],[start_date]]), 1, 0)</f>
        <v>0</v>
      </c>
      <c r="I1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">
        <f>IF(
  AND(subscriptions[[#This Row],[end_before_start]]=0, subscriptions[[#This Row],[status_end_mismatch]]=0),
  1,
  0
)</f>
        <v>1</v>
      </c>
    </row>
    <row r="145" spans="1:10" x14ac:dyDescent="0.3">
      <c r="A145">
        <v>4838024</v>
      </c>
      <c r="B145">
        <v>364239</v>
      </c>
      <c r="C145">
        <v>1005</v>
      </c>
      <c r="D145" s="1">
        <v>45187</v>
      </c>
      <c r="E145" s="1">
        <v>45261</v>
      </c>
      <c r="F145" t="s">
        <v>3479</v>
      </c>
      <c r="G145" t="str">
        <f>IF(ISNA(_xlfn.XLOOKUP(subscriptions[[#This Row],[customer_id]], customers[customer_id], customers[customer_id])), "NO", "YES")</f>
        <v>YES</v>
      </c>
      <c r="H145">
        <f>IF(AND(subscriptions[[#This Row],[end_date]]&lt;&gt;"", subscriptions[[#This Row],[end_date]] &lt; subscriptions[[#This Row],[start_date]]), 1, 0)</f>
        <v>0</v>
      </c>
      <c r="I1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">
        <f>IF(
  AND(subscriptions[[#This Row],[end_before_start]]=0, subscriptions[[#This Row],[status_end_mismatch]]=0),
  1,
  0
)</f>
        <v>1</v>
      </c>
    </row>
    <row r="146" spans="1:10" x14ac:dyDescent="0.3">
      <c r="A146">
        <v>6128149</v>
      </c>
      <c r="B146">
        <v>953266</v>
      </c>
      <c r="C146">
        <v>1002</v>
      </c>
      <c r="D146" s="1">
        <v>45394</v>
      </c>
      <c r="E146" s="1">
        <v>45470</v>
      </c>
      <c r="F146" t="s">
        <v>3479</v>
      </c>
      <c r="G146" t="str">
        <f>IF(ISNA(_xlfn.XLOOKUP(subscriptions[[#This Row],[customer_id]], customers[customer_id], customers[customer_id])), "NO", "YES")</f>
        <v>YES</v>
      </c>
      <c r="H146">
        <f>IF(AND(subscriptions[[#This Row],[end_date]]&lt;&gt;"", subscriptions[[#This Row],[end_date]] &lt; subscriptions[[#This Row],[start_date]]), 1, 0)</f>
        <v>0</v>
      </c>
      <c r="I1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">
        <f>IF(
  AND(subscriptions[[#This Row],[end_before_start]]=0, subscriptions[[#This Row],[status_end_mismatch]]=0),
  1,
  0
)</f>
        <v>1</v>
      </c>
    </row>
    <row r="147" spans="1:10" x14ac:dyDescent="0.3">
      <c r="A147">
        <v>2333367</v>
      </c>
      <c r="B147">
        <v>196214</v>
      </c>
      <c r="C147">
        <v>1000</v>
      </c>
      <c r="D147" s="1">
        <v>44719</v>
      </c>
      <c r="E147" s="1">
        <v>44796</v>
      </c>
      <c r="F147" t="s">
        <v>3479</v>
      </c>
      <c r="G147" t="str">
        <f>IF(ISNA(_xlfn.XLOOKUP(subscriptions[[#This Row],[customer_id]], customers[customer_id], customers[customer_id])), "NO", "YES")</f>
        <v>YES</v>
      </c>
      <c r="H147">
        <f>IF(AND(subscriptions[[#This Row],[end_date]]&lt;&gt;"", subscriptions[[#This Row],[end_date]] &lt; subscriptions[[#This Row],[start_date]]), 1, 0)</f>
        <v>0</v>
      </c>
      <c r="I1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">
        <f>IF(
  AND(subscriptions[[#This Row],[end_before_start]]=0, subscriptions[[#This Row],[status_end_mismatch]]=0),
  1,
  0
)</f>
        <v>1</v>
      </c>
    </row>
    <row r="148" spans="1:10" x14ac:dyDescent="0.3">
      <c r="A148">
        <v>3770138</v>
      </c>
      <c r="B148">
        <v>144316</v>
      </c>
      <c r="C148">
        <v>1000</v>
      </c>
      <c r="D148" s="1">
        <v>44679</v>
      </c>
      <c r="E148" s="1"/>
      <c r="F148" t="s">
        <v>3480</v>
      </c>
      <c r="G148" t="str">
        <f>IF(ISNA(_xlfn.XLOOKUP(subscriptions[[#This Row],[customer_id]], customers[customer_id], customers[customer_id])), "NO", "YES")</f>
        <v>YES</v>
      </c>
      <c r="H148">
        <f>IF(AND(subscriptions[[#This Row],[end_date]]&lt;&gt;"", subscriptions[[#This Row],[end_date]] &lt; subscriptions[[#This Row],[start_date]]), 1, 0)</f>
        <v>0</v>
      </c>
      <c r="I1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">
        <f>IF(
  AND(subscriptions[[#This Row],[end_before_start]]=0, subscriptions[[#This Row],[status_end_mismatch]]=0),
  1,
  0
)</f>
        <v>1</v>
      </c>
    </row>
    <row r="149" spans="1:10" x14ac:dyDescent="0.3">
      <c r="A149">
        <v>5795781</v>
      </c>
      <c r="B149">
        <v>744674</v>
      </c>
      <c r="C149">
        <v>1002</v>
      </c>
      <c r="D149" s="1">
        <v>45571</v>
      </c>
      <c r="E149" s="1">
        <v>45606</v>
      </c>
      <c r="F149" t="s">
        <v>3479</v>
      </c>
      <c r="G149" t="str">
        <f>IF(ISNA(_xlfn.XLOOKUP(subscriptions[[#This Row],[customer_id]], customers[customer_id], customers[customer_id])), "NO", "YES")</f>
        <v>YES</v>
      </c>
      <c r="H149">
        <f>IF(AND(subscriptions[[#This Row],[end_date]]&lt;&gt;"", subscriptions[[#This Row],[end_date]] &lt; subscriptions[[#This Row],[start_date]]), 1, 0)</f>
        <v>0</v>
      </c>
      <c r="I1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">
        <f>IF(
  AND(subscriptions[[#This Row],[end_before_start]]=0, subscriptions[[#This Row],[status_end_mismatch]]=0),
  1,
  0
)</f>
        <v>1</v>
      </c>
    </row>
    <row r="150" spans="1:10" x14ac:dyDescent="0.3">
      <c r="A150">
        <v>8113264</v>
      </c>
      <c r="B150">
        <v>772741</v>
      </c>
      <c r="C150">
        <v>1002</v>
      </c>
      <c r="D150" s="1">
        <v>44841</v>
      </c>
      <c r="E150" s="1"/>
      <c r="F150" t="s">
        <v>3480</v>
      </c>
      <c r="G150" t="str">
        <f>IF(ISNA(_xlfn.XLOOKUP(subscriptions[[#This Row],[customer_id]], customers[customer_id], customers[customer_id])), "NO", "YES")</f>
        <v>YES</v>
      </c>
      <c r="H150">
        <f>IF(AND(subscriptions[[#This Row],[end_date]]&lt;&gt;"", subscriptions[[#This Row],[end_date]] &lt; subscriptions[[#This Row],[start_date]]), 1, 0)</f>
        <v>0</v>
      </c>
      <c r="I1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0">
        <f>IF(
  AND(subscriptions[[#This Row],[end_before_start]]=0, subscriptions[[#This Row],[status_end_mismatch]]=0),
  1,
  0
)</f>
        <v>1</v>
      </c>
    </row>
    <row r="151" spans="1:10" x14ac:dyDescent="0.3">
      <c r="A151">
        <v>9640458</v>
      </c>
      <c r="B151">
        <v>709303</v>
      </c>
      <c r="C151">
        <v>1003</v>
      </c>
      <c r="D151" s="1">
        <v>44817</v>
      </c>
      <c r="E151" s="1"/>
      <c r="F151" t="s">
        <v>3480</v>
      </c>
      <c r="G151" t="str">
        <f>IF(ISNA(_xlfn.XLOOKUP(subscriptions[[#This Row],[customer_id]], customers[customer_id], customers[customer_id])), "NO", "YES")</f>
        <v>YES</v>
      </c>
      <c r="H151">
        <f>IF(AND(subscriptions[[#This Row],[end_date]]&lt;&gt;"", subscriptions[[#This Row],[end_date]] &lt; subscriptions[[#This Row],[start_date]]), 1, 0)</f>
        <v>0</v>
      </c>
      <c r="I1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1">
        <f>IF(
  AND(subscriptions[[#This Row],[end_before_start]]=0, subscriptions[[#This Row],[status_end_mismatch]]=0),
  1,
  0
)</f>
        <v>1</v>
      </c>
    </row>
    <row r="152" spans="1:10" x14ac:dyDescent="0.3">
      <c r="A152">
        <v>4190758</v>
      </c>
      <c r="B152">
        <v>506045</v>
      </c>
      <c r="C152">
        <v>1006</v>
      </c>
      <c r="D152" s="1">
        <v>44576</v>
      </c>
      <c r="E152" s="1">
        <v>44965</v>
      </c>
      <c r="F152" t="s">
        <v>3479</v>
      </c>
      <c r="G152" t="str">
        <f>IF(ISNA(_xlfn.XLOOKUP(subscriptions[[#This Row],[customer_id]], customers[customer_id], customers[customer_id])), "NO", "YES")</f>
        <v>YES</v>
      </c>
      <c r="H152">
        <f>IF(AND(subscriptions[[#This Row],[end_date]]&lt;&gt;"", subscriptions[[#This Row],[end_date]] &lt; subscriptions[[#This Row],[start_date]]), 1, 0)</f>
        <v>0</v>
      </c>
      <c r="I1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2">
        <f>IF(
  AND(subscriptions[[#This Row],[end_before_start]]=0, subscriptions[[#This Row],[status_end_mismatch]]=0),
  1,
  0
)</f>
        <v>1</v>
      </c>
    </row>
    <row r="153" spans="1:10" x14ac:dyDescent="0.3">
      <c r="A153">
        <v>9964482</v>
      </c>
      <c r="B153">
        <v>604740</v>
      </c>
      <c r="C153">
        <v>1002</v>
      </c>
      <c r="D153" s="1">
        <v>45268</v>
      </c>
      <c r="E153" s="1"/>
      <c r="F153" t="s">
        <v>3480</v>
      </c>
      <c r="G153" t="str">
        <f>IF(ISNA(_xlfn.XLOOKUP(subscriptions[[#This Row],[customer_id]], customers[customer_id], customers[customer_id])), "NO", "YES")</f>
        <v>YES</v>
      </c>
      <c r="H153">
        <f>IF(AND(subscriptions[[#This Row],[end_date]]&lt;&gt;"", subscriptions[[#This Row],[end_date]] &lt; subscriptions[[#This Row],[start_date]]), 1, 0)</f>
        <v>0</v>
      </c>
      <c r="I1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3">
        <f>IF(
  AND(subscriptions[[#This Row],[end_before_start]]=0, subscriptions[[#This Row],[status_end_mismatch]]=0),
  1,
  0
)</f>
        <v>1</v>
      </c>
    </row>
    <row r="154" spans="1:10" x14ac:dyDescent="0.3">
      <c r="A154">
        <v>9860239</v>
      </c>
      <c r="B154">
        <v>653948</v>
      </c>
      <c r="C154">
        <v>1006</v>
      </c>
      <c r="D154" s="1">
        <v>44648</v>
      </c>
      <c r="E154" s="1">
        <v>44764</v>
      </c>
      <c r="F154" t="s">
        <v>3479</v>
      </c>
      <c r="G154" t="str">
        <f>IF(ISNA(_xlfn.XLOOKUP(subscriptions[[#This Row],[customer_id]], customers[customer_id], customers[customer_id])), "NO", "YES")</f>
        <v>YES</v>
      </c>
      <c r="H154">
        <f>IF(AND(subscriptions[[#This Row],[end_date]]&lt;&gt;"", subscriptions[[#This Row],[end_date]] &lt; subscriptions[[#This Row],[start_date]]), 1, 0)</f>
        <v>0</v>
      </c>
      <c r="I1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4">
        <f>IF(
  AND(subscriptions[[#This Row],[end_before_start]]=0, subscriptions[[#This Row],[status_end_mismatch]]=0),
  1,
  0
)</f>
        <v>1</v>
      </c>
    </row>
    <row r="155" spans="1:10" x14ac:dyDescent="0.3">
      <c r="A155">
        <v>9783147</v>
      </c>
      <c r="B155">
        <v>901968</v>
      </c>
      <c r="C155">
        <v>1006</v>
      </c>
      <c r="D155" s="1">
        <v>45022</v>
      </c>
      <c r="E155" s="1"/>
      <c r="F155" t="s">
        <v>3480</v>
      </c>
      <c r="G155" t="str">
        <f>IF(ISNA(_xlfn.XLOOKUP(subscriptions[[#This Row],[customer_id]], customers[customer_id], customers[customer_id])), "NO", "YES")</f>
        <v>YES</v>
      </c>
      <c r="H155">
        <f>IF(AND(subscriptions[[#This Row],[end_date]]&lt;&gt;"", subscriptions[[#This Row],[end_date]] &lt; subscriptions[[#This Row],[start_date]]), 1, 0)</f>
        <v>0</v>
      </c>
      <c r="I1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5">
        <f>IF(
  AND(subscriptions[[#This Row],[end_before_start]]=0, subscriptions[[#This Row],[status_end_mismatch]]=0),
  1,
  0
)</f>
        <v>1</v>
      </c>
    </row>
    <row r="156" spans="1:10" x14ac:dyDescent="0.3">
      <c r="A156">
        <v>7158092</v>
      </c>
      <c r="B156">
        <v>262959</v>
      </c>
      <c r="C156">
        <v>1001</v>
      </c>
      <c r="D156" s="1">
        <v>44835</v>
      </c>
      <c r="E156" s="1"/>
      <c r="F156" t="s">
        <v>3480</v>
      </c>
      <c r="G156" t="str">
        <f>IF(ISNA(_xlfn.XLOOKUP(subscriptions[[#This Row],[customer_id]], customers[customer_id], customers[customer_id])), "NO", "YES")</f>
        <v>YES</v>
      </c>
      <c r="H156">
        <f>IF(AND(subscriptions[[#This Row],[end_date]]&lt;&gt;"", subscriptions[[#This Row],[end_date]] &lt; subscriptions[[#This Row],[start_date]]), 1, 0)</f>
        <v>0</v>
      </c>
      <c r="I1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6">
        <f>IF(
  AND(subscriptions[[#This Row],[end_before_start]]=0, subscriptions[[#This Row],[status_end_mismatch]]=0),
  1,
  0
)</f>
        <v>1</v>
      </c>
    </row>
    <row r="157" spans="1:10" x14ac:dyDescent="0.3">
      <c r="A157">
        <v>1854070</v>
      </c>
      <c r="B157">
        <v>292847</v>
      </c>
      <c r="C157">
        <v>1002</v>
      </c>
      <c r="D157" s="1">
        <v>45427</v>
      </c>
      <c r="E157" s="1"/>
      <c r="F157" t="s">
        <v>3480</v>
      </c>
      <c r="G157" t="str">
        <f>IF(ISNA(_xlfn.XLOOKUP(subscriptions[[#This Row],[customer_id]], customers[customer_id], customers[customer_id])), "NO", "YES")</f>
        <v>YES</v>
      </c>
      <c r="H157">
        <f>IF(AND(subscriptions[[#This Row],[end_date]]&lt;&gt;"", subscriptions[[#This Row],[end_date]] &lt; subscriptions[[#This Row],[start_date]]), 1, 0)</f>
        <v>0</v>
      </c>
      <c r="I1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7">
        <f>IF(
  AND(subscriptions[[#This Row],[end_before_start]]=0, subscriptions[[#This Row],[status_end_mismatch]]=0),
  1,
  0
)</f>
        <v>1</v>
      </c>
    </row>
    <row r="158" spans="1:10" x14ac:dyDescent="0.3">
      <c r="A158">
        <v>3860246</v>
      </c>
      <c r="B158">
        <v>186243</v>
      </c>
      <c r="C158">
        <v>1009</v>
      </c>
      <c r="D158" s="1">
        <v>45326</v>
      </c>
      <c r="E158" s="1">
        <v>45529</v>
      </c>
      <c r="F158" t="s">
        <v>3479</v>
      </c>
      <c r="G158" t="str">
        <f>IF(ISNA(_xlfn.XLOOKUP(subscriptions[[#This Row],[customer_id]], customers[customer_id], customers[customer_id])), "NO", "YES")</f>
        <v>YES</v>
      </c>
      <c r="H158">
        <f>IF(AND(subscriptions[[#This Row],[end_date]]&lt;&gt;"", subscriptions[[#This Row],[end_date]] &lt; subscriptions[[#This Row],[start_date]]), 1, 0)</f>
        <v>0</v>
      </c>
      <c r="I1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8">
        <f>IF(
  AND(subscriptions[[#This Row],[end_before_start]]=0, subscriptions[[#This Row],[status_end_mismatch]]=0),
  1,
  0
)</f>
        <v>1</v>
      </c>
    </row>
    <row r="159" spans="1:10" x14ac:dyDescent="0.3">
      <c r="A159">
        <v>5190365</v>
      </c>
      <c r="B159">
        <v>167348</v>
      </c>
      <c r="C159">
        <v>1009</v>
      </c>
      <c r="D159" s="1">
        <v>44803</v>
      </c>
      <c r="E159" s="1"/>
      <c r="F159" t="s">
        <v>3480</v>
      </c>
      <c r="G159" t="str">
        <f>IF(ISNA(_xlfn.XLOOKUP(subscriptions[[#This Row],[customer_id]], customers[customer_id], customers[customer_id])), "NO", "YES")</f>
        <v>YES</v>
      </c>
      <c r="H159">
        <f>IF(AND(subscriptions[[#This Row],[end_date]]&lt;&gt;"", subscriptions[[#This Row],[end_date]] &lt; subscriptions[[#This Row],[start_date]]), 1, 0)</f>
        <v>0</v>
      </c>
      <c r="I1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9">
        <f>IF(
  AND(subscriptions[[#This Row],[end_before_start]]=0, subscriptions[[#This Row],[status_end_mismatch]]=0),
  1,
  0
)</f>
        <v>1</v>
      </c>
    </row>
    <row r="160" spans="1:10" x14ac:dyDescent="0.3">
      <c r="A160">
        <v>9105487</v>
      </c>
      <c r="B160">
        <v>178686</v>
      </c>
      <c r="C160">
        <v>1002</v>
      </c>
      <c r="D160" s="1">
        <v>45163</v>
      </c>
      <c r="E160" s="1"/>
      <c r="F160" t="s">
        <v>3480</v>
      </c>
      <c r="G160" t="str">
        <f>IF(ISNA(_xlfn.XLOOKUP(subscriptions[[#This Row],[customer_id]], customers[customer_id], customers[customer_id])), "NO", "YES")</f>
        <v>YES</v>
      </c>
      <c r="H160">
        <f>IF(AND(subscriptions[[#This Row],[end_date]]&lt;&gt;"", subscriptions[[#This Row],[end_date]] &lt; subscriptions[[#This Row],[start_date]]), 1, 0)</f>
        <v>0</v>
      </c>
      <c r="I1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0">
        <f>IF(
  AND(subscriptions[[#This Row],[end_before_start]]=0, subscriptions[[#This Row],[status_end_mismatch]]=0),
  1,
  0
)</f>
        <v>1</v>
      </c>
    </row>
    <row r="161" spans="1:10" x14ac:dyDescent="0.3">
      <c r="A161">
        <v>1037485</v>
      </c>
      <c r="B161">
        <v>749813</v>
      </c>
      <c r="C161">
        <v>1007</v>
      </c>
      <c r="D161" s="1">
        <v>45368</v>
      </c>
      <c r="E161" s="1"/>
      <c r="F161" t="s">
        <v>3480</v>
      </c>
      <c r="G161" t="str">
        <f>IF(ISNA(_xlfn.XLOOKUP(subscriptions[[#This Row],[customer_id]], customers[customer_id], customers[customer_id])), "NO", "YES")</f>
        <v>YES</v>
      </c>
      <c r="H161">
        <f>IF(AND(subscriptions[[#This Row],[end_date]]&lt;&gt;"", subscriptions[[#This Row],[end_date]] &lt; subscriptions[[#This Row],[start_date]]), 1, 0)</f>
        <v>0</v>
      </c>
      <c r="I1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1">
        <f>IF(
  AND(subscriptions[[#This Row],[end_before_start]]=0, subscriptions[[#This Row],[status_end_mismatch]]=0),
  1,
  0
)</f>
        <v>1</v>
      </c>
    </row>
    <row r="162" spans="1:10" x14ac:dyDescent="0.3">
      <c r="A162">
        <v>6114027</v>
      </c>
      <c r="B162">
        <v>401769</v>
      </c>
      <c r="C162">
        <v>1002</v>
      </c>
      <c r="D162" s="1">
        <v>44634</v>
      </c>
      <c r="E162" s="1">
        <v>44980</v>
      </c>
      <c r="F162" t="s">
        <v>3479</v>
      </c>
      <c r="G162" t="str">
        <f>IF(ISNA(_xlfn.XLOOKUP(subscriptions[[#This Row],[customer_id]], customers[customer_id], customers[customer_id])), "NO", "YES")</f>
        <v>YES</v>
      </c>
      <c r="H162">
        <f>IF(AND(subscriptions[[#This Row],[end_date]]&lt;&gt;"", subscriptions[[#This Row],[end_date]] &lt; subscriptions[[#This Row],[start_date]]), 1, 0)</f>
        <v>0</v>
      </c>
      <c r="I1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2">
        <f>IF(
  AND(subscriptions[[#This Row],[end_before_start]]=0, subscriptions[[#This Row],[status_end_mismatch]]=0),
  1,
  0
)</f>
        <v>1</v>
      </c>
    </row>
    <row r="163" spans="1:10" x14ac:dyDescent="0.3">
      <c r="A163">
        <v>9191751</v>
      </c>
      <c r="B163">
        <v>290425</v>
      </c>
      <c r="C163">
        <v>1001</v>
      </c>
      <c r="D163" s="1">
        <v>44679</v>
      </c>
      <c r="E163" s="1"/>
      <c r="F163" t="s">
        <v>3480</v>
      </c>
      <c r="G163" t="str">
        <f>IF(ISNA(_xlfn.XLOOKUP(subscriptions[[#This Row],[customer_id]], customers[customer_id], customers[customer_id])), "NO", "YES")</f>
        <v>YES</v>
      </c>
      <c r="H163">
        <f>IF(AND(subscriptions[[#This Row],[end_date]]&lt;&gt;"", subscriptions[[#This Row],[end_date]] &lt; subscriptions[[#This Row],[start_date]]), 1, 0)</f>
        <v>0</v>
      </c>
      <c r="I1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3">
        <f>IF(
  AND(subscriptions[[#This Row],[end_before_start]]=0, subscriptions[[#This Row],[status_end_mismatch]]=0),
  1,
  0
)</f>
        <v>1</v>
      </c>
    </row>
    <row r="164" spans="1:10" x14ac:dyDescent="0.3">
      <c r="A164">
        <v>8723456</v>
      </c>
      <c r="B164">
        <v>311469</v>
      </c>
      <c r="C164">
        <v>1009</v>
      </c>
      <c r="D164" s="1">
        <v>45234</v>
      </c>
      <c r="E164" s="1"/>
      <c r="F164" t="s">
        <v>3480</v>
      </c>
      <c r="G164" t="str">
        <f>IF(ISNA(_xlfn.XLOOKUP(subscriptions[[#This Row],[customer_id]], customers[customer_id], customers[customer_id])), "NO", "YES")</f>
        <v>YES</v>
      </c>
      <c r="H164">
        <f>IF(AND(subscriptions[[#This Row],[end_date]]&lt;&gt;"", subscriptions[[#This Row],[end_date]] &lt; subscriptions[[#This Row],[start_date]]), 1, 0)</f>
        <v>0</v>
      </c>
      <c r="I1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4">
        <f>IF(
  AND(subscriptions[[#This Row],[end_before_start]]=0, subscriptions[[#This Row],[status_end_mismatch]]=0),
  1,
  0
)</f>
        <v>1</v>
      </c>
    </row>
    <row r="165" spans="1:10" x14ac:dyDescent="0.3">
      <c r="A165">
        <v>2797914</v>
      </c>
      <c r="B165">
        <v>749758</v>
      </c>
      <c r="C165">
        <v>1004</v>
      </c>
      <c r="D165" s="1">
        <v>44572</v>
      </c>
      <c r="E165" s="1"/>
      <c r="F165" t="s">
        <v>3480</v>
      </c>
      <c r="G165" t="str">
        <f>IF(ISNA(_xlfn.XLOOKUP(subscriptions[[#This Row],[customer_id]], customers[customer_id], customers[customer_id])), "NO", "YES")</f>
        <v>YES</v>
      </c>
      <c r="H165">
        <f>IF(AND(subscriptions[[#This Row],[end_date]]&lt;&gt;"", subscriptions[[#This Row],[end_date]] &lt; subscriptions[[#This Row],[start_date]]), 1, 0)</f>
        <v>0</v>
      </c>
      <c r="I1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5">
        <f>IF(
  AND(subscriptions[[#This Row],[end_before_start]]=0, subscriptions[[#This Row],[status_end_mismatch]]=0),
  1,
  0
)</f>
        <v>1</v>
      </c>
    </row>
    <row r="166" spans="1:10" x14ac:dyDescent="0.3">
      <c r="A166">
        <v>4123208</v>
      </c>
      <c r="B166">
        <v>749758</v>
      </c>
      <c r="C166">
        <v>1009</v>
      </c>
      <c r="D166" s="1">
        <v>45385</v>
      </c>
      <c r="E166" s="1"/>
      <c r="F166" t="s">
        <v>3480</v>
      </c>
      <c r="G166" t="str">
        <f>IF(ISNA(_xlfn.XLOOKUP(subscriptions[[#This Row],[customer_id]], customers[customer_id], customers[customer_id])), "NO", "YES")</f>
        <v>YES</v>
      </c>
      <c r="H166">
        <f>IF(AND(subscriptions[[#This Row],[end_date]]&lt;&gt;"", subscriptions[[#This Row],[end_date]] &lt; subscriptions[[#This Row],[start_date]]), 1, 0)</f>
        <v>0</v>
      </c>
      <c r="I1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6">
        <f>IF(
  AND(subscriptions[[#This Row],[end_before_start]]=0, subscriptions[[#This Row],[status_end_mismatch]]=0),
  1,
  0
)</f>
        <v>1</v>
      </c>
    </row>
    <row r="167" spans="1:10" x14ac:dyDescent="0.3">
      <c r="A167">
        <v>2700165</v>
      </c>
      <c r="B167">
        <v>372935</v>
      </c>
      <c r="C167">
        <v>1008</v>
      </c>
      <c r="D167" s="1">
        <v>45444</v>
      </c>
      <c r="E167" s="1"/>
      <c r="F167" t="s">
        <v>3480</v>
      </c>
      <c r="G167" t="str">
        <f>IF(ISNA(_xlfn.XLOOKUP(subscriptions[[#This Row],[customer_id]], customers[customer_id], customers[customer_id])), "NO", "YES")</f>
        <v>YES</v>
      </c>
      <c r="H167">
        <f>IF(AND(subscriptions[[#This Row],[end_date]]&lt;&gt;"", subscriptions[[#This Row],[end_date]] &lt; subscriptions[[#This Row],[start_date]]), 1, 0)</f>
        <v>0</v>
      </c>
      <c r="I1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7">
        <f>IF(
  AND(subscriptions[[#This Row],[end_before_start]]=0, subscriptions[[#This Row],[status_end_mismatch]]=0),
  1,
  0
)</f>
        <v>1</v>
      </c>
    </row>
    <row r="168" spans="1:10" x14ac:dyDescent="0.3">
      <c r="A168">
        <v>2421764</v>
      </c>
      <c r="B168">
        <v>902156</v>
      </c>
      <c r="C168">
        <v>1005</v>
      </c>
      <c r="D168" s="1">
        <v>44876</v>
      </c>
      <c r="E168" s="1"/>
      <c r="F168" t="s">
        <v>3480</v>
      </c>
      <c r="G168" t="str">
        <f>IF(ISNA(_xlfn.XLOOKUP(subscriptions[[#This Row],[customer_id]], customers[customer_id], customers[customer_id])), "NO", "YES")</f>
        <v>YES</v>
      </c>
      <c r="H168">
        <f>IF(AND(subscriptions[[#This Row],[end_date]]&lt;&gt;"", subscriptions[[#This Row],[end_date]] &lt; subscriptions[[#This Row],[start_date]]), 1, 0)</f>
        <v>0</v>
      </c>
      <c r="I1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8">
        <f>IF(
  AND(subscriptions[[#This Row],[end_before_start]]=0, subscriptions[[#This Row],[status_end_mismatch]]=0),
  1,
  0
)</f>
        <v>1</v>
      </c>
    </row>
    <row r="169" spans="1:10" x14ac:dyDescent="0.3">
      <c r="A169">
        <v>9177419</v>
      </c>
      <c r="B169">
        <v>843963</v>
      </c>
      <c r="C169">
        <v>1001</v>
      </c>
      <c r="D169" s="1">
        <v>44576</v>
      </c>
      <c r="E169" s="1"/>
      <c r="F169" t="s">
        <v>3480</v>
      </c>
      <c r="G169" t="str">
        <f>IF(ISNA(_xlfn.XLOOKUP(subscriptions[[#This Row],[customer_id]], customers[customer_id], customers[customer_id])), "NO", "YES")</f>
        <v>YES</v>
      </c>
      <c r="H169">
        <f>IF(AND(subscriptions[[#This Row],[end_date]]&lt;&gt;"", subscriptions[[#This Row],[end_date]] &lt; subscriptions[[#This Row],[start_date]]), 1, 0)</f>
        <v>0</v>
      </c>
      <c r="I1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69">
        <f>IF(
  AND(subscriptions[[#This Row],[end_before_start]]=0, subscriptions[[#This Row],[status_end_mismatch]]=0),
  1,
  0
)</f>
        <v>1</v>
      </c>
    </row>
    <row r="170" spans="1:10" x14ac:dyDescent="0.3">
      <c r="A170">
        <v>5196564</v>
      </c>
      <c r="B170">
        <v>690579</v>
      </c>
      <c r="C170">
        <v>1002</v>
      </c>
      <c r="D170" s="1">
        <v>45025</v>
      </c>
      <c r="E170" s="1"/>
      <c r="F170" t="s">
        <v>3480</v>
      </c>
      <c r="G170" t="str">
        <f>IF(ISNA(_xlfn.XLOOKUP(subscriptions[[#This Row],[customer_id]], customers[customer_id], customers[customer_id])), "NO", "YES")</f>
        <v>YES</v>
      </c>
      <c r="H170">
        <f>IF(AND(subscriptions[[#This Row],[end_date]]&lt;&gt;"", subscriptions[[#This Row],[end_date]] &lt; subscriptions[[#This Row],[start_date]]), 1, 0)</f>
        <v>0</v>
      </c>
      <c r="I1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0">
        <f>IF(
  AND(subscriptions[[#This Row],[end_before_start]]=0, subscriptions[[#This Row],[status_end_mismatch]]=0),
  1,
  0
)</f>
        <v>1</v>
      </c>
    </row>
    <row r="171" spans="1:10" x14ac:dyDescent="0.3">
      <c r="A171">
        <v>7279870</v>
      </c>
      <c r="B171">
        <v>214176</v>
      </c>
      <c r="C171">
        <v>1003</v>
      </c>
      <c r="D171" s="1">
        <v>45174</v>
      </c>
      <c r="E171" s="1"/>
      <c r="F171" t="s">
        <v>3480</v>
      </c>
      <c r="G171" t="str">
        <f>IF(ISNA(_xlfn.XLOOKUP(subscriptions[[#This Row],[customer_id]], customers[customer_id], customers[customer_id])), "NO", "YES")</f>
        <v>YES</v>
      </c>
      <c r="H171">
        <f>IF(AND(subscriptions[[#This Row],[end_date]]&lt;&gt;"", subscriptions[[#This Row],[end_date]] &lt; subscriptions[[#This Row],[start_date]]), 1, 0)</f>
        <v>0</v>
      </c>
      <c r="I1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1">
        <f>IF(
  AND(subscriptions[[#This Row],[end_before_start]]=0, subscriptions[[#This Row],[status_end_mismatch]]=0),
  1,
  0
)</f>
        <v>1</v>
      </c>
    </row>
    <row r="172" spans="1:10" x14ac:dyDescent="0.3">
      <c r="A172">
        <v>4056507</v>
      </c>
      <c r="B172">
        <v>343904</v>
      </c>
      <c r="C172">
        <v>1001</v>
      </c>
      <c r="D172" s="1">
        <v>45113</v>
      </c>
      <c r="E172" s="1"/>
      <c r="F172" t="s">
        <v>3480</v>
      </c>
      <c r="G172" t="str">
        <f>IF(ISNA(_xlfn.XLOOKUP(subscriptions[[#This Row],[customer_id]], customers[customer_id], customers[customer_id])), "NO", "YES")</f>
        <v>YES</v>
      </c>
      <c r="H172">
        <f>IF(AND(subscriptions[[#This Row],[end_date]]&lt;&gt;"", subscriptions[[#This Row],[end_date]] &lt; subscriptions[[#This Row],[start_date]]), 1, 0)</f>
        <v>0</v>
      </c>
      <c r="I1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2">
        <f>IF(
  AND(subscriptions[[#This Row],[end_before_start]]=0, subscriptions[[#This Row],[status_end_mismatch]]=0),
  1,
  0
)</f>
        <v>1</v>
      </c>
    </row>
    <row r="173" spans="1:10" x14ac:dyDescent="0.3">
      <c r="A173">
        <v>8358018</v>
      </c>
      <c r="B173">
        <v>602278</v>
      </c>
      <c r="C173">
        <v>1003</v>
      </c>
      <c r="D173" s="1">
        <v>45461</v>
      </c>
      <c r="E173" s="1"/>
      <c r="F173" t="s">
        <v>3480</v>
      </c>
      <c r="G173" t="str">
        <f>IF(ISNA(_xlfn.XLOOKUP(subscriptions[[#This Row],[customer_id]], customers[customer_id], customers[customer_id])), "NO", "YES")</f>
        <v>YES</v>
      </c>
      <c r="H173">
        <f>IF(AND(subscriptions[[#This Row],[end_date]]&lt;&gt;"", subscriptions[[#This Row],[end_date]] &lt; subscriptions[[#This Row],[start_date]]), 1, 0)</f>
        <v>0</v>
      </c>
      <c r="I1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3">
        <f>IF(
  AND(subscriptions[[#This Row],[end_before_start]]=0, subscriptions[[#This Row],[status_end_mismatch]]=0),
  1,
  0
)</f>
        <v>1</v>
      </c>
    </row>
    <row r="174" spans="1:10" x14ac:dyDescent="0.3">
      <c r="A174">
        <v>6934735</v>
      </c>
      <c r="B174">
        <v>725726</v>
      </c>
      <c r="C174">
        <v>1003</v>
      </c>
      <c r="D174" s="1">
        <v>45450</v>
      </c>
      <c r="E174" s="1"/>
      <c r="F174" t="s">
        <v>3480</v>
      </c>
      <c r="G174" t="str">
        <f>IF(ISNA(_xlfn.XLOOKUP(subscriptions[[#This Row],[customer_id]], customers[customer_id], customers[customer_id])), "NO", "YES")</f>
        <v>YES</v>
      </c>
      <c r="H174">
        <f>IF(AND(subscriptions[[#This Row],[end_date]]&lt;&gt;"", subscriptions[[#This Row],[end_date]] &lt; subscriptions[[#This Row],[start_date]]), 1, 0)</f>
        <v>0</v>
      </c>
      <c r="I1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4">
        <f>IF(
  AND(subscriptions[[#This Row],[end_before_start]]=0, subscriptions[[#This Row],[status_end_mismatch]]=0),
  1,
  0
)</f>
        <v>1</v>
      </c>
    </row>
    <row r="175" spans="1:10" x14ac:dyDescent="0.3">
      <c r="A175">
        <v>4329683</v>
      </c>
      <c r="B175">
        <v>473897</v>
      </c>
      <c r="C175">
        <v>1008</v>
      </c>
      <c r="D175" s="1">
        <v>44788</v>
      </c>
      <c r="E175" s="1"/>
      <c r="F175" t="s">
        <v>3480</v>
      </c>
      <c r="G175" t="str">
        <f>IF(ISNA(_xlfn.XLOOKUP(subscriptions[[#This Row],[customer_id]], customers[customer_id], customers[customer_id])), "NO", "YES")</f>
        <v>YES</v>
      </c>
      <c r="H175">
        <f>IF(AND(subscriptions[[#This Row],[end_date]]&lt;&gt;"", subscriptions[[#This Row],[end_date]] &lt; subscriptions[[#This Row],[start_date]]), 1, 0)</f>
        <v>0</v>
      </c>
      <c r="I1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5">
        <f>IF(
  AND(subscriptions[[#This Row],[end_before_start]]=0, subscriptions[[#This Row],[status_end_mismatch]]=0),
  1,
  0
)</f>
        <v>1</v>
      </c>
    </row>
    <row r="176" spans="1:10" x14ac:dyDescent="0.3">
      <c r="A176">
        <v>1675388</v>
      </c>
      <c r="B176">
        <v>557409</v>
      </c>
      <c r="C176">
        <v>1001</v>
      </c>
      <c r="D176" s="1">
        <v>44835</v>
      </c>
      <c r="E176" s="1"/>
      <c r="F176" t="s">
        <v>3480</v>
      </c>
      <c r="G176" t="str">
        <f>IF(ISNA(_xlfn.XLOOKUP(subscriptions[[#This Row],[customer_id]], customers[customer_id], customers[customer_id])), "NO", "YES")</f>
        <v>YES</v>
      </c>
      <c r="H176">
        <f>IF(AND(subscriptions[[#This Row],[end_date]]&lt;&gt;"", subscriptions[[#This Row],[end_date]] &lt; subscriptions[[#This Row],[start_date]]), 1, 0)</f>
        <v>0</v>
      </c>
      <c r="I1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6">
        <f>IF(
  AND(subscriptions[[#This Row],[end_before_start]]=0, subscriptions[[#This Row],[status_end_mismatch]]=0),
  1,
  0
)</f>
        <v>1</v>
      </c>
    </row>
    <row r="177" spans="1:10" x14ac:dyDescent="0.3">
      <c r="A177">
        <v>6556840</v>
      </c>
      <c r="B177">
        <v>450533</v>
      </c>
      <c r="C177">
        <v>1006</v>
      </c>
      <c r="D177" s="1">
        <v>44626</v>
      </c>
      <c r="E177" s="1"/>
      <c r="F177" t="s">
        <v>3480</v>
      </c>
      <c r="G177" t="str">
        <f>IF(ISNA(_xlfn.XLOOKUP(subscriptions[[#This Row],[customer_id]], customers[customer_id], customers[customer_id])), "NO", "YES")</f>
        <v>YES</v>
      </c>
      <c r="H177">
        <f>IF(AND(subscriptions[[#This Row],[end_date]]&lt;&gt;"", subscriptions[[#This Row],[end_date]] &lt; subscriptions[[#This Row],[start_date]]), 1, 0)</f>
        <v>0</v>
      </c>
      <c r="I1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7">
        <f>IF(
  AND(subscriptions[[#This Row],[end_before_start]]=0, subscriptions[[#This Row],[status_end_mismatch]]=0),
  1,
  0
)</f>
        <v>1</v>
      </c>
    </row>
    <row r="178" spans="1:10" x14ac:dyDescent="0.3">
      <c r="A178">
        <v>4338530</v>
      </c>
      <c r="B178">
        <v>130170</v>
      </c>
      <c r="C178">
        <v>1009</v>
      </c>
      <c r="D178" s="1">
        <v>45543</v>
      </c>
      <c r="E178" s="1">
        <v>45654</v>
      </c>
      <c r="F178" t="s">
        <v>3479</v>
      </c>
      <c r="G178" t="str">
        <f>IF(ISNA(_xlfn.XLOOKUP(subscriptions[[#This Row],[customer_id]], customers[customer_id], customers[customer_id])), "NO", "YES")</f>
        <v>YES</v>
      </c>
      <c r="H178">
        <f>IF(AND(subscriptions[[#This Row],[end_date]]&lt;&gt;"", subscriptions[[#This Row],[end_date]] &lt; subscriptions[[#This Row],[start_date]]), 1, 0)</f>
        <v>0</v>
      </c>
      <c r="I1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8">
        <f>IF(
  AND(subscriptions[[#This Row],[end_before_start]]=0, subscriptions[[#This Row],[status_end_mismatch]]=0),
  1,
  0
)</f>
        <v>1</v>
      </c>
    </row>
    <row r="179" spans="1:10" x14ac:dyDescent="0.3">
      <c r="A179">
        <v>8064807</v>
      </c>
      <c r="B179">
        <v>492446</v>
      </c>
      <c r="C179">
        <v>1009</v>
      </c>
      <c r="D179" s="1">
        <v>45563</v>
      </c>
      <c r="E179" s="1"/>
      <c r="F179" t="s">
        <v>3480</v>
      </c>
      <c r="G179" t="str">
        <f>IF(ISNA(_xlfn.XLOOKUP(subscriptions[[#This Row],[customer_id]], customers[customer_id], customers[customer_id])), "NO", "YES")</f>
        <v>YES</v>
      </c>
      <c r="H179">
        <f>IF(AND(subscriptions[[#This Row],[end_date]]&lt;&gt;"", subscriptions[[#This Row],[end_date]] &lt; subscriptions[[#This Row],[start_date]]), 1, 0)</f>
        <v>0</v>
      </c>
      <c r="I1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79">
        <f>IF(
  AND(subscriptions[[#This Row],[end_before_start]]=0, subscriptions[[#This Row],[status_end_mismatch]]=0),
  1,
  0
)</f>
        <v>1</v>
      </c>
    </row>
    <row r="180" spans="1:10" x14ac:dyDescent="0.3">
      <c r="A180">
        <v>3137987</v>
      </c>
      <c r="B180">
        <v>514306</v>
      </c>
      <c r="C180">
        <v>1000</v>
      </c>
      <c r="D180" s="1">
        <v>45227</v>
      </c>
      <c r="E180" s="1">
        <v>45461</v>
      </c>
      <c r="F180" t="s">
        <v>3479</v>
      </c>
      <c r="G180" t="str">
        <f>IF(ISNA(_xlfn.XLOOKUP(subscriptions[[#This Row],[customer_id]], customers[customer_id], customers[customer_id])), "NO", "YES")</f>
        <v>YES</v>
      </c>
      <c r="H180">
        <f>IF(AND(subscriptions[[#This Row],[end_date]]&lt;&gt;"", subscriptions[[#This Row],[end_date]] &lt; subscriptions[[#This Row],[start_date]]), 1, 0)</f>
        <v>0</v>
      </c>
      <c r="I1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0">
        <f>IF(
  AND(subscriptions[[#This Row],[end_before_start]]=0, subscriptions[[#This Row],[status_end_mismatch]]=0),
  1,
  0
)</f>
        <v>1</v>
      </c>
    </row>
    <row r="181" spans="1:10" x14ac:dyDescent="0.3">
      <c r="A181">
        <v>9419789</v>
      </c>
      <c r="B181">
        <v>760830</v>
      </c>
      <c r="C181">
        <v>1000</v>
      </c>
      <c r="D181" s="1">
        <v>45358</v>
      </c>
      <c r="E181" s="1"/>
      <c r="F181" t="s">
        <v>3480</v>
      </c>
      <c r="G181" t="str">
        <f>IF(ISNA(_xlfn.XLOOKUP(subscriptions[[#This Row],[customer_id]], customers[customer_id], customers[customer_id])), "NO", "YES")</f>
        <v>YES</v>
      </c>
      <c r="H181">
        <f>IF(AND(subscriptions[[#This Row],[end_date]]&lt;&gt;"", subscriptions[[#This Row],[end_date]] &lt; subscriptions[[#This Row],[start_date]]), 1, 0)</f>
        <v>0</v>
      </c>
      <c r="I1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1">
        <f>IF(
  AND(subscriptions[[#This Row],[end_before_start]]=0, subscriptions[[#This Row],[status_end_mismatch]]=0),
  1,
  0
)</f>
        <v>1</v>
      </c>
    </row>
    <row r="182" spans="1:10" x14ac:dyDescent="0.3">
      <c r="A182">
        <v>2809919</v>
      </c>
      <c r="B182">
        <v>377312</v>
      </c>
      <c r="C182">
        <v>1003</v>
      </c>
      <c r="D182" s="1">
        <v>44605</v>
      </c>
      <c r="E182" s="1"/>
      <c r="F182" t="s">
        <v>3480</v>
      </c>
      <c r="G182" t="str">
        <f>IF(ISNA(_xlfn.XLOOKUP(subscriptions[[#This Row],[customer_id]], customers[customer_id], customers[customer_id])), "NO", "YES")</f>
        <v>YES</v>
      </c>
      <c r="H182">
        <f>IF(AND(subscriptions[[#This Row],[end_date]]&lt;&gt;"", subscriptions[[#This Row],[end_date]] &lt; subscriptions[[#This Row],[start_date]]), 1, 0)</f>
        <v>0</v>
      </c>
      <c r="I1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2">
        <f>IF(
  AND(subscriptions[[#This Row],[end_before_start]]=0, subscriptions[[#This Row],[status_end_mismatch]]=0),
  1,
  0
)</f>
        <v>1</v>
      </c>
    </row>
    <row r="183" spans="1:10" x14ac:dyDescent="0.3">
      <c r="A183">
        <v>6773384</v>
      </c>
      <c r="B183">
        <v>403915</v>
      </c>
      <c r="C183">
        <v>1001</v>
      </c>
      <c r="D183" s="1">
        <v>45586</v>
      </c>
      <c r="E183" s="1"/>
      <c r="F183" t="s">
        <v>3480</v>
      </c>
      <c r="G183" t="str">
        <f>IF(ISNA(_xlfn.XLOOKUP(subscriptions[[#This Row],[customer_id]], customers[customer_id], customers[customer_id])), "NO", "YES")</f>
        <v>YES</v>
      </c>
      <c r="H183">
        <f>IF(AND(subscriptions[[#This Row],[end_date]]&lt;&gt;"", subscriptions[[#This Row],[end_date]] &lt; subscriptions[[#This Row],[start_date]]), 1, 0)</f>
        <v>0</v>
      </c>
      <c r="I1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3">
        <f>IF(
  AND(subscriptions[[#This Row],[end_before_start]]=0, subscriptions[[#This Row],[status_end_mismatch]]=0),
  1,
  0
)</f>
        <v>1</v>
      </c>
    </row>
    <row r="184" spans="1:10" x14ac:dyDescent="0.3">
      <c r="A184">
        <v>4967894</v>
      </c>
      <c r="B184">
        <v>653948</v>
      </c>
      <c r="C184">
        <v>1000</v>
      </c>
      <c r="D184" s="1">
        <v>44668</v>
      </c>
      <c r="E184" s="1">
        <v>44873</v>
      </c>
      <c r="F184" t="s">
        <v>3479</v>
      </c>
      <c r="G184" t="str">
        <f>IF(ISNA(_xlfn.XLOOKUP(subscriptions[[#This Row],[customer_id]], customers[customer_id], customers[customer_id])), "NO", "YES")</f>
        <v>YES</v>
      </c>
      <c r="H184">
        <f>IF(AND(subscriptions[[#This Row],[end_date]]&lt;&gt;"", subscriptions[[#This Row],[end_date]] &lt; subscriptions[[#This Row],[start_date]]), 1, 0)</f>
        <v>0</v>
      </c>
      <c r="I1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4">
        <f>IF(
  AND(subscriptions[[#This Row],[end_before_start]]=0, subscriptions[[#This Row],[status_end_mismatch]]=0),
  1,
  0
)</f>
        <v>1</v>
      </c>
    </row>
    <row r="185" spans="1:10" x14ac:dyDescent="0.3">
      <c r="A185">
        <v>8208583</v>
      </c>
      <c r="B185">
        <v>572398</v>
      </c>
      <c r="C185">
        <v>1001</v>
      </c>
      <c r="D185" s="1">
        <v>44578</v>
      </c>
      <c r="E185" s="1"/>
      <c r="F185" t="s">
        <v>3480</v>
      </c>
      <c r="G185" t="str">
        <f>IF(ISNA(_xlfn.XLOOKUP(subscriptions[[#This Row],[customer_id]], customers[customer_id], customers[customer_id])), "NO", "YES")</f>
        <v>YES</v>
      </c>
      <c r="H185">
        <f>IF(AND(subscriptions[[#This Row],[end_date]]&lt;&gt;"", subscriptions[[#This Row],[end_date]] &lt; subscriptions[[#This Row],[start_date]]), 1, 0)</f>
        <v>0</v>
      </c>
      <c r="I1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5">
        <f>IF(
  AND(subscriptions[[#This Row],[end_before_start]]=0, subscriptions[[#This Row],[status_end_mismatch]]=0),
  1,
  0
)</f>
        <v>1</v>
      </c>
    </row>
    <row r="186" spans="1:10" x14ac:dyDescent="0.3">
      <c r="A186">
        <v>5856444</v>
      </c>
      <c r="B186">
        <v>189903</v>
      </c>
      <c r="C186">
        <v>1001</v>
      </c>
      <c r="D186" s="1">
        <v>45139</v>
      </c>
      <c r="E186" s="1"/>
      <c r="F186" t="s">
        <v>3480</v>
      </c>
      <c r="G186" t="str">
        <f>IF(ISNA(_xlfn.XLOOKUP(subscriptions[[#This Row],[customer_id]], customers[customer_id], customers[customer_id])), "NO", "YES")</f>
        <v>YES</v>
      </c>
      <c r="H186">
        <f>IF(AND(subscriptions[[#This Row],[end_date]]&lt;&gt;"", subscriptions[[#This Row],[end_date]] &lt; subscriptions[[#This Row],[start_date]]), 1, 0)</f>
        <v>0</v>
      </c>
      <c r="I1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6">
        <f>IF(
  AND(subscriptions[[#This Row],[end_before_start]]=0, subscriptions[[#This Row],[status_end_mismatch]]=0),
  1,
  0
)</f>
        <v>1</v>
      </c>
    </row>
    <row r="187" spans="1:10" x14ac:dyDescent="0.3">
      <c r="A187">
        <v>8196619</v>
      </c>
      <c r="B187">
        <v>703853</v>
      </c>
      <c r="C187">
        <v>1001</v>
      </c>
      <c r="D187" s="1">
        <v>45069</v>
      </c>
      <c r="E187" s="1">
        <v>45360</v>
      </c>
      <c r="F187" t="s">
        <v>3479</v>
      </c>
      <c r="G187" t="str">
        <f>IF(ISNA(_xlfn.XLOOKUP(subscriptions[[#This Row],[customer_id]], customers[customer_id], customers[customer_id])), "NO", "YES")</f>
        <v>YES</v>
      </c>
      <c r="H187">
        <f>IF(AND(subscriptions[[#This Row],[end_date]]&lt;&gt;"", subscriptions[[#This Row],[end_date]] &lt; subscriptions[[#This Row],[start_date]]), 1, 0)</f>
        <v>0</v>
      </c>
      <c r="I1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7">
        <f>IF(
  AND(subscriptions[[#This Row],[end_before_start]]=0, subscriptions[[#This Row],[status_end_mismatch]]=0),
  1,
  0
)</f>
        <v>1</v>
      </c>
    </row>
    <row r="188" spans="1:10" x14ac:dyDescent="0.3">
      <c r="A188">
        <v>4134994</v>
      </c>
      <c r="B188">
        <v>884225</v>
      </c>
      <c r="C188">
        <v>1007</v>
      </c>
      <c r="D188" s="1">
        <v>45072</v>
      </c>
      <c r="E188" s="1"/>
      <c r="F188" t="s">
        <v>3480</v>
      </c>
      <c r="G188" t="str">
        <f>IF(ISNA(_xlfn.XLOOKUP(subscriptions[[#This Row],[customer_id]], customers[customer_id], customers[customer_id])), "NO", "YES")</f>
        <v>YES</v>
      </c>
      <c r="H188">
        <f>IF(AND(subscriptions[[#This Row],[end_date]]&lt;&gt;"", subscriptions[[#This Row],[end_date]] &lt; subscriptions[[#This Row],[start_date]]), 1, 0)</f>
        <v>0</v>
      </c>
      <c r="I1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8">
        <f>IF(
  AND(subscriptions[[#This Row],[end_before_start]]=0, subscriptions[[#This Row],[status_end_mismatch]]=0),
  1,
  0
)</f>
        <v>1</v>
      </c>
    </row>
    <row r="189" spans="1:10" x14ac:dyDescent="0.3">
      <c r="A189">
        <v>2929715</v>
      </c>
      <c r="B189">
        <v>820767</v>
      </c>
      <c r="C189">
        <v>1002</v>
      </c>
      <c r="D189" s="1">
        <v>45101</v>
      </c>
      <c r="E189" s="1">
        <v>45257</v>
      </c>
      <c r="F189" t="s">
        <v>3479</v>
      </c>
      <c r="G189" t="str">
        <f>IF(ISNA(_xlfn.XLOOKUP(subscriptions[[#This Row],[customer_id]], customers[customer_id], customers[customer_id])), "NO", "YES")</f>
        <v>YES</v>
      </c>
      <c r="H189">
        <f>IF(AND(subscriptions[[#This Row],[end_date]]&lt;&gt;"", subscriptions[[#This Row],[end_date]] &lt; subscriptions[[#This Row],[start_date]]), 1, 0)</f>
        <v>0</v>
      </c>
      <c r="I1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89">
        <f>IF(
  AND(subscriptions[[#This Row],[end_before_start]]=0, subscriptions[[#This Row],[status_end_mismatch]]=0),
  1,
  0
)</f>
        <v>1</v>
      </c>
    </row>
    <row r="190" spans="1:10" x14ac:dyDescent="0.3">
      <c r="A190">
        <v>8200092</v>
      </c>
      <c r="B190">
        <v>461888</v>
      </c>
      <c r="C190">
        <v>1009</v>
      </c>
      <c r="D190" s="1">
        <v>44968</v>
      </c>
      <c r="E190" s="1"/>
      <c r="F190" t="s">
        <v>3480</v>
      </c>
      <c r="G190" t="str">
        <f>IF(ISNA(_xlfn.XLOOKUP(subscriptions[[#This Row],[customer_id]], customers[customer_id], customers[customer_id])), "NO", "YES")</f>
        <v>YES</v>
      </c>
      <c r="H190">
        <f>IF(AND(subscriptions[[#This Row],[end_date]]&lt;&gt;"", subscriptions[[#This Row],[end_date]] &lt; subscriptions[[#This Row],[start_date]]), 1, 0)</f>
        <v>0</v>
      </c>
      <c r="I1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0">
        <f>IF(
  AND(subscriptions[[#This Row],[end_before_start]]=0, subscriptions[[#This Row],[status_end_mismatch]]=0),
  1,
  0
)</f>
        <v>1</v>
      </c>
    </row>
    <row r="191" spans="1:10" x14ac:dyDescent="0.3">
      <c r="A191">
        <v>2729141</v>
      </c>
      <c r="B191">
        <v>916779</v>
      </c>
      <c r="C191">
        <v>1007</v>
      </c>
      <c r="D191" s="1">
        <v>45590</v>
      </c>
      <c r="E191" s="1">
        <v>45630</v>
      </c>
      <c r="F191" t="s">
        <v>3479</v>
      </c>
      <c r="G191" t="str">
        <f>IF(ISNA(_xlfn.XLOOKUP(subscriptions[[#This Row],[customer_id]], customers[customer_id], customers[customer_id])), "NO", "YES")</f>
        <v>YES</v>
      </c>
      <c r="H191">
        <f>IF(AND(subscriptions[[#This Row],[end_date]]&lt;&gt;"", subscriptions[[#This Row],[end_date]] &lt; subscriptions[[#This Row],[start_date]]), 1, 0)</f>
        <v>0</v>
      </c>
      <c r="I1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1">
        <f>IF(
  AND(subscriptions[[#This Row],[end_before_start]]=0, subscriptions[[#This Row],[status_end_mismatch]]=0),
  1,
  0
)</f>
        <v>1</v>
      </c>
    </row>
    <row r="192" spans="1:10" x14ac:dyDescent="0.3">
      <c r="A192">
        <v>3495209</v>
      </c>
      <c r="B192">
        <v>389666</v>
      </c>
      <c r="C192">
        <v>1008</v>
      </c>
      <c r="D192" s="1">
        <v>45031</v>
      </c>
      <c r="E192" s="1"/>
      <c r="F192" t="s">
        <v>3480</v>
      </c>
      <c r="G192" t="str">
        <f>IF(ISNA(_xlfn.XLOOKUP(subscriptions[[#This Row],[customer_id]], customers[customer_id], customers[customer_id])), "NO", "YES")</f>
        <v>YES</v>
      </c>
      <c r="H192">
        <f>IF(AND(subscriptions[[#This Row],[end_date]]&lt;&gt;"", subscriptions[[#This Row],[end_date]] &lt; subscriptions[[#This Row],[start_date]]), 1, 0)</f>
        <v>0</v>
      </c>
      <c r="I1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2">
        <f>IF(
  AND(subscriptions[[#This Row],[end_before_start]]=0, subscriptions[[#This Row],[status_end_mismatch]]=0),
  1,
  0
)</f>
        <v>1</v>
      </c>
    </row>
    <row r="193" spans="1:10" x14ac:dyDescent="0.3">
      <c r="A193">
        <v>7732414</v>
      </c>
      <c r="B193">
        <v>325258</v>
      </c>
      <c r="C193">
        <v>1001</v>
      </c>
      <c r="D193" s="1">
        <v>44640</v>
      </c>
      <c r="E193" s="1"/>
      <c r="F193" t="s">
        <v>3480</v>
      </c>
      <c r="G193" t="str">
        <f>IF(ISNA(_xlfn.XLOOKUP(subscriptions[[#This Row],[customer_id]], customers[customer_id], customers[customer_id])), "NO", "YES")</f>
        <v>YES</v>
      </c>
      <c r="H193">
        <f>IF(AND(subscriptions[[#This Row],[end_date]]&lt;&gt;"", subscriptions[[#This Row],[end_date]] &lt; subscriptions[[#This Row],[start_date]]), 1, 0)</f>
        <v>0</v>
      </c>
      <c r="I1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3">
        <f>IF(
  AND(subscriptions[[#This Row],[end_before_start]]=0, subscriptions[[#This Row],[status_end_mismatch]]=0),
  1,
  0
)</f>
        <v>1</v>
      </c>
    </row>
    <row r="194" spans="1:10" x14ac:dyDescent="0.3">
      <c r="A194">
        <v>4224201</v>
      </c>
      <c r="B194">
        <v>813328</v>
      </c>
      <c r="C194">
        <v>1006</v>
      </c>
      <c r="D194" s="1">
        <v>44861</v>
      </c>
      <c r="E194" s="1"/>
      <c r="F194" t="s">
        <v>3480</v>
      </c>
      <c r="G194" t="str">
        <f>IF(ISNA(_xlfn.XLOOKUP(subscriptions[[#This Row],[customer_id]], customers[customer_id], customers[customer_id])), "NO", "YES")</f>
        <v>YES</v>
      </c>
      <c r="H194">
        <f>IF(AND(subscriptions[[#This Row],[end_date]]&lt;&gt;"", subscriptions[[#This Row],[end_date]] &lt; subscriptions[[#This Row],[start_date]]), 1, 0)</f>
        <v>0</v>
      </c>
      <c r="I1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4">
        <f>IF(
  AND(subscriptions[[#This Row],[end_before_start]]=0, subscriptions[[#This Row],[status_end_mismatch]]=0),
  1,
  0
)</f>
        <v>1</v>
      </c>
    </row>
    <row r="195" spans="1:10" x14ac:dyDescent="0.3">
      <c r="A195">
        <v>4349462</v>
      </c>
      <c r="B195">
        <v>929420</v>
      </c>
      <c r="C195">
        <v>1000</v>
      </c>
      <c r="D195" s="1">
        <v>44748</v>
      </c>
      <c r="E195" s="1">
        <v>44972</v>
      </c>
      <c r="F195" t="s">
        <v>3479</v>
      </c>
      <c r="G195" t="str">
        <f>IF(ISNA(_xlfn.XLOOKUP(subscriptions[[#This Row],[customer_id]], customers[customer_id], customers[customer_id])), "NO", "YES")</f>
        <v>YES</v>
      </c>
      <c r="H195">
        <f>IF(AND(subscriptions[[#This Row],[end_date]]&lt;&gt;"", subscriptions[[#This Row],[end_date]] &lt; subscriptions[[#This Row],[start_date]]), 1, 0)</f>
        <v>0</v>
      </c>
      <c r="I1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5">
        <f>IF(
  AND(subscriptions[[#This Row],[end_before_start]]=0, subscriptions[[#This Row],[status_end_mismatch]]=0),
  1,
  0
)</f>
        <v>1</v>
      </c>
    </row>
    <row r="196" spans="1:10" x14ac:dyDescent="0.3">
      <c r="A196">
        <v>7833312</v>
      </c>
      <c r="B196">
        <v>245699</v>
      </c>
      <c r="C196">
        <v>1002</v>
      </c>
      <c r="D196" s="1">
        <v>45189</v>
      </c>
      <c r="E196" s="1">
        <v>45337</v>
      </c>
      <c r="F196" t="s">
        <v>3479</v>
      </c>
      <c r="G196" t="str">
        <f>IF(ISNA(_xlfn.XLOOKUP(subscriptions[[#This Row],[customer_id]], customers[customer_id], customers[customer_id])), "NO", "YES")</f>
        <v>YES</v>
      </c>
      <c r="H196">
        <f>IF(AND(subscriptions[[#This Row],[end_date]]&lt;&gt;"", subscriptions[[#This Row],[end_date]] &lt; subscriptions[[#This Row],[start_date]]), 1, 0)</f>
        <v>0</v>
      </c>
      <c r="I1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6">
        <f>IF(
  AND(subscriptions[[#This Row],[end_before_start]]=0, subscriptions[[#This Row],[status_end_mismatch]]=0),
  1,
  0
)</f>
        <v>1</v>
      </c>
    </row>
    <row r="197" spans="1:10" x14ac:dyDescent="0.3">
      <c r="A197">
        <v>4720771</v>
      </c>
      <c r="B197">
        <v>998043</v>
      </c>
      <c r="C197">
        <v>1005</v>
      </c>
      <c r="D197" s="1">
        <v>45250</v>
      </c>
      <c r="E197" s="1"/>
      <c r="F197" t="s">
        <v>3480</v>
      </c>
      <c r="G197" t="str">
        <f>IF(ISNA(_xlfn.XLOOKUP(subscriptions[[#This Row],[customer_id]], customers[customer_id], customers[customer_id])), "NO", "YES")</f>
        <v>YES</v>
      </c>
      <c r="H197">
        <f>IF(AND(subscriptions[[#This Row],[end_date]]&lt;&gt;"", subscriptions[[#This Row],[end_date]] &lt; subscriptions[[#This Row],[start_date]]), 1, 0)</f>
        <v>0</v>
      </c>
      <c r="I1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7">
        <f>IF(
  AND(subscriptions[[#This Row],[end_before_start]]=0, subscriptions[[#This Row],[status_end_mismatch]]=0),
  1,
  0
)</f>
        <v>1</v>
      </c>
    </row>
    <row r="198" spans="1:10" x14ac:dyDescent="0.3">
      <c r="A198">
        <v>2029277</v>
      </c>
      <c r="B198">
        <v>172222</v>
      </c>
      <c r="C198">
        <v>1001</v>
      </c>
      <c r="D198" s="1">
        <v>45436</v>
      </c>
      <c r="E198" s="1">
        <v>45621</v>
      </c>
      <c r="F198" t="s">
        <v>3479</v>
      </c>
      <c r="G198" t="str">
        <f>IF(ISNA(_xlfn.XLOOKUP(subscriptions[[#This Row],[customer_id]], customers[customer_id], customers[customer_id])), "NO", "YES")</f>
        <v>YES</v>
      </c>
      <c r="H198">
        <f>IF(AND(subscriptions[[#This Row],[end_date]]&lt;&gt;"", subscriptions[[#This Row],[end_date]] &lt; subscriptions[[#This Row],[start_date]]), 1, 0)</f>
        <v>0</v>
      </c>
      <c r="I1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8">
        <f>IF(
  AND(subscriptions[[#This Row],[end_before_start]]=0, subscriptions[[#This Row],[status_end_mismatch]]=0),
  1,
  0
)</f>
        <v>1</v>
      </c>
    </row>
    <row r="199" spans="1:10" x14ac:dyDescent="0.3">
      <c r="A199">
        <v>2846415</v>
      </c>
      <c r="B199">
        <v>178686</v>
      </c>
      <c r="C199">
        <v>1006</v>
      </c>
      <c r="D199" s="1">
        <v>45113</v>
      </c>
      <c r="E199" s="1"/>
      <c r="F199" t="s">
        <v>3480</v>
      </c>
      <c r="G199" t="str">
        <f>IF(ISNA(_xlfn.XLOOKUP(subscriptions[[#This Row],[customer_id]], customers[customer_id], customers[customer_id])), "NO", "YES")</f>
        <v>YES</v>
      </c>
      <c r="H199">
        <f>IF(AND(subscriptions[[#This Row],[end_date]]&lt;&gt;"", subscriptions[[#This Row],[end_date]] &lt; subscriptions[[#This Row],[start_date]]), 1, 0)</f>
        <v>0</v>
      </c>
      <c r="I1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99">
        <f>IF(
  AND(subscriptions[[#This Row],[end_before_start]]=0, subscriptions[[#This Row],[status_end_mismatch]]=0),
  1,
  0
)</f>
        <v>1</v>
      </c>
    </row>
    <row r="200" spans="1:10" x14ac:dyDescent="0.3">
      <c r="A200">
        <v>6889214</v>
      </c>
      <c r="B200">
        <v>900961</v>
      </c>
      <c r="C200">
        <v>1004</v>
      </c>
      <c r="D200" s="1">
        <v>45418</v>
      </c>
      <c r="E200" s="1"/>
      <c r="F200" t="s">
        <v>3480</v>
      </c>
      <c r="G200" t="str">
        <f>IF(ISNA(_xlfn.XLOOKUP(subscriptions[[#This Row],[customer_id]], customers[customer_id], customers[customer_id])), "NO", "YES")</f>
        <v>YES</v>
      </c>
      <c r="H200">
        <f>IF(AND(subscriptions[[#This Row],[end_date]]&lt;&gt;"", subscriptions[[#This Row],[end_date]] &lt; subscriptions[[#This Row],[start_date]]), 1, 0)</f>
        <v>0</v>
      </c>
      <c r="I2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0">
        <f>IF(
  AND(subscriptions[[#This Row],[end_before_start]]=0, subscriptions[[#This Row],[status_end_mismatch]]=0),
  1,
  0
)</f>
        <v>1</v>
      </c>
    </row>
    <row r="201" spans="1:10" x14ac:dyDescent="0.3">
      <c r="A201">
        <v>1797863</v>
      </c>
      <c r="B201">
        <v>100716</v>
      </c>
      <c r="C201">
        <v>1005</v>
      </c>
      <c r="D201" s="1">
        <v>44934</v>
      </c>
      <c r="E201" s="1"/>
      <c r="F201" t="s">
        <v>3480</v>
      </c>
      <c r="G201" t="str">
        <f>IF(ISNA(_xlfn.XLOOKUP(subscriptions[[#This Row],[customer_id]], customers[customer_id], customers[customer_id])), "NO", "YES")</f>
        <v>YES</v>
      </c>
      <c r="H201">
        <f>IF(AND(subscriptions[[#This Row],[end_date]]&lt;&gt;"", subscriptions[[#This Row],[end_date]] &lt; subscriptions[[#This Row],[start_date]]), 1, 0)</f>
        <v>0</v>
      </c>
      <c r="I2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1">
        <f>IF(
  AND(subscriptions[[#This Row],[end_before_start]]=0, subscriptions[[#This Row],[status_end_mismatch]]=0),
  1,
  0
)</f>
        <v>1</v>
      </c>
    </row>
    <row r="202" spans="1:10" x14ac:dyDescent="0.3">
      <c r="A202">
        <v>1874606</v>
      </c>
      <c r="B202">
        <v>916332</v>
      </c>
      <c r="C202">
        <v>1004</v>
      </c>
      <c r="D202" s="1">
        <v>45220</v>
      </c>
      <c r="E202" s="1"/>
      <c r="F202" t="s">
        <v>3480</v>
      </c>
      <c r="G202" t="str">
        <f>IF(ISNA(_xlfn.XLOOKUP(subscriptions[[#This Row],[customer_id]], customers[customer_id], customers[customer_id])), "NO", "YES")</f>
        <v>YES</v>
      </c>
      <c r="H202">
        <f>IF(AND(subscriptions[[#This Row],[end_date]]&lt;&gt;"", subscriptions[[#This Row],[end_date]] &lt; subscriptions[[#This Row],[start_date]]), 1, 0)</f>
        <v>0</v>
      </c>
      <c r="I2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2">
        <f>IF(
  AND(subscriptions[[#This Row],[end_before_start]]=0, subscriptions[[#This Row],[status_end_mismatch]]=0),
  1,
  0
)</f>
        <v>1</v>
      </c>
    </row>
    <row r="203" spans="1:10" x14ac:dyDescent="0.3">
      <c r="A203">
        <v>8919821</v>
      </c>
      <c r="B203">
        <v>820442</v>
      </c>
      <c r="C203">
        <v>1008</v>
      </c>
      <c r="D203" s="1">
        <v>45135</v>
      </c>
      <c r="E203" s="1">
        <v>45216</v>
      </c>
      <c r="F203" t="s">
        <v>3479</v>
      </c>
      <c r="G203" t="str">
        <f>IF(ISNA(_xlfn.XLOOKUP(subscriptions[[#This Row],[customer_id]], customers[customer_id], customers[customer_id])), "NO", "YES")</f>
        <v>YES</v>
      </c>
      <c r="H203">
        <f>IF(AND(subscriptions[[#This Row],[end_date]]&lt;&gt;"", subscriptions[[#This Row],[end_date]] &lt; subscriptions[[#This Row],[start_date]]), 1, 0)</f>
        <v>0</v>
      </c>
      <c r="I2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3">
        <f>IF(
  AND(subscriptions[[#This Row],[end_before_start]]=0, subscriptions[[#This Row],[status_end_mismatch]]=0),
  1,
  0
)</f>
        <v>1</v>
      </c>
    </row>
    <row r="204" spans="1:10" x14ac:dyDescent="0.3">
      <c r="A204">
        <v>8229428</v>
      </c>
      <c r="B204">
        <v>211579</v>
      </c>
      <c r="C204">
        <v>1007</v>
      </c>
      <c r="D204" s="1">
        <v>44940</v>
      </c>
      <c r="E204" s="1"/>
      <c r="F204" t="s">
        <v>3480</v>
      </c>
      <c r="G204" t="str">
        <f>IF(ISNA(_xlfn.XLOOKUP(subscriptions[[#This Row],[customer_id]], customers[customer_id], customers[customer_id])), "NO", "YES")</f>
        <v>YES</v>
      </c>
      <c r="H204">
        <f>IF(AND(subscriptions[[#This Row],[end_date]]&lt;&gt;"", subscriptions[[#This Row],[end_date]] &lt; subscriptions[[#This Row],[start_date]]), 1, 0)</f>
        <v>0</v>
      </c>
      <c r="I2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4">
        <f>IF(
  AND(subscriptions[[#This Row],[end_before_start]]=0, subscriptions[[#This Row],[status_end_mismatch]]=0),
  1,
  0
)</f>
        <v>1</v>
      </c>
    </row>
    <row r="205" spans="1:10" x14ac:dyDescent="0.3">
      <c r="A205">
        <v>9242417</v>
      </c>
      <c r="B205">
        <v>246942</v>
      </c>
      <c r="C205">
        <v>1002</v>
      </c>
      <c r="D205" s="1">
        <v>45306</v>
      </c>
      <c r="E205" s="1"/>
      <c r="F205" t="s">
        <v>3480</v>
      </c>
      <c r="G205" t="str">
        <f>IF(ISNA(_xlfn.XLOOKUP(subscriptions[[#This Row],[customer_id]], customers[customer_id], customers[customer_id])), "NO", "YES")</f>
        <v>YES</v>
      </c>
      <c r="H205">
        <f>IF(AND(subscriptions[[#This Row],[end_date]]&lt;&gt;"", subscriptions[[#This Row],[end_date]] &lt; subscriptions[[#This Row],[start_date]]), 1, 0)</f>
        <v>0</v>
      </c>
      <c r="I2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5">
        <f>IF(
  AND(subscriptions[[#This Row],[end_before_start]]=0, subscriptions[[#This Row],[status_end_mismatch]]=0),
  1,
  0
)</f>
        <v>1</v>
      </c>
    </row>
    <row r="206" spans="1:10" x14ac:dyDescent="0.3">
      <c r="A206">
        <v>2871139</v>
      </c>
      <c r="B206">
        <v>525581</v>
      </c>
      <c r="C206">
        <v>1008</v>
      </c>
      <c r="D206" s="1">
        <v>44760</v>
      </c>
      <c r="E206" s="1">
        <v>45139</v>
      </c>
      <c r="F206" t="s">
        <v>3479</v>
      </c>
      <c r="G206" t="str">
        <f>IF(ISNA(_xlfn.XLOOKUP(subscriptions[[#This Row],[customer_id]], customers[customer_id], customers[customer_id])), "NO", "YES")</f>
        <v>YES</v>
      </c>
      <c r="H206">
        <f>IF(AND(subscriptions[[#This Row],[end_date]]&lt;&gt;"", subscriptions[[#This Row],[end_date]] &lt; subscriptions[[#This Row],[start_date]]), 1, 0)</f>
        <v>0</v>
      </c>
      <c r="I2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6">
        <f>IF(
  AND(subscriptions[[#This Row],[end_before_start]]=0, subscriptions[[#This Row],[status_end_mismatch]]=0),
  1,
  0
)</f>
        <v>1</v>
      </c>
    </row>
    <row r="207" spans="1:10" x14ac:dyDescent="0.3">
      <c r="A207">
        <v>3186206</v>
      </c>
      <c r="B207">
        <v>722665</v>
      </c>
      <c r="C207">
        <v>1001</v>
      </c>
      <c r="D207" s="1">
        <v>45240</v>
      </c>
      <c r="E207" s="1"/>
      <c r="F207" t="s">
        <v>3480</v>
      </c>
      <c r="G207" t="str">
        <f>IF(ISNA(_xlfn.XLOOKUP(subscriptions[[#This Row],[customer_id]], customers[customer_id], customers[customer_id])), "NO", "YES")</f>
        <v>YES</v>
      </c>
      <c r="H207">
        <f>IF(AND(subscriptions[[#This Row],[end_date]]&lt;&gt;"", subscriptions[[#This Row],[end_date]] &lt; subscriptions[[#This Row],[start_date]]), 1, 0)</f>
        <v>0</v>
      </c>
      <c r="I2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7">
        <f>IF(
  AND(subscriptions[[#This Row],[end_before_start]]=0, subscriptions[[#This Row],[status_end_mismatch]]=0),
  1,
  0
)</f>
        <v>1</v>
      </c>
    </row>
    <row r="208" spans="1:10" x14ac:dyDescent="0.3">
      <c r="A208">
        <v>7063033</v>
      </c>
      <c r="B208">
        <v>647341</v>
      </c>
      <c r="C208">
        <v>1006</v>
      </c>
      <c r="D208" s="1">
        <v>45323</v>
      </c>
      <c r="E208" s="1"/>
      <c r="F208" t="s">
        <v>3480</v>
      </c>
      <c r="G208" t="str">
        <f>IF(ISNA(_xlfn.XLOOKUP(subscriptions[[#This Row],[customer_id]], customers[customer_id], customers[customer_id])), "NO", "YES")</f>
        <v>YES</v>
      </c>
      <c r="H208">
        <f>IF(AND(subscriptions[[#This Row],[end_date]]&lt;&gt;"", subscriptions[[#This Row],[end_date]] &lt; subscriptions[[#This Row],[start_date]]), 1, 0)</f>
        <v>0</v>
      </c>
      <c r="I2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8">
        <f>IF(
  AND(subscriptions[[#This Row],[end_before_start]]=0, subscriptions[[#This Row],[status_end_mismatch]]=0),
  1,
  0
)</f>
        <v>1</v>
      </c>
    </row>
    <row r="209" spans="1:10" x14ac:dyDescent="0.3">
      <c r="A209">
        <v>5629621</v>
      </c>
      <c r="B209">
        <v>826894</v>
      </c>
      <c r="C209">
        <v>1009</v>
      </c>
      <c r="D209" s="1">
        <v>44992</v>
      </c>
      <c r="E209" s="1"/>
      <c r="F209" t="s">
        <v>3480</v>
      </c>
      <c r="G209" t="str">
        <f>IF(ISNA(_xlfn.XLOOKUP(subscriptions[[#This Row],[customer_id]], customers[customer_id], customers[customer_id])), "NO", "YES")</f>
        <v>YES</v>
      </c>
      <c r="H209">
        <f>IF(AND(subscriptions[[#This Row],[end_date]]&lt;&gt;"", subscriptions[[#This Row],[end_date]] &lt; subscriptions[[#This Row],[start_date]]), 1, 0)</f>
        <v>0</v>
      </c>
      <c r="I2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09">
        <f>IF(
  AND(subscriptions[[#This Row],[end_before_start]]=0, subscriptions[[#This Row],[status_end_mismatch]]=0),
  1,
  0
)</f>
        <v>1</v>
      </c>
    </row>
    <row r="210" spans="1:10" x14ac:dyDescent="0.3">
      <c r="A210">
        <v>2463496</v>
      </c>
      <c r="B210">
        <v>230208</v>
      </c>
      <c r="C210">
        <v>1001</v>
      </c>
      <c r="D210" s="1">
        <v>44779</v>
      </c>
      <c r="E210" s="1"/>
      <c r="F210" t="s">
        <v>3480</v>
      </c>
      <c r="G210" t="str">
        <f>IF(ISNA(_xlfn.XLOOKUP(subscriptions[[#This Row],[customer_id]], customers[customer_id], customers[customer_id])), "NO", "YES")</f>
        <v>YES</v>
      </c>
      <c r="H210">
        <f>IF(AND(subscriptions[[#This Row],[end_date]]&lt;&gt;"", subscriptions[[#This Row],[end_date]] &lt; subscriptions[[#This Row],[start_date]]), 1, 0)</f>
        <v>0</v>
      </c>
      <c r="I2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0">
        <f>IF(
  AND(subscriptions[[#This Row],[end_before_start]]=0, subscriptions[[#This Row],[status_end_mismatch]]=0),
  1,
  0
)</f>
        <v>1</v>
      </c>
    </row>
    <row r="211" spans="1:10" x14ac:dyDescent="0.3">
      <c r="A211">
        <v>3019210</v>
      </c>
      <c r="B211">
        <v>139286</v>
      </c>
      <c r="C211">
        <v>1007</v>
      </c>
      <c r="D211" s="1">
        <v>44646</v>
      </c>
      <c r="E211" s="1"/>
      <c r="F211" t="s">
        <v>3480</v>
      </c>
      <c r="G211" t="str">
        <f>IF(ISNA(_xlfn.XLOOKUP(subscriptions[[#This Row],[customer_id]], customers[customer_id], customers[customer_id])), "NO", "YES")</f>
        <v>YES</v>
      </c>
      <c r="H211">
        <f>IF(AND(subscriptions[[#This Row],[end_date]]&lt;&gt;"", subscriptions[[#This Row],[end_date]] &lt; subscriptions[[#This Row],[start_date]]), 1, 0)</f>
        <v>0</v>
      </c>
      <c r="I2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1">
        <f>IF(
  AND(subscriptions[[#This Row],[end_before_start]]=0, subscriptions[[#This Row],[status_end_mismatch]]=0),
  1,
  0
)</f>
        <v>1</v>
      </c>
    </row>
    <row r="212" spans="1:10" x14ac:dyDescent="0.3">
      <c r="A212">
        <v>4194945</v>
      </c>
      <c r="B212">
        <v>933510</v>
      </c>
      <c r="C212">
        <v>1009</v>
      </c>
      <c r="D212" s="1">
        <v>44957</v>
      </c>
      <c r="E212" s="1">
        <v>45037</v>
      </c>
      <c r="F212" t="s">
        <v>3479</v>
      </c>
      <c r="G212" t="str">
        <f>IF(ISNA(_xlfn.XLOOKUP(subscriptions[[#This Row],[customer_id]], customers[customer_id], customers[customer_id])), "NO", "YES")</f>
        <v>YES</v>
      </c>
      <c r="H212">
        <f>IF(AND(subscriptions[[#This Row],[end_date]]&lt;&gt;"", subscriptions[[#This Row],[end_date]] &lt; subscriptions[[#This Row],[start_date]]), 1, 0)</f>
        <v>0</v>
      </c>
      <c r="I2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2">
        <f>IF(
  AND(subscriptions[[#This Row],[end_before_start]]=0, subscriptions[[#This Row],[status_end_mismatch]]=0),
  1,
  0
)</f>
        <v>1</v>
      </c>
    </row>
    <row r="213" spans="1:10" x14ac:dyDescent="0.3">
      <c r="A213">
        <v>2256271</v>
      </c>
      <c r="B213">
        <v>366776</v>
      </c>
      <c r="C213">
        <v>1001</v>
      </c>
      <c r="D213" s="1">
        <v>45264</v>
      </c>
      <c r="E213" s="1"/>
      <c r="F213" t="s">
        <v>3480</v>
      </c>
      <c r="G213" t="str">
        <f>IF(ISNA(_xlfn.XLOOKUP(subscriptions[[#This Row],[customer_id]], customers[customer_id], customers[customer_id])), "NO", "YES")</f>
        <v>YES</v>
      </c>
      <c r="H213">
        <f>IF(AND(subscriptions[[#This Row],[end_date]]&lt;&gt;"", subscriptions[[#This Row],[end_date]] &lt; subscriptions[[#This Row],[start_date]]), 1, 0)</f>
        <v>0</v>
      </c>
      <c r="I2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3">
        <f>IF(
  AND(subscriptions[[#This Row],[end_before_start]]=0, subscriptions[[#This Row],[status_end_mismatch]]=0),
  1,
  0
)</f>
        <v>1</v>
      </c>
    </row>
    <row r="214" spans="1:10" x14ac:dyDescent="0.3">
      <c r="A214">
        <v>8955730</v>
      </c>
      <c r="B214">
        <v>889759</v>
      </c>
      <c r="C214">
        <v>1000</v>
      </c>
      <c r="D214" s="1">
        <v>44975</v>
      </c>
      <c r="E214" s="1"/>
      <c r="F214" t="s">
        <v>3480</v>
      </c>
      <c r="G214" t="str">
        <f>IF(ISNA(_xlfn.XLOOKUP(subscriptions[[#This Row],[customer_id]], customers[customer_id], customers[customer_id])), "NO", "YES")</f>
        <v>YES</v>
      </c>
      <c r="H214">
        <f>IF(AND(subscriptions[[#This Row],[end_date]]&lt;&gt;"", subscriptions[[#This Row],[end_date]] &lt; subscriptions[[#This Row],[start_date]]), 1, 0)</f>
        <v>0</v>
      </c>
      <c r="I2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4">
        <f>IF(
  AND(subscriptions[[#This Row],[end_before_start]]=0, subscriptions[[#This Row],[status_end_mismatch]]=0),
  1,
  0
)</f>
        <v>1</v>
      </c>
    </row>
    <row r="215" spans="1:10" x14ac:dyDescent="0.3">
      <c r="A215">
        <v>3578194</v>
      </c>
      <c r="B215">
        <v>441819</v>
      </c>
      <c r="C215">
        <v>1009</v>
      </c>
      <c r="D215" s="1">
        <v>44651</v>
      </c>
      <c r="E215" s="1"/>
      <c r="F215" t="s">
        <v>3480</v>
      </c>
      <c r="G215" t="str">
        <f>IF(ISNA(_xlfn.XLOOKUP(subscriptions[[#This Row],[customer_id]], customers[customer_id], customers[customer_id])), "NO", "YES")</f>
        <v>YES</v>
      </c>
      <c r="H215">
        <f>IF(AND(subscriptions[[#This Row],[end_date]]&lt;&gt;"", subscriptions[[#This Row],[end_date]] &lt; subscriptions[[#This Row],[start_date]]), 1, 0)</f>
        <v>0</v>
      </c>
      <c r="I2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5">
        <f>IF(
  AND(subscriptions[[#This Row],[end_before_start]]=0, subscriptions[[#This Row],[status_end_mismatch]]=0),
  1,
  0
)</f>
        <v>1</v>
      </c>
    </row>
    <row r="216" spans="1:10" x14ac:dyDescent="0.3">
      <c r="A216">
        <v>8016442</v>
      </c>
      <c r="B216">
        <v>136862</v>
      </c>
      <c r="C216">
        <v>1006</v>
      </c>
      <c r="D216" s="1">
        <v>45079</v>
      </c>
      <c r="E216" s="1">
        <v>45395</v>
      </c>
      <c r="F216" t="s">
        <v>3479</v>
      </c>
      <c r="G216" t="str">
        <f>IF(ISNA(_xlfn.XLOOKUP(subscriptions[[#This Row],[customer_id]], customers[customer_id], customers[customer_id])), "NO", "YES")</f>
        <v>YES</v>
      </c>
      <c r="H216">
        <f>IF(AND(subscriptions[[#This Row],[end_date]]&lt;&gt;"", subscriptions[[#This Row],[end_date]] &lt; subscriptions[[#This Row],[start_date]]), 1, 0)</f>
        <v>0</v>
      </c>
      <c r="I2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6">
        <f>IF(
  AND(subscriptions[[#This Row],[end_before_start]]=0, subscriptions[[#This Row],[status_end_mismatch]]=0),
  1,
  0
)</f>
        <v>1</v>
      </c>
    </row>
    <row r="217" spans="1:10" x14ac:dyDescent="0.3">
      <c r="A217">
        <v>6827390</v>
      </c>
      <c r="B217">
        <v>419987</v>
      </c>
      <c r="C217">
        <v>1008</v>
      </c>
      <c r="D217" s="1">
        <v>45311</v>
      </c>
      <c r="E217" s="1"/>
      <c r="F217" t="s">
        <v>3480</v>
      </c>
      <c r="G217" t="str">
        <f>IF(ISNA(_xlfn.XLOOKUP(subscriptions[[#This Row],[customer_id]], customers[customer_id], customers[customer_id])), "NO", "YES")</f>
        <v>YES</v>
      </c>
      <c r="H217">
        <f>IF(AND(subscriptions[[#This Row],[end_date]]&lt;&gt;"", subscriptions[[#This Row],[end_date]] &lt; subscriptions[[#This Row],[start_date]]), 1, 0)</f>
        <v>0</v>
      </c>
      <c r="I2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7">
        <f>IF(
  AND(subscriptions[[#This Row],[end_before_start]]=0, subscriptions[[#This Row],[status_end_mismatch]]=0),
  1,
  0
)</f>
        <v>1</v>
      </c>
    </row>
    <row r="218" spans="1:10" x14ac:dyDescent="0.3">
      <c r="A218">
        <v>2970130</v>
      </c>
      <c r="B218">
        <v>506045</v>
      </c>
      <c r="C218">
        <v>1006</v>
      </c>
      <c r="D218" s="1">
        <v>45455</v>
      </c>
      <c r="E218" s="1"/>
      <c r="F218" t="s">
        <v>3480</v>
      </c>
      <c r="G218" t="str">
        <f>IF(ISNA(_xlfn.XLOOKUP(subscriptions[[#This Row],[customer_id]], customers[customer_id], customers[customer_id])), "NO", "YES")</f>
        <v>YES</v>
      </c>
      <c r="H218">
        <f>IF(AND(subscriptions[[#This Row],[end_date]]&lt;&gt;"", subscriptions[[#This Row],[end_date]] &lt; subscriptions[[#This Row],[start_date]]), 1, 0)</f>
        <v>0</v>
      </c>
      <c r="I2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8">
        <f>IF(
  AND(subscriptions[[#This Row],[end_before_start]]=0, subscriptions[[#This Row],[status_end_mismatch]]=0),
  1,
  0
)</f>
        <v>1</v>
      </c>
    </row>
    <row r="219" spans="1:10" x14ac:dyDescent="0.3">
      <c r="A219">
        <v>8029723</v>
      </c>
      <c r="B219">
        <v>152046</v>
      </c>
      <c r="C219">
        <v>1001</v>
      </c>
      <c r="D219" s="1">
        <v>45593</v>
      </c>
      <c r="E219" s="1">
        <v>45638</v>
      </c>
      <c r="F219" t="s">
        <v>3479</v>
      </c>
      <c r="G219" t="str">
        <f>IF(ISNA(_xlfn.XLOOKUP(subscriptions[[#This Row],[customer_id]], customers[customer_id], customers[customer_id])), "NO", "YES")</f>
        <v>YES</v>
      </c>
      <c r="H219">
        <f>IF(AND(subscriptions[[#This Row],[end_date]]&lt;&gt;"", subscriptions[[#This Row],[end_date]] &lt; subscriptions[[#This Row],[start_date]]), 1, 0)</f>
        <v>0</v>
      </c>
      <c r="I2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19">
        <f>IF(
  AND(subscriptions[[#This Row],[end_before_start]]=0, subscriptions[[#This Row],[status_end_mismatch]]=0),
  1,
  0
)</f>
        <v>1</v>
      </c>
    </row>
    <row r="220" spans="1:10" x14ac:dyDescent="0.3">
      <c r="A220">
        <v>5599450</v>
      </c>
      <c r="B220">
        <v>265154</v>
      </c>
      <c r="C220">
        <v>1003</v>
      </c>
      <c r="D220" s="1">
        <v>44826</v>
      </c>
      <c r="E220" s="1"/>
      <c r="F220" t="s">
        <v>3480</v>
      </c>
      <c r="G220" t="str">
        <f>IF(ISNA(_xlfn.XLOOKUP(subscriptions[[#This Row],[customer_id]], customers[customer_id], customers[customer_id])), "NO", "YES")</f>
        <v>YES</v>
      </c>
      <c r="H220">
        <f>IF(AND(subscriptions[[#This Row],[end_date]]&lt;&gt;"", subscriptions[[#This Row],[end_date]] &lt; subscriptions[[#This Row],[start_date]]), 1, 0)</f>
        <v>0</v>
      </c>
      <c r="I2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0">
        <f>IF(
  AND(subscriptions[[#This Row],[end_before_start]]=0, subscriptions[[#This Row],[status_end_mismatch]]=0),
  1,
  0
)</f>
        <v>1</v>
      </c>
    </row>
    <row r="221" spans="1:10" x14ac:dyDescent="0.3">
      <c r="A221">
        <v>2019943</v>
      </c>
      <c r="B221">
        <v>743687</v>
      </c>
      <c r="C221">
        <v>1008</v>
      </c>
      <c r="D221" s="1">
        <v>44951</v>
      </c>
      <c r="E221" s="1">
        <v>45184</v>
      </c>
      <c r="F221" t="s">
        <v>3479</v>
      </c>
      <c r="G221" t="str">
        <f>IF(ISNA(_xlfn.XLOOKUP(subscriptions[[#This Row],[customer_id]], customers[customer_id], customers[customer_id])), "NO", "YES")</f>
        <v>YES</v>
      </c>
      <c r="H221">
        <f>IF(AND(subscriptions[[#This Row],[end_date]]&lt;&gt;"", subscriptions[[#This Row],[end_date]] &lt; subscriptions[[#This Row],[start_date]]), 1, 0)</f>
        <v>0</v>
      </c>
      <c r="I2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1">
        <f>IF(
  AND(subscriptions[[#This Row],[end_before_start]]=0, subscriptions[[#This Row],[status_end_mismatch]]=0),
  1,
  0
)</f>
        <v>1</v>
      </c>
    </row>
    <row r="222" spans="1:10" x14ac:dyDescent="0.3">
      <c r="A222">
        <v>9305156</v>
      </c>
      <c r="B222">
        <v>152046</v>
      </c>
      <c r="C222">
        <v>1004</v>
      </c>
      <c r="D222" s="1">
        <v>44715</v>
      </c>
      <c r="E222" s="1"/>
      <c r="F222" t="s">
        <v>3480</v>
      </c>
      <c r="G222" t="str">
        <f>IF(ISNA(_xlfn.XLOOKUP(subscriptions[[#This Row],[customer_id]], customers[customer_id], customers[customer_id])), "NO", "YES")</f>
        <v>YES</v>
      </c>
      <c r="H222">
        <f>IF(AND(subscriptions[[#This Row],[end_date]]&lt;&gt;"", subscriptions[[#This Row],[end_date]] &lt; subscriptions[[#This Row],[start_date]]), 1, 0)</f>
        <v>0</v>
      </c>
      <c r="I2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2">
        <f>IF(
  AND(subscriptions[[#This Row],[end_before_start]]=0, subscriptions[[#This Row],[status_end_mismatch]]=0),
  1,
  0
)</f>
        <v>1</v>
      </c>
    </row>
    <row r="223" spans="1:10" x14ac:dyDescent="0.3">
      <c r="A223">
        <v>9544273</v>
      </c>
      <c r="B223">
        <v>709303</v>
      </c>
      <c r="C223">
        <v>1006</v>
      </c>
      <c r="D223" s="1">
        <v>45348</v>
      </c>
      <c r="E223" s="1"/>
      <c r="F223" t="s">
        <v>3480</v>
      </c>
      <c r="G223" t="str">
        <f>IF(ISNA(_xlfn.XLOOKUP(subscriptions[[#This Row],[customer_id]], customers[customer_id], customers[customer_id])), "NO", "YES")</f>
        <v>YES</v>
      </c>
      <c r="H223">
        <f>IF(AND(subscriptions[[#This Row],[end_date]]&lt;&gt;"", subscriptions[[#This Row],[end_date]] &lt; subscriptions[[#This Row],[start_date]]), 1, 0)</f>
        <v>0</v>
      </c>
      <c r="I2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3">
        <f>IF(
  AND(subscriptions[[#This Row],[end_before_start]]=0, subscriptions[[#This Row],[status_end_mismatch]]=0),
  1,
  0
)</f>
        <v>1</v>
      </c>
    </row>
    <row r="224" spans="1:10" x14ac:dyDescent="0.3">
      <c r="A224">
        <v>7547256</v>
      </c>
      <c r="B224">
        <v>579404</v>
      </c>
      <c r="C224">
        <v>1007</v>
      </c>
      <c r="D224" s="1">
        <v>45382</v>
      </c>
      <c r="E224" s="1">
        <v>45517</v>
      </c>
      <c r="F224" t="s">
        <v>3479</v>
      </c>
      <c r="G224" t="str">
        <f>IF(ISNA(_xlfn.XLOOKUP(subscriptions[[#This Row],[customer_id]], customers[customer_id], customers[customer_id])), "NO", "YES")</f>
        <v>YES</v>
      </c>
      <c r="H224">
        <f>IF(AND(subscriptions[[#This Row],[end_date]]&lt;&gt;"", subscriptions[[#This Row],[end_date]] &lt; subscriptions[[#This Row],[start_date]]), 1, 0)</f>
        <v>0</v>
      </c>
      <c r="I2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4">
        <f>IF(
  AND(subscriptions[[#This Row],[end_before_start]]=0, subscriptions[[#This Row],[status_end_mismatch]]=0),
  1,
  0
)</f>
        <v>1</v>
      </c>
    </row>
    <row r="225" spans="1:10" x14ac:dyDescent="0.3">
      <c r="A225">
        <v>4088120</v>
      </c>
      <c r="B225">
        <v>194930</v>
      </c>
      <c r="C225">
        <v>1007</v>
      </c>
      <c r="D225" s="1">
        <v>44569</v>
      </c>
      <c r="E225" s="1"/>
      <c r="F225" t="s">
        <v>3480</v>
      </c>
      <c r="G225" t="str">
        <f>IF(ISNA(_xlfn.XLOOKUP(subscriptions[[#This Row],[customer_id]], customers[customer_id], customers[customer_id])), "NO", "YES")</f>
        <v>YES</v>
      </c>
      <c r="H225">
        <f>IF(AND(subscriptions[[#This Row],[end_date]]&lt;&gt;"", subscriptions[[#This Row],[end_date]] &lt; subscriptions[[#This Row],[start_date]]), 1, 0)</f>
        <v>0</v>
      </c>
      <c r="I2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5">
        <f>IF(
  AND(subscriptions[[#This Row],[end_before_start]]=0, subscriptions[[#This Row],[status_end_mismatch]]=0),
  1,
  0
)</f>
        <v>1</v>
      </c>
    </row>
    <row r="226" spans="1:10" x14ac:dyDescent="0.3">
      <c r="A226">
        <v>4654207</v>
      </c>
      <c r="B226">
        <v>513927</v>
      </c>
      <c r="C226">
        <v>1001</v>
      </c>
      <c r="D226" s="1">
        <v>44580</v>
      </c>
      <c r="E226" s="1">
        <v>44872</v>
      </c>
      <c r="F226" t="s">
        <v>3479</v>
      </c>
      <c r="G226" t="str">
        <f>IF(ISNA(_xlfn.XLOOKUP(subscriptions[[#This Row],[customer_id]], customers[customer_id], customers[customer_id])), "NO", "YES")</f>
        <v>YES</v>
      </c>
      <c r="H226">
        <f>IF(AND(subscriptions[[#This Row],[end_date]]&lt;&gt;"", subscriptions[[#This Row],[end_date]] &lt; subscriptions[[#This Row],[start_date]]), 1, 0)</f>
        <v>0</v>
      </c>
      <c r="I2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6">
        <f>IF(
  AND(subscriptions[[#This Row],[end_before_start]]=0, subscriptions[[#This Row],[status_end_mismatch]]=0),
  1,
  0
)</f>
        <v>1</v>
      </c>
    </row>
    <row r="227" spans="1:10" x14ac:dyDescent="0.3">
      <c r="A227">
        <v>8641031</v>
      </c>
      <c r="B227">
        <v>920347</v>
      </c>
      <c r="C227">
        <v>1003</v>
      </c>
      <c r="D227" s="1">
        <v>45593</v>
      </c>
      <c r="E227" s="1">
        <v>45649</v>
      </c>
      <c r="F227" t="s">
        <v>3479</v>
      </c>
      <c r="G227" t="str">
        <f>IF(ISNA(_xlfn.XLOOKUP(subscriptions[[#This Row],[customer_id]], customers[customer_id], customers[customer_id])), "NO", "YES")</f>
        <v>YES</v>
      </c>
      <c r="H227">
        <f>IF(AND(subscriptions[[#This Row],[end_date]]&lt;&gt;"", subscriptions[[#This Row],[end_date]] &lt; subscriptions[[#This Row],[start_date]]), 1, 0)</f>
        <v>0</v>
      </c>
      <c r="I2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7">
        <f>IF(
  AND(subscriptions[[#This Row],[end_before_start]]=0, subscriptions[[#This Row],[status_end_mismatch]]=0),
  1,
  0
)</f>
        <v>1</v>
      </c>
    </row>
    <row r="228" spans="1:10" x14ac:dyDescent="0.3">
      <c r="A228">
        <v>6090377</v>
      </c>
      <c r="B228">
        <v>283027</v>
      </c>
      <c r="C228">
        <v>1008</v>
      </c>
      <c r="D228" s="1">
        <v>45013</v>
      </c>
      <c r="E228" s="1"/>
      <c r="F228" t="s">
        <v>3480</v>
      </c>
      <c r="G228" t="str">
        <f>IF(ISNA(_xlfn.XLOOKUP(subscriptions[[#This Row],[customer_id]], customers[customer_id], customers[customer_id])), "NO", "YES")</f>
        <v>YES</v>
      </c>
      <c r="H228">
        <f>IF(AND(subscriptions[[#This Row],[end_date]]&lt;&gt;"", subscriptions[[#This Row],[end_date]] &lt; subscriptions[[#This Row],[start_date]]), 1, 0)</f>
        <v>0</v>
      </c>
      <c r="I2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8">
        <f>IF(
  AND(subscriptions[[#This Row],[end_before_start]]=0, subscriptions[[#This Row],[status_end_mismatch]]=0),
  1,
  0
)</f>
        <v>1</v>
      </c>
    </row>
    <row r="229" spans="1:10" x14ac:dyDescent="0.3">
      <c r="A229">
        <v>5504928</v>
      </c>
      <c r="B229">
        <v>525581</v>
      </c>
      <c r="C229">
        <v>1008</v>
      </c>
      <c r="D229" s="1">
        <v>44805</v>
      </c>
      <c r="E229" s="1"/>
      <c r="F229" t="s">
        <v>3480</v>
      </c>
      <c r="G229" t="str">
        <f>IF(ISNA(_xlfn.XLOOKUP(subscriptions[[#This Row],[customer_id]], customers[customer_id], customers[customer_id])), "NO", "YES")</f>
        <v>YES</v>
      </c>
      <c r="H229">
        <f>IF(AND(subscriptions[[#This Row],[end_date]]&lt;&gt;"", subscriptions[[#This Row],[end_date]] &lt; subscriptions[[#This Row],[start_date]]), 1, 0)</f>
        <v>0</v>
      </c>
      <c r="I2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29">
        <f>IF(
  AND(subscriptions[[#This Row],[end_before_start]]=0, subscriptions[[#This Row],[status_end_mismatch]]=0),
  1,
  0
)</f>
        <v>1</v>
      </c>
    </row>
    <row r="230" spans="1:10" x14ac:dyDescent="0.3">
      <c r="A230">
        <v>1765250</v>
      </c>
      <c r="B230">
        <v>882758</v>
      </c>
      <c r="C230">
        <v>1008</v>
      </c>
      <c r="D230" s="1">
        <v>45049</v>
      </c>
      <c r="E230" s="1"/>
      <c r="F230" t="s">
        <v>3480</v>
      </c>
      <c r="G230" t="str">
        <f>IF(ISNA(_xlfn.XLOOKUP(subscriptions[[#This Row],[customer_id]], customers[customer_id], customers[customer_id])), "NO", "YES")</f>
        <v>YES</v>
      </c>
      <c r="H230">
        <f>IF(AND(subscriptions[[#This Row],[end_date]]&lt;&gt;"", subscriptions[[#This Row],[end_date]] &lt; subscriptions[[#This Row],[start_date]]), 1, 0)</f>
        <v>0</v>
      </c>
      <c r="I2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0">
        <f>IF(
  AND(subscriptions[[#This Row],[end_before_start]]=0, subscriptions[[#This Row],[status_end_mismatch]]=0),
  1,
  0
)</f>
        <v>1</v>
      </c>
    </row>
    <row r="231" spans="1:10" x14ac:dyDescent="0.3">
      <c r="A231">
        <v>3485367</v>
      </c>
      <c r="B231">
        <v>946485</v>
      </c>
      <c r="C231">
        <v>1000</v>
      </c>
      <c r="D231" s="1">
        <v>45130</v>
      </c>
      <c r="E231" s="1">
        <v>45298</v>
      </c>
      <c r="F231" t="s">
        <v>3479</v>
      </c>
      <c r="G231" t="str">
        <f>IF(ISNA(_xlfn.XLOOKUP(subscriptions[[#This Row],[customer_id]], customers[customer_id], customers[customer_id])), "NO", "YES")</f>
        <v>YES</v>
      </c>
      <c r="H231">
        <f>IF(AND(subscriptions[[#This Row],[end_date]]&lt;&gt;"", subscriptions[[#This Row],[end_date]] &lt; subscriptions[[#This Row],[start_date]]), 1, 0)</f>
        <v>0</v>
      </c>
      <c r="I2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1">
        <f>IF(
  AND(subscriptions[[#This Row],[end_before_start]]=0, subscriptions[[#This Row],[status_end_mismatch]]=0),
  1,
  0
)</f>
        <v>1</v>
      </c>
    </row>
    <row r="232" spans="1:10" x14ac:dyDescent="0.3">
      <c r="A232">
        <v>1864361</v>
      </c>
      <c r="B232">
        <v>536774</v>
      </c>
      <c r="C232">
        <v>1006</v>
      </c>
      <c r="D232" s="1">
        <v>45071</v>
      </c>
      <c r="E232" s="1">
        <v>45208</v>
      </c>
      <c r="F232" t="s">
        <v>3479</v>
      </c>
      <c r="G232" t="str">
        <f>IF(ISNA(_xlfn.XLOOKUP(subscriptions[[#This Row],[customer_id]], customers[customer_id], customers[customer_id])), "NO", "YES")</f>
        <v>YES</v>
      </c>
      <c r="H232">
        <f>IF(AND(subscriptions[[#This Row],[end_date]]&lt;&gt;"", subscriptions[[#This Row],[end_date]] &lt; subscriptions[[#This Row],[start_date]]), 1, 0)</f>
        <v>0</v>
      </c>
      <c r="I2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2">
        <f>IF(
  AND(subscriptions[[#This Row],[end_before_start]]=0, subscriptions[[#This Row],[status_end_mismatch]]=0),
  1,
  0
)</f>
        <v>1</v>
      </c>
    </row>
    <row r="233" spans="1:10" x14ac:dyDescent="0.3">
      <c r="A233">
        <v>9969014</v>
      </c>
      <c r="B233">
        <v>378085</v>
      </c>
      <c r="C233">
        <v>1007</v>
      </c>
      <c r="D233" s="1">
        <v>44799</v>
      </c>
      <c r="E233" s="1"/>
      <c r="F233" t="s">
        <v>3480</v>
      </c>
      <c r="G233" t="str">
        <f>IF(ISNA(_xlfn.XLOOKUP(subscriptions[[#This Row],[customer_id]], customers[customer_id], customers[customer_id])), "NO", "YES")</f>
        <v>YES</v>
      </c>
      <c r="H233">
        <f>IF(AND(subscriptions[[#This Row],[end_date]]&lt;&gt;"", subscriptions[[#This Row],[end_date]] &lt; subscriptions[[#This Row],[start_date]]), 1, 0)</f>
        <v>0</v>
      </c>
      <c r="I2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3">
        <f>IF(
  AND(subscriptions[[#This Row],[end_before_start]]=0, subscriptions[[#This Row],[status_end_mismatch]]=0),
  1,
  0
)</f>
        <v>1</v>
      </c>
    </row>
    <row r="234" spans="1:10" x14ac:dyDescent="0.3">
      <c r="A234">
        <v>6829443</v>
      </c>
      <c r="B234">
        <v>130557</v>
      </c>
      <c r="C234">
        <v>1002</v>
      </c>
      <c r="D234" s="1">
        <v>45317</v>
      </c>
      <c r="E234" s="1"/>
      <c r="F234" t="s">
        <v>3480</v>
      </c>
      <c r="G234" t="str">
        <f>IF(ISNA(_xlfn.XLOOKUP(subscriptions[[#This Row],[customer_id]], customers[customer_id], customers[customer_id])), "NO", "YES")</f>
        <v>YES</v>
      </c>
      <c r="H234">
        <f>IF(AND(subscriptions[[#This Row],[end_date]]&lt;&gt;"", subscriptions[[#This Row],[end_date]] &lt; subscriptions[[#This Row],[start_date]]), 1, 0)</f>
        <v>0</v>
      </c>
      <c r="I2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4">
        <f>IF(
  AND(subscriptions[[#This Row],[end_before_start]]=0, subscriptions[[#This Row],[status_end_mismatch]]=0),
  1,
  0
)</f>
        <v>1</v>
      </c>
    </row>
    <row r="235" spans="1:10" x14ac:dyDescent="0.3">
      <c r="A235">
        <v>5429825</v>
      </c>
      <c r="B235">
        <v>400850</v>
      </c>
      <c r="C235">
        <v>1003</v>
      </c>
      <c r="D235" s="1">
        <v>44835</v>
      </c>
      <c r="E235" s="1"/>
      <c r="F235" t="s">
        <v>3480</v>
      </c>
      <c r="G235" t="str">
        <f>IF(ISNA(_xlfn.XLOOKUP(subscriptions[[#This Row],[customer_id]], customers[customer_id], customers[customer_id])), "NO", "YES")</f>
        <v>YES</v>
      </c>
      <c r="H235">
        <f>IF(AND(subscriptions[[#This Row],[end_date]]&lt;&gt;"", subscriptions[[#This Row],[end_date]] &lt; subscriptions[[#This Row],[start_date]]), 1, 0)</f>
        <v>0</v>
      </c>
      <c r="I2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5">
        <f>IF(
  AND(subscriptions[[#This Row],[end_before_start]]=0, subscriptions[[#This Row],[status_end_mismatch]]=0),
  1,
  0
)</f>
        <v>1</v>
      </c>
    </row>
    <row r="236" spans="1:10" x14ac:dyDescent="0.3">
      <c r="A236">
        <v>5947522</v>
      </c>
      <c r="B236">
        <v>366105</v>
      </c>
      <c r="C236">
        <v>1002</v>
      </c>
      <c r="D236" s="1">
        <v>45226</v>
      </c>
      <c r="E236" s="1">
        <v>45576</v>
      </c>
      <c r="F236" t="s">
        <v>3479</v>
      </c>
      <c r="G236" t="str">
        <f>IF(ISNA(_xlfn.XLOOKUP(subscriptions[[#This Row],[customer_id]], customers[customer_id], customers[customer_id])), "NO", "YES")</f>
        <v>YES</v>
      </c>
      <c r="H236">
        <f>IF(AND(subscriptions[[#This Row],[end_date]]&lt;&gt;"", subscriptions[[#This Row],[end_date]] &lt; subscriptions[[#This Row],[start_date]]), 1, 0)</f>
        <v>0</v>
      </c>
      <c r="I2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6">
        <f>IF(
  AND(subscriptions[[#This Row],[end_before_start]]=0, subscriptions[[#This Row],[status_end_mismatch]]=0),
  1,
  0
)</f>
        <v>1</v>
      </c>
    </row>
    <row r="237" spans="1:10" x14ac:dyDescent="0.3">
      <c r="A237">
        <v>1174620</v>
      </c>
      <c r="B237">
        <v>768061</v>
      </c>
      <c r="C237">
        <v>1000</v>
      </c>
      <c r="D237" s="1">
        <v>45290</v>
      </c>
      <c r="E237" s="1"/>
      <c r="F237" t="s">
        <v>3480</v>
      </c>
      <c r="G237" t="str">
        <f>IF(ISNA(_xlfn.XLOOKUP(subscriptions[[#This Row],[customer_id]], customers[customer_id], customers[customer_id])), "NO", "YES")</f>
        <v>YES</v>
      </c>
      <c r="H237">
        <f>IF(AND(subscriptions[[#This Row],[end_date]]&lt;&gt;"", subscriptions[[#This Row],[end_date]] &lt; subscriptions[[#This Row],[start_date]]), 1, 0)</f>
        <v>0</v>
      </c>
      <c r="I2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7">
        <f>IF(
  AND(subscriptions[[#This Row],[end_before_start]]=0, subscriptions[[#This Row],[status_end_mismatch]]=0),
  1,
  0
)</f>
        <v>1</v>
      </c>
    </row>
    <row r="238" spans="1:10" x14ac:dyDescent="0.3">
      <c r="A238">
        <v>5692416</v>
      </c>
      <c r="B238">
        <v>699809</v>
      </c>
      <c r="C238">
        <v>1005</v>
      </c>
      <c r="D238" s="1">
        <v>44923</v>
      </c>
      <c r="E238" s="1"/>
      <c r="F238" t="s">
        <v>3480</v>
      </c>
      <c r="G238" t="str">
        <f>IF(ISNA(_xlfn.XLOOKUP(subscriptions[[#This Row],[customer_id]], customers[customer_id], customers[customer_id])), "NO", "YES")</f>
        <v>YES</v>
      </c>
      <c r="H238">
        <f>IF(AND(subscriptions[[#This Row],[end_date]]&lt;&gt;"", subscriptions[[#This Row],[end_date]] &lt; subscriptions[[#This Row],[start_date]]), 1, 0)</f>
        <v>0</v>
      </c>
      <c r="I2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8">
        <f>IF(
  AND(subscriptions[[#This Row],[end_before_start]]=0, subscriptions[[#This Row],[status_end_mismatch]]=0),
  1,
  0
)</f>
        <v>1</v>
      </c>
    </row>
    <row r="239" spans="1:10" x14ac:dyDescent="0.3">
      <c r="A239">
        <v>1262370</v>
      </c>
      <c r="B239">
        <v>970840</v>
      </c>
      <c r="C239">
        <v>1000</v>
      </c>
      <c r="D239" s="1">
        <v>44779</v>
      </c>
      <c r="E239" s="1">
        <v>45161</v>
      </c>
      <c r="F239" t="s">
        <v>3479</v>
      </c>
      <c r="G239" t="str">
        <f>IF(ISNA(_xlfn.XLOOKUP(subscriptions[[#This Row],[customer_id]], customers[customer_id], customers[customer_id])), "NO", "YES")</f>
        <v>YES</v>
      </c>
      <c r="H239">
        <f>IF(AND(subscriptions[[#This Row],[end_date]]&lt;&gt;"", subscriptions[[#This Row],[end_date]] &lt; subscriptions[[#This Row],[start_date]]), 1, 0)</f>
        <v>0</v>
      </c>
      <c r="I2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39">
        <f>IF(
  AND(subscriptions[[#This Row],[end_before_start]]=0, subscriptions[[#This Row],[status_end_mismatch]]=0),
  1,
  0
)</f>
        <v>1</v>
      </c>
    </row>
    <row r="240" spans="1:10" x14ac:dyDescent="0.3">
      <c r="A240">
        <v>7408577</v>
      </c>
      <c r="B240">
        <v>694223</v>
      </c>
      <c r="C240">
        <v>1000</v>
      </c>
      <c r="D240" s="1">
        <v>45089</v>
      </c>
      <c r="E240" s="1">
        <v>45443</v>
      </c>
      <c r="F240" t="s">
        <v>3479</v>
      </c>
      <c r="G240" t="str">
        <f>IF(ISNA(_xlfn.XLOOKUP(subscriptions[[#This Row],[customer_id]], customers[customer_id], customers[customer_id])), "NO", "YES")</f>
        <v>YES</v>
      </c>
      <c r="H240">
        <f>IF(AND(subscriptions[[#This Row],[end_date]]&lt;&gt;"", subscriptions[[#This Row],[end_date]] &lt; subscriptions[[#This Row],[start_date]]), 1, 0)</f>
        <v>0</v>
      </c>
      <c r="I2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0">
        <f>IF(
  AND(subscriptions[[#This Row],[end_before_start]]=0, subscriptions[[#This Row],[status_end_mismatch]]=0),
  1,
  0
)</f>
        <v>1</v>
      </c>
    </row>
    <row r="241" spans="1:10" x14ac:dyDescent="0.3">
      <c r="A241">
        <v>4458774</v>
      </c>
      <c r="B241">
        <v>981578</v>
      </c>
      <c r="C241">
        <v>1008</v>
      </c>
      <c r="D241" s="1">
        <v>45467</v>
      </c>
      <c r="E241" s="1"/>
      <c r="F241" t="s">
        <v>3480</v>
      </c>
      <c r="G241" t="str">
        <f>IF(ISNA(_xlfn.XLOOKUP(subscriptions[[#This Row],[customer_id]], customers[customer_id], customers[customer_id])), "NO", "YES")</f>
        <v>YES</v>
      </c>
      <c r="H241">
        <f>IF(AND(subscriptions[[#This Row],[end_date]]&lt;&gt;"", subscriptions[[#This Row],[end_date]] &lt; subscriptions[[#This Row],[start_date]]), 1, 0)</f>
        <v>0</v>
      </c>
      <c r="I2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1">
        <f>IF(
  AND(subscriptions[[#This Row],[end_before_start]]=0, subscriptions[[#This Row],[status_end_mismatch]]=0),
  1,
  0
)</f>
        <v>1</v>
      </c>
    </row>
    <row r="242" spans="1:10" x14ac:dyDescent="0.3">
      <c r="A242">
        <v>5509606</v>
      </c>
      <c r="B242">
        <v>948749</v>
      </c>
      <c r="C242">
        <v>1009</v>
      </c>
      <c r="D242" s="1">
        <v>44979</v>
      </c>
      <c r="E242" s="1"/>
      <c r="F242" t="s">
        <v>3480</v>
      </c>
      <c r="G242" t="str">
        <f>IF(ISNA(_xlfn.XLOOKUP(subscriptions[[#This Row],[customer_id]], customers[customer_id], customers[customer_id])), "NO", "YES")</f>
        <v>YES</v>
      </c>
      <c r="H242">
        <f>IF(AND(subscriptions[[#This Row],[end_date]]&lt;&gt;"", subscriptions[[#This Row],[end_date]] &lt; subscriptions[[#This Row],[start_date]]), 1, 0)</f>
        <v>0</v>
      </c>
      <c r="I2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2">
        <f>IF(
  AND(subscriptions[[#This Row],[end_before_start]]=0, subscriptions[[#This Row],[status_end_mismatch]]=0),
  1,
  0
)</f>
        <v>1</v>
      </c>
    </row>
    <row r="243" spans="1:10" x14ac:dyDescent="0.3">
      <c r="A243">
        <v>7634775</v>
      </c>
      <c r="B243">
        <v>642895</v>
      </c>
      <c r="C243">
        <v>1008</v>
      </c>
      <c r="D243" s="1">
        <v>44880</v>
      </c>
      <c r="E243" s="1"/>
      <c r="F243" t="s">
        <v>3480</v>
      </c>
      <c r="G243" t="str">
        <f>IF(ISNA(_xlfn.XLOOKUP(subscriptions[[#This Row],[customer_id]], customers[customer_id], customers[customer_id])), "NO", "YES")</f>
        <v>YES</v>
      </c>
      <c r="H243">
        <f>IF(AND(subscriptions[[#This Row],[end_date]]&lt;&gt;"", subscriptions[[#This Row],[end_date]] &lt; subscriptions[[#This Row],[start_date]]), 1, 0)</f>
        <v>0</v>
      </c>
      <c r="I2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3">
        <f>IF(
  AND(subscriptions[[#This Row],[end_before_start]]=0, subscriptions[[#This Row],[status_end_mismatch]]=0),
  1,
  0
)</f>
        <v>1</v>
      </c>
    </row>
    <row r="244" spans="1:10" x14ac:dyDescent="0.3">
      <c r="A244">
        <v>8279693</v>
      </c>
      <c r="B244">
        <v>492127</v>
      </c>
      <c r="C244">
        <v>1009</v>
      </c>
      <c r="D244" s="1">
        <v>45316</v>
      </c>
      <c r="E244" s="1"/>
      <c r="F244" t="s">
        <v>3480</v>
      </c>
      <c r="G244" t="str">
        <f>IF(ISNA(_xlfn.XLOOKUP(subscriptions[[#This Row],[customer_id]], customers[customer_id], customers[customer_id])), "NO", "YES")</f>
        <v>YES</v>
      </c>
      <c r="H244">
        <f>IF(AND(subscriptions[[#This Row],[end_date]]&lt;&gt;"", subscriptions[[#This Row],[end_date]] &lt; subscriptions[[#This Row],[start_date]]), 1, 0)</f>
        <v>0</v>
      </c>
      <c r="I2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4">
        <f>IF(
  AND(subscriptions[[#This Row],[end_before_start]]=0, subscriptions[[#This Row],[status_end_mismatch]]=0),
  1,
  0
)</f>
        <v>1</v>
      </c>
    </row>
    <row r="245" spans="1:10" x14ac:dyDescent="0.3">
      <c r="A245">
        <v>9036402</v>
      </c>
      <c r="B245">
        <v>806848</v>
      </c>
      <c r="C245">
        <v>1009</v>
      </c>
      <c r="D245" s="1">
        <v>44753</v>
      </c>
      <c r="E245" s="1"/>
      <c r="F245" t="s">
        <v>3480</v>
      </c>
      <c r="G245" t="str">
        <f>IF(ISNA(_xlfn.XLOOKUP(subscriptions[[#This Row],[customer_id]], customers[customer_id], customers[customer_id])), "NO", "YES")</f>
        <v>YES</v>
      </c>
      <c r="H245">
        <f>IF(AND(subscriptions[[#This Row],[end_date]]&lt;&gt;"", subscriptions[[#This Row],[end_date]] &lt; subscriptions[[#This Row],[start_date]]), 1, 0)</f>
        <v>0</v>
      </c>
      <c r="I2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5">
        <f>IF(
  AND(subscriptions[[#This Row],[end_before_start]]=0, subscriptions[[#This Row],[status_end_mismatch]]=0),
  1,
  0
)</f>
        <v>1</v>
      </c>
    </row>
    <row r="246" spans="1:10" x14ac:dyDescent="0.3">
      <c r="A246">
        <v>8707287</v>
      </c>
      <c r="B246">
        <v>681141</v>
      </c>
      <c r="C246">
        <v>1000</v>
      </c>
      <c r="D246" s="1">
        <v>44940</v>
      </c>
      <c r="E246" s="1">
        <v>45060</v>
      </c>
      <c r="F246" t="s">
        <v>3479</v>
      </c>
      <c r="G246" t="str">
        <f>IF(ISNA(_xlfn.XLOOKUP(subscriptions[[#This Row],[customer_id]], customers[customer_id], customers[customer_id])), "NO", "YES")</f>
        <v>YES</v>
      </c>
      <c r="H246">
        <f>IF(AND(subscriptions[[#This Row],[end_date]]&lt;&gt;"", subscriptions[[#This Row],[end_date]] &lt; subscriptions[[#This Row],[start_date]]), 1, 0)</f>
        <v>0</v>
      </c>
      <c r="I2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6">
        <f>IF(
  AND(subscriptions[[#This Row],[end_before_start]]=0, subscriptions[[#This Row],[status_end_mismatch]]=0),
  1,
  0
)</f>
        <v>1</v>
      </c>
    </row>
    <row r="247" spans="1:10" x14ac:dyDescent="0.3">
      <c r="A247">
        <v>4168543</v>
      </c>
      <c r="B247">
        <v>751051</v>
      </c>
      <c r="C247">
        <v>1002</v>
      </c>
      <c r="D247" s="1">
        <v>45566</v>
      </c>
      <c r="E247" s="1">
        <v>45637</v>
      </c>
      <c r="F247" t="s">
        <v>3479</v>
      </c>
      <c r="G247" t="str">
        <f>IF(ISNA(_xlfn.XLOOKUP(subscriptions[[#This Row],[customer_id]], customers[customer_id], customers[customer_id])), "NO", "YES")</f>
        <v>YES</v>
      </c>
      <c r="H247">
        <f>IF(AND(subscriptions[[#This Row],[end_date]]&lt;&gt;"", subscriptions[[#This Row],[end_date]] &lt; subscriptions[[#This Row],[start_date]]), 1, 0)</f>
        <v>0</v>
      </c>
      <c r="I2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7">
        <f>IF(
  AND(subscriptions[[#This Row],[end_before_start]]=0, subscriptions[[#This Row],[status_end_mismatch]]=0),
  1,
  0
)</f>
        <v>1</v>
      </c>
    </row>
    <row r="248" spans="1:10" x14ac:dyDescent="0.3">
      <c r="A248">
        <v>5731917</v>
      </c>
      <c r="B248">
        <v>953047</v>
      </c>
      <c r="C248">
        <v>1005</v>
      </c>
      <c r="D248" s="1">
        <v>44605</v>
      </c>
      <c r="E248" s="1"/>
      <c r="F248" t="s">
        <v>3480</v>
      </c>
      <c r="G248" t="str">
        <f>IF(ISNA(_xlfn.XLOOKUP(subscriptions[[#This Row],[customer_id]], customers[customer_id], customers[customer_id])), "NO", "YES")</f>
        <v>YES</v>
      </c>
      <c r="H248">
        <f>IF(AND(subscriptions[[#This Row],[end_date]]&lt;&gt;"", subscriptions[[#This Row],[end_date]] &lt; subscriptions[[#This Row],[start_date]]), 1, 0)</f>
        <v>0</v>
      </c>
      <c r="I2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8">
        <f>IF(
  AND(subscriptions[[#This Row],[end_before_start]]=0, subscriptions[[#This Row],[status_end_mismatch]]=0),
  1,
  0
)</f>
        <v>1</v>
      </c>
    </row>
    <row r="249" spans="1:10" x14ac:dyDescent="0.3">
      <c r="A249">
        <v>3981886</v>
      </c>
      <c r="B249">
        <v>741599</v>
      </c>
      <c r="C249">
        <v>1006</v>
      </c>
      <c r="D249" s="1">
        <v>45369</v>
      </c>
      <c r="E249" s="1">
        <v>45495</v>
      </c>
      <c r="F249" t="s">
        <v>3479</v>
      </c>
      <c r="G249" t="str">
        <f>IF(ISNA(_xlfn.XLOOKUP(subscriptions[[#This Row],[customer_id]], customers[customer_id], customers[customer_id])), "NO", "YES")</f>
        <v>YES</v>
      </c>
      <c r="H249">
        <f>IF(AND(subscriptions[[#This Row],[end_date]]&lt;&gt;"", subscriptions[[#This Row],[end_date]] &lt; subscriptions[[#This Row],[start_date]]), 1, 0)</f>
        <v>0</v>
      </c>
      <c r="I2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49">
        <f>IF(
  AND(subscriptions[[#This Row],[end_before_start]]=0, subscriptions[[#This Row],[status_end_mismatch]]=0),
  1,
  0
)</f>
        <v>1</v>
      </c>
    </row>
    <row r="250" spans="1:10" x14ac:dyDescent="0.3">
      <c r="A250">
        <v>2165246</v>
      </c>
      <c r="B250">
        <v>541996</v>
      </c>
      <c r="C250">
        <v>1008</v>
      </c>
      <c r="D250" s="1">
        <v>44855</v>
      </c>
      <c r="E250" s="1"/>
      <c r="F250" t="s">
        <v>3480</v>
      </c>
      <c r="G250" t="str">
        <f>IF(ISNA(_xlfn.XLOOKUP(subscriptions[[#This Row],[customer_id]], customers[customer_id], customers[customer_id])), "NO", "YES")</f>
        <v>YES</v>
      </c>
      <c r="H250">
        <f>IF(AND(subscriptions[[#This Row],[end_date]]&lt;&gt;"", subscriptions[[#This Row],[end_date]] &lt; subscriptions[[#This Row],[start_date]]), 1, 0)</f>
        <v>0</v>
      </c>
      <c r="I2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0">
        <f>IF(
  AND(subscriptions[[#This Row],[end_before_start]]=0, subscriptions[[#This Row],[status_end_mismatch]]=0),
  1,
  0
)</f>
        <v>1</v>
      </c>
    </row>
    <row r="251" spans="1:10" x14ac:dyDescent="0.3">
      <c r="A251">
        <v>5114676</v>
      </c>
      <c r="B251">
        <v>432006</v>
      </c>
      <c r="C251">
        <v>1007</v>
      </c>
      <c r="D251" s="1">
        <v>45493</v>
      </c>
      <c r="E251" s="1">
        <v>45654</v>
      </c>
      <c r="F251" t="s">
        <v>3479</v>
      </c>
      <c r="G251" t="str">
        <f>IF(ISNA(_xlfn.XLOOKUP(subscriptions[[#This Row],[customer_id]], customers[customer_id], customers[customer_id])), "NO", "YES")</f>
        <v>YES</v>
      </c>
      <c r="H251">
        <f>IF(AND(subscriptions[[#This Row],[end_date]]&lt;&gt;"", subscriptions[[#This Row],[end_date]] &lt; subscriptions[[#This Row],[start_date]]), 1, 0)</f>
        <v>0</v>
      </c>
      <c r="I2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1">
        <f>IF(
  AND(subscriptions[[#This Row],[end_before_start]]=0, subscriptions[[#This Row],[status_end_mismatch]]=0),
  1,
  0
)</f>
        <v>1</v>
      </c>
    </row>
    <row r="252" spans="1:10" x14ac:dyDescent="0.3">
      <c r="A252">
        <v>9837877</v>
      </c>
      <c r="B252">
        <v>343904</v>
      </c>
      <c r="C252">
        <v>1009</v>
      </c>
      <c r="D252" s="1">
        <v>44843</v>
      </c>
      <c r="E252" s="1">
        <v>44879</v>
      </c>
      <c r="F252" t="s">
        <v>3479</v>
      </c>
      <c r="G252" t="str">
        <f>IF(ISNA(_xlfn.XLOOKUP(subscriptions[[#This Row],[customer_id]], customers[customer_id], customers[customer_id])), "NO", "YES")</f>
        <v>YES</v>
      </c>
      <c r="H252">
        <f>IF(AND(subscriptions[[#This Row],[end_date]]&lt;&gt;"", subscriptions[[#This Row],[end_date]] &lt; subscriptions[[#This Row],[start_date]]), 1, 0)</f>
        <v>0</v>
      </c>
      <c r="I2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2">
        <f>IF(
  AND(subscriptions[[#This Row],[end_before_start]]=0, subscriptions[[#This Row],[status_end_mismatch]]=0),
  1,
  0
)</f>
        <v>1</v>
      </c>
    </row>
    <row r="253" spans="1:10" x14ac:dyDescent="0.3">
      <c r="A253">
        <v>2673190</v>
      </c>
      <c r="B253">
        <v>314353</v>
      </c>
      <c r="C253">
        <v>1005</v>
      </c>
      <c r="D253" s="1">
        <v>45335</v>
      </c>
      <c r="E253" s="1"/>
      <c r="F253" t="s">
        <v>3480</v>
      </c>
      <c r="G253" t="str">
        <f>IF(ISNA(_xlfn.XLOOKUP(subscriptions[[#This Row],[customer_id]], customers[customer_id], customers[customer_id])), "NO", "YES")</f>
        <v>YES</v>
      </c>
      <c r="H253">
        <f>IF(AND(subscriptions[[#This Row],[end_date]]&lt;&gt;"", subscriptions[[#This Row],[end_date]] &lt; subscriptions[[#This Row],[start_date]]), 1, 0)</f>
        <v>0</v>
      </c>
      <c r="I2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3">
        <f>IF(
  AND(subscriptions[[#This Row],[end_before_start]]=0, subscriptions[[#This Row],[status_end_mismatch]]=0),
  1,
  0
)</f>
        <v>1</v>
      </c>
    </row>
    <row r="254" spans="1:10" x14ac:dyDescent="0.3">
      <c r="A254">
        <v>2846089</v>
      </c>
      <c r="B254">
        <v>104666</v>
      </c>
      <c r="C254">
        <v>1002</v>
      </c>
      <c r="D254" s="1">
        <v>44589</v>
      </c>
      <c r="E254" s="1">
        <v>44948</v>
      </c>
      <c r="F254" t="s">
        <v>3479</v>
      </c>
      <c r="G254" t="str">
        <f>IF(ISNA(_xlfn.XLOOKUP(subscriptions[[#This Row],[customer_id]], customers[customer_id], customers[customer_id])), "NO", "YES")</f>
        <v>YES</v>
      </c>
      <c r="H254">
        <f>IF(AND(subscriptions[[#This Row],[end_date]]&lt;&gt;"", subscriptions[[#This Row],[end_date]] &lt; subscriptions[[#This Row],[start_date]]), 1, 0)</f>
        <v>0</v>
      </c>
      <c r="I2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4">
        <f>IF(
  AND(subscriptions[[#This Row],[end_before_start]]=0, subscriptions[[#This Row],[status_end_mismatch]]=0),
  1,
  0
)</f>
        <v>1</v>
      </c>
    </row>
    <row r="255" spans="1:10" x14ac:dyDescent="0.3">
      <c r="A255">
        <v>1733836</v>
      </c>
      <c r="B255">
        <v>888996</v>
      </c>
      <c r="C255">
        <v>1000</v>
      </c>
      <c r="D255" s="1">
        <v>44832</v>
      </c>
      <c r="E255" s="1"/>
      <c r="F255" t="s">
        <v>3480</v>
      </c>
      <c r="G255" t="str">
        <f>IF(ISNA(_xlfn.XLOOKUP(subscriptions[[#This Row],[customer_id]], customers[customer_id], customers[customer_id])), "NO", "YES")</f>
        <v>YES</v>
      </c>
      <c r="H255">
        <f>IF(AND(subscriptions[[#This Row],[end_date]]&lt;&gt;"", subscriptions[[#This Row],[end_date]] &lt; subscriptions[[#This Row],[start_date]]), 1, 0)</f>
        <v>0</v>
      </c>
      <c r="I2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5">
        <f>IF(
  AND(subscriptions[[#This Row],[end_before_start]]=0, subscriptions[[#This Row],[status_end_mismatch]]=0),
  1,
  0
)</f>
        <v>1</v>
      </c>
    </row>
    <row r="256" spans="1:10" x14ac:dyDescent="0.3">
      <c r="A256">
        <v>2402500</v>
      </c>
      <c r="B256">
        <v>774920</v>
      </c>
      <c r="C256">
        <v>1007</v>
      </c>
      <c r="D256" s="1">
        <v>45110</v>
      </c>
      <c r="E256" s="1"/>
      <c r="F256" t="s">
        <v>3480</v>
      </c>
      <c r="G256" t="str">
        <f>IF(ISNA(_xlfn.XLOOKUP(subscriptions[[#This Row],[customer_id]], customers[customer_id], customers[customer_id])), "NO", "YES")</f>
        <v>YES</v>
      </c>
      <c r="H256">
        <f>IF(AND(subscriptions[[#This Row],[end_date]]&lt;&gt;"", subscriptions[[#This Row],[end_date]] &lt; subscriptions[[#This Row],[start_date]]), 1, 0)</f>
        <v>0</v>
      </c>
      <c r="I2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6">
        <f>IF(
  AND(subscriptions[[#This Row],[end_before_start]]=0, subscriptions[[#This Row],[status_end_mismatch]]=0),
  1,
  0
)</f>
        <v>1</v>
      </c>
    </row>
    <row r="257" spans="1:10" x14ac:dyDescent="0.3">
      <c r="A257">
        <v>1226440</v>
      </c>
      <c r="B257">
        <v>746281</v>
      </c>
      <c r="C257">
        <v>1001</v>
      </c>
      <c r="D257" s="1">
        <v>44581</v>
      </c>
      <c r="E257" s="1">
        <v>44665</v>
      </c>
      <c r="F257" t="s">
        <v>3479</v>
      </c>
      <c r="G257" t="str">
        <f>IF(ISNA(_xlfn.XLOOKUP(subscriptions[[#This Row],[customer_id]], customers[customer_id], customers[customer_id])), "NO", "YES")</f>
        <v>YES</v>
      </c>
      <c r="H257">
        <f>IF(AND(subscriptions[[#This Row],[end_date]]&lt;&gt;"", subscriptions[[#This Row],[end_date]] &lt; subscriptions[[#This Row],[start_date]]), 1, 0)</f>
        <v>0</v>
      </c>
      <c r="I2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7">
        <f>IF(
  AND(subscriptions[[#This Row],[end_before_start]]=0, subscriptions[[#This Row],[status_end_mismatch]]=0),
  1,
  0
)</f>
        <v>1</v>
      </c>
    </row>
    <row r="258" spans="1:10" x14ac:dyDescent="0.3">
      <c r="A258">
        <v>6677240</v>
      </c>
      <c r="B258">
        <v>340062</v>
      </c>
      <c r="C258">
        <v>1008</v>
      </c>
      <c r="D258" s="1">
        <v>44736</v>
      </c>
      <c r="E258" s="1"/>
      <c r="F258" t="s">
        <v>3480</v>
      </c>
      <c r="G258" t="str">
        <f>IF(ISNA(_xlfn.XLOOKUP(subscriptions[[#This Row],[customer_id]], customers[customer_id], customers[customer_id])), "NO", "YES")</f>
        <v>YES</v>
      </c>
      <c r="H258">
        <f>IF(AND(subscriptions[[#This Row],[end_date]]&lt;&gt;"", subscriptions[[#This Row],[end_date]] &lt; subscriptions[[#This Row],[start_date]]), 1, 0)</f>
        <v>0</v>
      </c>
      <c r="I2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8">
        <f>IF(
  AND(subscriptions[[#This Row],[end_before_start]]=0, subscriptions[[#This Row],[status_end_mismatch]]=0),
  1,
  0
)</f>
        <v>1</v>
      </c>
    </row>
    <row r="259" spans="1:10" x14ac:dyDescent="0.3">
      <c r="A259">
        <v>9060201</v>
      </c>
      <c r="B259">
        <v>905625</v>
      </c>
      <c r="C259">
        <v>1007</v>
      </c>
      <c r="D259" s="1">
        <v>45471</v>
      </c>
      <c r="E259" s="1">
        <v>45658</v>
      </c>
      <c r="F259" t="s">
        <v>3479</v>
      </c>
      <c r="G259" t="str">
        <f>IF(ISNA(_xlfn.XLOOKUP(subscriptions[[#This Row],[customer_id]], customers[customer_id], customers[customer_id])), "NO", "YES")</f>
        <v>YES</v>
      </c>
      <c r="H259">
        <f>IF(AND(subscriptions[[#This Row],[end_date]]&lt;&gt;"", subscriptions[[#This Row],[end_date]] &lt; subscriptions[[#This Row],[start_date]]), 1, 0)</f>
        <v>0</v>
      </c>
      <c r="I2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59">
        <f>IF(
  AND(subscriptions[[#This Row],[end_before_start]]=0, subscriptions[[#This Row],[status_end_mismatch]]=0),
  1,
  0
)</f>
        <v>1</v>
      </c>
    </row>
    <row r="260" spans="1:10" x14ac:dyDescent="0.3">
      <c r="A260">
        <v>6565947</v>
      </c>
      <c r="B260">
        <v>541996</v>
      </c>
      <c r="C260">
        <v>1003</v>
      </c>
      <c r="D260" s="1">
        <v>45542</v>
      </c>
      <c r="E260" s="1"/>
      <c r="F260" t="s">
        <v>3480</v>
      </c>
      <c r="G260" t="str">
        <f>IF(ISNA(_xlfn.XLOOKUP(subscriptions[[#This Row],[customer_id]], customers[customer_id], customers[customer_id])), "NO", "YES")</f>
        <v>YES</v>
      </c>
      <c r="H260">
        <f>IF(AND(subscriptions[[#This Row],[end_date]]&lt;&gt;"", subscriptions[[#This Row],[end_date]] &lt; subscriptions[[#This Row],[start_date]]), 1, 0)</f>
        <v>0</v>
      </c>
      <c r="I2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0">
        <f>IF(
  AND(subscriptions[[#This Row],[end_before_start]]=0, subscriptions[[#This Row],[status_end_mismatch]]=0),
  1,
  0
)</f>
        <v>1</v>
      </c>
    </row>
    <row r="261" spans="1:10" x14ac:dyDescent="0.3">
      <c r="A261">
        <v>1937435</v>
      </c>
      <c r="B261">
        <v>113721</v>
      </c>
      <c r="C261">
        <v>1004</v>
      </c>
      <c r="D261" s="1">
        <v>45109</v>
      </c>
      <c r="E261" s="1">
        <v>45202</v>
      </c>
      <c r="F261" t="s">
        <v>3479</v>
      </c>
      <c r="G261" t="str">
        <f>IF(ISNA(_xlfn.XLOOKUP(subscriptions[[#This Row],[customer_id]], customers[customer_id], customers[customer_id])), "NO", "YES")</f>
        <v>YES</v>
      </c>
      <c r="H261">
        <f>IF(AND(subscriptions[[#This Row],[end_date]]&lt;&gt;"", subscriptions[[#This Row],[end_date]] &lt; subscriptions[[#This Row],[start_date]]), 1, 0)</f>
        <v>0</v>
      </c>
      <c r="I2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1">
        <f>IF(
  AND(subscriptions[[#This Row],[end_before_start]]=0, subscriptions[[#This Row],[status_end_mismatch]]=0),
  1,
  0
)</f>
        <v>1</v>
      </c>
    </row>
    <row r="262" spans="1:10" x14ac:dyDescent="0.3">
      <c r="A262">
        <v>1355809</v>
      </c>
      <c r="B262">
        <v>720995</v>
      </c>
      <c r="C262">
        <v>1009</v>
      </c>
      <c r="D262" s="1">
        <v>44653</v>
      </c>
      <c r="E262" s="1"/>
      <c r="F262" t="s">
        <v>3480</v>
      </c>
      <c r="G262" t="str">
        <f>IF(ISNA(_xlfn.XLOOKUP(subscriptions[[#This Row],[customer_id]], customers[customer_id], customers[customer_id])), "NO", "YES")</f>
        <v>YES</v>
      </c>
      <c r="H262">
        <f>IF(AND(subscriptions[[#This Row],[end_date]]&lt;&gt;"", subscriptions[[#This Row],[end_date]] &lt; subscriptions[[#This Row],[start_date]]), 1, 0)</f>
        <v>0</v>
      </c>
      <c r="I2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2">
        <f>IF(
  AND(subscriptions[[#This Row],[end_before_start]]=0, subscriptions[[#This Row],[status_end_mismatch]]=0),
  1,
  0
)</f>
        <v>1</v>
      </c>
    </row>
    <row r="263" spans="1:10" x14ac:dyDescent="0.3">
      <c r="A263">
        <v>5978445</v>
      </c>
      <c r="B263">
        <v>980155</v>
      </c>
      <c r="C263">
        <v>1006</v>
      </c>
      <c r="D263" s="1">
        <v>44772</v>
      </c>
      <c r="E263" s="1"/>
      <c r="F263" t="s">
        <v>3480</v>
      </c>
      <c r="G263" t="str">
        <f>IF(ISNA(_xlfn.XLOOKUP(subscriptions[[#This Row],[customer_id]], customers[customer_id], customers[customer_id])), "NO", "YES")</f>
        <v>YES</v>
      </c>
      <c r="H263">
        <f>IF(AND(subscriptions[[#This Row],[end_date]]&lt;&gt;"", subscriptions[[#This Row],[end_date]] &lt; subscriptions[[#This Row],[start_date]]), 1, 0)</f>
        <v>0</v>
      </c>
      <c r="I2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3">
        <f>IF(
  AND(subscriptions[[#This Row],[end_before_start]]=0, subscriptions[[#This Row],[status_end_mismatch]]=0),
  1,
  0
)</f>
        <v>1</v>
      </c>
    </row>
    <row r="264" spans="1:10" x14ac:dyDescent="0.3">
      <c r="A264">
        <v>7967320</v>
      </c>
      <c r="B264">
        <v>138815</v>
      </c>
      <c r="C264">
        <v>1002</v>
      </c>
      <c r="D264" s="1">
        <v>44852</v>
      </c>
      <c r="E264" s="1"/>
      <c r="F264" t="s">
        <v>3480</v>
      </c>
      <c r="G264" t="str">
        <f>IF(ISNA(_xlfn.XLOOKUP(subscriptions[[#This Row],[customer_id]], customers[customer_id], customers[customer_id])), "NO", "YES")</f>
        <v>YES</v>
      </c>
      <c r="H264">
        <f>IF(AND(subscriptions[[#This Row],[end_date]]&lt;&gt;"", subscriptions[[#This Row],[end_date]] &lt; subscriptions[[#This Row],[start_date]]), 1, 0)</f>
        <v>0</v>
      </c>
      <c r="I2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4">
        <f>IF(
  AND(subscriptions[[#This Row],[end_before_start]]=0, subscriptions[[#This Row],[status_end_mismatch]]=0),
  1,
  0
)</f>
        <v>1</v>
      </c>
    </row>
    <row r="265" spans="1:10" x14ac:dyDescent="0.3">
      <c r="A265">
        <v>4763343</v>
      </c>
      <c r="B265">
        <v>444582</v>
      </c>
      <c r="C265">
        <v>1008</v>
      </c>
      <c r="D265" s="1">
        <v>44611</v>
      </c>
      <c r="E265" s="1"/>
      <c r="F265" t="s">
        <v>3480</v>
      </c>
      <c r="G265" t="str">
        <f>IF(ISNA(_xlfn.XLOOKUP(subscriptions[[#This Row],[customer_id]], customers[customer_id], customers[customer_id])), "NO", "YES")</f>
        <v>YES</v>
      </c>
      <c r="H265">
        <f>IF(AND(subscriptions[[#This Row],[end_date]]&lt;&gt;"", subscriptions[[#This Row],[end_date]] &lt; subscriptions[[#This Row],[start_date]]), 1, 0)</f>
        <v>0</v>
      </c>
      <c r="I2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5">
        <f>IF(
  AND(subscriptions[[#This Row],[end_before_start]]=0, subscriptions[[#This Row],[status_end_mismatch]]=0),
  1,
  0
)</f>
        <v>1</v>
      </c>
    </row>
    <row r="266" spans="1:10" x14ac:dyDescent="0.3">
      <c r="A266">
        <v>7465654</v>
      </c>
      <c r="B266">
        <v>189318</v>
      </c>
      <c r="C266">
        <v>1001</v>
      </c>
      <c r="D266" s="1">
        <v>44863</v>
      </c>
      <c r="E266" s="1"/>
      <c r="F266" t="s">
        <v>3480</v>
      </c>
      <c r="G266" t="str">
        <f>IF(ISNA(_xlfn.XLOOKUP(subscriptions[[#This Row],[customer_id]], customers[customer_id], customers[customer_id])), "NO", "YES")</f>
        <v>YES</v>
      </c>
      <c r="H266">
        <f>IF(AND(subscriptions[[#This Row],[end_date]]&lt;&gt;"", subscriptions[[#This Row],[end_date]] &lt; subscriptions[[#This Row],[start_date]]), 1, 0)</f>
        <v>0</v>
      </c>
      <c r="I2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6">
        <f>IF(
  AND(subscriptions[[#This Row],[end_before_start]]=0, subscriptions[[#This Row],[status_end_mismatch]]=0),
  1,
  0
)</f>
        <v>1</v>
      </c>
    </row>
    <row r="267" spans="1:10" x14ac:dyDescent="0.3">
      <c r="A267">
        <v>5812480</v>
      </c>
      <c r="B267">
        <v>990247</v>
      </c>
      <c r="C267">
        <v>1004</v>
      </c>
      <c r="D267" s="1">
        <v>45024</v>
      </c>
      <c r="E267" s="1">
        <v>45404</v>
      </c>
      <c r="F267" t="s">
        <v>3479</v>
      </c>
      <c r="G267" t="str">
        <f>IF(ISNA(_xlfn.XLOOKUP(subscriptions[[#This Row],[customer_id]], customers[customer_id], customers[customer_id])), "NO", "YES")</f>
        <v>YES</v>
      </c>
      <c r="H267">
        <f>IF(AND(subscriptions[[#This Row],[end_date]]&lt;&gt;"", subscriptions[[#This Row],[end_date]] &lt; subscriptions[[#This Row],[start_date]]), 1, 0)</f>
        <v>0</v>
      </c>
      <c r="I2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7">
        <f>IF(
  AND(subscriptions[[#This Row],[end_before_start]]=0, subscriptions[[#This Row],[status_end_mismatch]]=0),
  1,
  0
)</f>
        <v>1</v>
      </c>
    </row>
    <row r="268" spans="1:10" x14ac:dyDescent="0.3">
      <c r="A268">
        <v>7454929</v>
      </c>
      <c r="B268">
        <v>431414</v>
      </c>
      <c r="C268">
        <v>1001</v>
      </c>
      <c r="D268" s="1">
        <v>44792</v>
      </c>
      <c r="E268" s="1"/>
      <c r="F268" t="s">
        <v>3480</v>
      </c>
      <c r="G268" t="str">
        <f>IF(ISNA(_xlfn.XLOOKUP(subscriptions[[#This Row],[customer_id]], customers[customer_id], customers[customer_id])), "NO", "YES")</f>
        <v>YES</v>
      </c>
      <c r="H268">
        <f>IF(AND(subscriptions[[#This Row],[end_date]]&lt;&gt;"", subscriptions[[#This Row],[end_date]] &lt; subscriptions[[#This Row],[start_date]]), 1, 0)</f>
        <v>0</v>
      </c>
      <c r="I2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8">
        <f>IF(
  AND(subscriptions[[#This Row],[end_before_start]]=0, subscriptions[[#This Row],[status_end_mismatch]]=0),
  1,
  0
)</f>
        <v>1</v>
      </c>
    </row>
    <row r="269" spans="1:10" x14ac:dyDescent="0.3">
      <c r="A269">
        <v>2847769</v>
      </c>
      <c r="B269">
        <v>443848</v>
      </c>
      <c r="C269">
        <v>1005</v>
      </c>
      <c r="D269" s="1">
        <v>45021</v>
      </c>
      <c r="E269" s="1"/>
      <c r="F269" t="s">
        <v>3480</v>
      </c>
      <c r="G269" t="str">
        <f>IF(ISNA(_xlfn.XLOOKUP(subscriptions[[#This Row],[customer_id]], customers[customer_id], customers[customer_id])), "NO", "YES")</f>
        <v>YES</v>
      </c>
      <c r="H269">
        <f>IF(AND(subscriptions[[#This Row],[end_date]]&lt;&gt;"", subscriptions[[#This Row],[end_date]] &lt; subscriptions[[#This Row],[start_date]]), 1, 0)</f>
        <v>0</v>
      </c>
      <c r="I2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69">
        <f>IF(
  AND(subscriptions[[#This Row],[end_before_start]]=0, subscriptions[[#This Row],[status_end_mismatch]]=0),
  1,
  0
)</f>
        <v>1</v>
      </c>
    </row>
    <row r="270" spans="1:10" x14ac:dyDescent="0.3">
      <c r="A270">
        <v>5728058</v>
      </c>
      <c r="B270">
        <v>417824</v>
      </c>
      <c r="C270">
        <v>1009</v>
      </c>
      <c r="D270" s="1">
        <v>45293</v>
      </c>
      <c r="E270" s="1"/>
      <c r="F270" t="s">
        <v>3480</v>
      </c>
      <c r="G270" t="str">
        <f>IF(ISNA(_xlfn.XLOOKUP(subscriptions[[#This Row],[customer_id]], customers[customer_id], customers[customer_id])), "NO", "YES")</f>
        <v>YES</v>
      </c>
      <c r="H270">
        <f>IF(AND(subscriptions[[#This Row],[end_date]]&lt;&gt;"", subscriptions[[#This Row],[end_date]] &lt; subscriptions[[#This Row],[start_date]]), 1, 0)</f>
        <v>0</v>
      </c>
      <c r="I2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0">
        <f>IF(
  AND(subscriptions[[#This Row],[end_before_start]]=0, subscriptions[[#This Row],[status_end_mismatch]]=0),
  1,
  0
)</f>
        <v>1</v>
      </c>
    </row>
    <row r="271" spans="1:10" x14ac:dyDescent="0.3">
      <c r="A271">
        <v>6598972</v>
      </c>
      <c r="B271">
        <v>647341</v>
      </c>
      <c r="C271">
        <v>1009</v>
      </c>
      <c r="D271" s="1">
        <v>44804</v>
      </c>
      <c r="E271" s="1"/>
      <c r="F271" t="s">
        <v>3480</v>
      </c>
      <c r="G271" t="str">
        <f>IF(ISNA(_xlfn.XLOOKUP(subscriptions[[#This Row],[customer_id]], customers[customer_id], customers[customer_id])), "NO", "YES")</f>
        <v>YES</v>
      </c>
      <c r="H271">
        <f>IF(AND(subscriptions[[#This Row],[end_date]]&lt;&gt;"", subscriptions[[#This Row],[end_date]] &lt; subscriptions[[#This Row],[start_date]]), 1, 0)</f>
        <v>0</v>
      </c>
      <c r="I2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1">
        <f>IF(
  AND(subscriptions[[#This Row],[end_before_start]]=0, subscriptions[[#This Row],[status_end_mismatch]]=0),
  1,
  0
)</f>
        <v>1</v>
      </c>
    </row>
    <row r="272" spans="1:10" x14ac:dyDescent="0.3">
      <c r="A272">
        <v>2422780</v>
      </c>
      <c r="B272">
        <v>900581</v>
      </c>
      <c r="C272">
        <v>1002</v>
      </c>
      <c r="D272" s="1">
        <v>44650</v>
      </c>
      <c r="E272" s="1">
        <v>44771</v>
      </c>
      <c r="F272" t="s">
        <v>3479</v>
      </c>
      <c r="G272" t="str">
        <f>IF(ISNA(_xlfn.XLOOKUP(subscriptions[[#This Row],[customer_id]], customers[customer_id], customers[customer_id])), "NO", "YES")</f>
        <v>YES</v>
      </c>
      <c r="H272">
        <f>IF(AND(subscriptions[[#This Row],[end_date]]&lt;&gt;"", subscriptions[[#This Row],[end_date]] &lt; subscriptions[[#This Row],[start_date]]), 1, 0)</f>
        <v>0</v>
      </c>
      <c r="I2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2">
        <f>IF(
  AND(subscriptions[[#This Row],[end_before_start]]=0, subscriptions[[#This Row],[status_end_mismatch]]=0),
  1,
  0
)</f>
        <v>1</v>
      </c>
    </row>
    <row r="273" spans="1:10" x14ac:dyDescent="0.3">
      <c r="A273">
        <v>8191191</v>
      </c>
      <c r="B273">
        <v>956727</v>
      </c>
      <c r="C273">
        <v>1005</v>
      </c>
      <c r="D273" s="1">
        <v>45247</v>
      </c>
      <c r="E273" s="1"/>
      <c r="F273" t="s">
        <v>3480</v>
      </c>
      <c r="G273" t="str">
        <f>IF(ISNA(_xlfn.XLOOKUP(subscriptions[[#This Row],[customer_id]], customers[customer_id], customers[customer_id])), "NO", "YES")</f>
        <v>YES</v>
      </c>
      <c r="H273">
        <f>IF(AND(subscriptions[[#This Row],[end_date]]&lt;&gt;"", subscriptions[[#This Row],[end_date]] &lt; subscriptions[[#This Row],[start_date]]), 1, 0)</f>
        <v>0</v>
      </c>
      <c r="I2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3">
        <f>IF(
  AND(subscriptions[[#This Row],[end_before_start]]=0, subscriptions[[#This Row],[status_end_mismatch]]=0),
  1,
  0
)</f>
        <v>1</v>
      </c>
    </row>
    <row r="274" spans="1:10" x14ac:dyDescent="0.3">
      <c r="A274">
        <v>8134419</v>
      </c>
      <c r="B274">
        <v>649395</v>
      </c>
      <c r="C274">
        <v>1003</v>
      </c>
      <c r="D274" s="1">
        <v>44869</v>
      </c>
      <c r="E274" s="1">
        <v>45250</v>
      </c>
      <c r="F274" t="s">
        <v>3479</v>
      </c>
      <c r="G274" t="str">
        <f>IF(ISNA(_xlfn.XLOOKUP(subscriptions[[#This Row],[customer_id]], customers[customer_id], customers[customer_id])), "NO", "YES")</f>
        <v>YES</v>
      </c>
      <c r="H274">
        <f>IF(AND(subscriptions[[#This Row],[end_date]]&lt;&gt;"", subscriptions[[#This Row],[end_date]] &lt; subscriptions[[#This Row],[start_date]]), 1, 0)</f>
        <v>0</v>
      </c>
      <c r="I2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4">
        <f>IF(
  AND(subscriptions[[#This Row],[end_before_start]]=0, subscriptions[[#This Row],[status_end_mismatch]]=0),
  1,
  0
)</f>
        <v>1</v>
      </c>
    </row>
    <row r="275" spans="1:10" x14ac:dyDescent="0.3">
      <c r="A275">
        <v>6059400</v>
      </c>
      <c r="B275">
        <v>320073</v>
      </c>
      <c r="C275">
        <v>1000</v>
      </c>
      <c r="D275" s="1">
        <v>45149</v>
      </c>
      <c r="E275" s="1"/>
      <c r="F275" t="s">
        <v>3480</v>
      </c>
      <c r="G275" t="str">
        <f>IF(ISNA(_xlfn.XLOOKUP(subscriptions[[#This Row],[customer_id]], customers[customer_id], customers[customer_id])), "NO", "YES")</f>
        <v>YES</v>
      </c>
      <c r="H275">
        <f>IF(AND(subscriptions[[#This Row],[end_date]]&lt;&gt;"", subscriptions[[#This Row],[end_date]] &lt; subscriptions[[#This Row],[start_date]]), 1, 0)</f>
        <v>0</v>
      </c>
      <c r="I2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5">
        <f>IF(
  AND(subscriptions[[#This Row],[end_before_start]]=0, subscriptions[[#This Row],[status_end_mismatch]]=0),
  1,
  0
)</f>
        <v>1</v>
      </c>
    </row>
    <row r="276" spans="1:10" x14ac:dyDescent="0.3">
      <c r="A276">
        <v>2743531</v>
      </c>
      <c r="B276">
        <v>926952</v>
      </c>
      <c r="C276">
        <v>1004</v>
      </c>
      <c r="D276" s="1">
        <v>45117</v>
      </c>
      <c r="E276" s="1">
        <v>45485</v>
      </c>
      <c r="F276" t="s">
        <v>3479</v>
      </c>
      <c r="G276" t="str">
        <f>IF(ISNA(_xlfn.XLOOKUP(subscriptions[[#This Row],[customer_id]], customers[customer_id], customers[customer_id])), "NO", "YES")</f>
        <v>YES</v>
      </c>
      <c r="H276">
        <f>IF(AND(subscriptions[[#This Row],[end_date]]&lt;&gt;"", subscriptions[[#This Row],[end_date]] &lt; subscriptions[[#This Row],[start_date]]), 1, 0)</f>
        <v>0</v>
      </c>
      <c r="I2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6">
        <f>IF(
  AND(subscriptions[[#This Row],[end_before_start]]=0, subscriptions[[#This Row],[status_end_mismatch]]=0),
  1,
  0
)</f>
        <v>1</v>
      </c>
    </row>
    <row r="277" spans="1:10" x14ac:dyDescent="0.3">
      <c r="A277">
        <v>7192680</v>
      </c>
      <c r="B277">
        <v>156964</v>
      </c>
      <c r="C277">
        <v>1005</v>
      </c>
      <c r="D277" s="1">
        <v>45105</v>
      </c>
      <c r="E277" s="1">
        <v>45499</v>
      </c>
      <c r="F277" t="s">
        <v>3479</v>
      </c>
      <c r="G277" t="str">
        <f>IF(ISNA(_xlfn.XLOOKUP(subscriptions[[#This Row],[customer_id]], customers[customer_id], customers[customer_id])), "NO", "YES")</f>
        <v>YES</v>
      </c>
      <c r="H277">
        <f>IF(AND(subscriptions[[#This Row],[end_date]]&lt;&gt;"", subscriptions[[#This Row],[end_date]] &lt; subscriptions[[#This Row],[start_date]]), 1, 0)</f>
        <v>0</v>
      </c>
      <c r="I2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7">
        <f>IF(
  AND(subscriptions[[#This Row],[end_before_start]]=0, subscriptions[[#This Row],[status_end_mismatch]]=0),
  1,
  0
)</f>
        <v>1</v>
      </c>
    </row>
    <row r="278" spans="1:10" x14ac:dyDescent="0.3">
      <c r="A278">
        <v>2281267</v>
      </c>
      <c r="B278">
        <v>599380</v>
      </c>
      <c r="C278">
        <v>1001</v>
      </c>
      <c r="D278" s="1">
        <v>44566</v>
      </c>
      <c r="E278" s="1">
        <v>44672</v>
      </c>
      <c r="F278" t="s">
        <v>3479</v>
      </c>
      <c r="G278" t="str">
        <f>IF(ISNA(_xlfn.XLOOKUP(subscriptions[[#This Row],[customer_id]], customers[customer_id], customers[customer_id])), "NO", "YES")</f>
        <v>YES</v>
      </c>
      <c r="H278">
        <f>IF(AND(subscriptions[[#This Row],[end_date]]&lt;&gt;"", subscriptions[[#This Row],[end_date]] &lt; subscriptions[[#This Row],[start_date]]), 1, 0)</f>
        <v>0</v>
      </c>
      <c r="I2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8">
        <f>IF(
  AND(subscriptions[[#This Row],[end_before_start]]=0, subscriptions[[#This Row],[status_end_mismatch]]=0),
  1,
  0
)</f>
        <v>1</v>
      </c>
    </row>
    <row r="279" spans="1:10" x14ac:dyDescent="0.3">
      <c r="A279">
        <v>3459356</v>
      </c>
      <c r="B279">
        <v>796212</v>
      </c>
      <c r="C279">
        <v>1002</v>
      </c>
      <c r="D279" s="1">
        <v>45217</v>
      </c>
      <c r="E279" s="1"/>
      <c r="F279" t="s">
        <v>3480</v>
      </c>
      <c r="G279" t="str">
        <f>IF(ISNA(_xlfn.XLOOKUP(subscriptions[[#This Row],[customer_id]], customers[customer_id], customers[customer_id])), "NO", "YES")</f>
        <v>YES</v>
      </c>
      <c r="H279">
        <f>IF(AND(subscriptions[[#This Row],[end_date]]&lt;&gt;"", subscriptions[[#This Row],[end_date]] &lt; subscriptions[[#This Row],[start_date]]), 1, 0)</f>
        <v>0</v>
      </c>
      <c r="I2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79">
        <f>IF(
  AND(subscriptions[[#This Row],[end_before_start]]=0, subscriptions[[#This Row],[status_end_mismatch]]=0),
  1,
  0
)</f>
        <v>1</v>
      </c>
    </row>
    <row r="280" spans="1:10" x14ac:dyDescent="0.3">
      <c r="A280">
        <v>8494305</v>
      </c>
      <c r="B280">
        <v>811451</v>
      </c>
      <c r="C280">
        <v>1002</v>
      </c>
      <c r="D280" s="1">
        <v>45541</v>
      </c>
      <c r="E280" s="1">
        <v>45628</v>
      </c>
      <c r="F280" t="s">
        <v>3479</v>
      </c>
      <c r="G280" t="str">
        <f>IF(ISNA(_xlfn.XLOOKUP(subscriptions[[#This Row],[customer_id]], customers[customer_id], customers[customer_id])), "NO", "YES")</f>
        <v>YES</v>
      </c>
      <c r="H280">
        <f>IF(AND(subscriptions[[#This Row],[end_date]]&lt;&gt;"", subscriptions[[#This Row],[end_date]] &lt; subscriptions[[#This Row],[start_date]]), 1, 0)</f>
        <v>0</v>
      </c>
      <c r="I2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0">
        <f>IF(
  AND(subscriptions[[#This Row],[end_before_start]]=0, subscriptions[[#This Row],[status_end_mismatch]]=0),
  1,
  0
)</f>
        <v>1</v>
      </c>
    </row>
    <row r="281" spans="1:10" x14ac:dyDescent="0.3">
      <c r="A281">
        <v>8171473</v>
      </c>
      <c r="B281">
        <v>662445</v>
      </c>
      <c r="C281">
        <v>1008</v>
      </c>
      <c r="D281" s="1">
        <v>45132</v>
      </c>
      <c r="E281" s="1"/>
      <c r="F281" t="s">
        <v>3480</v>
      </c>
      <c r="G281" t="str">
        <f>IF(ISNA(_xlfn.XLOOKUP(subscriptions[[#This Row],[customer_id]], customers[customer_id], customers[customer_id])), "NO", "YES")</f>
        <v>YES</v>
      </c>
      <c r="H281">
        <f>IF(AND(subscriptions[[#This Row],[end_date]]&lt;&gt;"", subscriptions[[#This Row],[end_date]] &lt; subscriptions[[#This Row],[start_date]]), 1, 0)</f>
        <v>0</v>
      </c>
      <c r="I2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1">
        <f>IF(
  AND(subscriptions[[#This Row],[end_before_start]]=0, subscriptions[[#This Row],[status_end_mismatch]]=0),
  1,
  0
)</f>
        <v>1</v>
      </c>
    </row>
    <row r="282" spans="1:10" x14ac:dyDescent="0.3">
      <c r="A282">
        <v>6419936</v>
      </c>
      <c r="B282">
        <v>197966</v>
      </c>
      <c r="C282">
        <v>1007</v>
      </c>
      <c r="D282" s="1">
        <v>44823</v>
      </c>
      <c r="E282" s="1"/>
      <c r="F282" t="s">
        <v>3480</v>
      </c>
      <c r="G282" t="str">
        <f>IF(ISNA(_xlfn.XLOOKUP(subscriptions[[#This Row],[customer_id]], customers[customer_id], customers[customer_id])), "NO", "YES")</f>
        <v>YES</v>
      </c>
      <c r="H282">
        <f>IF(AND(subscriptions[[#This Row],[end_date]]&lt;&gt;"", subscriptions[[#This Row],[end_date]] &lt; subscriptions[[#This Row],[start_date]]), 1, 0)</f>
        <v>0</v>
      </c>
      <c r="I2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2">
        <f>IF(
  AND(subscriptions[[#This Row],[end_before_start]]=0, subscriptions[[#This Row],[status_end_mismatch]]=0),
  1,
  0
)</f>
        <v>1</v>
      </c>
    </row>
    <row r="283" spans="1:10" x14ac:dyDescent="0.3">
      <c r="A283">
        <v>7459520</v>
      </c>
      <c r="B283">
        <v>883790</v>
      </c>
      <c r="C283">
        <v>1003</v>
      </c>
      <c r="D283" s="1">
        <v>45284</v>
      </c>
      <c r="E283" s="1"/>
      <c r="F283" t="s">
        <v>3480</v>
      </c>
      <c r="G283" t="str">
        <f>IF(ISNA(_xlfn.XLOOKUP(subscriptions[[#This Row],[customer_id]], customers[customer_id], customers[customer_id])), "NO", "YES")</f>
        <v>YES</v>
      </c>
      <c r="H283">
        <f>IF(AND(subscriptions[[#This Row],[end_date]]&lt;&gt;"", subscriptions[[#This Row],[end_date]] &lt; subscriptions[[#This Row],[start_date]]), 1, 0)</f>
        <v>0</v>
      </c>
      <c r="I2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3">
        <f>IF(
  AND(subscriptions[[#This Row],[end_before_start]]=0, subscriptions[[#This Row],[status_end_mismatch]]=0),
  1,
  0
)</f>
        <v>1</v>
      </c>
    </row>
    <row r="284" spans="1:10" x14ac:dyDescent="0.3">
      <c r="A284">
        <v>8110722</v>
      </c>
      <c r="B284">
        <v>921609</v>
      </c>
      <c r="C284">
        <v>1008</v>
      </c>
      <c r="D284" s="1">
        <v>45547</v>
      </c>
      <c r="E284" s="1">
        <v>45638</v>
      </c>
      <c r="F284" t="s">
        <v>3479</v>
      </c>
      <c r="G284" t="str">
        <f>IF(ISNA(_xlfn.XLOOKUP(subscriptions[[#This Row],[customer_id]], customers[customer_id], customers[customer_id])), "NO", "YES")</f>
        <v>YES</v>
      </c>
      <c r="H284">
        <f>IF(AND(subscriptions[[#This Row],[end_date]]&lt;&gt;"", subscriptions[[#This Row],[end_date]] &lt; subscriptions[[#This Row],[start_date]]), 1, 0)</f>
        <v>0</v>
      </c>
      <c r="I2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4">
        <f>IF(
  AND(subscriptions[[#This Row],[end_before_start]]=0, subscriptions[[#This Row],[status_end_mismatch]]=0),
  1,
  0
)</f>
        <v>1</v>
      </c>
    </row>
    <row r="285" spans="1:10" x14ac:dyDescent="0.3">
      <c r="A285">
        <v>6594616</v>
      </c>
      <c r="B285">
        <v>982804</v>
      </c>
      <c r="C285">
        <v>1001</v>
      </c>
      <c r="D285" s="1">
        <v>44845</v>
      </c>
      <c r="E285" s="1">
        <v>45209</v>
      </c>
      <c r="F285" t="s">
        <v>3479</v>
      </c>
      <c r="G285" t="str">
        <f>IF(ISNA(_xlfn.XLOOKUP(subscriptions[[#This Row],[customer_id]], customers[customer_id], customers[customer_id])), "NO", "YES")</f>
        <v>YES</v>
      </c>
      <c r="H285">
        <f>IF(AND(subscriptions[[#This Row],[end_date]]&lt;&gt;"", subscriptions[[#This Row],[end_date]] &lt; subscriptions[[#This Row],[start_date]]), 1, 0)</f>
        <v>0</v>
      </c>
      <c r="I2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5">
        <f>IF(
  AND(subscriptions[[#This Row],[end_before_start]]=0, subscriptions[[#This Row],[status_end_mismatch]]=0),
  1,
  0
)</f>
        <v>1</v>
      </c>
    </row>
    <row r="286" spans="1:10" x14ac:dyDescent="0.3">
      <c r="A286">
        <v>5125653</v>
      </c>
      <c r="B286">
        <v>755017</v>
      </c>
      <c r="C286">
        <v>1007</v>
      </c>
      <c r="D286" s="1">
        <v>45346</v>
      </c>
      <c r="E286" s="1"/>
      <c r="F286" t="s">
        <v>3480</v>
      </c>
      <c r="G286" t="str">
        <f>IF(ISNA(_xlfn.XLOOKUP(subscriptions[[#This Row],[customer_id]], customers[customer_id], customers[customer_id])), "NO", "YES")</f>
        <v>YES</v>
      </c>
      <c r="H286">
        <f>IF(AND(subscriptions[[#This Row],[end_date]]&lt;&gt;"", subscriptions[[#This Row],[end_date]] &lt; subscriptions[[#This Row],[start_date]]), 1, 0)</f>
        <v>0</v>
      </c>
      <c r="I2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6">
        <f>IF(
  AND(subscriptions[[#This Row],[end_before_start]]=0, subscriptions[[#This Row],[status_end_mismatch]]=0),
  1,
  0
)</f>
        <v>1</v>
      </c>
    </row>
    <row r="287" spans="1:10" x14ac:dyDescent="0.3">
      <c r="A287">
        <v>9339992</v>
      </c>
      <c r="B287">
        <v>134283</v>
      </c>
      <c r="C287">
        <v>1008</v>
      </c>
      <c r="D287" s="1">
        <v>45570</v>
      </c>
      <c r="E287" s="1"/>
      <c r="F287" t="s">
        <v>3480</v>
      </c>
      <c r="G287" t="str">
        <f>IF(ISNA(_xlfn.XLOOKUP(subscriptions[[#This Row],[customer_id]], customers[customer_id], customers[customer_id])), "NO", "YES")</f>
        <v>YES</v>
      </c>
      <c r="H287">
        <f>IF(AND(subscriptions[[#This Row],[end_date]]&lt;&gt;"", subscriptions[[#This Row],[end_date]] &lt; subscriptions[[#This Row],[start_date]]), 1, 0)</f>
        <v>0</v>
      </c>
      <c r="I2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7">
        <f>IF(
  AND(subscriptions[[#This Row],[end_before_start]]=0, subscriptions[[#This Row],[status_end_mismatch]]=0),
  1,
  0
)</f>
        <v>1</v>
      </c>
    </row>
    <row r="288" spans="1:10" x14ac:dyDescent="0.3">
      <c r="A288">
        <v>4860680</v>
      </c>
      <c r="B288">
        <v>695148</v>
      </c>
      <c r="C288">
        <v>1009</v>
      </c>
      <c r="D288" s="1">
        <v>45349</v>
      </c>
      <c r="E288" s="1"/>
      <c r="F288" t="s">
        <v>3480</v>
      </c>
      <c r="G288" t="str">
        <f>IF(ISNA(_xlfn.XLOOKUP(subscriptions[[#This Row],[customer_id]], customers[customer_id], customers[customer_id])), "NO", "YES")</f>
        <v>YES</v>
      </c>
      <c r="H288">
        <f>IF(AND(subscriptions[[#This Row],[end_date]]&lt;&gt;"", subscriptions[[#This Row],[end_date]] &lt; subscriptions[[#This Row],[start_date]]), 1, 0)</f>
        <v>0</v>
      </c>
      <c r="I2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8">
        <f>IF(
  AND(subscriptions[[#This Row],[end_before_start]]=0, subscriptions[[#This Row],[status_end_mismatch]]=0),
  1,
  0
)</f>
        <v>1</v>
      </c>
    </row>
    <row r="289" spans="1:10" x14ac:dyDescent="0.3">
      <c r="A289">
        <v>8077313</v>
      </c>
      <c r="B289">
        <v>753453</v>
      </c>
      <c r="C289">
        <v>1001</v>
      </c>
      <c r="D289" s="1">
        <v>45011</v>
      </c>
      <c r="E289" s="1">
        <v>45161</v>
      </c>
      <c r="F289" t="s">
        <v>3479</v>
      </c>
      <c r="G289" t="str">
        <f>IF(ISNA(_xlfn.XLOOKUP(subscriptions[[#This Row],[customer_id]], customers[customer_id], customers[customer_id])), "NO", "YES")</f>
        <v>YES</v>
      </c>
      <c r="H289">
        <f>IF(AND(subscriptions[[#This Row],[end_date]]&lt;&gt;"", subscriptions[[#This Row],[end_date]] &lt; subscriptions[[#This Row],[start_date]]), 1, 0)</f>
        <v>0</v>
      </c>
      <c r="I2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89">
        <f>IF(
  AND(subscriptions[[#This Row],[end_before_start]]=0, subscriptions[[#This Row],[status_end_mismatch]]=0),
  1,
  0
)</f>
        <v>1</v>
      </c>
    </row>
    <row r="290" spans="1:10" x14ac:dyDescent="0.3">
      <c r="A290">
        <v>7068477</v>
      </c>
      <c r="B290">
        <v>134283</v>
      </c>
      <c r="C290">
        <v>1002</v>
      </c>
      <c r="D290" s="1">
        <v>44567</v>
      </c>
      <c r="E290" s="1"/>
      <c r="F290" t="s">
        <v>3480</v>
      </c>
      <c r="G290" t="str">
        <f>IF(ISNA(_xlfn.XLOOKUP(subscriptions[[#This Row],[customer_id]], customers[customer_id], customers[customer_id])), "NO", "YES")</f>
        <v>YES</v>
      </c>
      <c r="H290">
        <f>IF(AND(subscriptions[[#This Row],[end_date]]&lt;&gt;"", subscriptions[[#This Row],[end_date]] &lt; subscriptions[[#This Row],[start_date]]), 1, 0)</f>
        <v>0</v>
      </c>
      <c r="I2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0">
        <f>IF(
  AND(subscriptions[[#This Row],[end_before_start]]=0, subscriptions[[#This Row],[status_end_mismatch]]=0),
  1,
  0
)</f>
        <v>1</v>
      </c>
    </row>
    <row r="291" spans="1:10" x14ac:dyDescent="0.3">
      <c r="A291">
        <v>1287807</v>
      </c>
      <c r="B291">
        <v>525581</v>
      </c>
      <c r="C291">
        <v>1000</v>
      </c>
      <c r="D291" s="1">
        <v>45304</v>
      </c>
      <c r="E291" s="1"/>
      <c r="F291" t="s">
        <v>3480</v>
      </c>
      <c r="G291" t="str">
        <f>IF(ISNA(_xlfn.XLOOKUP(subscriptions[[#This Row],[customer_id]], customers[customer_id], customers[customer_id])), "NO", "YES")</f>
        <v>YES</v>
      </c>
      <c r="H291">
        <f>IF(AND(subscriptions[[#This Row],[end_date]]&lt;&gt;"", subscriptions[[#This Row],[end_date]] &lt; subscriptions[[#This Row],[start_date]]), 1, 0)</f>
        <v>0</v>
      </c>
      <c r="I2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1">
        <f>IF(
  AND(subscriptions[[#This Row],[end_before_start]]=0, subscriptions[[#This Row],[status_end_mismatch]]=0),
  1,
  0
)</f>
        <v>1</v>
      </c>
    </row>
    <row r="292" spans="1:10" x14ac:dyDescent="0.3">
      <c r="A292">
        <v>3241313</v>
      </c>
      <c r="B292">
        <v>676429</v>
      </c>
      <c r="C292">
        <v>1005</v>
      </c>
      <c r="D292" s="1">
        <v>44787</v>
      </c>
      <c r="E292" s="1"/>
      <c r="F292" t="s">
        <v>3480</v>
      </c>
      <c r="G292" t="str">
        <f>IF(ISNA(_xlfn.XLOOKUP(subscriptions[[#This Row],[customer_id]], customers[customer_id], customers[customer_id])), "NO", "YES")</f>
        <v>YES</v>
      </c>
      <c r="H292">
        <f>IF(AND(subscriptions[[#This Row],[end_date]]&lt;&gt;"", subscriptions[[#This Row],[end_date]] &lt; subscriptions[[#This Row],[start_date]]), 1, 0)</f>
        <v>0</v>
      </c>
      <c r="I2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2">
        <f>IF(
  AND(subscriptions[[#This Row],[end_before_start]]=0, subscriptions[[#This Row],[status_end_mismatch]]=0),
  1,
  0
)</f>
        <v>1</v>
      </c>
    </row>
    <row r="293" spans="1:10" x14ac:dyDescent="0.3">
      <c r="A293">
        <v>6861079</v>
      </c>
      <c r="B293">
        <v>958620</v>
      </c>
      <c r="C293">
        <v>1002</v>
      </c>
      <c r="D293" s="1">
        <v>45301</v>
      </c>
      <c r="E293" s="1">
        <v>45402</v>
      </c>
      <c r="F293" t="s">
        <v>3479</v>
      </c>
      <c r="G293" t="str">
        <f>IF(ISNA(_xlfn.XLOOKUP(subscriptions[[#This Row],[customer_id]], customers[customer_id], customers[customer_id])), "NO", "YES")</f>
        <v>YES</v>
      </c>
      <c r="H293">
        <f>IF(AND(subscriptions[[#This Row],[end_date]]&lt;&gt;"", subscriptions[[#This Row],[end_date]] &lt; subscriptions[[#This Row],[start_date]]), 1, 0)</f>
        <v>0</v>
      </c>
      <c r="I2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3">
        <f>IF(
  AND(subscriptions[[#This Row],[end_before_start]]=0, subscriptions[[#This Row],[status_end_mismatch]]=0),
  1,
  0
)</f>
        <v>1</v>
      </c>
    </row>
    <row r="294" spans="1:10" x14ac:dyDescent="0.3">
      <c r="A294">
        <v>5944200</v>
      </c>
      <c r="B294">
        <v>144316</v>
      </c>
      <c r="C294">
        <v>1007</v>
      </c>
      <c r="D294" s="1">
        <v>45504</v>
      </c>
      <c r="E294" s="1"/>
      <c r="F294" t="s">
        <v>3480</v>
      </c>
      <c r="G294" t="str">
        <f>IF(ISNA(_xlfn.XLOOKUP(subscriptions[[#This Row],[customer_id]], customers[customer_id], customers[customer_id])), "NO", "YES")</f>
        <v>YES</v>
      </c>
      <c r="H294">
        <f>IF(AND(subscriptions[[#This Row],[end_date]]&lt;&gt;"", subscriptions[[#This Row],[end_date]] &lt; subscriptions[[#This Row],[start_date]]), 1, 0)</f>
        <v>0</v>
      </c>
      <c r="I2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4">
        <f>IF(
  AND(subscriptions[[#This Row],[end_before_start]]=0, subscriptions[[#This Row],[status_end_mismatch]]=0),
  1,
  0
)</f>
        <v>1</v>
      </c>
    </row>
    <row r="295" spans="1:10" x14ac:dyDescent="0.3">
      <c r="A295">
        <v>8064499</v>
      </c>
      <c r="B295">
        <v>474725</v>
      </c>
      <c r="C295">
        <v>1002</v>
      </c>
      <c r="D295" s="1">
        <v>45058</v>
      </c>
      <c r="E295" s="1"/>
      <c r="F295" t="s">
        <v>3480</v>
      </c>
      <c r="G295" t="str">
        <f>IF(ISNA(_xlfn.XLOOKUP(subscriptions[[#This Row],[customer_id]], customers[customer_id], customers[customer_id])), "NO", "YES")</f>
        <v>YES</v>
      </c>
      <c r="H295">
        <f>IF(AND(subscriptions[[#This Row],[end_date]]&lt;&gt;"", subscriptions[[#This Row],[end_date]] &lt; subscriptions[[#This Row],[start_date]]), 1, 0)</f>
        <v>0</v>
      </c>
      <c r="I2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5">
        <f>IF(
  AND(subscriptions[[#This Row],[end_before_start]]=0, subscriptions[[#This Row],[status_end_mismatch]]=0),
  1,
  0
)</f>
        <v>1</v>
      </c>
    </row>
    <row r="296" spans="1:10" x14ac:dyDescent="0.3">
      <c r="A296">
        <v>4767947</v>
      </c>
      <c r="B296">
        <v>378082</v>
      </c>
      <c r="C296">
        <v>1007</v>
      </c>
      <c r="D296" s="1">
        <v>44676</v>
      </c>
      <c r="E296" s="1">
        <v>44766</v>
      </c>
      <c r="F296" t="s">
        <v>3479</v>
      </c>
      <c r="G296" t="str">
        <f>IF(ISNA(_xlfn.XLOOKUP(subscriptions[[#This Row],[customer_id]], customers[customer_id], customers[customer_id])), "NO", "YES")</f>
        <v>YES</v>
      </c>
      <c r="H296">
        <f>IF(AND(subscriptions[[#This Row],[end_date]]&lt;&gt;"", subscriptions[[#This Row],[end_date]] &lt; subscriptions[[#This Row],[start_date]]), 1, 0)</f>
        <v>0</v>
      </c>
      <c r="I2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6">
        <f>IF(
  AND(subscriptions[[#This Row],[end_before_start]]=0, subscriptions[[#This Row],[status_end_mismatch]]=0),
  1,
  0
)</f>
        <v>1</v>
      </c>
    </row>
    <row r="297" spans="1:10" x14ac:dyDescent="0.3">
      <c r="A297">
        <v>3400426</v>
      </c>
      <c r="B297">
        <v>904092</v>
      </c>
      <c r="C297">
        <v>1002</v>
      </c>
      <c r="D297" s="1">
        <v>45335</v>
      </c>
      <c r="E297" s="1">
        <v>45644</v>
      </c>
      <c r="F297" t="s">
        <v>3479</v>
      </c>
      <c r="G297" t="str">
        <f>IF(ISNA(_xlfn.XLOOKUP(subscriptions[[#This Row],[customer_id]], customers[customer_id], customers[customer_id])), "NO", "YES")</f>
        <v>YES</v>
      </c>
      <c r="H297">
        <f>IF(AND(subscriptions[[#This Row],[end_date]]&lt;&gt;"", subscriptions[[#This Row],[end_date]] &lt; subscriptions[[#This Row],[start_date]]), 1, 0)</f>
        <v>0</v>
      </c>
      <c r="I2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7">
        <f>IF(
  AND(subscriptions[[#This Row],[end_before_start]]=0, subscriptions[[#This Row],[status_end_mismatch]]=0),
  1,
  0
)</f>
        <v>1</v>
      </c>
    </row>
    <row r="298" spans="1:10" x14ac:dyDescent="0.3">
      <c r="A298">
        <v>7235826</v>
      </c>
      <c r="B298">
        <v>137581</v>
      </c>
      <c r="C298">
        <v>1002</v>
      </c>
      <c r="D298" s="1">
        <v>44672</v>
      </c>
      <c r="E298" s="1">
        <v>45041</v>
      </c>
      <c r="F298" t="s">
        <v>3479</v>
      </c>
      <c r="G298" t="str">
        <f>IF(ISNA(_xlfn.XLOOKUP(subscriptions[[#This Row],[customer_id]], customers[customer_id], customers[customer_id])), "NO", "YES")</f>
        <v>YES</v>
      </c>
      <c r="H298">
        <f>IF(AND(subscriptions[[#This Row],[end_date]]&lt;&gt;"", subscriptions[[#This Row],[end_date]] &lt; subscriptions[[#This Row],[start_date]]), 1, 0)</f>
        <v>0</v>
      </c>
      <c r="I2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8">
        <f>IF(
  AND(subscriptions[[#This Row],[end_before_start]]=0, subscriptions[[#This Row],[status_end_mismatch]]=0),
  1,
  0
)</f>
        <v>1</v>
      </c>
    </row>
    <row r="299" spans="1:10" x14ac:dyDescent="0.3">
      <c r="A299">
        <v>2237660</v>
      </c>
      <c r="B299">
        <v>169591</v>
      </c>
      <c r="C299">
        <v>1003</v>
      </c>
      <c r="D299" s="1">
        <v>45538</v>
      </c>
      <c r="E299" s="1">
        <v>45648</v>
      </c>
      <c r="F299" t="s">
        <v>3479</v>
      </c>
      <c r="G299" t="str">
        <f>IF(ISNA(_xlfn.XLOOKUP(subscriptions[[#This Row],[customer_id]], customers[customer_id], customers[customer_id])), "NO", "YES")</f>
        <v>YES</v>
      </c>
      <c r="H299">
        <f>IF(AND(subscriptions[[#This Row],[end_date]]&lt;&gt;"", subscriptions[[#This Row],[end_date]] &lt; subscriptions[[#This Row],[start_date]]), 1, 0)</f>
        <v>0</v>
      </c>
      <c r="I2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299">
        <f>IF(
  AND(subscriptions[[#This Row],[end_before_start]]=0, subscriptions[[#This Row],[status_end_mismatch]]=0),
  1,
  0
)</f>
        <v>1</v>
      </c>
    </row>
    <row r="300" spans="1:10" x14ac:dyDescent="0.3">
      <c r="A300">
        <v>1506432</v>
      </c>
      <c r="B300">
        <v>995940</v>
      </c>
      <c r="C300">
        <v>1007</v>
      </c>
      <c r="D300" s="1">
        <v>44862</v>
      </c>
      <c r="E300" s="1"/>
      <c r="F300" t="s">
        <v>3480</v>
      </c>
      <c r="G300" t="str">
        <f>IF(ISNA(_xlfn.XLOOKUP(subscriptions[[#This Row],[customer_id]], customers[customer_id], customers[customer_id])), "NO", "YES")</f>
        <v>YES</v>
      </c>
      <c r="H300">
        <f>IF(AND(subscriptions[[#This Row],[end_date]]&lt;&gt;"", subscriptions[[#This Row],[end_date]] &lt; subscriptions[[#This Row],[start_date]]), 1, 0)</f>
        <v>0</v>
      </c>
      <c r="I3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0">
        <f>IF(
  AND(subscriptions[[#This Row],[end_before_start]]=0, subscriptions[[#This Row],[status_end_mismatch]]=0),
  1,
  0
)</f>
        <v>1</v>
      </c>
    </row>
    <row r="301" spans="1:10" x14ac:dyDescent="0.3">
      <c r="A301">
        <v>2325287</v>
      </c>
      <c r="B301">
        <v>621429</v>
      </c>
      <c r="C301">
        <v>1007</v>
      </c>
      <c r="D301" s="1">
        <v>45063</v>
      </c>
      <c r="E301" s="1"/>
      <c r="F301" t="s">
        <v>3480</v>
      </c>
      <c r="G301" t="str">
        <f>IF(ISNA(_xlfn.XLOOKUP(subscriptions[[#This Row],[customer_id]], customers[customer_id], customers[customer_id])), "NO", "YES")</f>
        <v>YES</v>
      </c>
      <c r="H301">
        <f>IF(AND(subscriptions[[#This Row],[end_date]]&lt;&gt;"", subscriptions[[#This Row],[end_date]] &lt; subscriptions[[#This Row],[start_date]]), 1, 0)</f>
        <v>0</v>
      </c>
      <c r="I3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1">
        <f>IF(
  AND(subscriptions[[#This Row],[end_before_start]]=0, subscriptions[[#This Row],[status_end_mismatch]]=0),
  1,
  0
)</f>
        <v>1</v>
      </c>
    </row>
    <row r="302" spans="1:10" x14ac:dyDescent="0.3">
      <c r="A302">
        <v>7987624</v>
      </c>
      <c r="B302">
        <v>100754</v>
      </c>
      <c r="C302">
        <v>1009</v>
      </c>
      <c r="D302" s="1">
        <v>44868</v>
      </c>
      <c r="E302" s="1">
        <v>45138</v>
      </c>
      <c r="F302" t="s">
        <v>3479</v>
      </c>
      <c r="G302" t="str">
        <f>IF(ISNA(_xlfn.XLOOKUP(subscriptions[[#This Row],[customer_id]], customers[customer_id], customers[customer_id])), "NO", "YES")</f>
        <v>YES</v>
      </c>
      <c r="H302">
        <f>IF(AND(subscriptions[[#This Row],[end_date]]&lt;&gt;"", subscriptions[[#This Row],[end_date]] &lt; subscriptions[[#This Row],[start_date]]), 1, 0)</f>
        <v>0</v>
      </c>
      <c r="I3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2">
        <f>IF(
  AND(subscriptions[[#This Row],[end_before_start]]=0, subscriptions[[#This Row],[status_end_mismatch]]=0),
  1,
  0
)</f>
        <v>1</v>
      </c>
    </row>
    <row r="303" spans="1:10" x14ac:dyDescent="0.3">
      <c r="A303">
        <v>3350695</v>
      </c>
      <c r="B303">
        <v>643042</v>
      </c>
      <c r="C303">
        <v>1002</v>
      </c>
      <c r="D303" s="1">
        <v>45175</v>
      </c>
      <c r="E303" s="1"/>
      <c r="F303" t="s">
        <v>3480</v>
      </c>
      <c r="G303" t="str">
        <f>IF(ISNA(_xlfn.XLOOKUP(subscriptions[[#This Row],[customer_id]], customers[customer_id], customers[customer_id])), "NO", "YES")</f>
        <v>YES</v>
      </c>
      <c r="H303">
        <f>IF(AND(subscriptions[[#This Row],[end_date]]&lt;&gt;"", subscriptions[[#This Row],[end_date]] &lt; subscriptions[[#This Row],[start_date]]), 1, 0)</f>
        <v>0</v>
      </c>
      <c r="I3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3">
        <f>IF(
  AND(subscriptions[[#This Row],[end_before_start]]=0, subscriptions[[#This Row],[status_end_mismatch]]=0),
  1,
  0
)</f>
        <v>1</v>
      </c>
    </row>
    <row r="304" spans="1:10" x14ac:dyDescent="0.3">
      <c r="A304">
        <v>6659575</v>
      </c>
      <c r="B304">
        <v>113266</v>
      </c>
      <c r="C304">
        <v>1005</v>
      </c>
      <c r="D304" s="1">
        <v>45471</v>
      </c>
      <c r="E304" s="1">
        <v>45657</v>
      </c>
      <c r="F304" t="s">
        <v>3479</v>
      </c>
      <c r="G304" t="str">
        <f>IF(ISNA(_xlfn.XLOOKUP(subscriptions[[#This Row],[customer_id]], customers[customer_id], customers[customer_id])), "NO", "YES")</f>
        <v>YES</v>
      </c>
      <c r="H304">
        <f>IF(AND(subscriptions[[#This Row],[end_date]]&lt;&gt;"", subscriptions[[#This Row],[end_date]] &lt; subscriptions[[#This Row],[start_date]]), 1, 0)</f>
        <v>0</v>
      </c>
      <c r="I3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4">
        <f>IF(
  AND(subscriptions[[#This Row],[end_before_start]]=0, subscriptions[[#This Row],[status_end_mismatch]]=0),
  1,
  0
)</f>
        <v>1</v>
      </c>
    </row>
    <row r="305" spans="1:10" x14ac:dyDescent="0.3">
      <c r="A305">
        <v>5811186</v>
      </c>
      <c r="B305">
        <v>166938</v>
      </c>
      <c r="C305">
        <v>1002</v>
      </c>
      <c r="D305" s="1">
        <v>44789</v>
      </c>
      <c r="E305" s="1"/>
      <c r="F305" t="s">
        <v>3480</v>
      </c>
      <c r="G305" t="str">
        <f>IF(ISNA(_xlfn.XLOOKUP(subscriptions[[#This Row],[customer_id]], customers[customer_id], customers[customer_id])), "NO", "YES")</f>
        <v>YES</v>
      </c>
      <c r="H305">
        <f>IF(AND(subscriptions[[#This Row],[end_date]]&lt;&gt;"", subscriptions[[#This Row],[end_date]] &lt; subscriptions[[#This Row],[start_date]]), 1, 0)</f>
        <v>0</v>
      </c>
      <c r="I3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5">
        <f>IF(
  AND(subscriptions[[#This Row],[end_before_start]]=0, subscriptions[[#This Row],[status_end_mismatch]]=0),
  1,
  0
)</f>
        <v>1</v>
      </c>
    </row>
    <row r="306" spans="1:10" x14ac:dyDescent="0.3">
      <c r="A306">
        <v>1538869</v>
      </c>
      <c r="B306">
        <v>783823</v>
      </c>
      <c r="C306">
        <v>1002</v>
      </c>
      <c r="D306" s="1">
        <v>44917</v>
      </c>
      <c r="E306" s="1"/>
      <c r="F306" t="s">
        <v>3480</v>
      </c>
      <c r="G306" t="str">
        <f>IF(ISNA(_xlfn.XLOOKUP(subscriptions[[#This Row],[customer_id]], customers[customer_id], customers[customer_id])), "NO", "YES")</f>
        <v>YES</v>
      </c>
      <c r="H306">
        <f>IF(AND(subscriptions[[#This Row],[end_date]]&lt;&gt;"", subscriptions[[#This Row],[end_date]] &lt; subscriptions[[#This Row],[start_date]]), 1, 0)</f>
        <v>0</v>
      </c>
      <c r="I3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6">
        <f>IF(
  AND(subscriptions[[#This Row],[end_before_start]]=0, subscriptions[[#This Row],[status_end_mismatch]]=0),
  1,
  0
)</f>
        <v>1</v>
      </c>
    </row>
    <row r="307" spans="1:10" x14ac:dyDescent="0.3">
      <c r="A307">
        <v>1182327</v>
      </c>
      <c r="B307">
        <v>744883</v>
      </c>
      <c r="C307">
        <v>1007</v>
      </c>
      <c r="D307" s="1">
        <v>45373</v>
      </c>
      <c r="E307" s="1">
        <v>45629</v>
      </c>
      <c r="F307" t="s">
        <v>3479</v>
      </c>
      <c r="G307" t="str">
        <f>IF(ISNA(_xlfn.XLOOKUP(subscriptions[[#This Row],[customer_id]], customers[customer_id], customers[customer_id])), "NO", "YES")</f>
        <v>YES</v>
      </c>
      <c r="H307">
        <f>IF(AND(subscriptions[[#This Row],[end_date]]&lt;&gt;"", subscriptions[[#This Row],[end_date]] &lt; subscriptions[[#This Row],[start_date]]), 1, 0)</f>
        <v>0</v>
      </c>
      <c r="I3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7">
        <f>IF(
  AND(subscriptions[[#This Row],[end_before_start]]=0, subscriptions[[#This Row],[status_end_mismatch]]=0),
  1,
  0
)</f>
        <v>1</v>
      </c>
    </row>
    <row r="308" spans="1:10" x14ac:dyDescent="0.3">
      <c r="A308">
        <v>8621830</v>
      </c>
      <c r="B308">
        <v>599365</v>
      </c>
      <c r="C308">
        <v>1001</v>
      </c>
      <c r="D308" s="1">
        <v>45090</v>
      </c>
      <c r="E308" s="1">
        <v>45376</v>
      </c>
      <c r="F308" t="s">
        <v>3479</v>
      </c>
      <c r="G308" t="str">
        <f>IF(ISNA(_xlfn.XLOOKUP(subscriptions[[#This Row],[customer_id]], customers[customer_id], customers[customer_id])), "NO", "YES")</f>
        <v>YES</v>
      </c>
      <c r="H308">
        <f>IF(AND(subscriptions[[#This Row],[end_date]]&lt;&gt;"", subscriptions[[#This Row],[end_date]] &lt; subscriptions[[#This Row],[start_date]]), 1, 0)</f>
        <v>0</v>
      </c>
      <c r="I3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8">
        <f>IF(
  AND(subscriptions[[#This Row],[end_before_start]]=0, subscriptions[[#This Row],[status_end_mismatch]]=0),
  1,
  0
)</f>
        <v>1</v>
      </c>
    </row>
    <row r="309" spans="1:10" x14ac:dyDescent="0.3">
      <c r="A309">
        <v>6134397</v>
      </c>
      <c r="B309">
        <v>649787</v>
      </c>
      <c r="C309">
        <v>1000</v>
      </c>
      <c r="D309" s="1">
        <v>45027</v>
      </c>
      <c r="E309" s="1"/>
      <c r="F309" t="s">
        <v>3480</v>
      </c>
      <c r="G309" t="str">
        <f>IF(ISNA(_xlfn.XLOOKUP(subscriptions[[#This Row],[customer_id]], customers[customer_id], customers[customer_id])), "NO", "YES")</f>
        <v>YES</v>
      </c>
      <c r="H309">
        <f>IF(AND(subscriptions[[#This Row],[end_date]]&lt;&gt;"", subscriptions[[#This Row],[end_date]] &lt; subscriptions[[#This Row],[start_date]]), 1, 0)</f>
        <v>0</v>
      </c>
      <c r="I3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09">
        <f>IF(
  AND(subscriptions[[#This Row],[end_before_start]]=0, subscriptions[[#This Row],[status_end_mismatch]]=0),
  1,
  0
)</f>
        <v>1</v>
      </c>
    </row>
    <row r="310" spans="1:10" x14ac:dyDescent="0.3">
      <c r="A310">
        <v>3630678</v>
      </c>
      <c r="B310">
        <v>126122</v>
      </c>
      <c r="C310">
        <v>1007</v>
      </c>
      <c r="D310" s="1">
        <v>45118</v>
      </c>
      <c r="E310" s="1">
        <v>45415</v>
      </c>
      <c r="F310" t="s">
        <v>3479</v>
      </c>
      <c r="G310" t="str">
        <f>IF(ISNA(_xlfn.XLOOKUP(subscriptions[[#This Row],[customer_id]], customers[customer_id], customers[customer_id])), "NO", "YES")</f>
        <v>YES</v>
      </c>
      <c r="H310">
        <f>IF(AND(subscriptions[[#This Row],[end_date]]&lt;&gt;"", subscriptions[[#This Row],[end_date]] &lt; subscriptions[[#This Row],[start_date]]), 1, 0)</f>
        <v>0</v>
      </c>
      <c r="I3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0">
        <f>IF(
  AND(subscriptions[[#This Row],[end_before_start]]=0, subscriptions[[#This Row],[status_end_mismatch]]=0),
  1,
  0
)</f>
        <v>1</v>
      </c>
    </row>
    <row r="311" spans="1:10" x14ac:dyDescent="0.3">
      <c r="A311">
        <v>7334410</v>
      </c>
      <c r="B311">
        <v>176421</v>
      </c>
      <c r="C311">
        <v>1008</v>
      </c>
      <c r="D311" s="1">
        <v>44818</v>
      </c>
      <c r="E311" s="1">
        <v>45053</v>
      </c>
      <c r="F311" t="s">
        <v>3479</v>
      </c>
      <c r="G311" t="str">
        <f>IF(ISNA(_xlfn.XLOOKUP(subscriptions[[#This Row],[customer_id]], customers[customer_id], customers[customer_id])), "NO", "YES")</f>
        <v>YES</v>
      </c>
      <c r="H311">
        <f>IF(AND(subscriptions[[#This Row],[end_date]]&lt;&gt;"", subscriptions[[#This Row],[end_date]] &lt; subscriptions[[#This Row],[start_date]]), 1, 0)</f>
        <v>0</v>
      </c>
      <c r="I3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1">
        <f>IF(
  AND(subscriptions[[#This Row],[end_before_start]]=0, subscriptions[[#This Row],[status_end_mismatch]]=0),
  1,
  0
)</f>
        <v>1</v>
      </c>
    </row>
    <row r="312" spans="1:10" x14ac:dyDescent="0.3">
      <c r="A312">
        <v>1939470</v>
      </c>
      <c r="B312">
        <v>373791</v>
      </c>
      <c r="C312">
        <v>1002</v>
      </c>
      <c r="D312" s="1">
        <v>45010</v>
      </c>
      <c r="E312" s="1"/>
      <c r="F312" t="s">
        <v>3480</v>
      </c>
      <c r="G312" t="str">
        <f>IF(ISNA(_xlfn.XLOOKUP(subscriptions[[#This Row],[customer_id]], customers[customer_id], customers[customer_id])), "NO", "YES")</f>
        <v>YES</v>
      </c>
      <c r="H312">
        <f>IF(AND(subscriptions[[#This Row],[end_date]]&lt;&gt;"", subscriptions[[#This Row],[end_date]] &lt; subscriptions[[#This Row],[start_date]]), 1, 0)</f>
        <v>0</v>
      </c>
      <c r="I3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2">
        <f>IF(
  AND(subscriptions[[#This Row],[end_before_start]]=0, subscriptions[[#This Row],[status_end_mismatch]]=0),
  1,
  0
)</f>
        <v>1</v>
      </c>
    </row>
    <row r="313" spans="1:10" x14ac:dyDescent="0.3">
      <c r="A313">
        <v>2295356</v>
      </c>
      <c r="B313">
        <v>581037</v>
      </c>
      <c r="C313">
        <v>1004</v>
      </c>
      <c r="D313" s="1">
        <v>45521</v>
      </c>
      <c r="E313" s="1"/>
      <c r="F313" t="s">
        <v>3480</v>
      </c>
      <c r="G313" t="str">
        <f>IF(ISNA(_xlfn.XLOOKUP(subscriptions[[#This Row],[customer_id]], customers[customer_id], customers[customer_id])), "NO", "YES")</f>
        <v>YES</v>
      </c>
      <c r="H313">
        <f>IF(AND(subscriptions[[#This Row],[end_date]]&lt;&gt;"", subscriptions[[#This Row],[end_date]] &lt; subscriptions[[#This Row],[start_date]]), 1, 0)</f>
        <v>0</v>
      </c>
      <c r="I3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3">
        <f>IF(
  AND(subscriptions[[#This Row],[end_before_start]]=0, subscriptions[[#This Row],[status_end_mismatch]]=0),
  1,
  0
)</f>
        <v>1</v>
      </c>
    </row>
    <row r="314" spans="1:10" x14ac:dyDescent="0.3">
      <c r="A314">
        <v>7796448</v>
      </c>
      <c r="B314">
        <v>647341</v>
      </c>
      <c r="C314">
        <v>1006</v>
      </c>
      <c r="D314" s="1">
        <v>45341</v>
      </c>
      <c r="E314" s="1"/>
      <c r="F314" t="s">
        <v>3480</v>
      </c>
      <c r="G314" t="str">
        <f>IF(ISNA(_xlfn.XLOOKUP(subscriptions[[#This Row],[customer_id]], customers[customer_id], customers[customer_id])), "NO", "YES")</f>
        <v>YES</v>
      </c>
      <c r="H314">
        <f>IF(AND(subscriptions[[#This Row],[end_date]]&lt;&gt;"", subscriptions[[#This Row],[end_date]] &lt; subscriptions[[#This Row],[start_date]]), 1, 0)</f>
        <v>0</v>
      </c>
      <c r="I3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4">
        <f>IF(
  AND(subscriptions[[#This Row],[end_before_start]]=0, subscriptions[[#This Row],[status_end_mismatch]]=0),
  1,
  0
)</f>
        <v>1</v>
      </c>
    </row>
    <row r="315" spans="1:10" x14ac:dyDescent="0.3">
      <c r="A315">
        <v>7232368</v>
      </c>
      <c r="B315">
        <v>904812</v>
      </c>
      <c r="C315">
        <v>1003</v>
      </c>
      <c r="D315" s="1">
        <v>45430</v>
      </c>
      <c r="E315" s="1"/>
      <c r="F315" t="s">
        <v>3480</v>
      </c>
      <c r="G315" t="str">
        <f>IF(ISNA(_xlfn.XLOOKUP(subscriptions[[#This Row],[customer_id]], customers[customer_id], customers[customer_id])), "NO", "YES")</f>
        <v>YES</v>
      </c>
      <c r="H315">
        <f>IF(AND(subscriptions[[#This Row],[end_date]]&lt;&gt;"", subscriptions[[#This Row],[end_date]] &lt; subscriptions[[#This Row],[start_date]]), 1, 0)</f>
        <v>0</v>
      </c>
      <c r="I3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5">
        <f>IF(
  AND(subscriptions[[#This Row],[end_before_start]]=0, subscriptions[[#This Row],[status_end_mismatch]]=0),
  1,
  0
)</f>
        <v>1</v>
      </c>
    </row>
    <row r="316" spans="1:10" x14ac:dyDescent="0.3">
      <c r="A316">
        <v>2818665</v>
      </c>
      <c r="B316">
        <v>441974</v>
      </c>
      <c r="C316">
        <v>1008</v>
      </c>
      <c r="D316" s="1">
        <v>44775</v>
      </c>
      <c r="E316" s="1"/>
      <c r="F316" t="s">
        <v>3480</v>
      </c>
      <c r="G316" t="str">
        <f>IF(ISNA(_xlfn.XLOOKUP(subscriptions[[#This Row],[customer_id]], customers[customer_id], customers[customer_id])), "NO", "YES")</f>
        <v>YES</v>
      </c>
      <c r="H316">
        <f>IF(AND(subscriptions[[#This Row],[end_date]]&lt;&gt;"", subscriptions[[#This Row],[end_date]] &lt; subscriptions[[#This Row],[start_date]]), 1, 0)</f>
        <v>0</v>
      </c>
      <c r="I3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6">
        <f>IF(
  AND(subscriptions[[#This Row],[end_before_start]]=0, subscriptions[[#This Row],[status_end_mismatch]]=0),
  1,
  0
)</f>
        <v>1</v>
      </c>
    </row>
    <row r="317" spans="1:10" x14ac:dyDescent="0.3">
      <c r="A317">
        <v>6628280</v>
      </c>
      <c r="B317">
        <v>900961</v>
      </c>
      <c r="C317">
        <v>1002</v>
      </c>
      <c r="D317" s="1">
        <v>44619</v>
      </c>
      <c r="E317" s="1"/>
      <c r="F317" t="s">
        <v>3480</v>
      </c>
      <c r="G317" t="str">
        <f>IF(ISNA(_xlfn.XLOOKUP(subscriptions[[#This Row],[customer_id]], customers[customer_id], customers[customer_id])), "NO", "YES")</f>
        <v>YES</v>
      </c>
      <c r="H317">
        <f>IF(AND(subscriptions[[#This Row],[end_date]]&lt;&gt;"", subscriptions[[#This Row],[end_date]] &lt; subscriptions[[#This Row],[start_date]]), 1, 0)</f>
        <v>0</v>
      </c>
      <c r="I3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7">
        <f>IF(
  AND(subscriptions[[#This Row],[end_before_start]]=0, subscriptions[[#This Row],[status_end_mismatch]]=0),
  1,
  0
)</f>
        <v>1</v>
      </c>
    </row>
    <row r="318" spans="1:10" x14ac:dyDescent="0.3">
      <c r="A318">
        <v>3730666</v>
      </c>
      <c r="B318">
        <v>904377</v>
      </c>
      <c r="C318">
        <v>1000</v>
      </c>
      <c r="D318" s="1">
        <v>44780</v>
      </c>
      <c r="E318" s="1"/>
      <c r="F318" t="s">
        <v>3480</v>
      </c>
      <c r="G318" t="str">
        <f>IF(ISNA(_xlfn.XLOOKUP(subscriptions[[#This Row],[customer_id]], customers[customer_id], customers[customer_id])), "NO", "YES")</f>
        <v>YES</v>
      </c>
      <c r="H318">
        <f>IF(AND(subscriptions[[#This Row],[end_date]]&lt;&gt;"", subscriptions[[#This Row],[end_date]] &lt; subscriptions[[#This Row],[start_date]]), 1, 0)</f>
        <v>0</v>
      </c>
      <c r="I3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8">
        <f>IF(
  AND(subscriptions[[#This Row],[end_before_start]]=0, subscriptions[[#This Row],[status_end_mismatch]]=0),
  1,
  0
)</f>
        <v>1</v>
      </c>
    </row>
    <row r="319" spans="1:10" x14ac:dyDescent="0.3">
      <c r="A319">
        <v>1184163</v>
      </c>
      <c r="B319">
        <v>517821</v>
      </c>
      <c r="C319">
        <v>1008</v>
      </c>
      <c r="D319" s="1">
        <v>45195</v>
      </c>
      <c r="E319" s="1"/>
      <c r="F319" t="s">
        <v>3480</v>
      </c>
      <c r="G319" t="str">
        <f>IF(ISNA(_xlfn.XLOOKUP(subscriptions[[#This Row],[customer_id]], customers[customer_id], customers[customer_id])), "NO", "YES")</f>
        <v>YES</v>
      </c>
      <c r="H319">
        <f>IF(AND(subscriptions[[#This Row],[end_date]]&lt;&gt;"", subscriptions[[#This Row],[end_date]] &lt; subscriptions[[#This Row],[start_date]]), 1, 0)</f>
        <v>0</v>
      </c>
      <c r="I3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19">
        <f>IF(
  AND(subscriptions[[#This Row],[end_before_start]]=0, subscriptions[[#This Row],[status_end_mismatch]]=0),
  1,
  0
)</f>
        <v>1</v>
      </c>
    </row>
    <row r="320" spans="1:10" x14ac:dyDescent="0.3">
      <c r="A320">
        <v>4384399</v>
      </c>
      <c r="B320">
        <v>828246</v>
      </c>
      <c r="C320">
        <v>1006</v>
      </c>
      <c r="D320" s="1">
        <v>44628</v>
      </c>
      <c r="E320" s="1"/>
      <c r="F320" t="s">
        <v>3480</v>
      </c>
      <c r="G320" t="str">
        <f>IF(ISNA(_xlfn.XLOOKUP(subscriptions[[#This Row],[customer_id]], customers[customer_id], customers[customer_id])), "NO", "YES")</f>
        <v>YES</v>
      </c>
      <c r="H320">
        <f>IF(AND(subscriptions[[#This Row],[end_date]]&lt;&gt;"", subscriptions[[#This Row],[end_date]] &lt; subscriptions[[#This Row],[start_date]]), 1, 0)</f>
        <v>0</v>
      </c>
      <c r="I3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0">
        <f>IF(
  AND(subscriptions[[#This Row],[end_before_start]]=0, subscriptions[[#This Row],[status_end_mismatch]]=0),
  1,
  0
)</f>
        <v>1</v>
      </c>
    </row>
    <row r="321" spans="1:10" x14ac:dyDescent="0.3">
      <c r="A321">
        <v>2426723</v>
      </c>
      <c r="B321">
        <v>579404</v>
      </c>
      <c r="C321">
        <v>1001</v>
      </c>
      <c r="D321" s="1">
        <v>44653</v>
      </c>
      <c r="E321" s="1"/>
      <c r="F321" t="s">
        <v>3480</v>
      </c>
      <c r="G321" t="str">
        <f>IF(ISNA(_xlfn.XLOOKUP(subscriptions[[#This Row],[customer_id]], customers[customer_id], customers[customer_id])), "NO", "YES")</f>
        <v>YES</v>
      </c>
      <c r="H321">
        <f>IF(AND(subscriptions[[#This Row],[end_date]]&lt;&gt;"", subscriptions[[#This Row],[end_date]] &lt; subscriptions[[#This Row],[start_date]]), 1, 0)</f>
        <v>0</v>
      </c>
      <c r="I3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1">
        <f>IF(
  AND(subscriptions[[#This Row],[end_before_start]]=0, subscriptions[[#This Row],[status_end_mismatch]]=0),
  1,
  0
)</f>
        <v>1</v>
      </c>
    </row>
    <row r="322" spans="1:10" x14ac:dyDescent="0.3">
      <c r="A322">
        <v>9116934</v>
      </c>
      <c r="B322">
        <v>937838</v>
      </c>
      <c r="C322">
        <v>1007</v>
      </c>
      <c r="D322" s="1">
        <v>44655</v>
      </c>
      <c r="E322" s="1"/>
      <c r="F322" t="s">
        <v>3480</v>
      </c>
      <c r="G322" t="str">
        <f>IF(ISNA(_xlfn.XLOOKUP(subscriptions[[#This Row],[customer_id]], customers[customer_id], customers[customer_id])), "NO", "YES")</f>
        <v>YES</v>
      </c>
      <c r="H322">
        <f>IF(AND(subscriptions[[#This Row],[end_date]]&lt;&gt;"", subscriptions[[#This Row],[end_date]] &lt; subscriptions[[#This Row],[start_date]]), 1, 0)</f>
        <v>0</v>
      </c>
      <c r="I3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2">
        <f>IF(
  AND(subscriptions[[#This Row],[end_before_start]]=0, subscriptions[[#This Row],[status_end_mismatch]]=0),
  1,
  0
)</f>
        <v>1</v>
      </c>
    </row>
    <row r="323" spans="1:10" x14ac:dyDescent="0.3">
      <c r="A323">
        <v>2563819</v>
      </c>
      <c r="B323">
        <v>844638</v>
      </c>
      <c r="C323">
        <v>1009</v>
      </c>
      <c r="D323" s="1">
        <v>45194</v>
      </c>
      <c r="E323" s="1"/>
      <c r="F323" t="s">
        <v>3480</v>
      </c>
      <c r="G323" t="str">
        <f>IF(ISNA(_xlfn.XLOOKUP(subscriptions[[#This Row],[customer_id]], customers[customer_id], customers[customer_id])), "NO", "YES")</f>
        <v>YES</v>
      </c>
      <c r="H323">
        <f>IF(AND(subscriptions[[#This Row],[end_date]]&lt;&gt;"", subscriptions[[#This Row],[end_date]] &lt; subscriptions[[#This Row],[start_date]]), 1, 0)</f>
        <v>0</v>
      </c>
      <c r="I3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3">
        <f>IF(
  AND(subscriptions[[#This Row],[end_before_start]]=0, subscriptions[[#This Row],[status_end_mismatch]]=0),
  1,
  0
)</f>
        <v>1</v>
      </c>
    </row>
    <row r="324" spans="1:10" x14ac:dyDescent="0.3">
      <c r="A324">
        <v>6983579</v>
      </c>
      <c r="B324">
        <v>480133</v>
      </c>
      <c r="C324">
        <v>1000</v>
      </c>
      <c r="D324" s="1">
        <v>45140</v>
      </c>
      <c r="E324" s="1">
        <v>45426</v>
      </c>
      <c r="F324" t="s">
        <v>3479</v>
      </c>
      <c r="G324" t="str">
        <f>IF(ISNA(_xlfn.XLOOKUP(subscriptions[[#This Row],[customer_id]], customers[customer_id], customers[customer_id])), "NO", "YES")</f>
        <v>YES</v>
      </c>
      <c r="H324">
        <f>IF(AND(subscriptions[[#This Row],[end_date]]&lt;&gt;"", subscriptions[[#This Row],[end_date]] &lt; subscriptions[[#This Row],[start_date]]), 1, 0)</f>
        <v>0</v>
      </c>
      <c r="I3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4">
        <f>IF(
  AND(subscriptions[[#This Row],[end_before_start]]=0, subscriptions[[#This Row],[status_end_mismatch]]=0),
  1,
  0
)</f>
        <v>1</v>
      </c>
    </row>
    <row r="325" spans="1:10" x14ac:dyDescent="0.3">
      <c r="A325">
        <v>4269606</v>
      </c>
      <c r="B325">
        <v>805139</v>
      </c>
      <c r="C325">
        <v>1000</v>
      </c>
      <c r="D325" s="1">
        <v>45206</v>
      </c>
      <c r="E325" s="1">
        <v>45418</v>
      </c>
      <c r="F325" t="s">
        <v>3479</v>
      </c>
      <c r="G325" t="str">
        <f>IF(ISNA(_xlfn.XLOOKUP(subscriptions[[#This Row],[customer_id]], customers[customer_id], customers[customer_id])), "NO", "YES")</f>
        <v>YES</v>
      </c>
      <c r="H325">
        <f>IF(AND(subscriptions[[#This Row],[end_date]]&lt;&gt;"", subscriptions[[#This Row],[end_date]] &lt; subscriptions[[#This Row],[start_date]]), 1, 0)</f>
        <v>0</v>
      </c>
      <c r="I3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5">
        <f>IF(
  AND(subscriptions[[#This Row],[end_before_start]]=0, subscriptions[[#This Row],[status_end_mismatch]]=0),
  1,
  0
)</f>
        <v>1</v>
      </c>
    </row>
    <row r="326" spans="1:10" x14ac:dyDescent="0.3">
      <c r="A326">
        <v>3172932</v>
      </c>
      <c r="B326">
        <v>706012</v>
      </c>
      <c r="C326">
        <v>1001</v>
      </c>
      <c r="D326" s="1">
        <v>44761</v>
      </c>
      <c r="E326" s="1"/>
      <c r="F326" t="s">
        <v>3480</v>
      </c>
      <c r="G326" t="str">
        <f>IF(ISNA(_xlfn.XLOOKUP(subscriptions[[#This Row],[customer_id]], customers[customer_id], customers[customer_id])), "NO", "YES")</f>
        <v>YES</v>
      </c>
      <c r="H326">
        <f>IF(AND(subscriptions[[#This Row],[end_date]]&lt;&gt;"", subscriptions[[#This Row],[end_date]] &lt; subscriptions[[#This Row],[start_date]]), 1, 0)</f>
        <v>0</v>
      </c>
      <c r="I3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6">
        <f>IF(
  AND(subscriptions[[#This Row],[end_before_start]]=0, subscriptions[[#This Row],[status_end_mismatch]]=0),
  1,
  0
)</f>
        <v>1</v>
      </c>
    </row>
    <row r="327" spans="1:10" x14ac:dyDescent="0.3">
      <c r="A327">
        <v>9448643</v>
      </c>
      <c r="B327">
        <v>948095</v>
      </c>
      <c r="C327">
        <v>1005</v>
      </c>
      <c r="D327" s="1">
        <v>44768</v>
      </c>
      <c r="E327" s="1"/>
      <c r="F327" t="s">
        <v>3480</v>
      </c>
      <c r="G327" t="str">
        <f>IF(ISNA(_xlfn.XLOOKUP(subscriptions[[#This Row],[customer_id]], customers[customer_id], customers[customer_id])), "NO", "YES")</f>
        <v>YES</v>
      </c>
      <c r="H327">
        <f>IF(AND(subscriptions[[#This Row],[end_date]]&lt;&gt;"", subscriptions[[#This Row],[end_date]] &lt; subscriptions[[#This Row],[start_date]]), 1, 0)</f>
        <v>0</v>
      </c>
      <c r="I3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7">
        <f>IF(
  AND(subscriptions[[#This Row],[end_before_start]]=0, subscriptions[[#This Row],[status_end_mismatch]]=0),
  1,
  0
)</f>
        <v>1</v>
      </c>
    </row>
    <row r="328" spans="1:10" x14ac:dyDescent="0.3">
      <c r="A328">
        <v>3519714</v>
      </c>
      <c r="B328">
        <v>814220</v>
      </c>
      <c r="C328">
        <v>1002</v>
      </c>
      <c r="D328" s="1">
        <v>44610</v>
      </c>
      <c r="E328" s="1"/>
      <c r="F328" t="s">
        <v>3480</v>
      </c>
      <c r="G328" t="str">
        <f>IF(ISNA(_xlfn.XLOOKUP(subscriptions[[#This Row],[customer_id]], customers[customer_id], customers[customer_id])), "NO", "YES")</f>
        <v>YES</v>
      </c>
      <c r="H328">
        <f>IF(AND(subscriptions[[#This Row],[end_date]]&lt;&gt;"", subscriptions[[#This Row],[end_date]] &lt; subscriptions[[#This Row],[start_date]]), 1, 0)</f>
        <v>0</v>
      </c>
      <c r="I3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8">
        <f>IF(
  AND(subscriptions[[#This Row],[end_before_start]]=0, subscriptions[[#This Row],[status_end_mismatch]]=0),
  1,
  0
)</f>
        <v>1</v>
      </c>
    </row>
    <row r="329" spans="1:10" x14ac:dyDescent="0.3">
      <c r="A329">
        <v>7410771</v>
      </c>
      <c r="B329">
        <v>584125</v>
      </c>
      <c r="C329">
        <v>1003</v>
      </c>
      <c r="D329" s="1">
        <v>45538</v>
      </c>
      <c r="E329" s="1"/>
      <c r="F329" t="s">
        <v>3480</v>
      </c>
      <c r="G329" t="str">
        <f>IF(ISNA(_xlfn.XLOOKUP(subscriptions[[#This Row],[customer_id]], customers[customer_id], customers[customer_id])), "NO", "YES")</f>
        <v>YES</v>
      </c>
      <c r="H329">
        <f>IF(AND(subscriptions[[#This Row],[end_date]]&lt;&gt;"", subscriptions[[#This Row],[end_date]] &lt; subscriptions[[#This Row],[start_date]]), 1, 0)</f>
        <v>0</v>
      </c>
      <c r="I3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29">
        <f>IF(
  AND(subscriptions[[#This Row],[end_before_start]]=0, subscriptions[[#This Row],[status_end_mismatch]]=0),
  1,
  0
)</f>
        <v>1</v>
      </c>
    </row>
    <row r="330" spans="1:10" x14ac:dyDescent="0.3">
      <c r="A330">
        <v>1627606</v>
      </c>
      <c r="B330">
        <v>135087</v>
      </c>
      <c r="C330">
        <v>1001</v>
      </c>
      <c r="D330" s="1">
        <v>45156</v>
      </c>
      <c r="E330" s="1"/>
      <c r="F330" t="s">
        <v>3480</v>
      </c>
      <c r="G330" t="str">
        <f>IF(ISNA(_xlfn.XLOOKUP(subscriptions[[#This Row],[customer_id]], customers[customer_id], customers[customer_id])), "NO", "YES")</f>
        <v>YES</v>
      </c>
      <c r="H330">
        <f>IF(AND(subscriptions[[#This Row],[end_date]]&lt;&gt;"", subscriptions[[#This Row],[end_date]] &lt; subscriptions[[#This Row],[start_date]]), 1, 0)</f>
        <v>0</v>
      </c>
      <c r="I3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0">
        <f>IF(
  AND(subscriptions[[#This Row],[end_before_start]]=0, subscriptions[[#This Row],[status_end_mismatch]]=0),
  1,
  0
)</f>
        <v>1</v>
      </c>
    </row>
    <row r="331" spans="1:10" x14ac:dyDescent="0.3">
      <c r="A331">
        <v>8769633</v>
      </c>
      <c r="B331">
        <v>268546</v>
      </c>
      <c r="C331">
        <v>1006</v>
      </c>
      <c r="D331" s="1">
        <v>44723</v>
      </c>
      <c r="E331" s="1">
        <v>44800</v>
      </c>
      <c r="F331" t="s">
        <v>3479</v>
      </c>
      <c r="G331" t="str">
        <f>IF(ISNA(_xlfn.XLOOKUP(subscriptions[[#This Row],[customer_id]], customers[customer_id], customers[customer_id])), "NO", "YES")</f>
        <v>YES</v>
      </c>
      <c r="H331">
        <f>IF(AND(subscriptions[[#This Row],[end_date]]&lt;&gt;"", subscriptions[[#This Row],[end_date]] &lt; subscriptions[[#This Row],[start_date]]), 1, 0)</f>
        <v>0</v>
      </c>
      <c r="I3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1">
        <f>IF(
  AND(subscriptions[[#This Row],[end_before_start]]=0, subscriptions[[#This Row],[status_end_mismatch]]=0),
  1,
  0
)</f>
        <v>1</v>
      </c>
    </row>
    <row r="332" spans="1:10" x14ac:dyDescent="0.3">
      <c r="A332">
        <v>4885101</v>
      </c>
      <c r="B332">
        <v>657062</v>
      </c>
      <c r="C332">
        <v>1003</v>
      </c>
      <c r="D332" s="1">
        <v>45003</v>
      </c>
      <c r="E332" s="1">
        <v>45367</v>
      </c>
      <c r="F332" t="s">
        <v>3479</v>
      </c>
      <c r="G332" t="str">
        <f>IF(ISNA(_xlfn.XLOOKUP(subscriptions[[#This Row],[customer_id]], customers[customer_id], customers[customer_id])), "NO", "YES")</f>
        <v>YES</v>
      </c>
      <c r="H332">
        <f>IF(AND(subscriptions[[#This Row],[end_date]]&lt;&gt;"", subscriptions[[#This Row],[end_date]] &lt; subscriptions[[#This Row],[start_date]]), 1, 0)</f>
        <v>0</v>
      </c>
      <c r="I3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2">
        <f>IF(
  AND(subscriptions[[#This Row],[end_before_start]]=0, subscriptions[[#This Row],[status_end_mismatch]]=0),
  1,
  0
)</f>
        <v>1</v>
      </c>
    </row>
    <row r="333" spans="1:10" x14ac:dyDescent="0.3">
      <c r="A333">
        <v>3363282</v>
      </c>
      <c r="B333">
        <v>163941</v>
      </c>
      <c r="C333">
        <v>1001</v>
      </c>
      <c r="D333" s="1">
        <v>44891</v>
      </c>
      <c r="E333" s="1">
        <v>45177</v>
      </c>
      <c r="F333" t="s">
        <v>3479</v>
      </c>
      <c r="G333" t="str">
        <f>IF(ISNA(_xlfn.XLOOKUP(subscriptions[[#This Row],[customer_id]], customers[customer_id], customers[customer_id])), "NO", "YES")</f>
        <v>YES</v>
      </c>
      <c r="H333">
        <f>IF(AND(subscriptions[[#This Row],[end_date]]&lt;&gt;"", subscriptions[[#This Row],[end_date]] &lt; subscriptions[[#This Row],[start_date]]), 1, 0)</f>
        <v>0</v>
      </c>
      <c r="I3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3">
        <f>IF(
  AND(subscriptions[[#This Row],[end_before_start]]=0, subscriptions[[#This Row],[status_end_mismatch]]=0),
  1,
  0
)</f>
        <v>1</v>
      </c>
    </row>
    <row r="334" spans="1:10" x14ac:dyDescent="0.3">
      <c r="A334">
        <v>9662089</v>
      </c>
      <c r="B334">
        <v>924758</v>
      </c>
      <c r="C334">
        <v>1007</v>
      </c>
      <c r="D334" s="1">
        <v>45261</v>
      </c>
      <c r="E334" s="1"/>
      <c r="F334" t="s">
        <v>3480</v>
      </c>
      <c r="G334" t="str">
        <f>IF(ISNA(_xlfn.XLOOKUP(subscriptions[[#This Row],[customer_id]], customers[customer_id], customers[customer_id])), "NO", "YES")</f>
        <v>YES</v>
      </c>
      <c r="H334">
        <f>IF(AND(subscriptions[[#This Row],[end_date]]&lt;&gt;"", subscriptions[[#This Row],[end_date]] &lt; subscriptions[[#This Row],[start_date]]), 1, 0)</f>
        <v>0</v>
      </c>
      <c r="I3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4">
        <f>IF(
  AND(subscriptions[[#This Row],[end_before_start]]=0, subscriptions[[#This Row],[status_end_mismatch]]=0),
  1,
  0
)</f>
        <v>1</v>
      </c>
    </row>
    <row r="335" spans="1:10" x14ac:dyDescent="0.3">
      <c r="A335">
        <v>3201130</v>
      </c>
      <c r="B335">
        <v>894541</v>
      </c>
      <c r="C335">
        <v>1009</v>
      </c>
      <c r="D335" s="1">
        <v>45256</v>
      </c>
      <c r="E335" s="1"/>
      <c r="F335" t="s">
        <v>3480</v>
      </c>
      <c r="G335" t="str">
        <f>IF(ISNA(_xlfn.XLOOKUP(subscriptions[[#This Row],[customer_id]], customers[customer_id], customers[customer_id])), "NO", "YES")</f>
        <v>YES</v>
      </c>
      <c r="H335">
        <f>IF(AND(subscriptions[[#This Row],[end_date]]&lt;&gt;"", subscriptions[[#This Row],[end_date]] &lt; subscriptions[[#This Row],[start_date]]), 1, 0)</f>
        <v>0</v>
      </c>
      <c r="I3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5">
        <f>IF(
  AND(subscriptions[[#This Row],[end_before_start]]=0, subscriptions[[#This Row],[status_end_mismatch]]=0),
  1,
  0
)</f>
        <v>1</v>
      </c>
    </row>
    <row r="336" spans="1:10" x14ac:dyDescent="0.3">
      <c r="A336">
        <v>8229326</v>
      </c>
      <c r="B336">
        <v>910326</v>
      </c>
      <c r="C336">
        <v>1004</v>
      </c>
      <c r="D336" s="1">
        <v>44643</v>
      </c>
      <c r="E336" s="1">
        <v>45022</v>
      </c>
      <c r="F336" t="s">
        <v>3479</v>
      </c>
      <c r="G336" t="str">
        <f>IF(ISNA(_xlfn.XLOOKUP(subscriptions[[#This Row],[customer_id]], customers[customer_id], customers[customer_id])), "NO", "YES")</f>
        <v>YES</v>
      </c>
      <c r="H336">
        <f>IF(AND(subscriptions[[#This Row],[end_date]]&lt;&gt;"", subscriptions[[#This Row],[end_date]] &lt; subscriptions[[#This Row],[start_date]]), 1, 0)</f>
        <v>0</v>
      </c>
      <c r="I3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6">
        <f>IF(
  AND(subscriptions[[#This Row],[end_before_start]]=0, subscriptions[[#This Row],[status_end_mismatch]]=0),
  1,
  0
)</f>
        <v>1</v>
      </c>
    </row>
    <row r="337" spans="1:10" x14ac:dyDescent="0.3">
      <c r="A337">
        <v>7503423</v>
      </c>
      <c r="B337">
        <v>182020</v>
      </c>
      <c r="C337">
        <v>1005</v>
      </c>
      <c r="D337" s="1">
        <v>45051</v>
      </c>
      <c r="E337" s="1"/>
      <c r="F337" t="s">
        <v>3480</v>
      </c>
      <c r="G337" t="str">
        <f>IF(ISNA(_xlfn.XLOOKUP(subscriptions[[#This Row],[customer_id]], customers[customer_id], customers[customer_id])), "NO", "YES")</f>
        <v>YES</v>
      </c>
      <c r="H337">
        <f>IF(AND(subscriptions[[#This Row],[end_date]]&lt;&gt;"", subscriptions[[#This Row],[end_date]] &lt; subscriptions[[#This Row],[start_date]]), 1, 0)</f>
        <v>0</v>
      </c>
      <c r="I3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7">
        <f>IF(
  AND(subscriptions[[#This Row],[end_before_start]]=0, subscriptions[[#This Row],[status_end_mismatch]]=0),
  1,
  0
)</f>
        <v>1</v>
      </c>
    </row>
    <row r="338" spans="1:10" x14ac:dyDescent="0.3">
      <c r="A338">
        <v>2258262</v>
      </c>
      <c r="B338">
        <v>720859</v>
      </c>
      <c r="C338">
        <v>1008</v>
      </c>
      <c r="D338" s="1">
        <v>44874</v>
      </c>
      <c r="E338" s="1"/>
      <c r="F338" t="s">
        <v>3480</v>
      </c>
      <c r="G338" t="str">
        <f>IF(ISNA(_xlfn.XLOOKUP(subscriptions[[#This Row],[customer_id]], customers[customer_id], customers[customer_id])), "NO", "YES")</f>
        <v>YES</v>
      </c>
      <c r="H338">
        <f>IF(AND(subscriptions[[#This Row],[end_date]]&lt;&gt;"", subscriptions[[#This Row],[end_date]] &lt; subscriptions[[#This Row],[start_date]]), 1, 0)</f>
        <v>0</v>
      </c>
      <c r="I3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8">
        <f>IF(
  AND(subscriptions[[#This Row],[end_before_start]]=0, subscriptions[[#This Row],[status_end_mismatch]]=0),
  1,
  0
)</f>
        <v>1</v>
      </c>
    </row>
    <row r="339" spans="1:10" x14ac:dyDescent="0.3">
      <c r="A339">
        <v>9347047</v>
      </c>
      <c r="B339">
        <v>887009</v>
      </c>
      <c r="C339">
        <v>1003</v>
      </c>
      <c r="D339" s="1">
        <v>44761</v>
      </c>
      <c r="E339" s="1">
        <v>44864</v>
      </c>
      <c r="F339" t="s">
        <v>3479</v>
      </c>
      <c r="G339" t="str">
        <f>IF(ISNA(_xlfn.XLOOKUP(subscriptions[[#This Row],[customer_id]], customers[customer_id], customers[customer_id])), "NO", "YES")</f>
        <v>YES</v>
      </c>
      <c r="H339">
        <f>IF(AND(subscriptions[[#This Row],[end_date]]&lt;&gt;"", subscriptions[[#This Row],[end_date]] &lt; subscriptions[[#This Row],[start_date]]), 1, 0)</f>
        <v>0</v>
      </c>
      <c r="I3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39">
        <f>IF(
  AND(subscriptions[[#This Row],[end_before_start]]=0, subscriptions[[#This Row],[status_end_mismatch]]=0),
  1,
  0
)</f>
        <v>1</v>
      </c>
    </row>
    <row r="340" spans="1:10" x14ac:dyDescent="0.3">
      <c r="A340">
        <v>6193258</v>
      </c>
      <c r="B340">
        <v>441974</v>
      </c>
      <c r="C340">
        <v>1002</v>
      </c>
      <c r="D340" s="1">
        <v>44740</v>
      </c>
      <c r="E340" s="1"/>
      <c r="F340" t="s">
        <v>3480</v>
      </c>
      <c r="G340" t="str">
        <f>IF(ISNA(_xlfn.XLOOKUP(subscriptions[[#This Row],[customer_id]], customers[customer_id], customers[customer_id])), "NO", "YES")</f>
        <v>YES</v>
      </c>
      <c r="H340">
        <f>IF(AND(subscriptions[[#This Row],[end_date]]&lt;&gt;"", subscriptions[[#This Row],[end_date]] &lt; subscriptions[[#This Row],[start_date]]), 1, 0)</f>
        <v>0</v>
      </c>
      <c r="I3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0">
        <f>IF(
  AND(subscriptions[[#This Row],[end_before_start]]=0, subscriptions[[#This Row],[status_end_mismatch]]=0),
  1,
  0
)</f>
        <v>1</v>
      </c>
    </row>
    <row r="341" spans="1:10" x14ac:dyDescent="0.3">
      <c r="A341">
        <v>8630409</v>
      </c>
      <c r="B341">
        <v>105919</v>
      </c>
      <c r="C341">
        <v>1007</v>
      </c>
      <c r="D341" s="1">
        <v>45204</v>
      </c>
      <c r="E341" s="1"/>
      <c r="F341" t="s">
        <v>3480</v>
      </c>
      <c r="G341" t="str">
        <f>IF(ISNA(_xlfn.XLOOKUP(subscriptions[[#This Row],[customer_id]], customers[customer_id], customers[customer_id])), "NO", "YES")</f>
        <v>YES</v>
      </c>
      <c r="H341">
        <f>IF(AND(subscriptions[[#This Row],[end_date]]&lt;&gt;"", subscriptions[[#This Row],[end_date]] &lt; subscriptions[[#This Row],[start_date]]), 1, 0)</f>
        <v>0</v>
      </c>
      <c r="I3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1">
        <f>IF(
  AND(subscriptions[[#This Row],[end_before_start]]=0, subscriptions[[#This Row],[status_end_mismatch]]=0),
  1,
  0
)</f>
        <v>1</v>
      </c>
    </row>
    <row r="342" spans="1:10" x14ac:dyDescent="0.3">
      <c r="A342">
        <v>5959482</v>
      </c>
      <c r="B342">
        <v>975522</v>
      </c>
      <c r="C342">
        <v>1000</v>
      </c>
      <c r="D342" s="1">
        <v>44892</v>
      </c>
      <c r="E342" s="1"/>
      <c r="F342" t="s">
        <v>3480</v>
      </c>
      <c r="G342" t="str">
        <f>IF(ISNA(_xlfn.XLOOKUP(subscriptions[[#This Row],[customer_id]], customers[customer_id], customers[customer_id])), "NO", "YES")</f>
        <v>YES</v>
      </c>
      <c r="H342">
        <f>IF(AND(subscriptions[[#This Row],[end_date]]&lt;&gt;"", subscriptions[[#This Row],[end_date]] &lt; subscriptions[[#This Row],[start_date]]), 1, 0)</f>
        <v>0</v>
      </c>
      <c r="I3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2">
        <f>IF(
  AND(subscriptions[[#This Row],[end_before_start]]=0, subscriptions[[#This Row],[status_end_mismatch]]=0),
  1,
  0
)</f>
        <v>1</v>
      </c>
    </row>
    <row r="343" spans="1:10" x14ac:dyDescent="0.3">
      <c r="A343">
        <v>7095636</v>
      </c>
      <c r="B343">
        <v>389930</v>
      </c>
      <c r="C343">
        <v>1001</v>
      </c>
      <c r="D343" s="1">
        <v>45285</v>
      </c>
      <c r="E343" s="1"/>
      <c r="F343" t="s">
        <v>3480</v>
      </c>
      <c r="G343" t="str">
        <f>IF(ISNA(_xlfn.XLOOKUP(subscriptions[[#This Row],[customer_id]], customers[customer_id], customers[customer_id])), "NO", "YES")</f>
        <v>YES</v>
      </c>
      <c r="H343">
        <f>IF(AND(subscriptions[[#This Row],[end_date]]&lt;&gt;"", subscriptions[[#This Row],[end_date]] &lt; subscriptions[[#This Row],[start_date]]), 1, 0)</f>
        <v>0</v>
      </c>
      <c r="I3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3">
        <f>IF(
  AND(subscriptions[[#This Row],[end_before_start]]=0, subscriptions[[#This Row],[status_end_mismatch]]=0),
  1,
  0
)</f>
        <v>1</v>
      </c>
    </row>
    <row r="344" spans="1:10" x14ac:dyDescent="0.3">
      <c r="A344">
        <v>4006246</v>
      </c>
      <c r="B344">
        <v>649787</v>
      </c>
      <c r="C344">
        <v>1000</v>
      </c>
      <c r="D344" s="1">
        <v>45505</v>
      </c>
      <c r="E344" s="1"/>
      <c r="F344" t="s">
        <v>3480</v>
      </c>
      <c r="G344" t="str">
        <f>IF(ISNA(_xlfn.XLOOKUP(subscriptions[[#This Row],[customer_id]], customers[customer_id], customers[customer_id])), "NO", "YES")</f>
        <v>YES</v>
      </c>
      <c r="H344">
        <f>IF(AND(subscriptions[[#This Row],[end_date]]&lt;&gt;"", subscriptions[[#This Row],[end_date]] &lt; subscriptions[[#This Row],[start_date]]), 1, 0)</f>
        <v>0</v>
      </c>
      <c r="I3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4">
        <f>IF(
  AND(subscriptions[[#This Row],[end_before_start]]=0, subscriptions[[#This Row],[status_end_mismatch]]=0),
  1,
  0
)</f>
        <v>1</v>
      </c>
    </row>
    <row r="345" spans="1:10" x14ac:dyDescent="0.3">
      <c r="A345">
        <v>8940001</v>
      </c>
      <c r="B345">
        <v>820767</v>
      </c>
      <c r="C345">
        <v>1005</v>
      </c>
      <c r="D345" s="1">
        <v>45086</v>
      </c>
      <c r="E345" s="1">
        <v>45342</v>
      </c>
      <c r="F345" t="s">
        <v>3479</v>
      </c>
      <c r="G345" t="str">
        <f>IF(ISNA(_xlfn.XLOOKUP(subscriptions[[#This Row],[customer_id]], customers[customer_id], customers[customer_id])), "NO", "YES")</f>
        <v>YES</v>
      </c>
      <c r="H345">
        <f>IF(AND(subscriptions[[#This Row],[end_date]]&lt;&gt;"", subscriptions[[#This Row],[end_date]] &lt; subscriptions[[#This Row],[start_date]]), 1, 0)</f>
        <v>0</v>
      </c>
      <c r="I3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5">
        <f>IF(
  AND(subscriptions[[#This Row],[end_before_start]]=0, subscriptions[[#This Row],[status_end_mismatch]]=0),
  1,
  0
)</f>
        <v>1</v>
      </c>
    </row>
    <row r="346" spans="1:10" x14ac:dyDescent="0.3">
      <c r="A346">
        <v>3356313</v>
      </c>
      <c r="B346">
        <v>860413</v>
      </c>
      <c r="C346">
        <v>1007</v>
      </c>
      <c r="D346" s="1">
        <v>44815</v>
      </c>
      <c r="E346" s="1">
        <v>45094</v>
      </c>
      <c r="F346" t="s">
        <v>3479</v>
      </c>
      <c r="G346" t="str">
        <f>IF(ISNA(_xlfn.XLOOKUP(subscriptions[[#This Row],[customer_id]], customers[customer_id], customers[customer_id])), "NO", "YES")</f>
        <v>YES</v>
      </c>
      <c r="H346">
        <f>IF(AND(subscriptions[[#This Row],[end_date]]&lt;&gt;"", subscriptions[[#This Row],[end_date]] &lt; subscriptions[[#This Row],[start_date]]), 1, 0)</f>
        <v>0</v>
      </c>
      <c r="I3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6">
        <f>IF(
  AND(subscriptions[[#This Row],[end_before_start]]=0, subscriptions[[#This Row],[status_end_mismatch]]=0),
  1,
  0
)</f>
        <v>1</v>
      </c>
    </row>
    <row r="347" spans="1:10" x14ac:dyDescent="0.3">
      <c r="A347">
        <v>1664254</v>
      </c>
      <c r="B347">
        <v>805139</v>
      </c>
      <c r="C347">
        <v>1005</v>
      </c>
      <c r="D347" s="1">
        <v>45306</v>
      </c>
      <c r="E347" s="1">
        <v>45541</v>
      </c>
      <c r="F347" t="s">
        <v>3479</v>
      </c>
      <c r="G347" t="str">
        <f>IF(ISNA(_xlfn.XLOOKUP(subscriptions[[#This Row],[customer_id]], customers[customer_id], customers[customer_id])), "NO", "YES")</f>
        <v>YES</v>
      </c>
      <c r="H347">
        <f>IF(AND(subscriptions[[#This Row],[end_date]]&lt;&gt;"", subscriptions[[#This Row],[end_date]] &lt; subscriptions[[#This Row],[start_date]]), 1, 0)</f>
        <v>0</v>
      </c>
      <c r="I3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7">
        <f>IF(
  AND(subscriptions[[#This Row],[end_before_start]]=0, subscriptions[[#This Row],[status_end_mismatch]]=0),
  1,
  0
)</f>
        <v>1</v>
      </c>
    </row>
    <row r="348" spans="1:10" x14ac:dyDescent="0.3">
      <c r="A348">
        <v>7862438</v>
      </c>
      <c r="B348">
        <v>433507</v>
      </c>
      <c r="C348">
        <v>1001</v>
      </c>
      <c r="D348" s="1">
        <v>44826</v>
      </c>
      <c r="E348" s="1"/>
      <c r="F348" t="s">
        <v>3480</v>
      </c>
      <c r="G348" t="str">
        <f>IF(ISNA(_xlfn.XLOOKUP(subscriptions[[#This Row],[customer_id]], customers[customer_id], customers[customer_id])), "NO", "YES")</f>
        <v>YES</v>
      </c>
      <c r="H348">
        <f>IF(AND(subscriptions[[#This Row],[end_date]]&lt;&gt;"", subscriptions[[#This Row],[end_date]] &lt; subscriptions[[#This Row],[start_date]]), 1, 0)</f>
        <v>0</v>
      </c>
      <c r="I3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8">
        <f>IF(
  AND(subscriptions[[#This Row],[end_before_start]]=0, subscriptions[[#This Row],[status_end_mismatch]]=0),
  1,
  0
)</f>
        <v>1</v>
      </c>
    </row>
    <row r="349" spans="1:10" x14ac:dyDescent="0.3">
      <c r="A349">
        <v>9597975</v>
      </c>
      <c r="B349">
        <v>767830</v>
      </c>
      <c r="C349">
        <v>1009</v>
      </c>
      <c r="D349" s="1">
        <v>45204</v>
      </c>
      <c r="E349" s="1"/>
      <c r="F349" t="s">
        <v>3480</v>
      </c>
      <c r="G349" t="str">
        <f>IF(ISNA(_xlfn.XLOOKUP(subscriptions[[#This Row],[customer_id]], customers[customer_id], customers[customer_id])), "NO", "YES")</f>
        <v>YES</v>
      </c>
      <c r="H349">
        <f>IF(AND(subscriptions[[#This Row],[end_date]]&lt;&gt;"", subscriptions[[#This Row],[end_date]] &lt; subscriptions[[#This Row],[start_date]]), 1, 0)</f>
        <v>0</v>
      </c>
      <c r="I3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49">
        <f>IF(
  AND(subscriptions[[#This Row],[end_before_start]]=0, subscriptions[[#This Row],[status_end_mismatch]]=0),
  1,
  0
)</f>
        <v>1</v>
      </c>
    </row>
    <row r="350" spans="1:10" x14ac:dyDescent="0.3">
      <c r="A350">
        <v>7932248</v>
      </c>
      <c r="B350">
        <v>871501</v>
      </c>
      <c r="C350">
        <v>1005</v>
      </c>
      <c r="D350" s="1">
        <v>45598</v>
      </c>
      <c r="E350" s="1"/>
      <c r="F350" t="s">
        <v>3480</v>
      </c>
      <c r="G350" t="str">
        <f>IF(ISNA(_xlfn.XLOOKUP(subscriptions[[#This Row],[customer_id]], customers[customer_id], customers[customer_id])), "NO", "YES")</f>
        <v>YES</v>
      </c>
      <c r="H350">
        <f>IF(AND(subscriptions[[#This Row],[end_date]]&lt;&gt;"", subscriptions[[#This Row],[end_date]] &lt; subscriptions[[#This Row],[start_date]]), 1, 0)</f>
        <v>0</v>
      </c>
      <c r="I3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0">
        <f>IF(
  AND(subscriptions[[#This Row],[end_before_start]]=0, subscriptions[[#This Row],[status_end_mismatch]]=0),
  1,
  0
)</f>
        <v>1</v>
      </c>
    </row>
    <row r="351" spans="1:10" x14ac:dyDescent="0.3">
      <c r="A351">
        <v>1715977</v>
      </c>
      <c r="B351">
        <v>685066</v>
      </c>
      <c r="C351">
        <v>1000</v>
      </c>
      <c r="D351" s="1">
        <v>44678</v>
      </c>
      <c r="E351" s="1">
        <v>44833</v>
      </c>
      <c r="F351" t="s">
        <v>3479</v>
      </c>
      <c r="G351" t="str">
        <f>IF(ISNA(_xlfn.XLOOKUP(subscriptions[[#This Row],[customer_id]], customers[customer_id], customers[customer_id])), "NO", "YES")</f>
        <v>YES</v>
      </c>
      <c r="H351">
        <f>IF(AND(subscriptions[[#This Row],[end_date]]&lt;&gt;"", subscriptions[[#This Row],[end_date]] &lt; subscriptions[[#This Row],[start_date]]), 1, 0)</f>
        <v>0</v>
      </c>
      <c r="I3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1">
        <f>IF(
  AND(subscriptions[[#This Row],[end_before_start]]=0, subscriptions[[#This Row],[status_end_mismatch]]=0),
  1,
  0
)</f>
        <v>1</v>
      </c>
    </row>
    <row r="352" spans="1:10" x14ac:dyDescent="0.3">
      <c r="A352">
        <v>1133260</v>
      </c>
      <c r="B352">
        <v>955088</v>
      </c>
      <c r="C352">
        <v>1004</v>
      </c>
      <c r="D352" s="1">
        <v>44878</v>
      </c>
      <c r="E352" s="1">
        <v>45056</v>
      </c>
      <c r="F352" t="s">
        <v>3479</v>
      </c>
      <c r="G352" t="str">
        <f>IF(ISNA(_xlfn.XLOOKUP(subscriptions[[#This Row],[customer_id]], customers[customer_id], customers[customer_id])), "NO", "YES")</f>
        <v>YES</v>
      </c>
      <c r="H352">
        <f>IF(AND(subscriptions[[#This Row],[end_date]]&lt;&gt;"", subscriptions[[#This Row],[end_date]] &lt; subscriptions[[#This Row],[start_date]]), 1, 0)</f>
        <v>0</v>
      </c>
      <c r="I3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2">
        <f>IF(
  AND(subscriptions[[#This Row],[end_before_start]]=0, subscriptions[[#This Row],[status_end_mismatch]]=0),
  1,
  0
)</f>
        <v>1</v>
      </c>
    </row>
    <row r="353" spans="1:10" x14ac:dyDescent="0.3">
      <c r="A353">
        <v>7305241</v>
      </c>
      <c r="B353">
        <v>221660</v>
      </c>
      <c r="C353">
        <v>1007</v>
      </c>
      <c r="D353" s="1">
        <v>44886</v>
      </c>
      <c r="E353" s="1"/>
      <c r="F353" t="s">
        <v>3480</v>
      </c>
      <c r="G353" t="str">
        <f>IF(ISNA(_xlfn.XLOOKUP(subscriptions[[#This Row],[customer_id]], customers[customer_id], customers[customer_id])), "NO", "YES")</f>
        <v>YES</v>
      </c>
      <c r="H353">
        <f>IF(AND(subscriptions[[#This Row],[end_date]]&lt;&gt;"", subscriptions[[#This Row],[end_date]] &lt; subscriptions[[#This Row],[start_date]]), 1, 0)</f>
        <v>0</v>
      </c>
      <c r="I3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3">
        <f>IF(
  AND(subscriptions[[#This Row],[end_before_start]]=0, subscriptions[[#This Row],[status_end_mismatch]]=0),
  1,
  0
)</f>
        <v>1</v>
      </c>
    </row>
    <row r="354" spans="1:10" x14ac:dyDescent="0.3">
      <c r="A354">
        <v>2224379</v>
      </c>
      <c r="B354">
        <v>265840</v>
      </c>
      <c r="C354">
        <v>1009</v>
      </c>
      <c r="D354" s="1">
        <v>45018</v>
      </c>
      <c r="E354" s="1"/>
      <c r="F354" t="s">
        <v>3480</v>
      </c>
      <c r="G354" t="str">
        <f>IF(ISNA(_xlfn.XLOOKUP(subscriptions[[#This Row],[customer_id]], customers[customer_id], customers[customer_id])), "NO", "YES")</f>
        <v>YES</v>
      </c>
      <c r="H354">
        <f>IF(AND(subscriptions[[#This Row],[end_date]]&lt;&gt;"", subscriptions[[#This Row],[end_date]] &lt; subscriptions[[#This Row],[start_date]]), 1, 0)</f>
        <v>0</v>
      </c>
      <c r="I3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4">
        <f>IF(
  AND(subscriptions[[#This Row],[end_before_start]]=0, subscriptions[[#This Row],[status_end_mismatch]]=0),
  1,
  0
)</f>
        <v>1</v>
      </c>
    </row>
    <row r="355" spans="1:10" x14ac:dyDescent="0.3">
      <c r="A355">
        <v>8755747</v>
      </c>
      <c r="B355">
        <v>121026</v>
      </c>
      <c r="C355">
        <v>1007</v>
      </c>
      <c r="D355" s="1">
        <v>44753</v>
      </c>
      <c r="E355" s="1"/>
      <c r="F355" t="s">
        <v>3480</v>
      </c>
      <c r="G355" t="str">
        <f>IF(ISNA(_xlfn.XLOOKUP(subscriptions[[#This Row],[customer_id]], customers[customer_id], customers[customer_id])), "NO", "YES")</f>
        <v>YES</v>
      </c>
      <c r="H355">
        <f>IF(AND(subscriptions[[#This Row],[end_date]]&lt;&gt;"", subscriptions[[#This Row],[end_date]] &lt; subscriptions[[#This Row],[start_date]]), 1, 0)</f>
        <v>0</v>
      </c>
      <c r="I3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5">
        <f>IF(
  AND(subscriptions[[#This Row],[end_before_start]]=0, subscriptions[[#This Row],[status_end_mismatch]]=0),
  1,
  0
)</f>
        <v>1</v>
      </c>
    </row>
    <row r="356" spans="1:10" x14ac:dyDescent="0.3">
      <c r="A356">
        <v>8859936</v>
      </c>
      <c r="B356">
        <v>753484</v>
      </c>
      <c r="C356">
        <v>1006</v>
      </c>
      <c r="D356" s="1">
        <v>45514</v>
      </c>
      <c r="E356" s="1"/>
      <c r="F356" t="s">
        <v>3480</v>
      </c>
      <c r="G356" t="str">
        <f>IF(ISNA(_xlfn.XLOOKUP(subscriptions[[#This Row],[customer_id]], customers[customer_id], customers[customer_id])), "NO", "YES")</f>
        <v>YES</v>
      </c>
      <c r="H356">
        <f>IF(AND(subscriptions[[#This Row],[end_date]]&lt;&gt;"", subscriptions[[#This Row],[end_date]] &lt; subscriptions[[#This Row],[start_date]]), 1, 0)</f>
        <v>0</v>
      </c>
      <c r="I3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6">
        <f>IF(
  AND(subscriptions[[#This Row],[end_before_start]]=0, subscriptions[[#This Row],[status_end_mismatch]]=0),
  1,
  0
)</f>
        <v>1</v>
      </c>
    </row>
    <row r="357" spans="1:10" x14ac:dyDescent="0.3">
      <c r="A357">
        <v>4024485</v>
      </c>
      <c r="B357">
        <v>464750</v>
      </c>
      <c r="C357">
        <v>1006</v>
      </c>
      <c r="D357" s="1">
        <v>44783</v>
      </c>
      <c r="E357" s="1">
        <v>45016</v>
      </c>
      <c r="F357" t="s">
        <v>3479</v>
      </c>
      <c r="G357" t="str">
        <f>IF(ISNA(_xlfn.XLOOKUP(subscriptions[[#This Row],[customer_id]], customers[customer_id], customers[customer_id])), "NO", "YES")</f>
        <v>YES</v>
      </c>
      <c r="H357">
        <f>IF(AND(subscriptions[[#This Row],[end_date]]&lt;&gt;"", subscriptions[[#This Row],[end_date]] &lt; subscriptions[[#This Row],[start_date]]), 1, 0)</f>
        <v>0</v>
      </c>
      <c r="I3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7">
        <f>IF(
  AND(subscriptions[[#This Row],[end_before_start]]=0, subscriptions[[#This Row],[status_end_mismatch]]=0),
  1,
  0
)</f>
        <v>1</v>
      </c>
    </row>
    <row r="358" spans="1:10" x14ac:dyDescent="0.3">
      <c r="A358">
        <v>8266453</v>
      </c>
      <c r="B358">
        <v>405407</v>
      </c>
      <c r="C358">
        <v>1007</v>
      </c>
      <c r="D358" s="1">
        <v>44970</v>
      </c>
      <c r="E358" s="1"/>
      <c r="F358" t="s">
        <v>3480</v>
      </c>
      <c r="G358" t="str">
        <f>IF(ISNA(_xlfn.XLOOKUP(subscriptions[[#This Row],[customer_id]], customers[customer_id], customers[customer_id])), "NO", "YES")</f>
        <v>YES</v>
      </c>
      <c r="H358">
        <f>IF(AND(subscriptions[[#This Row],[end_date]]&lt;&gt;"", subscriptions[[#This Row],[end_date]] &lt; subscriptions[[#This Row],[start_date]]), 1, 0)</f>
        <v>0</v>
      </c>
      <c r="I3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8">
        <f>IF(
  AND(subscriptions[[#This Row],[end_before_start]]=0, subscriptions[[#This Row],[status_end_mismatch]]=0),
  1,
  0
)</f>
        <v>1</v>
      </c>
    </row>
    <row r="359" spans="1:10" x14ac:dyDescent="0.3">
      <c r="A359">
        <v>2081652</v>
      </c>
      <c r="B359">
        <v>539486</v>
      </c>
      <c r="C359">
        <v>1005</v>
      </c>
      <c r="D359" s="1">
        <v>45211</v>
      </c>
      <c r="E359" s="1"/>
      <c r="F359" t="s">
        <v>3480</v>
      </c>
      <c r="G359" t="str">
        <f>IF(ISNA(_xlfn.XLOOKUP(subscriptions[[#This Row],[customer_id]], customers[customer_id], customers[customer_id])), "NO", "YES")</f>
        <v>YES</v>
      </c>
      <c r="H359">
        <f>IF(AND(subscriptions[[#This Row],[end_date]]&lt;&gt;"", subscriptions[[#This Row],[end_date]] &lt; subscriptions[[#This Row],[start_date]]), 1, 0)</f>
        <v>0</v>
      </c>
      <c r="I3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59">
        <f>IF(
  AND(subscriptions[[#This Row],[end_before_start]]=0, subscriptions[[#This Row],[status_end_mismatch]]=0),
  1,
  0
)</f>
        <v>1</v>
      </c>
    </row>
    <row r="360" spans="1:10" x14ac:dyDescent="0.3">
      <c r="A360">
        <v>9158676</v>
      </c>
      <c r="B360">
        <v>140140</v>
      </c>
      <c r="C360">
        <v>1009</v>
      </c>
      <c r="D360" s="1">
        <v>44997</v>
      </c>
      <c r="E360" s="1">
        <v>45270</v>
      </c>
      <c r="F360" t="s">
        <v>3479</v>
      </c>
      <c r="G360" t="str">
        <f>IF(ISNA(_xlfn.XLOOKUP(subscriptions[[#This Row],[customer_id]], customers[customer_id], customers[customer_id])), "NO", "YES")</f>
        <v>YES</v>
      </c>
      <c r="H360">
        <f>IF(AND(subscriptions[[#This Row],[end_date]]&lt;&gt;"", subscriptions[[#This Row],[end_date]] &lt; subscriptions[[#This Row],[start_date]]), 1, 0)</f>
        <v>0</v>
      </c>
      <c r="I3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0">
        <f>IF(
  AND(subscriptions[[#This Row],[end_before_start]]=0, subscriptions[[#This Row],[status_end_mismatch]]=0),
  1,
  0
)</f>
        <v>1</v>
      </c>
    </row>
    <row r="361" spans="1:10" x14ac:dyDescent="0.3">
      <c r="A361">
        <v>2918079</v>
      </c>
      <c r="B361">
        <v>546157</v>
      </c>
      <c r="C361">
        <v>1002</v>
      </c>
      <c r="D361" s="1">
        <v>45132</v>
      </c>
      <c r="E361" s="1"/>
      <c r="F361" t="s">
        <v>3480</v>
      </c>
      <c r="G361" t="str">
        <f>IF(ISNA(_xlfn.XLOOKUP(subscriptions[[#This Row],[customer_id]], customers[customer_id], customers[customer_id])), "NO", "YES")</f>
        <v>YES</v>
      </c>
      <c r="H361">
        <f>IF(AND(subscriptions[[#This Row],[end_date]]&lt;&gt;"", subscriptions[[#This Row],[end_date]] &lt; subscriptions[[#This Row],[start_date]]), 1, 0)</f>
        <v>0</v>
      </c>
      <c r="I3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1">
        <f>IF(
  AND(subscriptions[[#This Row],[end_before_start]]=0, subscriptions[[#This Row],[status_end_mismatch]]=0),
  1,
  0
)</f>
        <v>1</v>
      </c>
    </row>
    <row r="362" spans="1:10" x14ac:dyDescent="0.3">
      <c r="A362">
        <v>3612902</v>
      </c>
      <c r="B362">
        <v>906584</v>
      </c>
      <c r="C362">
        <v>1001</v>
      </c>
      <c r="D362" s="1">
        <v>45524</v>
      </c>
      <c r="E362" s="1"/>
      <c r="F362" t="s">
        <v>3480</v>
      </c>
      <c r="G362" t="str">
        <f>IF(ISNA(_xlfn.XLOOKUP(subscriptions[[#This Row],[customer_id]], customers[customer_id], customers[customer_id])), "NO", "YES")</f>
        <v>YES</v>
      </c>
      <c r="H362">
        <f>IF(AND(subscriptions[[#This Row],[end_date]]&lt;&gt;"", subscriptions[[#This Row],[end_date]] &lt; subscriptions[[#This Row],[start_date]]), 1, 0)</f>
        <v>0</v>
      </c>
      <c r="I3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2">
        <f>IF(
  AND(subscriptions[[#This Row],[end_before_start]]=0, subscriptions[[#This Row],[status_end_mismatch]]=0),
  1,
  0
)</f>
        <v>1</v>
      </c>
    </row>
    <row r="363" spans="1:10" x14ac:dyDescent="0.3">
      <c r="A363">
        <v>4581434</v>
      </c>
      <c r="B363">
        <v>944654</v>
      </c>
      <c r="C363">
        <v>1000</v>
      </c>
      <c r="D363" s="1">
        <v>45217</v>
      </c>
      <c r="E363" s="1"/>
      <c r="F363" t="s">
        <v>3480</v>
      </c>
      <c r="G363" t="str">
        <f>IF(ISNA(_xlfn.XLOOKUP(subscriptions[[#This Row],[customer_id]], customers[customer_id], customers[customer_id])), "NO", "YES")</f>
        <v>YES</v>
      </c>
      <c r="H363">
        <f>IF(AND(subscriptions[[#This Row],[end_date]]&lt;&gt;"", subscriptions[[#This Row],[end_date]] &lt; subscriptions[[#This Row],[start_date]]), 1, 0)</f>
        <v>0</v>
      </c>
      <c r="I3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3">
        <f>IF(
  AND(subscriptions[[#This Row],[end_before_start]]=0, subscriptions[[#This Row],[status_end_mismatch]]=0),
  1,
  0
)</f>
        <v>1</v>
      </c>
    </row>
    <row r="364" spans="1:10" x14ac:dyDescent="0.3">
      <c r="A364">
        <v>7380120</v>
      </c>
      <c r="B364">
        <v>367747</v>
      </c>
      <c r="C364">
        <v>1007</v>
      </c>
      <c r="D364" s="1">
        <v>44689</v>
      </c>
      <c r="E364" s="1">
        <v>44904</v>
      </c>
      <c r="F364" t="s">
        <v>3479</v>
      </c>
      <c r="G364" t="str">
        <f>IF(ISNA(_xlfn.XLOOKUP(subscriptions[[#This Row],[customer_id]], customers[customer_id], customers[customer_id])), "NO", "YES")</f>
        <v>YES</v>
      </c>
      <c r="H364">
        <f>IF(AND(subscriptions[[#This Row],[end_date]]&lt;&gt;"", subscriptions[[#This Row],[end_date]] &lt; subscriptions[[#This Row],[start_date]]), 1, 0)</f>
        <v>0</v>
      </c>
      <c r="I3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4">
        <f>IF(
  AND(subscriptions[[#This Row],[end_before_start]]=0, subscriptions[[#This Row],[status_end_mismatch]]=0),
  1,
  0
)</f>
        <v>1</v>
      </c>
    </row>
    <row r="365" spans="1:10" x14ac:dyDescent="0.3">
      <c r="A365">
        <v>8216043</v>
      </c>
      <c r="B365">
        <v>473897</v>
      </c>
      <c r="C365">
        <v>1009</v>
      </c>
      <c r="D365" s="1">
        <v>45531</v>
      </c>
      <c r="E365" s="1"/>
      <c r="F365" t="s">
        <v>3480</v>
      </c>
      <c r="G365" t="str">
        <f>IF(ISNA(_xlfn.XLOOKUP(subscriptions[[#This Row],[customer_id]], customers[customer_id], customers[customer_id])), "NO", "YES")</f>
        <v>YES</v>
      </c>
      <c r="H365">
        <f>IF(AND(subscriptions[[#This Row],[end_date]]&lt;&gt;"", subscriptions[[#This Row],[end_date]] &lt; subscriptions[[#This Row],[start_date]]), 1, 0)</f>
        <v>0</v>
      </c>
      <c r="I3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5">
        <f>IF(
  AND(subscriptions[[#This Row],[end_before_start]]=0, subscriptions[[#This Row],[status_end_mismatch]]=0),
  1,
  0
)</f>
        <v>1</v>
      </c>
    </row>
    <row r="366" spans="1:10" x14ac:dyDescent="0.3">
      <c r="A366">
        <v>4548261</v>
      </c>
      <c r="B366">
        <v>766563</v>
      </c>
      <c r="C366">
        <v>1001</v>
      </c>
      <c r="D366" s="1">
        <v>44608</v>
      </c>
      <c r="E366" s="1">
        <v>44988</v>
      </c>
      <c r="F366" t="s">
        <v>3479</v>
      </c>
      <c r="G366" t="str">
        <f>IF(ISNA(_xlfn.XLOOKUP(subscriptions[[#This Row],[customer_id]], customers[customer_id], customers[customer_id])), "NO", "YES")</f>
        <v>YES</v>
      </c>
      <c r="H366">
        <f>IF(AND(subscriptions[[#This Row],[end_date]]&lt;&gt;"", subscriptions[[#This Row],[end_date]] &lt; subscriptions[[#This Row],[start_date]]), 1, 0)</f>
        <v>0</v>
      </c>
      <c r="I3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6">
        <f>IF(
  AND(subscriptions[[#This Row],[end_before_start]]=0, subscriptions[[#This Row],[status_end_mismatch]]=0),
  1,
  0
)</f>
        <v>1</v>
      </c>
    </row>
    <row r="367" spans="1:10" x14ac:dyDescent="0.3">
      <c r="A367">
        <v>8095426</v>
      </c>
      <c r="B367">
        <v>612977</v>
      </c>
      <c r="C367">
        <v>1004</v>
      </c>
      <c r="D367" s="1">
        <v>45114</v>
      </c>
      <c r="E367" s="1"/>
      <c r="F367" t="s">
        <v>3480</v>
      </c>
      <c r="G367" t="str">
        <f>IF(ISNA(_xlfn.XLOOKUP(subscriptions[[#This Row],[customer_id]], customers[customer_id], customers[customer_id])), "NO", "YES")</f>
        <v>YES</v>
      </c>
      <c r="H367">
        <f>IF(AND(subscriptions[[#This Row],[end_date]]&lt;&gt;"", subscriptions[[#This Row],[end_date]] &lt; subscriptions[[#This Row],[start_date]]), 1, 0)</f>
        <v>0</v>
      </c>
      <c r="I3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7">
        <f>IF(
  AND(subscriptions[[#This Row],[end_before_start]]=0, subscriptions[[#This Row],[status_end_mismatch]]=0),
  1,
  0
)</f>
        <v>1</v>
      </c>
    </row>
    <row r="368" spans="1:10" x14ac:dyDescent="0.3">
      <c r="A368">
        <v>3954562</v>
      </c>
      <c r="B368">
        <v>751051</v>
      </c>
      <c r="C368">
        <v>1008</v>
      </c>
      <c r="D368" s="1">
        <v>44733</v>
      </c>
      <c r="E368" s="1"/>
      <c r="F368" t="s">
        <v>3480</v>
      </c>
      <c r="G368" t="str">
        <f>IF(ISNA(_xlfn.XLOOKUP(subscriptions[[#This Row],[customer_id]], customers[customer_id], customers[customer_id])), "NO", "YES")</f>
        <v>YES</v>
      </c>
      <c r="H368">
        <f>IF(AND(subscriptions[[#This Row],[end_date]]&lt;&gt;"", subscriptions[[#This Row],[end_date]] &lt; subscriptions[[#This Row],[start_date]]), 1, 0)</f>
        <v>0</v>
      </c>
      <c r="I3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8">
        <f>IF(
  AND(subscriptions[[#This Row],[end_before_start]]=0, subscriptions[[#This Row],[status_end_mismatch]]=0),
  1,
  0
)</f>
        <v>1</v>
      </c>
    </row>
    <row r="369" spans="1:10" x14ac:dyDescent="0.3">
      <c r="A369">
        <v>5595368</v>
      </c>
      <c r="B369">
        <v>112210</v>
      </c>
      <c r="C369">
        <v>1005</v>
      </c>
      <c r="D369" s="1">
        <v>45391</v>
      </c>
      <c r="E369" s="1"/>
      <c r="F369" t="s">
        <v>3480</v>
      </c>
      <c r="G369" t="str">
        <f>IF(ISNA(_xlfn.XLOOKUP(subscriptions[[#This Row],[customer_id]], customers[customer_id], customers[customer_id])), "NO", "YES")</f>
        <v>YES</v>
      </c>
      <c r="H369">
        <f>IF(AND(subscriptions[[#This Row],[end_date]]&lt;&gt;"", subscriptions[[#This Row],[end_date]] &lt; subscriptions[[#This Row],[start_date]]), 1, 0)</f>
        <v>0</v>
      </c>
      <c r="I3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69">
        <f>IF(
  AND(subscriptions[[#This Row],[end_before_start]]=0, subscriptions[[#This Row],[status_end_mismatch]]=0),
  1,
  0
)</f>
        <v>1</v>
      </c>
    </row>
    <row r="370" spans="1:10" x14ac:dyDescent="0.3">
      <c r="A370">
        <v>8573586</v>
      </c>
      <c r="B370">
        <v>273659</v>
      </c>
      <c r="C370">
        <v>1002</v>
      </c>
      <c r="D370" s="1">
        <v>45421</v>
      </c>
      <c r="E370" s="1"/>
      <c r="F370" t="s">
        <v>3480</v>
      </c>
      <c r="G370" t="str">
        <f>IF(ISNA(_xlfn.XLOOKUP(subscriptions[[#This Row],[customer_id]], customers[customer_id], customers[customer_id])), "NO", "YES")</f>
        <v>YES</v>
      </c>
      <c r="H370">
        <f>IF(AND(subscriptions[[#This Row],[end_date]]&lt;&gt;"", subscriptions[[#This Row],[end_date]] &lt; subscriptions[[#This Row],[start_date]]), 1, 0)</f>
        <v>0</v>
      </c>
      <c r="I3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0">
        <f>IF(
  AND(subscriptions[[#This Row],[end_before_start]]=0, subscriptions[[#This Row],[status_end_mismatch]]=0),
  1,
  0
)</f>
        <v>1</v>
      </c>
    </row>
    <row r="371" spans="1:10" x14ac:dyDescent="0.3">
      <c r="A371">
        <v>5352802</v>
      </c>
      <c r="B371">
        <v>276149</v>
      </c>
      <c r="C371">
        <v>1002</v>
      </c>
      <c r="D371" s="1">
        <v>44938</v>
      </c>
      <c r="E371" s="1">
        <v>45015</v>
      </c>
      <c r="F371" t="s">
        <v>3479</v>
      </c>
      <c r="G371" t="str">
        <f>IF(ISNA(_xlfn.XLOOKUP(subscriptions[[#This Row],[customer_id]], customers[customer_id], customers[customer_id])), "NO", "YES")</f>
        <v>YES</v>
      </c>
      <c r="H371">
        <f>IF(AND(subscriptions[[#This Row],[end_date]]&lt;&gt;"", subscriptions[[#This Row],[end_date]] &lt; subscriptions[[#This Row],[start_date]]), 1, 0)</f>
        <v>0</v>
      </c>
      <c r="I3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1">
        <f>IF(
  AND(subscriptions[[#This Row],[end_before_start]]=0, subscriptions[[#This Row],[status_end_mismatch]]=0),
  1,
  0
)</f>
        <v>1</v>
      </c>
    </row>
    <row r="372" spans="1:10" x14ac:dyDescent="0.3">
      <c r="A372">
        <v>8189612</v>
      </c>
      <c r="B372">
        <v>927899</v>
      </c>
      <c r="C372">
        <v>1005</v>
      </c>
      <c r="D372" s="1">
        <v>45262</v>
      </c>
      <c r="E372" s="1">
        <v>45444</v>
      </c>
      <c r="F372" t="s">
        <v>3479</v>
      </c>
      <c r="G372" t="str">
        <f>IF(ISNA(_xlfn.XLOOKUP(subscriptions[[#This Row],[customer_id]], customers[customer_id], customers[customer_id])), "NO", "YES")</f>
        <v>YES</v>
      </c>
      <c r="H372">
        <f>IF(AND(subscriptions[[#This Row],[end_date]]&lt;&gt;"", subscriptions[[#This Row],[end_date]] &lt; subscriptions[[#This Row],[start_date]]), 1, 0)</f>
        <v>0</v>
      </c>
      <c r="I3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2">
        <f>IF(
  AND(subscriptions[[#This Row],[end_before_start]]=0, subscriptions[[#This Row],[status_end_mismatch]]=0),
  1,
  0
)</f>
        <v>1</v>
      </c>
    </row>
    <row r="373" spans="1:10" x14ac:dyDescent="0.3">
      <c r="A373">
        <v>3760410</v>
      </c>
      <c r="B373">
        <v>761519</v>
      </c>
      <c r="C373">
        <v>1003</v>
      </c>
      <c r="D373" s="1">
        <v>44968</v>
      </c>
      <c r="E373" s="1"/>
      <c r="F373" t="s">
        <v>3480</v>
      </c>
      <c r="G373" t="str">
        <f>IF(ISNA(_xlfn.XLOOKUP(subscriptions[[#This Row],[customer_id]], customers[customer_id], customers[customer_id])), "NO", "YES")</f>
        <v>YES</v>
      </c>
      <c r="H373">
        <f>IF(AND(subscriptions[[#This Row],[end_date]]&lt;&gt;"", subscriptions[[#This Row],[end_date]] &lt; subscriptions[[#This Row],[start_date]]), 1, 0)</f>
        <v>0</v>
      </c>
      <c r="I3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3">
        <f>IF(
  AND(subscriptions[[#This Row],[end_before_start]]=0, subscriptions[[#This Row],[status_end_mismatch]]=0),
  1,
  0
)</f>
        <v>1</v>
      </c>
    </row>
    <row r="374" spans="1:10" x14ac:dyDescent="0.3">
      <c r="A374">
        <v>8031349</v>
      </c>
      <c r="B374">
        <v>292811</v>
      </c>
      <c r="C374">
        <v>1007</v>
      </c>
      <c r="D374" s="1">
        <v>45548</v>
      </c>
      <c r="E374" s="1"/>
      <c r="F374" t="s">
        <v>3480</v>
      </c>
      <c r="G374" t="str">
        <f>IF(ISNA(_xlfn.XLOOKUP(subscriptions[[#This Row],[customer_id]], customers[customer_id], customers[customer_id])), "NO", "YES")</f>
        <v>YES</v>
      </c>
      <c r="H374">
        <f>IF(AND(subscriptions[[#This Row],[end_date]]&lt;&gt;"", subscriptions[[#This Row],[end_date]] &lt; subscriptions[[#This Row],[start_date]]), 1, 0)</f>
        <v>0</v>
      </c>
      <c r="I3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4">
        <f>IF(
  AND(subscriptions[[#This Row],[end_before_start]]=0, subscriptions[[#This Row],[status_end_mismatch]]=0),
  1,
  0
)</f>
        <v>1</v>
      </c>
    </row>
    <row r="375" spans="1:10" x14ac:dyDescent="0.3">
      <c r="A375">
        <v>3695916</v>
      </c>
      <c r="B375">
        <v>356622</v>
      </c>
      <c r="C375">
        <v>1003</v>
      </c>
      <c r="D375" s="1">
        <v>45456</v>
      </c>
      <c r="E375" s="1"/>
      <c r="F375" t="s">
        <v>3480</v>
      </c>
      <c r="G375" t="str">
        <f>IF(ISNA(_xlfn.XLOOKUP(subscriptions[[#This Row],[customer_id]], customers[customer_id], customers[customer_id])), "NO", "YES")</f>
        <v>YES</v>
      </c>
      <c r="H375">
        <f>IF(AND(subscriptions[[#This Row],[end_date]]&lt;&gt;"", subscriptions[[#This Row],[end_date]] &lt; subscriptions[[#This Row],[start_date]]), 1, 0)</f>
        <v>0</v>
      </c>
      <c r="I3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5">
        <f>IF(
  AND(subscriptions[[#This Row],[end_before_start]]=0, subscriptions[[#This Row],[status_end_mismatch]]=0),
  1,
  0
)</f>
        <v>1</v>
      </c>
    </row>
    <row r="376" spans="1:10" x14ac:dyDescent="0.3">
      <c r="A376">
        <v>7528651</v>
      </c>
      <c r="B376">
        <v>963617</v>
      </c>
      <c r="C376">
        <v>1007</v>
      </c>
      <c r="D376" s="1">
        <v>44582</v>
      </c>
      <c r="E376" s="1"/>
      <c r="F376" t="s">
        <v>3480</v>
      </c>
      <c r="G376" t="str">
        <f>IF(ISNA(_xlfn.XLOOKUP(subscriptions[[#This Row],[customer_id]], customers[customer_id], customers[customer_id])), "NO", "YES")</f>
        <v>YES</v>
      </c>
      <c r="H376">
        <f>IF(AND(subscriptions[[#This Row],[end_date]]&lt;&gt;"", subscriptions[[#This Row],[end_date]] &lt; subscriptions[[#This Row],[start_date]]), 1, 0)</f>
        <v>0</v>
      </c>
      <c r="I3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6">
        <f>IF(
  AND(subscriptions[[#This Row],[end_before_start]]=0, subscriptions[[#This Row],[status_end_mismatch]]=0),
  1,
  0
)</f>
        <v>1</v>
      </c>
    </row>
    <row r="377" spans="1:10" x14ac:dyDescent="0.3">
      <c r="A377">
        <v>4331283</v>
      </c>
      <c r="B377">
        <v>560295</v>
      </c>
      <c r="C377">
        <v>1004</v>
      </c>
      <c r="D377" s="1">
        <v>44721</v>
      </c>
      <c r="E377" s="1">
        <v>45047</v>
      </c>
      <c r="F377" t="s">
        <v>3479</v>
      </c>
      <c r="G377" t="str">
        <f>IF(ISNA(_xlfn.XLOOKUP(subscriptions[[#This Row],[customer_id]], customers[customer_id], customers[customer_id])), "NO", "YES")</f>
        <v>YES</v>
      </c>
      <c r="H377">
        <f>IF(AND(subscriptions[[#This Row],[end_date]]&lt;&gt;"", subscriptions[[#This Row],[end_date]] &lt; subscriptions[[#This Row],[start_date]]), 1, 0)</f>
        <v>0</v>
      </c>
      <c r="I3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7">
        <f>IF(
  AND(subscriptions[[#This Row],[end_before_start]]=0, subscriptions[[#This Row],[status_end_mismatch]]=0),
  1,
  0
)</f>
        <v>1</v>
      </c>
    </row>
    <row r="378" spans="1:10" x14ac:dyDescent="0.3">
      <c r="A378">
        <v>3426274</v>
      </c>
      <c r="B378">
        <v>571832</v>
      </c>
      <c r="C378">
        <v>1004</v>
      </c>
      <c r="D378" s="1">
        <v>45225</v>
      </c>
      <c r="E378" s="1">
        <v>45417</v>
      </c>
      <c r="F378" t="s">
        <v>3479</v>
      </c>
      <c r="G378" t="str">
        <f>IF(ISNA(_xlfn.XLOOKUP(subscriptions[[#This Row],[customer_id]], customers[customer_id], customers[customer_id])), "NO", "YES")</f>
        <v>YES</v>
      </c>
      <c r="H378">
        <f>IF(AND(subscriptions[[#This Row],[end_date]]&lt;&gt;"", subscriptions[[#This Row],[end_date]] &lt; subscriptions[[#This Row],[start_date]]), 1, 0)</f>
        <v>0</v>
      </c>
      <c r="I3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8">
        <f>IF(
  AND(subscriptions[[#This Row],[end_before_start]]=0, subscriptions[[#This Row],[status_end_mismatch]]=0),
  1,
  0
)</f>
        <v>1</v>
      </c>
    </row>
    <row r="379" spans="1:10" x14ac:dyDescent="0.3">
      <c r="A379">
        <v>1238014</v>
      </c>
      <c r="B379">
        <v>741599</v>
      </c>
      <c r="C379">
        <v>1007</v>
      </c>
      <c r="D379" s="1">
        <v>44870</v>
      </c>
      <c r="E379" s="1">
        <v>44975</v>
      </c>
      <c r="F379" t="s">
        <v>3479</v>
      </c>
      <c r="G379" t="str">
        <f>IF(ISNA(_xlfn.XLOOKUP(subscriptions[[#This Row],[customer_id]], customers[customer_id], customers[customer_id])), "NO", "YES")</f>
        <v>YES</v>
      </c>
      <c r="H379">
        <f>IF(AND(subscriptions[[#This Row],[end_date]]&lt;&gt;"", subscriptions[[#This Row],[end_date]] &lt; subscriptions[[#This Row],[start_date]]), 1, 0)</f>
        <v>0</v>
      </c>
      <c r="I3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79">
        <f>IF(
  AND(subscriptions[[#This Row],[end_before_start]]=0, subscriptions[[#This Row],[status_end_mismatch]]=0),
  1,
  0
)</f>
        <v>1</v>
      </c>
    </row>
    <row r="380" spans="1:10" x14ac:dyDescent="0.3">
      <c r="A380">
        <v>9379307</v>
      </c>
      <c r="B380">
        <v>299742</v>
      </c>
      <c r="C380">
        <v>1004</v>
      </c>
      <c r="D380" s="1">
        <v>45210</v>
      </c>
      <c r="E380" s="1"/>
      <c r="F380" t="s">
        <v>3480</v>
      </c>
      <c r="G380" t="str">
        <f>IF(ISNA(_xlfn.XLOOKUP(subscriptions[[#This Row],[customer_id]], customers[customer_id], customers[customer_id])), "NO", "YES")</f>
        <v>YES</v>
      </c>
      <c r="H380">
        <f>IF(AND(subscriptions[[#This Row],[end_date]]&lt;&gt;"", subscriptions[[#This Row],[end_date]] &lt; subscriptions[[#This Row],[start_date]]), 1, 0)</f>
        <v>0</v>
      </c>
      <c r="I3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0">
        <f>IF(
  AND(subscriptions[[#This Row],[end_before_start]]=0, subscriptions[[#This Row],[status_end_mismatch]]=0),
  1,
  0
)</f>
        <v>1</v>
      </c>
    </row>
    <row r="381" spans="1:10" x14ac:dyDescent="0.3">
      <c r="A381">
        <v>7818036</v>
      </c>
      <c r="B381">
        <v>431414</v>
      </c>
      <c r="C381">
        <v>1001</v>
      </c>
      <c r="D381" s="1">
        <v>45100</v>
      </c>
      <c r="E381" s="1"/>
      <c r="F381" t="s">
        <v>3480</v>
      </c>
      <c r="G381" t="str">
        <f>IF(ISNA(_xlfn.XLOOKUP(subscriptions[[#This Row],[customer_id]], customers[customer_id], customers[customer_id])), "NO", "YES")</f>
        <v>YES</v>
      </c>
      <c r="H381">
        <f>IF(AND(subscriptions[[#This Row],[end_date]]&lt;&gt;"", subscriptions[[#This Row],[end_date]] &lt; subscriptions[[#This Row],[start_date]]), 1, 0)</f>
        <v>0</v>
      </c>
      <c r="I3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1">
        <f>IF(
  AND(subscriptions[[#This Row],[end_before_start]]=0, subscriptions[[#This Row],[status_end_mismatch]]=0),
  1,
  0
)</f>
        <v>1</v>
      </c>
    </row>
    <row r="382" spans="1:10" x14ac:dyDescent="0.3">
      <c r="A382">
        <v>1061687</v>
      </c>
      <c r="B382">
        <v>969693</v>
      </c>
      <c r="C382">
        <v>1004</v>
      </c>
      <c r="D382" s="1">
        <v>45484</v>
      </c>
      <c r="E382" s="1">
        <v>45578</v>
      </c>
      <c r="F382" t="s">
        <v>3479</v>
      </c>
      <c r="G382" t="str">
        <f>IF(ISNA(_xlfn.XLOOKUP(subscriptions[[#This Row],[customer_id]], customers[customer_id], customers[customer_id])), "NO", "YES")</f>
        <v>YES</v>
      </c>
      <c r="H382">
        <f>IF(AND(subscriptions[[#This Row],[end_date]]&lt;&gt;"", subscriptions[[#This Row],[end_date]] &lt; subscriptions[[#This Row],[start_date]]), 1, 0)</f>
        <v>0</v>
      </c>
      <c r="I3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2">
        <f>IF(
  AND(subscriptions[[#This Row],[end_before_start]]=0, subscriptions[[#This Row],[status_end_mismatch]]=0),
  1,
  0
)</f>
        <v>1</v>
      </c>
    </row>
    <row r="383" spans="1:10" x14ac:dyDescent="0.3">
      <c r="A383">
        <v>8538483</v>
      </c>
      <c r="B383">
        <v>899502</v>
      </c>
      <c r="C383">
        <v>1009</v>
      </c>
      <c r="D383" s="1">
        <v>44761</v>
      </c>
      <c r="E383" s="1"/>
      <c r="F383" t="s">
        <v>3480</v>
      </c>
      <c r="G383" t="str">
        <f>IF(ISNA(_xlfn.XLOOKUP(subscriptions[[#This Row],[customer_id]], customers[customer_id], customers[customer_id])), "NO", "YES")</f>
        <v>YES</v>
      </c>
      <c r="H383">
        <f>IF(AND(subscriptions[[#This Row],[end_date]]&lt;&gt;"", subscriptions[[#This Row],[end_date]] &lt; subscriptions[[#This Row],[start_date]]), 1, 0)</f>
        <v>0</v>
      </c>
      <c r="I3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3">
        <f>IF(
  AND(subscriptions[[#This Row],[end_before_start]]=0, subscriptions[[#This Row],[status_end_mismatch]]=0),
  1,
  0
)</f>
        <v>1</v>
      </c>
    </row>
    <row r="384" spans="1:10" x14ac:dyDescent="0.3">
      <c r="A384">
        <v>4148361</v>
      </c>
      <c r="B384">
        <v>963617</v>
      </c>
      <c r="C384">
        <v>1009</v>
      </c>
      <c r="D384" s="1">
        <v>45422</v>
      </c>
      <c r="E384" s="1">
        <v>45537</v>
      </c>
      <c r="F384" t="s">
        <v>3479</v>
      </c>
      <c r="G384" t="str">
        <f>IF(ISNA(_xlfn.XLOOKUP(subscriptions[[#This Row],[customer_id]], customers[customer_id], customers[customer_id])), "NO", "YES")</f>
        <v>YES</v>
      </c>
      <c r="H384">
        <f>IF(AND(subscriptions[[#This Row],[end_date]]&lt;&gt;"", subscriptions[[#This Row],[end_date]] &lt; subscriptions[[#This Row],[start_date]]), 1, 0)</f>
        <v>0</v>
      </c>
      <c r="I3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4">
        <f>IF(
  AND(subscriptions[[#This Row],[end_before_start]]=0, subscriptions[[#This Row],[status_end_mismatch]]=0),
  1,
  0
)</f>
        <v>1</v>
      </c>
    </row>
    <row r="385" spans="1:10" x14ac:dyDescent="0.3">
      <c r="A385">
        <v>7334348</v>
      </c>
      <c r="B385">
        <v>900581</v>
      </c>
      <c r="C385">
        <v>1006</v>
      </c>
      <c r="D385" s="1">
        <v>45004</v>
      </c>
      <c r="E385" s="1"/>
      <c r="F385" t="s">
        <v>3480</v>
      </c>
      <c r="G385" t="str">
        <f>IF(ISNA(_xlfn.XLOOKUP(subscriptions[[#This Row],[customer_id]], customers[customer_id], customers[customer_id])), "NO", "YES")</f>
        <v>YES</v>
      </c>
      <c r="H385">
        <f>IF(AND(subscriptions[[#This Row],[end_date]]&lt;&gt;"", subscriptions[[#This Row],[end_date]] &lt; subscriptions[[#This Row],[start_date]]), 1, 0)</f>
        <v>0</v>
      </c>
      <c r="I3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5">
        <f>IF(
  AND(subscriptions[[#This Row],[end_before_start]]=0, subscriptions[[#This Row],[status_end_mismatch]]=0),
  1,
  0
)</f>
        <v>1</v>
      </c>
    </row>
    <row r="386" spans="1:10" x14ac:dyDescent="0.3">
      <c r="A386">
        <v>4207115</v>
      </c>
      <c r="B386">
        <v>314353</v>
      </c>
      <c r="C386">
        <v>1001</v>
      </c>
      <c r="D386" s="1">
        <v>44591</v>
      </c>
      <c r="E386" s="1"/>
      <c r="F386" t="s">
        <v>3480</v>
      </c>
      <c r="G386" t="str">
        <f>IF(ISNA(_xlfn.XLOOKUP(subscriptions[[#This Row],[customer_id]], customers[customer_id], customers[customer_id])), "NO", "YES")</f>
        <v>YES</v>
      </c>
      <c r="H386">
        <f>IF(AND(subscriptions[[#This Row],[end_date]]&lt;&gt;"", subscriptions[[#This Row],[end_date]] &lt; subscriptions[[#This Row],[start_date]]), 1, 0)</f>
        <v>0</v>
      </c>
      <c r="I3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6">
        <f>IF(
  AND(subscriptions[[#This Row],[end_before_start]]=0, subscriptions[[#This Row],[status_end_mismatch]]=0),
  1,
  0
)</f>
        <v>1</v>
      </c>
    </row>
    <row r="387" spans="1:10" x14ac:dyDescent="0.3">
      <c r="A387">
        <v>7103458</v>
      </c>
      <c r="B387">
        <v>661023</v>
      </c>
      <c r="C387">
        <v>1006</v>
      </c>
      <c r="D387" s="1">
        <v>44595</v>
      </c>
      <c r="E387" s="1"/>
      <c r="F387" t="s">
        <v>3480</v>
      </c>
      <c r="G387" t="str">
        <f>IF(ISNA(_xlfn.XLOOKUP(subscriptions[[#This Row],[customer_id]], customers[customer_id], customers[customer_id])), "NO", "YES")</f>
        <v>YES</v>
      </c>
      <c r="H387">
        <f>IF(AND(subscriptions[[#This Row],[end_date]]&lt;&gt;"", subscriptions[[#This Row],[end_date]] &lt; subscriptions[[#This Row],[start_date]]), 1, 0)</f>
        <v>0</v>
      </c>
      <c r="I3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7">
        <f>IF(
  AND(subscriptions[[#This Row],[end_before_start]]=0, subscriptions[[#This Row],[status_end_mismatch]]=0),
  1,
  0
)</f>
        <v>1</v>
      </c>
    </row>
    <row r="388" spans="1:10" x14ac:dyDescent="0.3">
      <c r="A388">
        <v>6150025</v>
      </c>
      <c r="B388">
        <v>668573</v>
      </c>
      <c r="C388">
        <v>1006</v>
      </c>
      <c r="D388" s="1">
        <v>45590</v>
      </c>
      <c r="E388" s="1">
        <v>45635</v>
      </c>
      <c r="F388" t="s">
        <v>3479</v>
      </c>
      <c r="G388" t="str">
        <f>IF(ISNA(_xlfn.XLOOKUP(subscriptions[[#This Row],[customer_id]], customers[customer_id], customers[customer_id])), "NO", "YES")</f>
        <v>YES</v>
      </c>
      <c r="H388">
        <f>IF(AND(subscriptions[[#This Row],[end_date]]&lt;&gt;"", subscriptions[[#This Row],[end_date]] &lt; subscriptions[[#This Row],[start_date]]), 1, 0)</f>
        <v>0</v>
      </c>
      <c r="I3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8">
        <f>IF(
  AND(subscriptions[[#This Row],[end_before_start]]=0, subscriptions[[#This Row],[status_end_mismatch]]=0),
  1,
  0
)</f>
        <v>1</v>
      </c>
    </row>
    <row r="389" spans="1:10" x14ac:dyDescent="0.3">
      <c r="A389">
        <v>9374022</v>
      </c>
      <c r="B389">
        <v>419409</v>
      </c>
      <c r="C389">
        <v>1003</v>
      </c>
      <c r="D389" s="1">
        <v>45495</v>
      </c>
      <c r="E389" s="1"/>
      <c r="F389" t="s">
        <v>3480</v>
      </c>
      <c r="G389" t="str">
        <f>IF(ISNA(_xlfn.XLOOKUP(subscriptions[[#This Row],[customer_id]], customers[customer_id], customers[customer_id])), "NO", "YES")</f>
        <v>YES</v>
      </c>
      <c r="H389">
        <f>IF(AND(subscriptions[[#This Row],[end_date]]&lt;&gt;"", subscriptions[[#This Row],[end_date]] &lt; subscriptions[[#This Row],[start_date]]), 1, 0)</f>
        <v>0</v>
      </c>
      <c r="I3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89">
        <f>IF(
  AND(subscriptions[[#This Row],[end_before_start]]=0, subscriptions[[#This Row],[status_end_mismatch]]=0),
  1,
  0
)</f>
        <v>1</v>
      </c>
    </row>
    <row r="390" spans="1:10" x14ac:dyDescent="0.3">
      <c r="A390">
        <v>6901033</v>
      </c>
      <c r="B390">
        <v>563849</v>
      </c>
      <c r="C390">
        <v>1001</v>
      </c>
      <c r="D390" s="1">
        <v>45283</v>
      </c>
      <c r="E390" s="1">
        <v>45531</v>
      </c>
      <c r="F390" t="s">
        <v>3479</v>
      </c>
      <c r="G390" t="str">
        <f>IF(ISNA(_xlfn.XLOOKUP(subscriptions[[#This Row],[customer_id]], customers[customer_id], customers[customer_id])), "NO", "YES")</f>
        <v>YES</v>
      </c>
      <c r="H390">
        <f>IF(AND(subscriptions[[#This Row],[end_date]]&lt;&gt;"", subscriptions[[#This Row],[end_date]] &lt; subscriptions[[#This Row],[start_date]]), 1, 0)</f>
        <v>0</v>
      </c>
      <c r="I3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0">
        <f>IF(
  AND(subscriptions[[#This Row],[end_before_start]]=0, subscriptions[[#This Row],[status_end_mismatch]]=0),
  1,
  0
)</f>
        <v>1</v>
      </c>
    </row>
    <row r="391" spans="1:10" x14ac:dyDescent="0.3">
      <c r="A391">
        <v>9777333</v>
      </c>
      <c r="B391">
        <v>579404</v>
      </c>
      <c r="C391">
        <v>1008</v>
      </c>
      <c r="D391" s="1">
        <v>45249</v>
      </c>
      <c r="E391" s="1"/>
      <c r="F391" t="s">
        <v>3480</v>
      </c>
      <c r="G391" t="str">
        <f>IF(ISNA(_xlfn.XLOOKUP(subscriptions[[#This Row],[customer_id]], customers[customer_id], customers[customer_id])), "NO", "YES")</f>
        <v>YES</v>
      </c>
      <c r="H391">
        <f>IF(AND(subscriptions[[#This Row],[end_date]]&lt;&gt;"", subscriptions[[#This Row],[end_date]] &lt; subscriptions[[#This Row],[start_date]]), 1, 0)</f>
        <v>0</v>
      </c>
      <c r="I3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1">
        <f>IF(
  AND(subscriptions[[#This Row],[end_before_start]]=0, subscriptions[[#This Row],[status_end_mismatch]]=0),
  1,
  0
)</f>
        <v>1</v>
      </c>
    </row>
    <row r="392" spans="1:10" x14ac:dyDescent="0.3">
      <c r="A392">
        <v>3949666</v>
      </c>
      <c r="B392">
        <v>784607</v>
      </c>
      <c r="C392">
        <v>1003</v>
      </c>
      <c r="D392" s="1">
        <v>45501</v>
      </c>
      <c r="E392" s="1"/>
      <c r="F392" t="s">
        <v>3480</v>
      </c>
      <c r="G392" t="str">
        <f>IF(ISNA(_xlfn.XLOOKUP(subscriptions[[#This Row],[customer_id]], customers[customer_id], customers[customer_id])), "NO", "YES")</f>
        <v>YES</v>
      </c>
      <c r="H392">
        <f>IF(AND(subscriptions[[#This Row],[end_date]]&lt;&gt;"", subscriptions[[#This Row],[end_date]] &lt; subscriptions[[#This Row],[start_date]]), 1, 0)</f>
        <v>0</v>
      </c>
      <c r="I3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2">
        <f>IF(
  AND(subscriptions[[#This Row],[end_before_start]]=0, subscriptions[[#This Row],[status_end_mismatch]]=0),
  1,
  0
)</f>
        <v>1</v>
      </c>
    </row>
    <row r="393" spans="1:10" x14ac:dyDescent="0.3">
      <c r="A393">
        <v>3967808</v>
      </c>
      <c r="B393">
        <v>212157</v>
      </c>
      <c r="C393">
        <v>1008</v>
      </c>
      <c r="D393" s="1">
        <v>44895</v>
      </c>
      <c r="E393" s="1"/>
      <c r="F393" t="s">
        <v>3480</v>
      </c>
      <c r="G393" t="str">
        <f>IF(ISNA(_xlfn.XLOOKUP(subscriptions[[#This Row],[customer_id]], customers[customer_id], customers[customer_id])), "NO", "YES")</f>
        <v>YES</v>
      </c>
      <c r="H393">
        <f>IF(AND(subscriptions[[#This Row],[end_date]]&lt;&gt;"", subscriptions[[#This Row],[end_date]] &lt; subscriptions[[#This Row],[start_date]]), 1, 0)</f>
        <v>0</v>
      </c>
      <c r="I3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3">
        <f>IF(
  AND(subscriptions[[#This Row],[end_before_start]]=0, subscriptions[[#This Row],[status_end_mismatch]]=0),
  1,
  0
)</f>
        <v>1</v>
      </c>
    </row>
    <row r="394" spans="1:10" x14ac:dyDescent="0.3">
      <c r="A394">
        <v>7401570</v>
      </c>
      <c r="B394">
        <v>140115</v>
      </c>
      <c r="C394">
        <v>1008</v>
      </c>
      <c r="D394" s="1">
        <v>45145</v>
      </c>
      <c r="E394" s="1">
        <v>45527</v>
      </c>
      <c r="F394" t="s">
        <v>3479</v>
      </c>
      <c r="G394" t="str">
        <f>IF(ISNA(_xlfn.XLOOKUP(subscriptions[[#This Row],[customer_id]], customers[customer_id], customers[customer_id])), "NO", "YES")</f>
        <v>YES</v>
      </c>
      <c r="H394">
        <f>IF(AND(subscriptions[[#This Row],[end_date]]&lt;&gt;"", subscriptions[[#This Row],[end_date]] &lt; subscriptions[[#This Row],[start_date]]), 1, 0)</f>
        <v>0</v>
      </c>
      <c r="I3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4">
        <f>IF(
  AND(subscriptions[[#This Row],[end_before_start]]=0, subscriptions[[#This Row],[status_end_mismatch]]=0),
  1,
  0
)</f>
        <v>1</v>
      </c>
    </row>
    <row r="395" spans="1:10" x14ac:dyDescent="0.3">
      <c r="A395">
        <v>8339925</v>
      </c>
      <c r="B395">
        <v>443199</v>
      </c>
      <c r="C395">
        <v>1004</v>
      </c>
      <c r="D395" s="1">
        <v>45142</v>
      </c>
      <c r="E395" s="1">
        <v>45222</v>
      </c>
      <c r="F395" t="s">
        <v>3479</v>
      </c>
      <c r="G395" t="str">
        <f>IF(ISNA(_xlfn.XLOOKUP(subscriptions[[#This Row],[customer_id]], customers[customer_id], customers[customer_id])), "NO", "YES")</f>
        <v>YES</v>
      </c>
      <c r="H395">
        <f>IF(AND(subscriptions[[#This Row],[end_date]]&lt;&gt;"", subscriptions[[#This Row],[end_date]] &lt; subscriptions[[#This Row],[start_date]]), 1, 0)</f>
        <v>0</v>
      </c>
      <c r="I3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5">
        <f>IF(
  AND(subscriptions[[#This Row],[end_before_start]]=0, subscriptions[[#This Row],[status_end_mismatch]]=0),
  1,
  0
)</f>
        <v>1</v>
      </c>
    </row>
    <row r="396" spans="1:10" x14ac:dyDescent="0.3">
      <c r="A396">
        <v>2470022</v>
      </c>
      <c r="B396">
        <v>344312</v>
      </c>
      <c r="C396">
        <v>1009</v>
      </c>
      <c r="D396" s="1">
        <v>44774</v>
      </c>
      <c r="E396" s="1"/>
      <c r="F396" t="s">
        <v>3480</v>
      </c>
      <c r="G396" t="str">
        <f>IF(ISNA(_xlfn.XLOOKUP(subscriptions[[#This Row],[customer_id]], customers[customer_id], customers[customer_id])), "NO", "YES")</f>
        <v>YES</v>
      </c>
      <c r="H396">
        <f>IF(AND(subscriptions[[#This Row],[end_date]]&lt;&gt;"", subscriptions[[#This Row],[end_date]] &lt; subscriptions[[#This Row],[start_date]]), 1, 0)</f>
        <v>0</v>
      </c>
      <c r="I3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6">
        <f>IF(
  AND(subscriptions[[#This Row],[end_before_start]]=0, subscriptions[[#This Row],[status_end_mismatch]]=0),
  1,
  0
)</f>
        <v>1</v>
      </c>
    </row>
    <row r="397" spans="1:10" x14ac:dyDescent="0.3">
      <c r="A397">
        <v>1275590</v>
      </c>
      <c r="B397">
        <v>536045</v>
      </c>
      <c r="C397">
        <v>1006</v>
      </c>
      <c r="D397" s="1">
        <v>45404</v>
      </c>
      <c r="E397" s="1"/>
      <c r="F397" t="s">
        <v>3480</v>
      </c>
      <c r="G397" t="str">
        <f>IF(ISNA(_xlfn.XLOOKUP(subscriptions[[#This Row],[customer_id]], customers[customer_id], customers[customer_id])), "NO", "YES")</f>
        <v>YES</v>
      </c>
      <c r="H397">
        <f>IF(AND(subscriptions[[#This Row],[end_date]]&lt;&gt;"", subscriptions[[#This Row],[end_date]] &lt; subscriptions[[#This Row],[start_date]]), 1, 0)</f>
        <v>0</v>
      </c>
      <c r="I3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7">
        <f>IF(
  AND(subscriptions[[#This Row],[end_before_start]]=0, subscriptions[[#This Row],[status_end_mismatch]]=0),
  1,
  0
)</f>
        <v>1</v>
      </c>
    </row>
    <row r="398" spans="1:10" x14ac:dyDescent="0.3">
      <c r="A398">
        <v>2672723</v>
      </c>
      <c r="B398">
        <v>962050</v>
      </c>
      <c r="C398">
        <v>1009</v>
      </c>
      <c r="D398" s="1">
        <v>45471</v>
      </c>
      <c r="E398" s="1"/>
      <c r="F398" t="s">
        <v>3480</v>
      </c>
      <c r="G398" t="str">
        <f>IF(ISNA(_xlfn.XLOOKUP(subscriptions[[#This Row],[customer_id]], customers[customer_id], customers[customer_id])), "NO", "YES")</f>
        <v>YES</v>
      </c>
      <c r="H398">
        <f>IF(AND(subscriptions[[#This Row],[end_date]]&lt;&gt;"", subscriptions[[#This Row],[end_date]] &lt; subscriptions[[#This Row],[start_date]]), 1, 0)</f>
        <v>0</v>
      </c>
      <c r="I3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8">
        <f>IF(
  AND(subscriptions[[#This Row],[end_before_start]]=0, subscriptions[[#This Row],[status_end_mismatch]]=0),
  1,
  0
)</f>
        <v>1</v>
      </c>
    </row>
    <row r="399" spans="1:10" x14ac:dyDescent="0.3">
      <c r="A399">
        <v>1547533</v>
      </c>
      <c r="B399">
        <v>792282</v>
      </c>
      <c r="C399">
        <v>1001</v>
      </c>
      <c r="D399" s="1">
        <v>45155</v>
      </c>
      <c r="E399" s="1">
        <v>45293</v>
      </c>
      <c r="F399" t="s">
        <v>3479</v>
      </c>
      <c r="G399" t="str">
        <f>IF(ISNA(_xlfn.XLOOKUP(subscriptions[[#This Row],[customer_id]], customers[customer_id], customers[customer_id])), "NO", "YES")</f>
        <v>YES</v>
      </c>
      <c r="H399">
        <f>IF(AND(subscriptions[[#This Row],[end_date]]&lt;&gt;"", subscriptions[[#This Row],[end_date]] &lt; subscriptions[[#This Row],[start_date]]), 1, 0)</f>
        <v>0</v>
      </c>
      <c r="I3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399">
        <f>IF(
  AND(subscriptions[[#This Row],[end_before_start]]=0, subscriptions[[#This Row],[status_end_mismatch]]=0),
  1,
  0
)</f>
        <v>1</v>
      </c>
    </row>
    <row r="400" spans="1:10" x14ac:dyDescent="0.3">
      <c r="A400">
        <v>4739295</v>
      </c>
      <c r="B400">
        <v>608608</v>
      </c>
      <c r="C400">
        <v>1005</v>
      </c>
      <c r="D400" s="1">
        <v>45493</v>
      </c>
      <c r="E400" s="1"/>
      <c r="F400" t="s">
        <v>3480</v>
      </c>
      <c r="G400" t="str">
        <f>IF(ISNA(_xlfn.XLOOKUP(subscriptions[[#This Row],[customer_id]], customers[customer_id], customers[customer_id])), "NO", "YES")</f>
        <v>YES</v>
      </c>
      <c r="H400">
        <f>IF(AND(subscriptions[[#This Row],[end_date]]&lt;&gt;"", subscriptions[[#This Row],[end_date]] &lt; subscriptions[[#This Row],[start_date]]), 1, 0)</f>
        <v>0</v>
      </c>
      <c r="I4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0">
        <f>IF(
  AND(subscriptions[[#This Row],[end_before_start]]=0, subscriptions[[#This Row],[status_end_mismatch]]=0),
  1,
  0
)</f>
        <v>1</v>
      </c>
    </row>
    <row r="401" spans="1:10" x14ac:dyDescent="0.3">
      <c r="A401">
        <v>2921009</v>
      </c>
      <c r="B401">
        <v>487585</v>
      </c>
      <c r="C401">
        <v>1009</v>
      </c>
      <c r="D401" s="1">
        <v>44962</v>
      </c>
      <c r="E401" s="1">
        <v>45055</v>
      </c>
      <c r="F401" t="s">
        <v>3479</v>
      </c>
      <c r="G401" t="str">
        <f>IF(ISNA(_xlfn.XLOOKUP(subscriptions[[#This Row],[customer_id]], customers[customer_id], customers[customer_id])), "NO", "YES")</f>
        <v>YES</v>
      </c>
      <c r="H401">
        <f>IF(AND(subscriptions[[#This Row],[end_date]]&lt;&gt;"", subscriptions[[#This Row],[end_date]] &lt; subscriptions[[#This Row],[start_date]]), 1, 0)</f>
        <v>0</v>
      </c>
      <c r="I4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1">
        <f>IF(
  AND(subscriptions[[#This Row],[end_before_start]]=0, subscriptions[[#This Row],[status_end_mismatch]]=0),
  1,
  0
)</f>
        <v>1</v>
      </c>
    </row>
    <row r="402" spans="1:10" x14ac:dyDescent="0.3">
      <c r="A402">
        <v>6882321</v>
      </c>
      <c r="B402">
        <v>694116</v>
      </c>
      <c r="C402">
        <v>1002</v>
      </c>
      <c r="D402" s="1">
        <v>45512</v>
      </c>
      <c r="E402" s="1"/>
      <c r="F402" t="s">
        <v>3480</v>
      </c>
      <c r="G402" t="str">
        <f>IF(ISNA(_xlfn.XLOOKUP(subscriptions[[#This Row],[customer_id]], customers[customer_id], customers[customer_id])), "NO", "YES")</f>
        <v>YES</v>
      </c>
      <c r="H402">
        <f>IF(AND(subscriptions[[#This Row],[end_date]]&lt;&gt;"", subscriptions[[#This Row],[end_date]] &lt; subscriptions[[#This Row],[start_date]]), 1, 0)</f>
        <v>0</v>
      </c>
      <c r="I4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2">
        <f>IF(
  AND(subscriptions[[#This Row],[end_before_start]]=0, subscriptions[[#This Row],[status_end_mismatch]]=0),
  1,
  0
)</f>
        <v>1</v>
      </c>
    </row>
    <row r="403" spans="1:10" x14ac:dyDescent="0.3">
      <c r="A403">
        <v>7640565</v>
      </c>
      <c r="B403">
        <v>421709</v>
      </c>
      <c r="C403">
        <v>1007</v>
      </c>
      <c r="D403" s="1">
        <v>44577</v>
      </c>
      <c r="E403" s="1">
        <v>44721</v>
      </c>
      <c r="F403" t="s">
        <v>3479</v>
      </c>
      <c r="G403" t="str">
        <f>IF(ISNA(_xlfn.XLOOKUP(subscriptions[[#This Row],[customer_id]], customers[customer_id], customers[customer_id])), "NO", "YES")</f>
        <v>YES</v>
      </c>
      <c r="H403">
        <f>IF(AND(subscriptions[[#This Row],[end_date]]&lt;&gt;"", subscriptions[[#This Row],[end_date]] &lt; subscriptions[[#This Row],[start_date]]), 1, 0)</f>
        <v>0</v>
      </c>
      <c r="I4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3">
        <f>IF(
  AND(subscriptions[[#This Row],[end_before_start]]=0, subscriptions[[#This Row],[status_end_mismatch]]=0),
  1,
  0
)</f>
        <v>1</v>
      </c>
    </row>
    <row r="404" spans="1:10" x14ac:dyDescent="0.3">
      <c r="A404">
        <v>9515457</v>
      </c>
      <c r="B404">
        <v>534649</v>
      </c>
      <c r="C404">
        <v>1009</v>
      </c>
      <c r="D404" s="1">
        <v>45142</v>
      </c>
      <c r="E404" s="1"/>
      <c r="F404" t="s">
        <v>3480</v>
      </c>
      <c r="G404" t="str">
        <f>IF(ISNA(_xlfn.XLOOKUP(subscriptions[[#This Row],[customer_id]], customers[customer_id], customers[customer_id])), "NO", "YES")</f>
        <v>YES</v>
      </c>
      <c r="H404">
        <f>IF(AND(subscriptions[[#This Row],[end_date]]&lt;&gt;"", subscriptions[[#This Row],[end_date]] &lt; subscriptions[[#This Row],[start_date]]), 1, 0)</f>
        <v>0</v>
      </c>
      <c r="I4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4">
        <f>IF(
  AND(subscriptions[[#This Row],[end_before_start]]=0, subscriptions[[#This Row],[status_end_mismatch]]=0),
  1,
  0
)</f>
        <v>1</v>
      </c>
    </row>
    <row r="405" spans="1:10" x14ac:dyDescent="0.3">
      <c r="A405">
        <v>5437558</v>
      </c>
      <c r="B405">
        <v>114400</v>
      </c>
      <c r="C405">
        <v>1003</v>
      </c>
      <c r="D405" s="1">
        <v>45191</v>
      </c>
      <c r="E405" s="1">
        <v>45433</v>
      </c>
      <c r="F405" t="s">
        <v>3479</v>
      </c>
      <c r="G405" t="str">
        <f>IF(ISNA(_xlfn.XLOOKUP(subscriptions[[#This Row],[customer_id]], customers[customer_id], customers[customer_id])), "NO", "YES")</f>
        <v>YES</v>
      </c>
      <c r="H405">
        <f>IF(AND(subscriptions[[#This Row],[end_date]]&lt;&gt;"", subscriptions[[#This Row],[end_date]] &lt; subscriptions[[#This Row],[start_date]]), 1, 0)</f>
        <v>0</v>
      </c>
      <c r="I4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5">
        <f>IF(
  AND(subscriptions[[#This Row],[end_before_start]]=0, subscriptions[[#This Row],[status_end_mismatch]]=0),
  1,
  0
)</f>
        <v>1</v>
      </c>
    </row>
    <row r="406" spans="1:10" x14ac:dyDescent="0.3">
      <c r="A406">
        <v>5052611</v>
      </c>
      <c r="B406">
        <v>946335</v>
      </c>
      <c r="C406">
        <v>1009</v>
      </c>
      <c r="D406" s="1">
        <v>44570</v>
      </c>
      <c r="E406" s="1">
        <v>44812</v>
      </c>
      <c r="F406" t="s">
        <v>3479</v>
      </c>
      <c r="G406" t="str">
        <f>IF(ISNA(_xlfn.XLOOKUP(subscriptions[[#This Row],[customer_id]], customers[customer_id], customers[customer_id])), "NO", "YES")</f>
        <v>YES</v>
      </c>
      <c r="H406">
        <f>IF(AND(subscriptions[[#This Row],[end_date]]&lt;&gt;"", subscriptions[[#This Row],[end_date]] &lt; subscriptions[[#This Row],[start_date]]), 1, 0)</f>
        <v>0</v>
      </c>
      <c r="I4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6">
        <f>IF(
  AND(subscriptions[[#This Row],[end_before_start]]=0, subscriptions[[#This Row],[status_end_mismatch]]=0),
  1,
  0
)</f>
        <v>1</v>
      </c>
    </row>
    <row r="407" spans="1:10" x14ac:dyDescent="0.3">
      <c r="A407">
        <v>1548189</v>
      </c>
      <c r="B407">
        <v>980155</v>
      </c>
      <c r="C407">
        <v>1004</v>
      </c>
      <c r="D407" s="1">
        <v>44593</v>
      </c>
      <c r="E407" s="1"/>
      <c r="F407" t="s">
        <v>3480</v>
      </c>
      <c r="G407" t="str">
        <f>IF(ISNA(_xlfn.XLOOKUP(subscriptions[[#This Row],[customer_id]], customers[customer_id], customers[customer_id])), "NO", "YES")</f>
        <v>YES</v>
      </c>
      <c r="H407">
        <f>IF(AND(subscriptions[[#This Row],[end_date]]&lt;&gt;"", subscriptions[[#This Row],[end_date]] &lt; subscriptions[[#This Row],[start_date]]), 1, 0)</f>
        <v>0</v>
      </c>
      <c r="I4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7">
        <f>IF(
  AND(subscriptions[[#This Row],[end_before_start]]=0, subscriptions[[#This Row],[status_end_mismatch]]=0),
  1,
  0
)</f>
        <v>1</v>
      </c>
    </row>
    <row r="408" spans="1:10" x14ac:dyDescent="0.3">
      <c r="A408">
        <v>7281485</v>
      </c>
      <c r="B408">
        <v>991215</v>
      </c>
      <c r="C408">
        <v>1000</v>
      </c>
      <c r="D408" s="1">
        <v>45212</v>
      </c>
      <c r="E408" s="1"/>
      <c r="F408" t="s">
        <v>3480</v>
      </c>
      <c r="G408" t="str">
        <f>IF(ISNA(_xlfn.XLOOKUP(subscriptions[[#This Row],[customer_id]], customers[customer_id], customers[customer_id])), "NO", "YES")</f>
        <v>YES</v>
      </c>
      <c r="H408">
        <f>IF(AND(subscriptions[[#This Row],[end_date]]&lt;&gt;"", subscriptions[[#This Row],[end_date]] &lt; subscriptions[[#This Row],[start_date]]), 1, 0)</f>
        <v>0</v>
      </c>
      <c r="I4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8">
        <f>IF(
  AND(subscriptions[[#This Row],[end_before_start]]=0, subscriptions[[#This Row],[status_end_mismatch]]=0),
  1,
  0
)</f>
        <v>1</v>
      </c>
    </row>
    <row r="409" spans="1:10" x14ac:dyDescent="0.3">
      <c r="A409">
        <v>8214533</v>
      </c>
      <c r="B409">
        <v>109767</v>
      </c>
      <c r="C409">
        <v>1000</v>
      </c>
      <c r="D409" s="1">
        <v>45057</v>
      </c>
      <c r="E409" s="1"/>
      <c r="F409" t="s">
        <v>3480</v>
      </c>
      <c r="G409" t="str">
        <f>IF(ISNA(_xlfn.XLOOKUP(subscriptions[[#This Row],[customer_id]], customers[customer_id], customers[customer_id])), "NO", "YES")</f>
        <v>YES</v>
      </c>
      <c r="H409">
        <f>IF(AND(subscriptions[[#This Row],[end_date]]&lt;&gt;"", subscriptions[[#This Row],[end_date]] &lt; subscriptions[[#This Row],[start_date]]), 1, 0)</f>
        <v>0</v>
      </c>
      <c r="I4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09">
        <f>IF(
  AND(subscriptions[[#This Row],[end_before_start]]=0, subscriptions[[#This Row],[status_end_mismatch]]=0),
  1,
  0
)</f>
        <v>1</v>
      </c>
    </row>
    <row r="410" spans="1:10" x14ac:dyDescent="0.3">
      <c r="A410">
        <v>7565971</v>
      </c>
      <c r="B410">
        <v>688933</v>
      </c>
      <c r="C410">
        <v>1001</v>
      </c>
      <c r="D410" s="1">
        <v>44956</v>
      </c>
      <c r="E410" s="1">
        <v>45187</v>
      </c>
      <c r="F410" t="s">
        <v>3479</v>
      </c>
      <c r="G410" t="str">
        <f>IF(ISNA(_xlfn.XLOOKUP(subscriptions[[#This Row],[customer_id]], customers[customer_id], customers[customer_id])), "NO", "YES")</f>
        <v>YES</v>
      </c>
      <c r="H410">
        <f>IF(AND(subscriptions[[#This Row],[end_date]]&lt;&gt;"", subscriptions[[#This Row],[end_date]] &lt; subscriptions[[#This Row],[start_date]]), 1, 0)</f>
        <v>0</v>
      </c>
      <c r="I4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0">
        <f>IF(
  AND(subscriptions[[#This Row],[end_before_start]]=0, subscriptions[[#This Row],[status_end_mismatch]]=0),
  1,
  0
)</f>
        <v>1</v>
      </c>
    </row>
    <row r="411" spans="1:10" x14ac:dyDescent="0.3">
      <c r="A411">
        <v>1865385</v>
      </c>
      <c r="B411">
        <v>909859</v>
      </c>
      <c r="C411">
        <v>1008</v>
      </c>
      <c r="D411" s="1">
        <v>45440</v>
      </c>
      <c r="E411" s="1"/>
      <c r="F411" t="s">
        <v>3480</v>
      </c>
      <c r="G411" t="str">
        <f>IF(ISNA(_xlfn.XLOOKUP(subscriptions[[#This Row],[customer_id]], customers[customer_id], customers[customer_id])), "NO", "YES")</f>
        <v>YES</v>
      </c>
      <c r="H411">
        <f>IF(AND(subscriptions[[#This Row],[end_date]]&lt;&gt;"", subscriptions[[#This Row],[end_date]] &lt; subscriptions[[#This Row],[start_date]]), 1, 0)</f>
        <v>0</v>
      </c>
      <c r="I4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1">
        <f>IF(
  AND(subscriptions[[#This Row],[end_before_start]]=0, subscriptions[[#This Row],[status_end_mismatch]]=0),
  1,
  0
)</f>
        <v>1</v>
      </c>
    </row>
    <row r="412" spans="1:10" x14ac:dyDescent="0.3">
      <c r="A412">
        <v>7550021</v>
      </c>
      <c r="B412">
        <v>431414</v>
      </c>
      <c r="C412">
        <v>1001</v>
      </c>
      <c r="D412" s="1">
        <v>44917</v>
      </c>
      <c r="E412" s="1"/>
      <c r="F412" t="s">
        <v>3480</v>
      </c>
      <c r="G412" t="str">
        <f>IF(ISNA(_xlfn.XLOOKUP(subscriptions[[#This Row],[customer_id]], customers[customer_id], customers[customer_id])), "NO", "YES")</f>
        <v>YES</v>
      </c>
      <c r="H412">
        <f>IF(AND(subscriptions[[#This Row],[end_date]]&lt;&gt;"", subscriptions[[#This Row],[end_date]] &lt; subscriptions[[#This Row],[start_date]]), 1, 0)</f>
        <v>0</v>
      </c>
      <c r="I4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2">
        <f>IF(
  AND(subscriptions[[#This Row],[end_before_start]]=0, subscriptions[[#This Row],[status_end_mismatch]]=0),
  1,
  0
)</f>
        <v>1</v>
      </c>
    </row>
    <row r="413" spans="1:10" x14ac:dyDescent="0.3">
      <c r="A413">
        <v>6337250</v>
      </c>
      <c r="B413">
        <v>517821</v>
      </c>
      <c r="C413">
        <v>1000</v>
      </c>
      <c r="D413" s="1">
        <v>44886</v>
      </c>
      <c r="E413" s="1"/>
      <c r="F413" t="s">
        <v>3480</v>
      </c>
      <c r="G413" t="str">
        <f>IF(ISNA(_xlfn.XLOOKUP(subscriptions[[#This Row],[customer_id]], customers[customer_id], customers[customer_id])), "NO", "YES")</f>
        <v>YES</v>
      </c>
      <c r="H413">
        <f>IF(AND(subscriptions[[#This Row],[end_date]]&lt;&gt;"", subscriptions[[#This Row],[end_date]] &lt; subscriptions[[#This Row],[start_date]]), 1, 0)</f>
        <v>0</v>
      </c>
      <c r="I4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3">
        <f>IF(
  AND(subscriptions[[#This Row],[end_before_start]]=0, subscriptions[[#This Row],[status_end_mismatch]]=0),
  1,
  0
)</f>
        <v>1</v>
      </c>
    </row>
    <row r="414" spans="1:10" x14ac:dyDescent="0.3">
      <c r="A414">
        <v>2670640</v>
      </c>
      <c r="B414">
        <v>130557</v>
      </c>
      <c r="C414">
        <v>1005</v>
      </c>
      <c r="D414" s="1">
        <v>44820</v>
      </c>
      <c r="E414" s="1"/>
      <c r="F414" t="s">
        <v>3480</v>
      </c>
      <c r="G414" t="str">
        <f>IF(ISNA(_xlfn.XLOOKUP(subscriptions[[#This Row],[customer_id]], customers[customer_id], customers[customer_id])), "NO", "YES")</f>
        <v>YES</v>
      </c>
      <c r="H414">
        <f>IF(AND(subscriptions[[#This Row],[end_date]]&lt;&gt;"", subscriptions[[#This Row],[end_date]] &lt; subscriptions[[#This Row],[start_date]]), 1, 0)</f>
        <v>0</v>
      </c>
      <c r="I4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4">
        <f>IF(
  AND(subscriptions[[#This Row],[end_before_start]]=0, subscriptions[[#This Row],[status_end_mismatch]]=0),
  1,
  0
)</f>
        <v>1</v>
      </c>
    </row>
    <row r="415" spans="1:10" x14ac:dyDescent="0.3">
      <c r="A415">
        <v>7576872</v>
      </c>
      <c r="B415">
        <v>319869</v>
      </c>
      <c r="C415">
        <v>1000</v>
      </c>
      <c r="D415" s="1">
        <v>45094</v>
      </c>
      <c r="E415" s="1">
        <v>45205</v>
      </c>
      <c r="F415" t="s">
        <v>3479</v>
      </c>
      <c r="G415" t="str">
        <f>IF(ISNA(_xlfn.XLOOKUP(subscriptions[[#This Row],[customer_id]], customers[customer_id], customers[customer_id])), "NO", "YES")</f>
        <v>YES</v>
      </c>
      <c r="H415">
        <f>IF(AND(subscriptions[[#This Row],[end_date]]&lt;&gt;"", subscriptions[[#This Row],[end_date]] &lt; subscriptions[[#This Row],[start_date]]), 1, 0)</f>
        <v>0</v>
      </c>
      <c r="I4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5">
        <f>IF(
  AND(subscriptions[[#This Row],[end_before_start]]=0, subscriptions[[#This Row],[status_end_mismatch]]=0),
  1,
  0
)</f>
        <v>1</v>
      </c>
    </row>
    <row r="416" spans="1:10" x14ac:dyDescent="0.3">
      <c r="A416">
        <v>6409052</v>
      </c>
      <c r="B416">
        <v>774079</v>
      </c>
      <c r="C416">
        <v>1006</v>
      </c>
      <c r="D416" s="1">
        <v>44979</v>
      </c>
      <c r="E416" s="1"/>
      <c r="F416" t="s">
        <v>3480</v>
      </c>
      <c r="G416" t="str">
        <f>IF(ISNA(_xlfn.XLOOKUP(subscriptions[[#This Row],[customer_id]], customers[customer_id], customers[customer_id])), "NO", "YES")</f>
        <v>YES</v>
      </c>
      <c r="H416">
        <f>IF(AND(subscriptions[[#This Row],[end_date]]&lt;&gt;"", subscriptions[[#This Row],[end_date]] &lt; subscriptions[[#This Row],[start_date]]), 1, 0)</f>
        <v>0</v>
      </c>
      <c r="I4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6">
        <f>IF(
  AND(subscriptions[[#This Row],[end_before_start]]=0, subscriptions[[#This Row],[status_end_mismatch]]=0),
  1,
  0
)</f>
        <v>1</v>
      </c>
    </row>
    <row r="417" spans="1:10" x14ac:dyDescent="0.3">
      <c r="A417">
        <v>1430171</v>
      </c>
      <c r="B417">
        <v>648887</v>
      </c>
      <c r="C417">
        <v>1008</v>
      </c>
      <c r="D417" s="1">
        <v>45457</v>
      </c>
      <c r="E417" s="1"/>
      <c r="F417" t="s">
        <v>3480</v>
      </c>
      <c r="G417" t="str">
        <f>IF(ISNA(_xlfn.XLOOKUP(subscriptions[[#This Row],[customer_id]], customers[customer_id], customers[customer_id])), "NO", "YES")</f>
        <v>YES</v>
      </c>
      <c r="H417">
        <f>IF(AND(subscriptions[[#This Row],[end_date]]&lt;&gt;"", subscriptions[[#This Row],[end_date]] &lt; subscriptions[[#This Row],[start_date]]), 1, 0)</f>
        <v>0</v>
      </c>
      <c r="I4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7">
        <f>IF(
  AND(subscriptions[[#This Row],[end_before_start]]=0, subscriptions[[#This Row],[status_end_mismatch]]=0),
  1,
  0
)</f>
        <v>1</v>
      </c>
    </row>
    <row r="418" spans="1:10" x14ac:dyDescent="0.3">
      <c r="A418">
        <v>3567729</v>
      </c>
      <c r="B418">
        <v>989545</v>
      </c>
      <c r="C418">
        <v>1004</v>
      </c>
      <c r="D418" s="1">
        <v>44618</v>
      </c>
      <c r="E418" s="1">
        <v>44926</v>
      </c>
      <c r="F418" t="s">
        <v>3479</v>
      </c>
      <c r="G418" t="str">
        <f>IF(ISNA(_xlfn.XLOOKUP(subscriptions[[#This Row],[customer_id]], customers[customer_id], customers[customer_id])), "NO", "YES")</f>
        <v>YES</v>
      </c>
      <c r="H418">
        <f>IF(AND(subscriptions[[#This Row],[end_date]]&lt;&gt;"", subscriptions[[#This Row],[end_date]] &lt; subscriptions[[#This Row],[start_date]]), 1, 0)</f>
        <v>0</v>
      </c>
      <c r="I4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8">
        <f>IF(
  AND(subscriptions[[#This Row],[end_before_start]]=0, subscriptions[[#This Row],[status_end_mismatch]]=0),
  1,
  0
)</f>
        <v>1</v>
      </c>
    </row>
    <row r="419" spans="1:10" x14ac:dyDescent="0.3">
      <c r="A419">
        <v>2321583</v>
      </c>
      <c r="B419">
        <v>468154</v>
      </c>
      <c r="C419">
        <v>1000</v>
      </c>
      <c r="D419" s="1">
        <v>45345</v>
      </c>
      <c r="E419" s="1"/>
      <c r="F419" t="s">
        <v>3480</v>
      </c>
      <c r="G419" t="str">
        <f>IF(ISNA(_xlfn.XLOOKUP(subscriptions[[#This Row],[customer_id]], customers[customer_id], customers[customer_id])), "NO", "YES")</f>
        <v>YES</v>
      </c>
      <c r="H419">
        <f>IF(AND(subscriptions[[#This Row],[end_date]]&lt;&gt;"", subscriptions[[#This Row],[end_date]] &lt; subscriptions[[#This Row],[start_date]]), 1, 0)</f>
        <v>0</v>
      </c>
      <c r="I4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19">
        <f>IF(
  AND(subscriptions[[#This Row],[end_before_start]]=0, subscriptions[[#This Row],[status_end_mismatch]]=0),
  1,
  0
)</f>
        <v>1</v>
      </c>
    </row>
    <row r="420" spans="1:10" x14ac:dyDescent="0.3">
      <c r="A420">
        <v>3190232</v>
      </c>
      <c r="B420">
        <v>458521</v>
      </c>
      <c r="C420">
        <v>1005</v>
      </c>
      <c r="D420" s="1">
        <v>45491</v>
      </c>
      <c r="E420" s="1">
        <v>45652</v>
      </c>
      <c r="F420" t="s">
        <v>3479</v>
      </c>
      <c r="G420" t="str">
        <f>IF(ISNA(_xlfn.XLOOKUP(subscriptions[[#This Row],[customer_id]], customers[customer_id], customers[customer_id])), "NO", "YES")</f>
        <v>YES</v>
      </c>
      <c r="H420">
        <f>IF(AND(subscriptions[[#This Row],[end_date]]&lt;&gt;"", subscriptions[[#This Row],[end_date]] &lt; subscriptions[[#This Row],[start_date]]), 1, 0)</f>
        <v>0</v>
      </c>
      <c r="I4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0">
        <f>IF(
  AND(subscriptions[[#This Row],[end_before_start]]=0, subscriptions[[#This Row],[status_end_mismatch]]=0),
  1,
  0
)</f>
        <v>1</v>
      </c>
    </row>
    <row r="421" spans="1:10" x14ac:dyDescent="0.3">
      <c r="A421">
        <v>5021865</v>
      </c>
      <c r="B421">
        <v>196214</v>
      </c>
      <c r="C421">
        <v>1002</v>
      </c>
      <c r="D421" s="1">
        <v>45016</v>
      </c>
      <c r="E421" s="1"/>
      <c r="F421" t="s">
        <v>3480</v>
      </c>
      <c r="G421" t="str">
        <f>IF(ISNA(_xlfn.XLOOKUP(subscriptions[[#This Row],[customer_id]], customers[customer_id], customers[customer_id])), "NO", "YES")</f>
        <v>YES</v>
      </c>
      <c r="H421">
        <f>IF(AND(subscriptions[[#This Row],[end_date]]&lt;&gt;"", subscriptions[[#This Row],[end_date]] &lt; subscriptions[[#This Row],[start_date]]), 1, 0)</f>
        <v>0</v>
      </c>
      <c r="I4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1">
        <f>IF(
  AND(subscriptions[[#This Row],[end_before_start]]=0, subscriptions[[#This Row],[status_end_mismatch]]=0),
  1,
  0
)</f>
        <v>1</v>
      </c>
    </row>
    <row r="422" spans="1:10" x14ac:dyDescent="0.3">
      <c r="A422">
        <v>9982810</v>
      </c>
      <c r="B422">
        <v>226460</v>
      </c>
      <c r="C422">
        <v>1008</v>
      </c>
      <c r="D422" s="1">
        <v>45064</v>
      </c>
      <c r="E422" s="1">
        <v>45287</v>
      </c>
      <c r="F422" t="s">
        <v>3479</v>
      </c>
      <c r="G422" t="str">
        <f>IF(ISNA(_xlfn.XLOOKUP(subscriptions[[#This Row],[customer_id]], customers[customer_id], customers[customer_id])), "NO", "YES")</f>
        <v>YES</v>
      </c>
      <c r="H422">
        <f>IF(AND(subscriptions[[#This Row],[end_date]]&lt;&gt;"", subscriptions[[#This Row],[end_date]] &lt; subscriptions[[#This Row],[start_date]]), 1, 0)</f>
        <v>0</v>
      </c>
      <c r="I4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2">
        <f>IF(
  AND(subscriptions[[#This Row],[end_before_start]]=0, subscriptions[[#This Row],[status_end_mismatch]]=0),
  1,
  0
)</f>
        <v>1</v>
      </c>
    </row>
    <row r="423" spans="1:10" x14ac:dyDescent="0.3">
      <c r="A423">
        <v>5370124</v>
      </c>
      <c r="B423">
        <v>591699</v>
      </c>
      <c r="C423">
        <v>1001</v>
      </c>
      <c r="D423" s="1">
        <v>44667</v>
      </c>
      <c r="E423" s="1"/>
      <c r="F423" t="s">
        <v>3480</v>
      </c>
      <c r="G423" t="str">
        <f>IF(ISNA(_xlfn.XLOOKUP(subscriptions[[#This Row],[customer_id]], customers[customer_id], customers[customer_id])), "NO", "YES")</f>
        <v>YES</v>
      </c>
      <c r="H423">
        <f>IF(AND(subscriptions[[#This Row],[end_date]]&lt;&gt;"", subscriptions[[#This Row],[end_date]] &lt; subscriptions[[#This Row],[start_date]]), 1, 0)</f>
        <v>0</v>
      </c>
      <c r="I4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3">
        <f>IF(
  AND(subscriptions[[#This Row],[end_before_start]]=0, subscriptions[[#This Row],[status_end_mismatch]]=0),
  1,
  0
)</f>
        <v>1</v>
      </c>
    </row>
    <row r="424" spans="1:10" x14ac:dyDescent="0.3">
      <c r="A424">
        <v>3412052</v>
      </c>
      <c r="B424">
        <v>560823</v>
      </c>
      <c r="C424">
        <v>1002</v>
      </c>
      <c r="D424" s="1">
        <v>44609</v>
      </c>
      <c r="E424" s="1">
        <v>44935</v>
      </c>
      <c r="F424" t="s">
        <v>3479</v>
      </c>
      <c r="G424" t="str">
        <f>IF(ISNA(_xlfn.XLOOKUP(subscriptions[[#This Row],[customer_id]], customers[customer_id], customers[customer_id])), "NO", "YES")</f>
        <v>YES</v>
      </c>
      <c r="H424">
        <f>IF(AND(subscriptions[[#This Row],[end_date]]&lt;&gt;"", subscriptions[[#This Row],[end_date]] &lt; subscriptions[[#This Row],[start_date]]), 1, 0)</f>
        <v>0</v>
      </c>
      <c r="I4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4">
        <f>IF(
  AND(subscriptions[[#This Row],[end_before_start]]=0, subscriptions[[#This Row],[status_end_mismatch]]=0),
  1,
  0
)</f>
        <v>1</v>
      </c>
    </row>
    <row r="425" spans="1:10" x14ac:dyDescent="0.3">
      <c r="A425">
        <v>2735086</v>
      </c>
      <c r="B425">
        <v>138780</v>
      </c>
      <c r="C425">
        <v>1003</v>
      </c>
      <c r="D425" s="1">
        <v>44789</v>
      </c>
      <c r="E425" s="1"/>
      <c r="F425" t="s">
        <v>3480</v>
      </c>
      <c r="G425" t="str">
        <f>IF(ISNA(_xlfn.XLOOKUP(subscriptions[[#This Row],[customer_id]], customers[customer_id], customers[customer_id])), "NO", "YES")</f>
        <v>YES</v>
      </c>
      <c r="H425">
        <f>IF(AND(subscriptions[[#This Row],[end_date]]&lt;&gt;"", subscriptions[[#This Row],[end_date]] &lt; subscriptions[[#This Row],[start_date]]), 1, 0)</f>
        <v>0</v>
      </c>
      <c r="I4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5">
        <f>IF(
  AND(subscriptions[[#This Row],[end_before_start]]=0, subscriptions[[#This Row],[status_end_mismatch]]=0),
  1,
  0
)</f>
        <v>1</v>
      </c>
    </row>
    <row r="426" spans="1:10" x14ac:dyDescent="0.3">
      <c r="A426">
        <v>3058301</v>
      </c>
      <c r="B426">
        <v>342397</v>
      </c>
      <c r="C426">
        <v>1001</v>
      </c>
      <c r="D426" s="1">
        <v>44781</v>
      </c>
      <c r="E426" s="1"/>
      <c r="F426" t="s">
        <v>3480</v>
      </c>
      <c r="G426" t="str">
        <f>IF(ISNA(_xlfn.XLOOKUP(subscriptions[[#This Row],[customer_id]], customers[customer_id], customers[customer_id])), "NO", "YES")</f>
        <v>YES</v>
      </c>
      <c r="H426">
        <f>IF(AND(subscriptions[[#This Row],[end_date]]&lt;&gt;"", subscriptions[[#This Row],[end_date]] &lt; subscriptions[[#This Row],[start_date]]), 1, 0)</f>
        <v>0</v>
      </c>
      <c r="I4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6">
        <f>IF(
  AND(subscriptions[[#This Row],[end_before_start]]=0, subscriptions[[#This Row],[status_end_mismatch]]=0),
  1,
  0
)</f>
        <v>1</v>
      </c>
    </row>
    <row r="427" spans="1:10" x14ac:dyDescent="0.3">
      <c r="A427">
        <v>5395541</v>
      </c>
      <c r="B427">
        <v>556112</v>
      </c>
      <c r="C427">
        <v>1003</v>
      </c>
      <c r="D427" s="1">
        <v>44931</v>
      </c>
      <c r="E427" s="1"/>
      <c r="F427" t="s">
        <v>3480</v>
      </c>
      <c r="G427" t="str">
        <f>IF(ISNA(_xlfn.XLOOKUP(subscriptions[[#This Row],[customer_id]], customers[customer_id], customers[customer_id])), "NO", "YES")</f>
        <v>YES</v>
      </c>
      <c r="H427">
        <f>IF(AND(subscriptions[[#This Row],[end_date]]&lt;&gt;"", subscriptions[[#This Row],[end_date]] &lt; subscriptions[[#This Row],[start_date]]), 1, 0)</f>
        <v>0</v>
      </c>
      <c r="I4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7">
        <f>IF(
  AND(subscriptions[[#This Row],[end_before_start]]=0, subscriptions[[#This Row],[status_end_mismatch]]=0),
  1,
  0
)</f>
        <v>1</v>
      </c>
    </row>
    <row r="428" spans="1:10" x14ac:dyDescent="0.3">
      <c r="A428">
        <v>9292055</v>
      </c>
      <c r="B428">
        <v>840719</v>
      </c>
      <c r="C428">
        <v>1004</v>
      </c>
      <c r="D428" s="1">
        <v>45302</v>
      </c>
      <c r="E428" s="1">
        <v>45438</v>
      </c>
      <c r="F428" t="s">
        <v>3479</v>
      </c>
      <c r="G428" t="str">
        <f>IF(ISNA(_xlfn.XLOOKUP(subscriptions[[#This Row],[customer_id]], customers[customer_id], customers[customer_id])), "NO", "YES")</f>
        <v>YES</v>
      </c>
      <c r="H428">
        <f>IF(AND(subscriptions[[#This Row],[end_date]]&lt;&gt;"", subscriptions[[#This Row],[end_date]] &lt; subscriptions[[#This Row],[start_date]]), 1, 0)</f>
        <v>0</v>
      </c>
      <c r="I4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8">
        <f>IF(
  AND(subscriptions[[#This Row],[end_before_start]]=0, subscriptions[[#This Row],[status_end_mismatch]]=0),
  1,
  0
)</f>
        <v>1</v>
      </c>
    </row>
    <row r="429" spans="1:10" x14ac:dyDescent="0.3">
      <c r="A429">
        <v>7556539</v>
      </c>
      <c r="B429">
        <v>951201</v>
      </c>
      <c r="C429">
        <v>1005</v>
      </c>
      <c r="D429" s="1">
        <v>44768</v>
      </c>
      <c r="E429" s="1"/>
      <c r="F429" t="s">
        <v>3480</v>
      </c>
      <c r="G429" t="str">
        <f>IF(ISNA(_xlfn.XLOOKUP(subscriptions[[#This Row],[customer_id]], customers[customer_id], customers[customer_id])), "NO", "YES")</f>
        <v>YES</v>
      </c>
      <c r="H429">
        <f>IF(AND(subscriptions[[#This Row],[end_date]]&lt;&gt;"", subscriptions[[#This Row],[end_date]] &lt; subscriptions[[#This Row],[start_date]]), 1, 0)</f>
        <v>0</v>
      </c>
      <c r="I4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29">
        <f>IF(
  AND(subscriptions[[#This Row],[end_before_start]]=0, subscriptions[[#This Row],[status_end_mismatch]]=0),
  1,
  0
)</f>
        <v>1</v>
      </c>
    </row>
    <row r="430" spans="1:10" x14ac:dyDescent="0.3">
      <c r="A430">
        <v>1368376</v>
      </c>
      <c r="B430">
        <v>962253</v>
      </c>
      <c r="C430">
        <v>1002</v>
      </c>
      <c r="D430" s="1">
        <v>45409</v>
      </c>
      <c r="E430" s="1"/>
      <c r="F430" t="s">
        <v>3480</v>
      </c>
      <c r="G430" t="str">
        <f>IF(ISNA(_xlfn.XLOOKUP(subscriptions[[#This Row],[customer_id]], customers[customer_id], customers[customer_id])), "NO", "YES")</f>
        <v>YES</v>
      </c>
      <c r="H430">
        <f>IF(AND(subscriptions[[#This Row],[end_date]]&lt;&gt;"", subscriptions[[#This Row],[end_date]] &lt; subscriptions[[#This Row],[start_date]]), 1, 0)</f>
        <v>0</v>
      </c>
      <c r="I4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0">
        <f>IF(
  AND(subscriptions[[#This Row],[end_before_start]]=0, subscriptions[[#This Row],[status_end_mismatch]]=0),
  1,
  0
)</f>
        <v>1</v>
      </c>
    </row>
    <row r="431" spans="1:10" x14ac:dyDescent="0.3">
      <c r="A431">
        <v>2280314</v>
      </c>
      <c r="B431">
        <v>398910</v>
      </c>
      <c r="C431">
        <v>1000</v>
      </c>
      <c r="D431" s="1">
        <v>44992</v>
      </c>
      <c r="E431" s="1">
        <v>45214</v>
      </c>
      <c r="F431" t="s">
        <v>3479</v>
      </c>
      <c r="G431" t="str">
        <f>IF(ISNA(_xlfn.XLOOKUP(subscriptions[[#This Row],[customer_id]], customers[customer_id], customers[customer_id])), "NO", "YES")</f>
        <v>YES</v>
      </c>
      <c r="H431">
        <f>IF(AND(subscriptions[[#This Row],[end_date]]&lt;&gt;"", subscriptions[[#This Row],[end_date]] &lt; subscriptions[[#This Row],[start_date]]), 1, 0)</f>
        <v>0</v>
      </c>
      <c r="I4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1">
        <f>IF(
  AND(subscriptions[[#This Row],[end_before_start]]=0, subscriptions[[#This Row],[status_end_mismatch]]=0),
  1,
  0
)</f>
        <v>1</v>
      </c>
    </row>
    <row r="432" spans="1:10" x14ac:dyDescent="0.3">
      <c r="A432">
        <v>6261082</v>
      </c>
      <c r="B432">
        <v>927094</v>
      </c>
      <c r="C432">
        <v>1005</v>
      </c>
      <c r="D432" s="1">
        <v>45485</v>
      </c>
      <c r="E432" s="1">
        <v>45607</v>
      </c>
      <c r="F432" t="s">
        <v>3479</v>
      </c>
      <c r="G432" t="str">
        <f>IF(ISNA(_xlfn.XLOOKUP(subscriptions[[#This Row],[customer_id]], customers[customer_id], customers[customer_id])), "NO", "YES")</f>
        <v>YES</v>
      </c>
      <c r="H432">
        <f>IF(AND(subscriptions[[#This Row],[end_date]]&lt;&gt;"", subscriptions[[#This Row],[end_date]] &lt; subscriptions[[#This Row],[start_date]]), 1, 0)</f>
        <v>0</v>
      </c>
      <c r="I4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2">
        <f>IF(
  AND(subscriptions[[#This Row],[end_before_start]]=0, subscriptions[[#This Row],[status_end_mismatch]]=0),
  1,
  0
)</f>
        <v>1</v>
      </c>
    </row>
    <row r="433" spans="1:10" x14ac:dyDescent="0.3">
      <c r="A433">
        <v>6012276</v>
      </c>
      <c r="B433">
        <v>572623</v>
      </c>
      <c r="C433">
        <v>1008</v>
      </c>
      <c r="D433" s="1">
        <v>44582</v>
      </c>
      <c r="E433" s="1">
        <v>44949</v>
      </c>
      <c r="F433" t="s">
        <v>3479</v>
      </c>
      <c r="G433" t="str">
        <f>IF(ISNA(_xlfn.XLOOKUP(subscriptions[[#This Row],[customer_id]], customers[customer_id], customers[customer_id])), "NO", "YES")</f>
        <v>YES</v>
      </c>
      <c r="H433">
        <f>IF(AND(subscriptions[[#This Row],[end_date]]&lt;&gt;"", subscriptions[[#This Row],[end_date]] &lt; subscriptions[[#This Row],[start_date]]), 1, 0)</f>
        <v>0</v>
      </c>
      <c r="I4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3">
        <f>IF(
  AND(subscriptions[[#This Row],[end_before_start]]=0, subscriptions[[#This Row],[status_end_mismatch]]=0),
  1,
  0
)</f>
        <v>1</v>
      </c>
    </row>
    <row r="434" spans="1:10" x14ac:dyDescent="0.3">
      <c r="A434">
        <v>1527651</v>
      </c>
      <c r="B434">
        <v>682667</v>
      </c>
      <c r="C434">
        <v>1008</v>
      </c>
      <c r="D434" s="1">
        <v>44802</v>
      </c>
      <c r="E434" s="1">
        <v>45009</v>
      </c>
      <c r="F434" t="s">
        <v>3479</v>
      </c>
      <c r="G434" t="str">
        <f>IF(ISNA(_xlfn.XLOOKUP(subscriptions[[#This Row],[customer_id]], customers[customer_id], customers[customer_id])), "NO", "YES")</f>
        <v>YES</v>
      </c>
      <c r="H434">
        <f>IF(AND(subscriptions[[#This Row],[end_date]]&lt;&gt;"", subscriptions[[#This Row],[end_date]] &lt; subscriptions[[#This Row],[start_date]]), 1, 0)</f>
        <v>0</v>
      </c>
      <c r="I4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4">
        <f>IF(
  AND(subscriptions[[#This Row],[end_before_start]]=0, subscriptions[[#This Row],[status_end_mismatch]]=0),
  1,
  0
)</f>
        <v>1</v>
      </c>
    </row>
    <row r="435" spans="1:10" x14ac:dyDescent="0.3">
      <c r="A435">
        <v>9118679</v>
      </c>
      <c r="B435">
        <v>279130</v>
      </c>
      <c r="C435">
        <v>1000</v>
      </c>
      <c r="D435" s="1">
        <v>44572</v>
      </c>
      <c r="E435" s="1"/>
      <c r="F435" t="s">
        <v>3480</v>
      </c>
      <c r="G435" t="str">
        <f>IF(ISNA(_xlfn.XLOOKUP(subscriptions[[#This Row],[customer_id]], customers[customer_id], customers[customer_id])), "NO", "YES")</f>
        <v>YES</v>
      </c>
      <c r="H435">
        <f>IF(AND(subscriptions[[#This Row],[end_date]]&lt;&gt;"", subscriptions[[#This Row],[end_date]] &lt; subscriptions[[#This Row],[start_date]]), 1, 0)</f>
        <v>0</v>
      </c>
      <c r="I4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5">
        <f>IF(
  AND(subscriptions[[#This Row],[end_before_start]]=0, subscriptions[[#This Row],[status_end_mismatch]]=0),
  1,
  0
)</f>
        <v>1</v>
      </c>
    </row>
    <row r="436" spans="1:10" x14ac:dyDescent="0.3">
      <c r="A436">
        <v>5269818</v>
      </c>
      <c r="B436">
        <v>509593</v>
      </c>
      <c r="C436">
        <v>1004</v>
      </c>
      <c r="D436" s="1">
        <v>44811</v>
      </c>
      <c r="E436" s="1"/>
      <c r="F436" t="s">
        <v>3480</v>
      </c>
      <c r="G436" t="str">
        <f>IF(ISNA(_xlfn.XLOOKUP(subscriptions[[#This Row],[customer_id]], customers[customer_id], customers[customer_id])), "NO", "YES")</f>
        <v>YES</v>
      </c>
      <c r="H436">
        <f>IF(AND(subscriptions[[#This Row],[end_date]]&lt;&gt;"", subscriptions[[#This Row],[end_date]] &lt; subscriptions[[#This Row],[start_date]]), 1, 0)</f>
        <v>0</v>
      </c>
      <c r="I4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6">
        <f>IF(
  AND(subscriptions[[#This Row],[end_before_start]]=0, subscriptions[[#This Row],[status_end_mismatch]]=0),
  1,
  0
)</f>
        <v>1</v>
      </c>
    </row>
    <row r="437" spans="1:10" x14ac:dyDescent="0.3">
      <c r="A437">
        <v>1495854</v>
      </c>
      <c r="B437">
        <v>522866</v>
      </c>
      <c r="C437">
        <v>1008</v>
      </c>
      <c r="D437" s="1">
        <v>44609</v>
      </c>
      <c r="E437" s="1"/>
      <c r="F437" t="s">
        <v>3480</v>
      </c>
      <c r="G437" t="str">
        <f>IF(ISNA(_xlfn.XLOOKUP(subscriptions[[#This Row],[customer_id]], customers[customer_id], customers[customer_id])), "NO", "YES")</f>
        <v>YES</v>
      </c>
      <c r="H437">
        <f>IF(AND(subscriptions[[#This Row],[end_date]]&lt;&gt;"", subscriptions[[#This Row],[end_date]] &lt; subscriptions[[#This Row],[start_date]]), 1, 0)</f>
        <v>0</v>
      </c>
      <c r="I4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7">
        <f>IF(
  AND(subscriptions[[#This Row],[end_before_start]]=0, subscriptions[[#This Row],[status_end_mismatch]]=0),
  1,
  0
)</f>
        <v>1</v>
      </c>
    </row>
    <row r="438" spans="1:10" x14ac:dyDescent="0.3">
      <c r="A438">
        <v>3555942</v>
      </c>
      <c r="B438">
        <v>146037</v>
      </c>
      <c r="C438">
        <v>1002</v>
      </c>
      <c r="D438" s="1">
        <v>45004</v>
      </c>
      <c r="E438" s="1">
        <v>45092</v>
      </c>
      <c r="F438" t="s">
        <v>3479</v>
      </c>
      <c r="G438" t="str">
        <f>IF(ISNA(_xlfn.XLOOKUP(subscriptions[[#This Row],[customer_id]], customers[customer_id], customers[customer_id])), "NO", "YES")</f>
        <v>YES</v>
      </c>
      <c r="H438">
        <f>IF(AND(subscriptions[[#This Row],[end_date]]&lt;&gt;"", subscriptions[[#This Row],[end_date]] &lt; subscriptions[[#This Row],[start_date]]), 1, 0)</f>
        <v>0</v>
      </c>
      <c r="I4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8">
        <f>IF(
  AND(subscriptions[[#This Row],[end_before_start]]=0, subscriptions[[#This Row],[status_end_mismatch]]=0),
  1,
  0
)</f>
        <v>1</v>
      </c>
    </row>
    <row r="439" spans="1:10" x14ac:dyDescent="0.3">
      <c r="A439">
        <v>4639947</v>
      </c>
      <c r="B439">
        <v>629818</v>
      </c>
      <c r="C439">
        <v>1007</v>
      </c>
      <c r="D439" s="1">
        <v>44622</v>
      </c>
      <c r="E439" s="1"/>
      <c r="F439" t="s">
        <v>3480</v>
      </c>
      <c r="G439" t="str">
        <f>IF(ISNA(_xlfn.XLOOKUP(subscriptions[[#This Row],[customer_id]], customers[customer_id], customers[customer_id])), "NO", "YES")</f>
        <v>YES</v>
      </c>
      <c r="H439">
        <f>IF(AND(subscriptions[[#This Row],[end_date]]&lt;&gt;"", subscriptions[[#This Row],[end_date]] &lt; subscriptions[[#This Row],[start_date]]), 1, 0)</f>
        <v>0</v>
      </c>
      <c r="I4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39">
        <f>IF(
  AND(subscriptions[[#This Row],[end_before_start]]=0, subscriptions[[#This Row],[status_end_mismatch]]=0),
  1,
  0
)</f>
        <v>1</v>
      </c>
    </row>
    <row r="440" spans="1:10" x14ac:dyDescent="0.3">
      <c r="A440">
        <v>4686979</v>
      </c>
      <c r="B440">
        <v>153395</v>
      </c>
      <c r="C440">
        <v>1009</v>
      </c>
      <c r="D440" s="1">
        <v>44732</v>
      </c>
      <c r="E440" s="1">
        <v>44826</v>
      </c>
      <c r="F440" t="s">
        <v>3479</v>
      </c>
      <c r="G440" t="str">
        <f>IF(ISNA(_xlfn.XLOOKUP(subscriptions[[#This Row],[customer_id]], customers[customer_id], customers[customer_id])), "NO", "YES")</f>
        <v>YES</v>
      </c>
      <c r="H440">
        <f>IF(AND(subscriptions[[#This Row],[end_date]]&lt;&gt;"", subscriptions[[#This Row],[end_date]] &lt; subscriptions[[#This Row],[start_date]]), 1, 0)</f>
        <v>0</v>
      </c>
      <c r="I4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0">
        <f>IF(
  AND(subscriptions[[#This Row],[end_before_start]]=0, subscriptions[[#This Row],[status_end_mismatch]]=0),
  1,
  0
)</f>
        <v>1</v>
      </c>
    </row>
    <row r="441" spans="1:10" x14ac:dyDescent="0.3">
      <c r="A441">
        <v>5489424</v>
      </c>
      <c r="B441">
        <v>636004</v>
      </c>
      <c r="C441">
        <v>1004</v>
      </c>
      <c r="D441" s="1">
        <v>45122</v>
      </c>
      <c r="E441" s="1"/>
      <c r="F441" t="s">
        <v>3480</v>
      </c>
      <c r="G441" t="str">
        <f>IF(ISNA(_xlfn.XLOOKUP(subscriptions[[#This Row],[customer_id]], customers[customer_id], customers[customer_id])), "NO", "YES")</f>
        <v>YES</v>
      </c>
      <c r="H441">
        <f>IF(AND(subscriptions[[#This Row],[end_date]]&lt;&gt;"", subscriptions[[#This Row],[end_date]] &lt; subscriptions[[#This Row],[start_date]]), 1, 0)</f>
        <v>0</v>
      </c>
      <c r="I4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1">
        <f>IF(
  AND(subscriptions[[#This Row],[end_before_start]]=0, subscriptions[[#This Row],[status_end_mismatch]]=0),
  1,
  0
)</f>
        <v>1</v>
      </c>
    </row>
    <row r="442" spans="1:10" x14ac:dyDescent="0.3">
      <c r="A442">
        <v>2542997</v>
      </c>
      <c r="B442">
        <v>114549</v>
      </c>
      <c r="C442">
        <v>1002</v>
      </c>
      <c r="D442" s="1">
        <v>45275</v>
      </c>
      <c r="E442" s="1">
        <v>45638</v>
      </c>
      <c r="F442" t="s">
        <v>3479</v>
      </c>
      <c r="G442" t="str">
        <f>IF(ISNA(_xlfn.XLOOKUP(subscriptions[[#This Row],[customer_id]], customers[customer_id], customers[customer_id])), "NO", "YES")</f>
        <v>YES</v>
      </c>
      <c r="H442">
        <f>IF(AND(subscriptions[[#This Row],[end_date]]&lt;&gt;"", subscriptions[[#This Row],[end_date]] &lt; subscriptions[[#This Row],[start_date]]), 1, 0)</f>
        <v>0</v>
      </c>
      <c r="I4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2">
        <f>IF(
  AND(subscriptions[[#This Row],[end_before_start]]=0, subscriptions[[#This Row],[status_end_mismatch]]=0),
  1,
  0
)</f>
        <v>1</v>
      </c>
    </row>
    <row r="443" spans="1:10" x14ac:dyDescent="0.3">
      <c r="A443">
        <v>5937884</v>
      </c>
      <c r="B443">
        <v>325258</v>
      </c>
      <c r="C443">
        <v>1007</v>
      </c>
      <c r="D443" s="1">
        <v>45518</v>
      </c>
      <c r="E443" s="1">
        <v>45644</v>
      </c>
      <c r="F443" t="s">
        <v>3479</v>
      </c>
      <c r="G443" t="str">
        <f>IF(ISNA(_xlfn.XLOOKUP(subscriptions[[#This Row],[customer_id]], customers[customer_id], customers[customer_id])), "NO", "YES")</f>
        <v>YES</v>
      </c>
      <c r="H443">
        <f>IF(AND(subscriptions[[#This Row],[end_date]]&lt;&gt;"", subscriptions[[#This Row],[end_date]] &lt; subscriptions[[#This Row],[start_date]]), 1, 0)</f>
        <v>0</v>
      </c>
      <c r="I4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3">
        <f>IF(
  AND(subscriptions[[#This Row],[end_before_start]]=0, subscriptions[[#This Row],[status_end_mismatch]]=0),
  1,
  0
)</f>
        <v>1</v>
      </c>
    </row>
    <row r="444" spans="1:10" x14ac:dyDescent="0.3">
      <c r="A444">
        <v>9600949</v>
      </c>
      <c r="B444">
        <v>818699</v>
      </c>
      <c r="C444">
        <v>1009</v>
      </c>
      <c r="D444" s="1">
        <v>45381</v>
      </c>
      <c r="E444" s="1">
        <v>45539</v>
      </c>
      <c r="F444" t="s">
        <v>3479</v>
      </c>
      <c r="G444" t="str">
        <f>IF(ISNA(_xlfn.XLOOKUP(subscriptions[[#This Row],[customer_id]], customers[customer_id], customers[customer_id])), "NO", "YES")</f>
        <v>YES</v>
      </c>
      <c r="H444">
        <f>IF(AND(subscriptions[[#This Row],[end_date]]&lt;&gt;"", subscriptions[[#This Row],[end_date]] &lt; subscriptions[[#This Row],[start_date]]), 1, 0)</f>
        <v>0</v>
      </c>
      <c r="I4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4">
        <f>IF(
  AND(subscriptions[[#This Row],[end_before_start]]=0, subscriptions[[#This Row],[status_end_mismatch]]=0),
  1,
  0
)</f>
        <v>1</v>
      </c>
    </row>
    <row r="445" spans="1:10" x14ac:dyDescent="0.3">
      <c r="A445">
        <v>3901779</v>
      </c>
      <c r="B445">
        <v>887009</v>
      </c>
      <c r="C445">
        <v>1002</v>
      </c>
      <c r="D445" s="1">
        <v>44967</v>
      </c>
      <c r="E445" s="1">
        <v>45364</v>
      </c>
      <c r="F445" t="s">
        <v>3479</v>
      </c>
      <c r="G445" t="str">
        <f>IF(ISNA(_xlfn.XLOOKUP(subscriptions[[#This Row],[customer_id]], customers[customer_id], customers[customer_id])), "NO", "YES")</f>
        <v>YES</v>
      </c>
      <c r="H445">
        <f>IF(AND(subscriptions[[#This Row],[end_date]]&lt;&gt;"", subscriptions[[#This Row],[end_date]] &lt; subscriptions[[#This Row],[start_date]]), 1, 0)</f>
        <v>0</v>
      </c>
      <c r="I4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5">
        <f>IF(
  AND(subscriptions[[#This Row],[end_before_start]]=0, subscriptions[[#This Row],[status_end_mismatch]]=0),
  1,
  0
)</f>
        <v>1</v>
      </c>
    </row>
    <row r="446" spans="1:10" x14ac:dyDescent="0.3">
      <c r="A446">
        <v>5715786</v>
      </c>
      <c r="B446">
        <v>541996</v>
      </c>
      <c r="C446">
        <v>1009</v>
      </c>
      <c r="D446" s="1">
        <v>45366</v>
      </c>
      <c r="E446" s="1"/>
      <c r="F446" t="s">
        <v>3480</v>
      </c>
      <c r="G446" t="str">
        <f>IF(ISNA(_xlfn.XLOOKUP(subscriptions[[#This Row],[customer_id]], customers[customer_id], customers[customer_id])), "NO", "YES")</f>
        <v>YES</v>
      </c>
      <c r="H446">
        <f>IF(AND(subscriptions[[#This Row],[end_date]]&lt;&gt;"", subscriptions[[#This Row],[end_date]] &lt; subscriptions[[#This Row],[start_date]]), 1, 0)</f>
        <v>0</v>
      </c>
      <c r="I4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6">
        <f>IF(
  AND(subscriptions[[#This Row],[end_before_start]]=0, subscriptions[[#This Row],[status_end_mismatch]]=0),
  1,
  0
)</f>
        <v>1</v>
      </c>
    </row>
    <row r="447" spans="1:10" x14ac:dyDescent="0.3">
      <c r="A447">
        <v>6227531</v>
      </c>
      <c r="B447">
        <v>967182</v>
      </c>
      <c r="C447">
        <v>1009</v>
      </c>
      <c r="D447" s="1">
        <v>44901</v>
      </c>
      <c r="E447" s="1">
        <v>45300</v>
      </c>
      <c r="F447" t="s">
        <v>3479</v>
      </c>
      <c r="G447" t="str">
        <f>IF(ISNA(_xlfn.XLOOKUP(subscriptions[[#This Row],[customer_id]], customers[customer_id], customers[customer_id])), "NO", "YES")</f>
        <v>YES</v>
      </c>
      <c r="H447">
        <f>IF(AND(subscriptions[[#This Row],[end_date]]&lt;&gt;"", subscriptions[[#This Row],[end_date]] &lt; subscriptions[[#This Row],[start_date]]), 1, 0)</f>
        <v>0</v>
      </c>
      <c r="I4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7">
        <f>IF(
  AND(subscriptions[[#This Row],[end_before_start]]=0, subscriptions[[#This Row],[status_end_mismatch]]=0),
  1,
  0
)</f>
        <v>1</v>
      </c>
    </row>
    <row r="448" spans="1:10" x14ac:dyDescent="0.3">
      <c r="A448">
        <v>9184459</v>
      </c>
      <c r="B448">
        <v>896386</v>
      </c>
      <c r="C448">
        <v>1003</v>
      </c>
      <c r="D448" s="1">
        <v>45449</v>
      </c>
      <c r="E448" s="1">
        <v>45638</v>
      </c>
      <c r="F448" t="s">
        <v>3479</v>
      </c>
      <c r="G448" t="str">
        <f>IF(ISNA(_xlfn.XLOOKUP(subscriptions[[#This Row],[customer_id]], customers[customer_id], customers[customer_id])), "NO", "YES")</f>
        <v>YES</v>
      </c>
      <c r="H448">
        <f>IF(AND(subscriptions[[#This Row],[end_date]]&lt;&gt;"", subscriptions[[#This Row],[end_date]] &lt; subscriptions[[#This Row],[start_date]]), 1, 0)</f>
        <v>0</v>
      </c>
      <c r="I4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8">
        <f>IF(
  AND(subscriptions[[#This Row],[end_before_start]]=0, subscriptions[[#This Row],[status_end_mismatch]]=0),
  1,
  0
)</f>
        <v>1</v>
      </c>
    </row>
    <row r="449" spans="1:10" x14ac:dyDescent="0.3">
      <c r="A449">
        <v>5557932</v>
      </c>
      <c r="B449">
        <v>122013</v>
      </c>
      <c r="C449">
        <v>1000</v>
      </c>
      <c r="D449" s="1">
        <v>45214</v>
      </c>
      <c r="E449" s="1">
        <v>45554</v>
      </c>
      <c r="F449" t="s">
        <v>3479</v>
      </c>
      <c r="G449" t="str">
        <f>IF(ISNA(_xlfn.XLOOKUP(subscriptions[[#This Row],[customer_id]], customers[customer_id], customers[customer_id])), "NO", "YES")</f>
        <v>YES</v>
      </c>
      <c r="H449">
        <f>IF(AND(subscriptions[[#This Row],[end_date]]&lt;&gt;"", subscriptions[[#This Row],[end_date]] &lt; subscriptions[[#This Row],[start_date]]), 1, 0)</f>
        <v>0</v>
      </c>
      <c r="I4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49">
        <f>IF(
  AND(subscriptions[[#This Row],[end_before_start]]=0, subscriptions[[#This Row],[status_end_mismatch]]=0),
  1,
  0
)</f>
        <v>1</v>
      </c>
    </row>
    <row r="450" spans="1:10" x14ac:dyDescent="0.3">
      <c r="A450">
        <v>7426442</v>
      </c>
      <c r="B450">
        <v>166803</v>
      </c>
      <c r="C450">
        <v>1009</v>
      </c>
      <c r="D450" s="1">
        <v>45441</v>
      </c>
      <c r="E450" s="1"/>
      <c r="F450" t="s">
        <v>3480</v>
      </c>
      <c r="G450" t="str">
        <f>IF(ISNA(_xlfn.XLOOKUP(subscriptions[[#This Row],[customer_id]], customers[customer_id], customers[customer_id])), "NO", "YES")</f>
        <v>YES</v>
      </c>
      <c r="H450">
        <f>IF(AND(subscriptions[[#This Row],[end_date]]&lt;&gt;"", subscriptions[[#This Row],[end_date]] &lt; subscriptions[[#This Row],[start_date]]), 1, 0)</f>
        <v>0</v>
      </c>
      <c r="I4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0">
        <f>IF(
  AND(subscriptions[[#This Row],[end_before_start]]=0, subscriptions[[#This Row],[status_end_mismatch]]=0),
  1,
  0
)</f>
        <v>1</v>
      </c>
    </row>
    <row r="451" spans="1:10" x14ac:dyDescent="0.3">
      <c r="A451">
        <v>6920939</v>
      </c>
      <c r="B451">
        <v>442645</v>
      </c>
      <c r="C451">
        <v>1000</v>
      </c>
      <c r="D451" s="1">
        <v>45327</v>
      </c>
      <c r="E451" s="1">
        <v>45389</v>
      </c>
      <c r="F451" t="s">
        <v>3479</v>
      </c>
      <c r="G451" t="str">
        <f>IF(ISNA(_xlfn.XLOOKUP(subscriptions[[#This Row],[customer_id]], customers[customer_id], customers[customer_id])), "NO", "YES")</f>
        <v>YES</v>
      </c>
      <c r="H451">
        <f>IF(AND(subscriptions[[#This Row],[end_date]]&lt;&gt;"", subscriptions[[#This Row],[end_date]] &lt; subscriptions[[#This Row],[start_date]]), 1, 0)</f>
        <v>0</v>
      </c>
      <c r="I4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1">
        <f>IF(
  AND(subscriptions[[#This Row],[end_before_start]]=0, subscriptions[[#This Row],[status_end_mismatch]]=0),
  1,
  0
)</f>
        <v>1</v>
      </c>
    </row>
    <row r="452" spans="1:10" x14ac:dyDescent="0.3">
      <c r="A452">
        <v>8539737</v>
      </c>
      <c r="B452">
        <v>850435</v>
      </c>
      <c r="C452">
        <v>1008</v>
      </c>
      <c r="D452" s="1">
        <v>44904</v>
      </c>
      <c r="E452" s="1">
        <v>45195</v>
      </c>
      <c r="F452" t="s">
        <v>3479</v>
      </c>
      <c r="G452" t="str">
        <f>IF(ISNA(_xlfn.XLOOKUP(subscriptions[[#This Row],[customer_id]], customers[customer_id], customers[customer_id])), "NO", "YES")</f>
        <v>YES</v>
      </c>
      <c r="H452">
        <f>IF(AND(subscriptions[[#This Row],[end_date]]&lt;&gt;"", subscriptions[[#This Row],[end_date]] &lt; subscriptions[[#This Row],[start_date]]), 1, 0)</f>
        <v>0</v>
      </c>
      <c r="I4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2">
        <f>IF(
  AND(subscriptions[[#This Row],[end_before_start]]=0, subscriptions[[#This Row],[status_end_mismatch]]=0),
  1,
  0
)</f>
        <v>1</v>
      </c>
    </row>
    <row r="453" spans="1:10" x14ac:dyDescent="0.3">
      <c r="A453">
        <v>5245703</v>
      </c>
      <c r="B453">
        <v>726909</v>
      </c>
      <c r="C453">
        <v>1004</v>
      </c>
      <c r="D453" s="1">
        <v>45401</v>
      </c>
      <c r="E453" s="1"/>
      <c r="F453" t="s">
        <v>3480</v>
      </c>
      <c r="G453" t="str">
        <f>IF(ISNA(_xlfn.XLOOKUP(subscriptions[[#This Row],[customer_id]], customers[customer_id], customers[customer_id])), "NO", "YES")</f>
        <v>YES</v>
      </c>
      <c r="H453">
        <f>IF(AND(subscriptions[[#This Row],[end_date]]&lt;&gt;"", subscriptions[[#This Row],[end_date]] &lt; subscriptions[[#This Row],[start_date]]), 1, 0)</f>
        <v>0</v>
      </c>
      <c r="I4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3">
        <f>IF(
  AND(subscriptions[[#This Row],[end_before_start]]=0, subscriptions[[#This Row],[status_end_mismatch]]=0),
  1,
  0
)</f>
        <v>1</v>
      </c>
    </row>
    <row r="454" spans="1:10" x14ac:dyDescent="0.3">
      <c r="A454">
        <v>9900282</v>
      </c>
      <c r="B454">
        <v>226460</v>
      </c>
      <c r="C454">
        <v>1003</v>
      </c>
      <c r="D454" s="1">
        <v>45283</v>
      </c>
      <c r="E454" s="1"/>
      <c r="F454" t="s">
        <v>3480</v>
      </c>
      <c r="G454" t="str">
        <f>IF(ISNA(_xlfn.XLOOKUP(subscriptions[[#This Row],[customer_id]], customers[customer_id], customers[customer_id])), "NO", "YES")</f>
        <v>YES</v>
      </c>
      <c r="H454">
        <f>IF(AND(subscriptions[[#This Row],[end_date]]&lt;&gt;"", subscriptions[[#This Row],[end_date]] &lt; subscriptions[[#This Row],[start_date]]), 1, 0)</f>
        <v>0</v>
      </c>
      <c r="I4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4">
        <f>IF(
  AND(subscriptions[[#This Row],[end_before_start]]=0, subscriptions[[#This Row],[status_end_mismatch]]=0),
  1,
  0
)</f>
        <v>1</v>
      </c>
    </row>
    <row r="455" spans="1:10" x14ac:dyDescent="0.3">
      <c r="A455">
        <v>2923507</v>
      </c>
      <c r="B455">
        <v>810287</v>
      </c>
      <c r="C455">
        <v>1001</v>
      </c>
      <c r="D455" s="1">
        <v>44930</v>
      </c>
      <c r="E455" s="1">
        <v>45179</v>
      </c>
      <c r="F455" t="s">
        <v>3479</v>
      </c>
      <c r="G455" t="str">
        <f>IF(ISNA(_xlfn.XLOOKUP(subscriptions[[#This Row],[customer_id]], customers[customer_id], customers[customer_id])), "NO", "YES")</f>
        <v>YES</v>
      </c>
      <c r="H455">
        <f>IF(AND(subscriptions[[#This Row],[end_date]]&lt;&gt;"", subscriptions[[#This Row],[end_date]] &lt; subscriptions[[#This Row],[start_date]]), 1, 0)</f>
        <v>0</v>
      </c>
      <c r="I4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5">
        <f>IF(
  AND(subscriptions[[#This Row],[end_before_start]]=0, subscriptions[[#This Row],[status_end_mismatch]]=0),
  1,
  0
)</f>
        <v>1</v>
      </c>
    </row>
    <row r="456" spans="1:10" x14ac:dyDescent="0.3">
      <c r="A456">
        <v>4119134</v>
      </c>
      <c r="B456">
        <v>384645</v>
      </c>
      <c r="C456">
        <v>1005</v>
      </c>
      <c r="D456" s="1">
        <v>45294</v>
      </c>
      <c r="E456" s="1"/>
      <c r="F456" t="s">
        <v>3480</v>
      </c>
      <c r="G456" t="str">
        <f>IF(ISNA(_xlfn.XLOOKUP(subscriptions[[#This Row],[customer_id]], customers[customer_id], customers[customer_id])), "NO", "YES")</f>
        <v>YES</v>
      </c>
      <c r="H456">
        <f>IF(AND(subscriptions[[#This Row],[end_date]]&lt;&gt;"", subscriptions[[#This Row],[end_date]] &lt; subscriptions[[#This Row],[start_date]]), 1, 0)</f>
        <v>0</v>
      </c>
      <c r="I4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6">
        <f>IF(
  AND(subscriptions[[#This Row],[end_before_start]]=0, subscriptions[[#This Row],[status_end_mismatch]]=0),
  1,
  0
)</f>
        <v>1</v>
      </c>
    </row>
    <row r="457" spans="1:10" x14ac:dyDescent="0.3">
      <c r="A457">
        <v>4610191</v>
      </c>
      <c r="B457">
        <v>981578</v>
      </c>
      <c r="C457">
        <v>1007</v>
      </c>
      <c r="D457" s="1">
        <v>45323</v>
      </c>
      <c r="E457" s="1"/>
      <c r="F457" t="s">
        <v>3480</v>
      </c>
      <c r="G457" t="str">
        <f>IF(ISNA(_xlfn.XLOOKUP(subscriptions[[#This Row],[customer_id]], customers[customer_id], customers[customer_id])), "NO", "YES")</f>
        <v>YES</v>
      </c>
      <c r="H457">
        <f>IF(AND(subscriptions[[#This Row],[end_date]]&lt;&gt;"", subscriptions[[#This Row],[end_date]] &lt; subscriptions[[#This Row],[start_date]]), 1, 0)</f>
        <v>0</v>
      </c>
      <c r="I4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7">
        <f>IF(
  AND(subscriptions[[#This Row],[end_before_start]]=0, subscriptions[[#This Row],[status_end_mismatch]]=0),
  1,
  0
)</f>
        <v>1</v>
      </c>
    </row>
    <row r="458" spans="1:10" x14ac:dyDescent="0.3">
      <c r="A458">
        <v>6275644</v>
      </c>
      <c r="B458">
        <v>705748</v>
      </c>
      <c r="C458">
        <v>1006</v>
      </c>
      <c r="D458" s="1">
        <v>44812</v>
      </c>
      <c r="E458" s="1"/>
      <c r="F458" t="s">
        <v>3480</v>
      </c>
      <c r="G458" t="str">
        <f>IF(ISNA(_xlfn.XLOOKUP(subscriptions[[#This Row],[customer_id]], customers[customer_id], customers[customer_id])), "NO", "YES")</f>
        <v>YES</v>
      </c>
      <c r="H458">
        <f>IF(AND(subscriptions[[#This Row],[end_date]]&lt;&gt;"", subscriptions[[#This Row],[end_date]] &lt; subscriptions[[#This Row],[start_date]]), 1, 0)</f>
        <v>0</v>
      </c>
      <c r="I4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8">
        <f>IF(
  AND(subscriptions[[#This Row],[end_before_start]]=0, subscriptions[[#This Row],[status_end_mismatch]]=0),
  1,
  0
)</f>
        <v>1</v>
      </c>
    </row>
    <row r="459" spans="1:10" x14ac:dyDescent="0.3">
      <c r="A459">
        <v>1182888</v>
      </c>
      <c r="B459">
        <v>797883</v>
      </c>
      <c r="C459">
        <v>1005</v>
      </c>
      <c r="D459" s="1">
        <v>45235</v>
      </c>
      <c r="E459" s="1"/>
      <c r="F459" t="s">
        <v>3480</v>
      </c>
      <c r="G459" t="str">
        <f>IF(ISNA(_xlfn.XLOOKUP(subscriptions[[#This Row],[customer_id]], customers[customer_id], customers[customer_id])), "NO", "YES")</f>
        <v>YES</v>
      </c>
      <c r="H459">
        <f>IF(AND(subscriptions[[#This Row],[end_date]]&lt;&gt;"", subscriptions[[#This Row],[end_date]] &lt; subscriptions[[#This Row],[start_date]]), 1, 0)</f>
        <v>0</v>
      </c>
      <c r="I4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59">
        <f>IF(
  AND(subscriptions[[#This Row],[end_before_start]]=0, subscriptions[[#This Row],[status_end_mismatch]]=0),
  1,
  0
)</f>
        <v>1</v>
      </c>
    </row>
    <row r="460" spans="1:10" x14ac:dyDescent="0.3">
      <c r="A460">
        <v>6394902</v>
      </c>
      <c r="B460">
        <v>193670</v>
      </c>
      <c r="C460">
        <v>1000</v>
      </c>
      <c r="D460" s="1">
        <v>45038</v>
      </c>
      <c r="E460" s="1"/>
      <c r="F460" t="s">
        <v>3480</v>
      </c>
      <c r="G460" t="str">
        <f>IF(ISNA(_xlfn.XLOOKUP(subscriptions[[#This Row],[customer_id]], customers[customer_id], customers[customer_id])), "NO", "YES")</f>
        <v>YES</v>
      </c>
      <c r="H460">
        <f>IF(AND(subscriptions[[#This Row],[end_date]]&lt;&gt;"", subscriptions[[#This Row],[end_date]] &lt; subscriptions[[#This Row],[start_date]]), 1, 0)</f>
        <v>0</v>
      </c>
      <c r="I4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0">
        <f>IF(
  AND(subscriptions[[#This Row],[end_before_start]]=0, subscriptions[[#This Row],[status_end_mismatch]]=0),
  1,
  0
)</f>
        <v>1</v>
      </c>
    </row>
    <row r="461" spans="1:10" x14ac:dyDescent="0.3">
      <c r="A461">
        <v>7469141</v>
      </c>
      <c r="B461">
        <v>706224</v>
      </c>
      <c r="C461">
        <v>1001</v>
      </c>
      <c r="D461" s="1">
        <v>45142</v>
      </c>
      <c r="E461" s="1">
        <v>45441</v>
      </c>
      <c r="F461" t="s">
        <v>3479</v>
      </c>
      <c r="G461" t="str">
        <f>IF(ISNA(_xlfn.XLOOKUP(subscriptions[[#This Row],[customer_id]], customers[customer_id], customers[customer_id])), "NO", "YES")</f>
        <v>YES</v>
      </c>
      <c r="H461">
        <f>IF(AND(subscriptions[[#This Row],[end_date]]&lt;&gt;"", subscriptions[[#This Row],[end_date]] &lt; subscriptions[[#This Row],[start_date]]), 1, 0)</f>
        <v>0</v>
      </c>
      <c r="I4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1">
        <f>IF(
  AND(subscriptions[[#This Row],[end_before_start]]=0, subscriptions[[#This Row],[status_end_mismatch]]=0),
  1,
  0
)</f>
        <v>1</v>
      </c>
    </row>
    <row r="462" spans="1:10" x14ac:dyDescent="0.3">
      <c r="A462">
        <v>4648430</v>
      </c>
      <c r="B462">
        <v>831295</v>
      </c>
      <c r="C462">
        <v>1003</v>
      </c>
      <c r="D462" s="1">
        <v>44772</v>
      </c>
      <c r="E462" s="1"/>
      <c r="F462" t="s">
        <v>3480</v>
      </c>
      <c r="G462" t="str">
        <f>IF(ISNA(_xlfn.XLOOKUP(subscriptions[[#This Row],[customer_id]], customers[customer_id], customers[customer_id])), "NO", "YES")</f>
        <v>YES</v>
      </c>
      <c r="H462">
        <f>IF(AND(subscriptions[[#This Row],[end_date]]&lt;&gt;"", subscriptions[[#This Row],[end_date]] &lt; subscriptions[[#This Row],[start_date]]), 1, 0)</f>
        <v>0</v>
      </c>
      <c r="I4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2">
        <f>IF(
  AND(subscriptions[[#This Row],[end_before_start]]=0, subscriptions[[#This Row],[status_end_mismatch]]=0),
  1,
  0
)</f>
        <v>1</v>
      </c>
    </row>
    <row r="463" spans="1:10" x14ac:dyDescent="0.3">
      <c r="A463">
        <v>2255341</v>
      </c>
      <c r="B463">
        <v>616926</v>
      </c>
      <c r="C463">
        <v>1002</v>
      </c>
      <c r="D463" s="1">
        <v>45425</v>
      </c>
      <c r="E463" s="1">
        <v>45647</v>
      </c>
      <c r="F463" t="s">
        <v>3479</v>
      </c>
      <c r="G463" t="str">
        <f>IF(ISNA(_xlfn.XLOOKUP(subscriptions[[#This Row],[customer_id]], customers[customer_id], customers[customer_id])), "NO", "YES")</f>
        <v>YES</v>
      </c>
      <c r="H463">
        <f>IF(AND(subscriptions[[#This Row],[end_date]]&lt;&gt;"", subscriptions[[#This Row],[end_date]] &lt; subscriptions[[#This Row],[start_date]]), 1, 0)</f>
        <v>0</v>
      </c>
      <c r="I4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3">
        <f>IF(
  AND(subscriptions[[#This Row],[end_before_start]]=0, subscriptions[[#This Row],[status_end_mismatch]]=0),
  1,
  0
)</f>
        <v>1</v>
      </c>
    </row>
    <row r="464" spans="1:10" x14ac:dyDescent="0.3">
      <c r="A464">
        <v>6370746</v>
      </c>
      <c r="B464">
        <v>651231</v>
      </c>
      <c r="C464">
        <v>1006</v>
      </c>
      <c r="D464" s="1">
        <v>44967</v>
      </c>
      <c r="E464" s="1"/>
      <c r="F464" t="s">
        <v>3480</v>
      </c>
      <c r="G464" t="str">
        <f>IF(ISNA(_xlfn.XLOOKUP(subscriptions[[#This Row],[customer_id]], customers[customer_id], customers[customer_id])), "NO", "YES")</f>
        <v>YES</v>
      </c>
      <c r="H464">
        <f>IF(AND(subscriptions[[#This Row],[end_date]]&lt;&gt;"", subscriptions[[#This Row],[end_date]] &lt; subscriptions[[#This Row],[start_date]]), 1, 0)</f>
        <v>0</v>
      </c>
      <c r="I4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4">
        <f>IF(
  AND(subscriptions[[#This Row],[end_before_start]]=0, subscriptions[[#This Row],[status_end_mismatch]]=0),
  1,
  0
)</f>
        <v>1</v>
      </c>
    </row>
    <row r="465" spans="1:10" x14ac:dyDescent="0.3">
      <c r="A465">
        <v>9286841</v>
      </c>
      <c r="B465">
        <v>946485</v>
      </c>
      <c r="C465">
        <v>1006</v>
      </c>
      <c r="D465" s="1">
        <v>45583</v>
      </c>
      <c r="E465" s="1"/>
      <c r="F465" t="s">
        <v>3480</v>
      </c>
      <c r="G465" t="str">
        <f>IF(ISNA(_xlfn.XLOOKUP(subscriptions[[#This Row],[customer_id]], customers[customer_id], customers[customer_id])), "NO", "YES")</f>
        <v>YES</v>
      </c>
      <c r="H465">
        <f>IF(AND(subscriptions[[#This Row],[end_date]]&lt;&gt;"", subscriptions[[#This Row],[end_date]] &lt; subscriptions[[#This Row],[start_date]]), 1, 0)</f>
        <v>0</v>
      </c>
      <c r="I4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5">
        <f>IF(
  AND(subscriptions[[#This Row],[end_before_start]]=0, subscriptions[[#This Row],[status_end_mismatch]]=0),
  1,
  0
)</f>
        <v>1</v>
      </c>
    </row>
    <row r="466" spans="1:10" x14ac:dyDescent="0.3">
      <c r="A466">
        <v>5603927</v>
      </c>
      <c r="B466">
        <v>675191</v>
      </c>
      <c r="C466">
        <v>1008</v>
      </c>
      <c r="D466" s="1">
        <v>45424</v>
      </c>
      <c r="E466" s="1"/>
      <c r="F466" t="s">
        <v>3480</v>
      </c>
      <c r="G466" t="str">
        <f>IF(ISNA(_xlfn.XLOOKUP(subscriptions[[#This Row],[customer_id]], customers[customer_id], customers[customer_id])), "NO", "YES")</f>
        <v>YES</v>
      </c>
      <c r="H466">
        <f>IF(AND(subscriptions[[#This Row],[end_date]]&lt;&gt;"", subscriptions[[#This Row],[end_date]] &lt; subscriptions[[#This Row],[start_date]]), 1, 0)</f>
        <v>0</v>
      </c>
      <c r="I4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6">
        <f>IF(
  AND(subscriptions[[#This Row],[end_before_start]]=0, subscriptions[[#This Row],[status_end_mismatch]]=0),
  1,
  0
)</f>
        <v>1</v>
      </c>
    </row>
    <row r="467" spans="1:10" x14ac:dyDescent="0.3">
      <c r="A467">
        <v>8596473</v>
      </c>
      <c r="B467">
        <v>580728</v>
      </c>
      <c r="C467">
        <v>1006</v>
      </c>
      <c r="D467" s="1">
        <v>44912</v>
      </c>
      <c r="E467" s="1">
        <v>45244</v>
      </c>
      <c r="F467" t="s">
        <v>3479</v>
      </c>
      <c r="G467" t="str">
        <f>IF(ISNA(_xlfn.XLOOKUP(subscriptions[[#This Row],[customer_id]], customers[customer_id], customers[customer_id])), "NO", "YES")</f>
        <v>YES</v>
      </c>
      <c r="H467">
        <f>IF(AND(subscriptions[[#This Row],[end_date]]&lt;&gt;"", subscriptions[[#This Row],[end_date]] &lt; subscriptions[[#This Row],[start_date]]), 1, 0)</f>
        <v>0</v>
      </c>
      <c r="I4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7">
        <f>IF(
  AND(subscriptions[[#This Row],[end_before_start]]=0, subscriptions[[#This Row],[status_end_mismatch]]=0),
  1,
  0
)</f>
        <v>1</v>
      </c>
    </row>
    <row r="468" spans="1:10" x14ac:dyDescent="0.3">
      <c r="A468">
        <v>7423283</v>
      </c>
      <c r="B468">
        <v>114549</v>
      </c>
      <c r="C468">
        <v>1005</v>
      </c>
      <c r="D468" s="1">
        <v>45046</v>
      </c>
      <c r="E468" s="1"/>
      <c r="F468" t="s">
        <v>3480</v>
      </c>
      <c r="G468" t="str">
        <f>IF(ISNA(_xlfn.XLOOKUP(subscriptions[[#This Row],[customer_id]], customers[customer_id], customers[customer_id])), "NO", "YES")</f>
        <v>YES</v>
      </c>
      <c r="H468">
        <f>IF(AND(subscriptions[[#This Row],[end_date]]&lt;&gt;"", subscriptions[[#This Row],[end_date]] &lt; subscriptions[[#This Row],[start_date]]), 1, 0)</f>
        <v>0</v>
      </c>
      <c r="I4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8">
        <f>IF(
  AND(subscriptions[[#This Row],[end_before_start]]=0, subscriptions[[#This Row],[status_end_mismatch]]=0),
  1,
  0
)</f>
        <v>1</v>
      </c>
    </row>
    <row r="469" spans="1:10" x14ac:dyDescent="0.3">
      <c r="A469">
        <v>5782125</v>
      </c>
      <c r="B469">
        <v>166938</v>
      </c>
      <c r="C469">
        <v>1003</v>
      </c>
      <c r="D469" s="1">
        <v>44598</v>
      </c>
      <c r="E469" s="1">
        <v>44922</v>
      </c>
      <c r="F469" t="s">
        <v>3479</v>
      </c>
      <c r="G469" t="str">
        <f>IF(ISNA(_xlfn.XLOOKUP(subscriptions[[#This Row],[customer_id]], customers[customer_id], customers[customer_id])), "NO", "YES")</f>
        <v>YES</v>
      </c>
      <c r="H469">
        <f>IF(AND(subscriptions[[#This Row],[end_date]]&lt;&gt;"", subscriptions[[#This Row],[end_date]] &lt; subscriptions[[#This Row],[start_date]]), 1, 0)</f>
        <v>0</v>
      </c>
      <c r="I4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69">
        <f>IF(
  AND(subscriptions[[#This Row],[end_before_start]]=0, subscriptions[[#This Row],[status_end_mismatch]]=0),
  1,
  0
)</f>
        <v>1</v>
      </c>
    </row>
    <row r="470" spans="1:10" x14ac:dyDescent="0.3">
      <c r="A470">
        <v>1077963</v>
      </c>
      <c r="B470">
        <v>417824</v>
      </c>
      <c r="C470">
        <v>1006</v>
      </c>
      <c r="D470" s="1">
        <v>45507</v>
      </c>
      <c r="E470" s="1"/>
      <c r="F470" t="s">
        <v>3480</v>
      </c>
      <c r="G470" t="str">
        <f>IF(ISNA(_xlfn.XLOOKUP(subscriptions[[#This Row],[customer_id]], customers[customer_id], customers[customer_id])), "NO", "YES")</f>
        <v>YES</v>
      </c>
      <c r="H470">
        <f>IF(AND(subscriptions[[#This Row],[end_date]]&lt;&gt;"", subscriptions[[#This Row],[end_date]] &lt; subscriptions[[#This Row],[start_date]]), 1, 0)</f>
        <v>0</v>
      </c>
      <c r="I4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0">
        <f>IF(
  AND(subscriptions[[#This Row],[end_before_start]]=0, subscriptions[[#This Row],[status_end_mismatch]]=0),
  1,
  0
)</f>
        <v>1</v>
      </c>
    </row>
    <row r="471" spans="1:10" x14ac:dyDescent="0.3">
      <c r="A471">
        <v>7758043</v>
      </c>
      <c r="B471">
        <v>995336</v>
      </c>
      <c r="C471">
        <v>1008</v>
      </c>
      <c r="D471" s="1">
        <v>44637</v>
      </c>
      <c r="E471" s="1">
        <v>44937</v>
      </c>
      <c r="F471" t="s">
        <v>3479</v>
      </c>
      <c r="G471" t="str">
        <f>IF(ISNA(_xlfn.XLOOKUP(subscriptions[[#This Row],[customer_id]], customers[customer_id], customers[customer_id])), "NO", "YES")</f>
        <v>YES</v>
      </c>
      <c r="H471">
        <f>IF(AND(subscriptions[[#This Row],[end_date]]&lt;&gt;"", subscriptions[[#This Row],[end_date]] &lt; subscriptions[[#This Row],[start_date]]), 1, 0)</f>
        <v>0</v>
      </c>
      <c r="I4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1">
        <f>IF(
  AND(subscriptions[[#This Row],[end_before_start]]=0, subscriptions[[#This Row],[status_end_mismatch]]=0),
  1,
  0
)</f>
        <v>1</v>
      </c>
    </row>
    <row r="472" spans="1:10" x14ac:dyDescent="0.3">
      <c r="A472">
        <v>1656328</v>
      </c>
      <c r="B472">
        <v>114400</v>
      </c>
      <c r="C472">
        <v>1000</v>
      </c>
      <c r="D472" s="1">
        <v>45252</v>
      </c>
      <c r="E472" s="1">
        <v>45317</v>
      </c>
      <c r="F472" t="s">
        <v>3479</v>
      </c>
      <c r="G472" t="str">
        <f>IF(ISNA(_xlfn.XLOOKUP(subscriptions[[#This Row],[customer_id]], customers[customer_id], customers[customer_id])), "NO", "YES")</f>
        <v>YES</v>
      </c>
      <c r="H472">
        <f>IF(AND(subscriptions[[#This Row],[end_date]]&lt;&gt;"", subscriptions[[#This Row],[end_date]] &lt; subscriptions[[#This Row],[start_date]]), 1, 0)</f>
        <v>0</v>
      </c>
      <c r="I4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2">
        <f>IF(
  AND(subscriptions[[#This Row],[end_before_start]]=0, subscriptions[[#This Row],[status_end_mismatch]]=0),
  1,
  0
)</f>
        <v>1</v>
      </c>
    </row>
    <row r="473" spans="1:10" x14ac:dyDescent="0.3">
      <c r="A473">
        <v>8883502</v>
      </c>
      <c r="B473">
        <v>870214</v>
      </c>
      <c r="C473">
        <v>1007</v>
      </c>
      <c r="D473" s="1">
        <v>44756</v>
      </c>
      <c r="E473" s="1">
        <v>44998</v>
      </c>
      <c r="F473" t="s">
        <v>3479</v>
      </c>
      <c r="G473" t="str">
        <f>IF(ISNA(_xlfn.XLOOKUP(subscriptions[[#This Row],[customer_id]], customers[customer_id], customers[customer_id])), "NO", "YES")</f>
        <v>YES</v>
      </c>
      <c r="H473">
        <f>IF(AND(subscriptions[[#This Row],[end_date]]&lt;&gt;"", subscriptions[[#This Row],[end_date]] &lt; subscriptions[[#This Row],[start_date]]), 1, 0)</f>
        <v>0</v>
      </c>
      <c r="I4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3">
        <f>IF(
  AND(subscriptions[[#This Row],[end_before_start]]=0, subscriptions[[#This Row],[status_end_mismatch]]=0),
  1,
  0
)</f>
        <v>1</v>
      </c>
    </row>
    <row r="474" spans="1:10" x14ac:dyDescent="0.3">
      <c r="A474">
        <v>6049913</v>
      </c>
      <c r="B474">
        <v>352356</v>
      </c>
      <c r="C474">
        <v>1005</v>
      </c>
      <c r="D474" s="1">
        <v>45124</v>
      </c>
      <c r="E474" s="1"/>
      <c r="F474" t="s">
        <v>3480</v>
      </c>
      <c r="G474" t="str">
        <f>IF(ISNA(_xlfn.XLOOKUP(subscriptions[[#This Row],[customer_id]], customers[customer_id], customers[customer_id])), "NO", "YES")</f>
        <v>YES</v>
      </c>
      <c r="H474">
        <f>IF(AND(subscriptions[[#This Row],[end_date]]&lt;&gt;"", subscriptions[[#This Row],[end_date]] &lt; subscriptions[[#This Row],[start_date]]), 1, 0)</f>
        <v>0</v>
      </c>
      <c r="I4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4">
        <f>IF(
  AND(subscriptions[[#This Row],[end_before_start]]=0, subscriptions[[#This Row],[status_end_mismatch]]=0),
  1,
  0
)</f>
        <v>1</v>
      </c>
    </row>
    <row r="475" spans="1:10" x14ac:dyDescent="0.3">
      <c r="A475">
        <v>6801971</v>
      </c>
      <c r="B475">
        <v>404466</v>
      </c>
      <c r="C475">
        <v>1002</v>
      </c>
      <c r="D475" s="1">
        <v>45381</v>
      </c>
      <c r="E475" s="1"/>
      <c r="F475" t="s">
        <v>3480</v>
      </c>
      <c r="G475" t="str">
        <f>IF(ISNA(_xlfn.XLOOKUP(subscriptions[[#This Row],[customer_id]], customers[customer_id], customers[customer_id])), "NO", "YES")</f>
        <v>YES</v>
      </c>
      <c r="H475">
        <f>IF(AND(subscriptions[[#This Row],[end_date]]&lt;&gt;"", subscriptions[[#This Row],[end_date]] &lt; subscriptions[[#This Row],[start_date]]), 1, 0)</f>
        <v>0</v>
      </c>
      <c r="I4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5">
        <f>IF(
  AND(subscriptions[[#This Row],[end_before_start]]=0, subscriptions[[#This Row],[status_end_mismatch]]=0),
  1,
  0
)</f>
        <v>1</v>
      </c>
    </row>
    <row r="476" spans="1:10" x14ac:dyDescent="0.3">
      <c r="A476">
        <v>6254198</v>
      </c>
      <c r="B476">
        <v>302647</v>
      </c>
      <c r="C476">
        <v>1008</v>
      </c>
      <c r="D476" s="1">
        <v>45573</v>
      </c>
      <c r="E476" s="1">
        <v>45648</v>
      </c>
      <c r="F476" t="s">
        <v>3479</v>
      </c>
      <c r="G476" t="str">
        <f>IF(ISNA(_xlfn.XLOOKUP(subscriptions[[#This Row],[customer_id]], customers[customer_id], customers[customer_id])), "NO", "YES")</f>
        <v>YES</v>
      </c>
      <c r="H476">
        <f>IF(AND(subscriptions[[#This Row],[end_date]]&lt;&gt;"", subscriptions[[#This Row],[end_date]] &lt; subscriptions[[#This Row],[start_date]]), 1, 0)</f>
        <v>0</v>
      </c>
      <c r="I4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6">
        <f>IF(
  AND(subscriptions[[#This Row],[end_before_start]]=0, subscriptions[[#This Row],[status_end_mismatch]]=0),
  1,
  0
)</f>
        <v>1</v>
      </c>
    </row>
    <row r="477" spans="1:10" x14ac:dyDescent="0.3">
      <c r="A477">
        <v>8626616</v>
      </c>
      <c r="B477">
        <v>883641</v>
      </c>
      <c r="C477">
        <v>1006</v>
      </c>
      <c r="D477" s="1">
        <v>45572</v>
      </c>
      <c r="E477" s="1">
        <v>45631</v>
      </c>
      <c r="F477" t="s">
        <v>3479</v>
      </c>
      <c r="G477" t="str">
        <f>IF(ISNA(_xlfn.XLOOKUP(subscriptions[[#This Row],[customer_id]], customers[customer_id], customers[customer_id])), "NO", "YES")</f>
        <v>YES</v>
      </c>
      <c r="H477">
        <f>IF(AND(subscriptions[[#This Row],[end_date]]&lt;&gt;"", subscriptions[[#This Row],[end_date]] &lt; subscriptions[[#This Row],[start_date]]), 1, 0)</f>
        <v>0</v>
      </c>
      <c r="I4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7">
        <f>IF(
  AND(subscriptions[[#This Row],[end_before_start]]=0, subscriptions[[#This Row],[status_end_mismatch]]=0),
  1,
  0
)</f>
        <v>1</v>
      </c>
    </row>
    <row r="478" spans="1:10" x14ac:dyDescent="0.3">
      <c r="A478">
        <v>7273103</v>
      </c>
      <c r="B478">
        <v>880360</v>
      </c>
      <c r="C478">
        <v>1004</v>
      </c>
      <c r="D478" s="1">
        <v>44772</v>
      </c>
      <c r="E478" s="1"/>
      <c r="F478" t="s">
        <v>3480</v>
      </c>
      <c r="G478" t="str">
        <f>IF(ISNA(_xlfn.XLOOKUP(subscriptions[[#This Row],[customer_id]], customers[customer_id], customers[customer_id])), "NO", "YES")</f>
        <v>YES</v>
      </c>
      <c r="H478">
        <f>IF(AND(subscriptions[[#This Row],[end_date]]&lt;&gt;"", subscriptions[[#This Row],[end_date]] &lt; subscriptions[[#This Row],[start_date]]), 1, 0)</f>
        <v>0</v>
      </c>
      <c r="I4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8">
        <f>IF(
  AND(subscriptions[[#This Row],[end_before_start]]=0, subscriptions[[#This Row],[status_end_mismatch]]=0),
  1,
  0
)</f>
        <v>1</v>
      </c>
    </row>
    <row r="479" spans="1:10" x14ac:dyDescent="0.3">
      <c r="A479">
        <v>1802525</v>
      </c>
      <c r="B479">
        <v>985447</v>
      </c>
      <c r="C479">
        <v>1008</v>
      </c>
      <c r="D479" s="1">
        <v>44583</v>
      </c>
      <c r="E479" s="1"/>
      <c r="F479" t="s">
        <v>3480</v>
      </c>
      <c r="G479" t="str">
        <f>IF(ISNA(_xlfn.XLOOKUP(subscriptions[[#This Row],[customer_id]], customers[customer_id], customers[customer_id])), "NO", "YES")</f>
        <v>YES</v>
      </c>
      <c r="H479">
        <f>IF(AND(subscriptions[[#This Row],[end_date]]&lt;&gt;"", subscriptions[[#This Row],[end_date]] &lt; subscriptions[[#This Row],[start_date]]), 1, 0)</f>
        <v>0</v>
      </c>
      <c r="I4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79">
        <f>IF(
  AND(subscriptions[[#This Row],[end_before_start]]=0, subscriptions[[#This Row],[status_end_mismatch]]=0),
  1,
  0
)</f>
        <v>1</v>
      </c>
    </row>
    <row r="480" spans="1:10" x14ac:dyDescent="0.3">
      <c r="A480">
        <v>6416675</v>
      </c>
      <c r="B480">
        <v>975930</v>
      </c>
      <c r="C480">
        <v>1007</v>
      </c>
      <c r="D480" s="1">
        <v>45454</v>
      </c>
      <c r="E480" s="1"/>
      <c r="F480" t="s">
        <v>3480</v>
      </c>
      <c r="G480" t="str">
        <f>IF(ISNA(_xlfn.XLOOKUP(subscriptions[[#This Row],[customer_id]], customers[customer_id], customers[customer_id])), "NO", "YES")</f>
        <v>YES</v>
      </c>
      <c r="H480">
        <f>IF(AND(subscriptions[[#This Row],[end_date]]&lt;&gt;"", subscriptions[[#This Row],[end_date]] &lt; subscriptions[[#This Row],[start_date]]), 1, 0)</f>
        <v>0</v>
      </c>
      <c r="I4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0">
        <f>IF(
  AND(subscriptions[[#This Row],[end_before_start]]=0, subscriptions[[#This Row],[status_end_mismatch]]=0),
  1,
  0
)</f>
        <v>1</v>
      </c>
    </row>
    <row r="481" spans="1:10" x14ac:dyDescent="0.3">
      <c r="A481">
        <v>2476675</v>
      </c>
      <c r="B481">
        <v>693643</v>
      </c>
      <c r="C481">
        <v>1006</v>
      </c>
      <c r="D481" s="1">
        <v>44953</v>
      </c>
      <c r="E481" s="1">
        <v>45171</v>
      </c>
      <c r="F481" t="s">
        <v>3479</v>
      </c>
      <c r="G481" t="str">
        <f>IF(ISNA(_xlfn.XLOOKUP(subscriptions[[#This Row],[customer_id]], customers[customer_id], customers[customer_id])), "NO", "YES")</f>
        <v>YES</v>
      </c>
      <c r="H481">
        <f>IF(AND(subscriptions[[#This Row],[end_date]]&lt;&gt;"", subscriptions[[#This Row],[end_date]] &lt; subscriptions[[#This Row],[start_date]]), 1, 0)</f>
        <v>0</v>
      </c>
      <c r="I4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1">
        <f>IF(
  AND(subscriptions[[#This Row],[end_before_start]]=0, subscriptions[[#This Row],[status_end_mismatch]]=0),
  1,
  0
)</f>
        <v>1</v>
      </c>
    </row>
    <row r="482" spans="1:10" x14ac:dyDescent="0.3">
      <c r="A482">
        <v>1082902</v>
      </c>
      <c r="B482">
        <v>651033</v>
      </c>
      <c r="C482">
        <v>1005</v>
      </c>
      <c r="D482" s="1">
        <v>44669</v>
      </c>
      <c r="E482" s="1"/>
      <c r="F482" t="s">
        <v>3480</v>
      </c>
      <c r="G482" t="str">
        <f>IF(ISNA(_xlfn.XLOOKUP(subscriptions[[#This Row],[customer_id]], customers[customer_id], customers[customer_id])), "NO", "YES")</f>
        <v>YES</v>
      </c>
      <c r="H482">
        <f>IF(AND(subscriptions[[#This Row],[end_date]]&lt;&gt;"", subscriptions[[#This Row],[end_date]] &lt; subscriptions[[#This Row],[start_date]]), 1, 0)</f>
        <v>0</v>
      </c>
      <c r="I4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2">
        <f>IF(
  AND(subscriptions[[#This Row],[end_before_start]]=0, subscriptions[[#This Row],[status_end_mismatch]]=0),
  1,
  0
)</f>
        <v>1</v>
      </c>
    </row>
    <row r="483" spans="1:10" x14ac:dyDescent="0.3">
      <c r="A483">
        <v>1722698</v>
      </c>
      <c r="B483">
        <v>947684</v>
      </c>
      <c r="C483">
        <v>1007</v>
      </c>
      <c r="D483" s="1">
        <v>44788</v>
      </c>
      <c r="E483" s="1"/>
      <c r="F483" t="s">
        <v>3480</v>
      </c>
      <c r="G483" t="str">
        <f>IF(ISNA(_xlfn.XLOOKUP(subscriptions[[#This Row],[customer_id]], customers[customer_id], customers[customer_id])), "NO", "YES")</f>
        <v>YES</v>
      </c>
      <c r="H483">
        <f>IF(AND(subscriptions[[#This Row],[end_date]]&lt;&gt;"", subscriptions[[#This Row],[end_date]] &lt; subscriptions[[#This Row],[start_date]]), 1, 0)</f>
        <v>0</v>
      </c>
      <c r="I4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3">
        <f>IF(
  AND(subscriptions[[#This Row],[end_before_start]]=0, subscriptions[[#This Row],[status_end_mismatch]]=0),
  1,
  0
)</f>
        <v>1</v>
      </c>
    </row>
    <row r="484" spans="1:10" x14ac:dyDescent="0.3">
      <c r="A484">
        <v>6105140</v>
      </c>
      <c r="B484">
        <v>224249</v>
      </c>
      <c r="C484">
        <v>1002</v>
      </c>
      <c r="D484" s="1">
        <v>44715</v>
      </c>
      <c r="E484" s="1"/>
      <c r="F484" t="s">
        <v>3480</v>
      </c>
      <c r="G484" t="str">
        <f>IF(ISNA(_xlfn.XLOOKUP(subscriptions[[#This Row],[customer_id]], customers[customer_id], customers[customer_id])), "NO", "YES")</f>
        <v>YES</v>
      </c>
      <c r="H484">
        <f>IF(AND(subscriptions[[#This Row],[end_date]]&lt;&gt;"", subscriptions[[#This Row],[end_date]] &lt; subscriptions[[#This Row],[start_date]]), 1, 0)</f>
        <v>0</v>
      </c>
      <c r="I4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4">
        <f>IF(
  AND(subscriptions[[#This Row],[end_before_start]]=0, subscriptions[[#This Row],[status_end_mismatch]]=0),
  1,
  0
)</f>
        <v>1</v>
      </c>
    </row>
    <row r="485" spans="1:10" x14ac:dyDescent="0.3">
      <c r="A485">
        <v>7367900</v>
      </c>
      <c r="B485">
        <v>528728</v>
      </c>
      <c r="C485">
        <v>1003</v>
      </c>
      <c r="D485" s="1">
        <v>45114</v>
      </c>
      <c r="E485" s="1">
        <v>45214</v>
      </c>
      <c r="F485" t="s">
        <v>3479</v>
      </c>
      <c r="G485" t="str">
        <f>IF(ISNA(_xlfn.XLOOKUP(subscriptions[[#This Row],[customer_id]], customers[customer_id], customers[customer_id])), "NO", "YES")</f>
        <v>YES</v>
      </c>
      <c r="H485">
        <f>IF(AND(subscriptions[[#This Row],[end_date]]&lt;&gt;"", subscriptions[[#This Row],[end_date]] &lt; subscriptions[[#This Row],[start_date]]), 1, 0)</f>
        <v>0</v>
      </c>
      <c r="I4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5">
        <f>IF(
  AND(subscriptions[[#This Row],[end_before_start]]=0, subscriptions[[#This Row],[status_end_mismatch]]=0),
  1,
  0
)</f>
        <v>1</v>
      </c>
    </row>
    <row r="486" spans="1:10" x14ac:dyDescent="0.3">
      <c r="A486">
        <v>8729158</v>
      </c>
      <c r="B486">
        <v>111691</v>
      </c>
      <c r="C486">
        <v>1005</v>
      </c>
      <c r="D486" s="1">
        <v>44807</v>
      </c>
      <c r="E486" s="1"/>
      <c r="F486" t="s">
        <v>3480</v>
      </c>
      <c r="G486" t="str">
        <f>IF(ISNA(_xlfn.XLOOKUP(subscriptions[[#This Row],[customer_id]], customers[customer_id], customers[customer_id])), "NO", "YES")</f>
        <v>YES</v>
      </c>
      <c r="H486">
        <f>IF(AND(subscriptions[[#This Row],[end_date]]&lt;&gt;"", subscriptions[[#This Row],[end_date]] &lt; subscriptions[[#This Row],[start_date]]), 1, 0)</f>
        <v>0</v>
      </c>
      <c r="I4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6">
        <f>IF(
  AND(subscriptions[[#This Row],[end_before_start]]=0, subscriptions[[#This Row],[status_end_mismatch]]=0),
  1,
  0
)</f>
        <v>1</v>
      </c>
    </row>
    <row r="487" spans="1:10" x14ac:dyDescent="0.3">
      <c r="A487">
        <v>3483052</v>
      </c>
      <c r="B487">
        <v>746253</v>
      </c>
      <c r="C487">
        <v>1009</v>
      </c>
      <c r="D487" s="1">
        <v>45408</v>
      </c>
      <c r="E487" s="1">
        <v>45654</v>
      </c>
      <c r="F487" t="s">
        <v>3479</v>
      </c>
      <c r="G487" t="str">
        <f>IF(ISNA(_xlfn.XLOOKUP(subscriptions[[#This Row],[customer_id]], customers[customer_id], customers[customer_id])), "NO", "YES")</f>
        <v>YES</v>
      </c>
      <c r="H487">
        <f>IF(AND(subscriptions[[#This Row],[end_date]]&lt;&gt;"", subscriptions[[#This Row],[end_date]] &lt; subscriptions[[#This Row],[start_date]]), 1, 0)</f>
        <v>0</v>
      </c>
      <c r="I4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7">
        <f>IF(
  AND(subscriptions[[#This Row],[end_before_start]]=0, subscriptions[[#This Row],[status_end_mismatch]]=0),
  1,
  0
)</f>
        <v>1</v>
      </c>
    </row>
    <row r="488" spans="1:10" x14ac:dyDescent="0.3">
      <c r="A488">
        <v>9753742</v>
      </c>
      <c r="B488">
        <v>262959</v>
      </c>
      <c r="C488">
        <v>1004</v>
      </c>
      <c r="D488" s="1">
        <v>45054</v>
      </c>
      <c r="E488" s="1"/>
      <c r="F488" t="s">
        <v>3480</v>
      </c>
      <c r="G488" t="str">
        <f>IF(ISNA(_xlfn.XLOOKUP(subscriptions[[#This Row],[customer_id]], customers[customer_id], customers[customer_id])), "NO", "YES")</f>
        <v>YES</v>
      </c>
      <c r="H488">
        <f>IF(AND(subscriptions[[#This Row],[end_date]]&lt;&gt;"", subscriptions[[#This Row],[end_date]] &lt; subscriptions[[#This Row],[start_date]]), 1, 0)</f>
        <v>0</v>
      </c>
      <c r="I4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8">
        <f>IF(
  AND(subscriptions[[#This Row],[end_before_start]]=0, subscriptions[[#This Row],[status_end_mismatch]]=0),
  1,
  0
)</f>
        <v>1</v>
      </c>
    </row>
    <row r="489" spans="1:10" x14ac:dyDescent="0.3">
      <c r="A489">
        <v>9222577</v>
      </c>
      <c r="B489">
        <v>392075</v>
      </c>
      <c r="C489">
        <v>1001</v>
      </c>
      <c r="D489" s="1">
        <v>45136</v>
      </c>
      <c r="E489" s="1"/>
      <c r="F489" t="s">
        <v>3480</v>
      </c>
      <c r="G489" t="str">
        <f>IF(ISNA(_xlfn.XLOOKUP(subscriptions[[#This Row],[customer_id]], customers[customer_id], customers[customer_id])), "NO", "YES")</f>
        <v>YES</v>
      </c>
      <c r="H489">
        <f>IF(AND(subscriptions[[#This Row],[end_date]]&lt;&gt;"", subscriptions[[#This Row],[end_date]] &lt; subscriptions[[#This Row],[start_date]]), 1, 0)</f>
        <v>0</v>
      </c>
      <c r="I4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89">
        <f>IF(
  AND(subscriptions[[#This Row],[end_before_start]]=0, subscriptions[[#This Row],[status_end_mismatch]]=0),
  1,
  0
)</f>
        <v>1</v>
      </c>
    </row>
    <row r="490" spans="1:10" x14ac:dyDescent="0.3">
      <c r="A490">
        <v>9098468</v>
      </c>
      <c r="B490">
        <v>202972</v>
      </c>
      <c r="C490">
        <v>1002</v>
      </c>
      <c r="D490" s="1">
        <v>45024</v>
      </c>
      <c r="E490" s="1"/>
      <c r="F490" t="s">
        <v>3480</v>
      </c>
      <c r="G490" t="str">
        <f>IF(ISNA(_xlfn.XLOOKUP(subscriptions[[#This Row],[customer_id]], customers[customer_id], customers[customer_id])), "NO", "YES")</f>
        <v>YES</v>
      </c>
      <c r="H490">
        <f>IF(AND(subscriptions[[#This Row],[end_date]]&lt;&gt;"", subscriptions[[#This Row],[end_date]] &lt; subscriptions[[#This Row],[start_date]]), 1, 0)</f>
        <v>0</v>
      </c>
      <c r="I4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0">
        <f>IF(
  AND(subscriptions[[#This Row],[end_before_start]]=0, subscriptions[[#This Row],[status_end_mismatch]]=0),
  1,
  0
)</f>
        <v>1</v>
      </c>
    </row>
    <row r="491" spans="1:10" x14ac:dyDescent="0.3">
      <c r="A491">
        <v>5969984</v>
      </c>
      <c r="B491">
        <v>419739</v>
      </c>
      <c r="C491">
        <v>1003</v>
      </c>
      <c r="D491" s="1">
        <v>44731</v>
      </c>
      <c r="E491" s="1"/>
      <c r="F491" t="s">
        <v>3480</v>
      </c>
      <c r="G491" t="str">
        <f>IF(ISNA(_xlfn.XLOOKUP(subscriptions[[#This Row],[customer_id]], customers[customer_id], customers[customer_id])), "NO", "YES")</f>
        <v>YES</v>
      </c>
      <c r="H491">
        <f>IF(AND(subscriptions[[#This Row],[end_date]]&lt;&gt;"", subscriptions[[#This Row],[end_date]] &lt; subscriptions[[#This Row],[start_date]]), 1, 0)</f>
        <v>0</v>
      </c>
      <c r="I4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1">
        <f>IF(
  AND(subscriptions[[#This Row],[end_before_start]]=0, subscriptions[[#This Row],[status_end_mismatch]]=0),
  1,
  0
)</f>
        <v>1</v>
      </c>
    </row>
    <row r="492" spans="1:10" x14ac:dyDescent="0.3">
      <c r="A492">
        <v>5066398</v>
      </c>
      <c r="B492">
        <v>373342</v>
      </c>
      <c r="C492">
        <v>1004</v>
      </c>
      <c r="D492" s="1">
        <v>44983</v>
      </c>
      <c r="E492" s="1">
        <v>45051</v>
      </c>
      <c r="F492" t="s">
        <v>3479</v>
      </c>
      <c r="G492" t="str">
        <f>IF(ISNA(_xlfn.XLOOKUP(subscriptions[[#This Row],[customer_id]], customers[customer_id], customers[customer_id])), "NO", "YES")</f>
        <v>YES</v>
      </c>
      <c r="H492">
        <f>IF(AND(subscriptions[[#This Row],[end_date]]&lt;&gt;"", subscriptions[[#This Row],[end_date]] &lt; subscriptions[[#This Row],[start_date]]), 1, 0)</f>
        <v>0</v>
      </c>
      <c r="I4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2">
        <f>IF(
  AND(subscriptions[[#This Row],[end_before_start]]=0, subscriptions[[#This Row],[status_end_mismatch]]=0),
  1,
  0
)</f>
        <v>1</v>
      </c>
    </row>
    <row r="493" spans="1:10" x14ac:dyDescent="0.3">
      <c r="A493">
        <v>9298107</v>
      </c>
      <c r="B493">
        <v>727320</v>
      </c>
      <c r="C493">
        <v>1001</v>
      </c>
      <c r="D493" s="1">
        <v>44685</v>
      </c>
      <c r="E493" s="1"/>
      <c r="F493" t="s">
        <v>3480</v>
      </c>
      <c r="G493" t="str">
        <f>IF(ISNA(_xlfn.XLOOKUP(subscriptions[[#This Row],[customer_id]], customers[customer_id], customers[customer_id])), "NO", "YES")</f>
        <v>YES</v>
      </c>
      <c r="H493">
        <f>IF(AND(subscriptions[[#This Row],[end_date]]&lt;&gt;"", subscriptions[[#This Row],[end_date]] &lt; subscriptions[[#This Row],[start_date]]), 1, 0)</f>
        <v>0</v>
      </c>
      <c r="I4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3">
        <f>IF(
  AND(subscriptions[[#This Row],[end_before_start]]=0, subscriptions[[#This Row],[status_end_mismatch]]=0),
  1,
  0
)</f>
        <v>1</v>
      </c>
    </row>
    <row r="494" spans="1:10" x14ac:dyDescent="0.3">
      <c r="A494">
        <v>4626151</v>
      </c>
      <c r="B494">
        <v>538065</v>
      </c>
      <c r="C494">
        <v>1002</v>
      </c>
      <c r="D494" s="1">
        <v>45520</v>
      </c>
      <c r="E494" s="1">
        <v>45646</v>
      </c>
      <c r="F494" t="s">
        <v>3479</v>
      </c>
      <c r="G494" t="str">
        <f>IF(ISNA(_xlfn.XLOOKUP(subscriptions[[#This Row],[customer_id]], customers[customer_id], customers[customer_id])), "NO", "YES")</f>
        <v>YES</v>
      </c>
      <c r="H494">
        <f>IF(AND(subscriptions[[#This Row],[end_date]]&lt;&gt;"", subscriptions[[#This Row],[end_date]] &lt; subscriptions[[#This Row],[start_date]]), 1, 0)</f>
        <v>0</v>
      </c>
      <c r="I4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4">
        <f>IF(
  AND(subscriptions[[#This Row],[end_before_start]]=0, subscriptions[[#This Row],[status_end_mismatch]]=0),
  1,
  0
)</f>
        <v>1</v>
      </c>
    </row>
    <row r="495" spans="1:10" x14ac:dyDescent="0.3">
      <c r="A495">
        <v>9181335</v>
      </c>
      <c r="B495">
        <v>808011</v>
      </c>
      <c r="C495">
        <v>1002</v>
      </c>
      <c r="D495" s="1">
        <v>44776</v>
      </c>
      <c r="E495" s="1"/>
      <c r="F495" t="s">
        <v>3480</v>
      </c>
      <c r="G495" t="str">
        <f>IF(ISNA(_xlfn.XLOOKUP(subscriptions[[#This Row],[customer_id]], customers[customer_id], customers[customer_id])), "NO", "YES")</f>
        <v>YES</v>
      </c>
      <c r="H495">
        <f>IF(AND(subscriptions[[#This Row],[end_date]]&lt;&gt;"", subscriptions[[#This Row],[end_date]] &lt; subscriptions[[#This Row],[start_date]]), 1, 0)</f>
        <v>0</v>
      </c>
      <c r="I4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5">
        <f>IF(
  AND(subscriptions[[#This Row],[end_before_start]]=0, subscriptions[[#This Row],[status_end_mismatch]]=0),
  1,
  0
)</f>
        <v>1</v>
      </c>
    </row>
    <row r="496" spans="1:10" x14ac:dyDescent="0.3">
      <c r="A496">
        <v>9852408</v>
      </c>
      <c r="B496">
        <v>156964</v>
      </c>
      <c r="C496">
        <v>1004</v>
      </c>
      <c r="D496" s="1">
        <v>45203</v>
      </c>
      <c r="E496" s="1">
        <v>45392</v>
      </c>
      <c r="F496" t="s">
        <v>3479</v>
      </c>
      <c r="G496" t="str">
        <f>IF(ISNA(_xlfn.XLOOKUP(subscriptions[[#This Row],[customer_id]], customers[customer_id], customers[customer_id])), "NO", "YES")</f>
        <v>YES</v>
      </c>
      <c r="H496">
        <f>IF(AND(subscriptions[[#This Row],[end_date]]&lt;&gt;"", subscriptions[[#This Row],[end_date]] &lt; subscriptions[[#This Row],[start_date]]), 1, 0)</f>
        <v>0</v>
      </c>
      <c r="I4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6">
        <f>IF(
  AND(subscriptions[[#This Row],[end_before_start]]=0, subscriptions[[#This Row],[status_end_mismatch]]=0),
  1,
  0
)</f>
        <v>1</v>
      </c>
    </row>
    <row r="497" spans="1:10" x14ac:dyDescent="0.3">
      <c r="A497">
        <v>8617224</v>
      </c>
      <c r="B497">
        <v>160423</v>
      </c>
      <c r="C497">
        <v>1006</v>
      </c>
      <c r="D497" s="1">
        <v>44877</v>
      </c>
      <c r="E497" s="1">
        <v>44961</v>
      </c>
      <c r="F497" t="s">
        <v>3479</v>
      </c>
      <c r="G497" t="str">
        <f>IF(ISNA(_xlfn.XLOOKUP(subscriptions[[#This Row],[customer_id]], customers[customer_id], customers[customer_id])), "NO", "YES")</f>
        <v>YES</v>
      </c>
      <c r="H497">
        <f>IF(AND(subscriptions[[#This Row],[end_date]]&lt;&gt;"", subscriptions[[#This Row],[end_date]] &lt; subscriptions[[#This Row],[start_date]]), 1, 0)</f>
        <v>0</v>
      </c>
      <c r="I4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7">
        <f>IF(
  AND(subscriptions[[#This Row],[end_before_start]]=0, subscriptions[[#This Row],[status_end_mismatch]]=0),
  1,
  0
)</f>
        <v>1</v>
      </c>
    </row>
    <row r="498" spans="1:10" x14ac:dyDescent="0.3">
      <c r="A498">
        <v>3182053</v>
      </c>
      <c r="B498">
        <v>311895</v>
      </c>
      <c r="C498">
        <v>1006</v>
      </c>
      <c r="D498" s="1">
        <v>45010</v>
      </c>
      <c r="E498" s="1">
        <v>45237</v>
      </c>
      <c r="F498" t="s">
        <v>3479</v>
      </c>
      <c r="G498" t="str">
        <f>IF(ISNA(_xlfn.XLOOKUP(subscriptions[[#This Row],[customer_id]], customers[customer_id], customers[customer_id])), "NO", "YES")</f>
        <v>YES</v>
      </c>
      <c r="H498">
        <f>IF(AND(subscriptions[[#This Row],[end_date]]&lt;&gt;"", subscriptions[[#This Row],[end_date]] &lt; subscriptions[[#This Row],[start_date]]), 1, 0)</f>
        <v>0</v>
      </c>
      <c r="I4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8">
        <f>IF(
  AND(subscriptions[[#This Row],[end_before_start]]=0, subscriptions[[#This Row],[status_end_mismatch]]=0),
  1,
  0
)</f>
        <v>1</v>
      </c>
    </row>
    <row r="499" spans="1:10" x14ac:dyDescent="0.3">
      <c r="A499">
        <v>8590547</v>
      </c>
      <c r="B499">
        <v>621433</v>
      </c>
      <c r="C499">
        <v>1003</v>
      </c>
      <c r="D499" s="1">
        <v>44977</v>
      </c>
      <c r="E499" s="1">
        <v>45103</v>
      </c>
      <c r="F499" t="s">
        <v>3479</v>
      </c>
      <c r="G499" t="str">
        <f>IF(ISNA(_xlfn.XLOOKUP(subscriptions[[#This Row],[customer_id]], customers[customer_id], customers[customer_id])), "NO", "YES")</f>
        <v>YES</v>
      </c>
      <c r="H499">
        <f>IF(AND(subscriptions[[#This Row],[end_date]]&lt;&gt;"", subscriptions[[#This Row],[end_date]] &lt; subscriptions[[#This Row],[start_date]]), 1, 0)</f>
        <v>0</v>
      </c>
      <c r="I4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499">
        <f>IF(
  AND(subscriptions[[#This Row],[end_before_start]]=0, subscriptions[[#This Row],[status_end_mismatch]]=0),
  1,
  0
)</f>
        <v>1</v>
      </c>
    </row>
    <row r="500" spans="1:10" x14ac:dyDescent="0.3">
      <c r="A500">
        <v>2151576</v>
      </c>
      <c r="B500">
        <v>828449</v>
      </c>
      <c r="C500">
        <v>1006</v>
      </c>
      <c r="D500" s="1">
        <v>45131</v>
      </c>
      <c r="E500" s="1"/>
      <c r="F500" t="s">
        <v>3480</v>
      </c>
      <c r="G500" t="str">
        <f>IF(ISNA(_xlfn.XLOOKUP(subscriptions[[#This Row],[customer_id]], customers[customer_id], customers[customer_id])), "NO", "YES")</f>
        <v>YES</v>
      </c>
      <c r="H500">
        <f>IF(AND(subscriptions[[#This Row],[end_date]]&lt;&gt;"", subscriptions[[#This Row],[end_date]] &lt; subscriptions[[#This Row],[start_date]]), 1, 0)</f>
        <v>0</v>
      </c>
      <c r="I5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0">
        <f>IF(
  AND(subscriptions[[#This Row],[end_before_start]]=0, subscriptions[[#This Row],[status_end_mismatch]]=0),
  1,
  0
)</f>
        <v>1</v>
      </c>
    </row>
    <row r="501" spans="1:10" x14ac:dyDescent="0.3">
      <c r="A501">
        <v>6153067</v>
      </c>
      <c r="B501">
        <v>138780</v>
      </c>
      <c r="C501">
        <v>1009</v>
      </c>
      <c r="D501" s="1">
        <v>44771</v>
      </c>
      <c r="E501" s="1"/>
      <c r="F501" t="s">
        <v>3480</v>
      </c>
      <c r="G501" t="str">
        <f>IF(ISNA(_xlfn.XLOOKUP(subscriptions[[#This Row],[customer_id]], customers[customer_id], customers[customer_id])), "NO", "YES")</f>
        <v>YES</v>
      </c>
      <c r="H501">
        <f>IF(AND(subscriptions[[#This Row],[end_date]]&lt;&gt;"", subscriptions[[#This Row],[end_date]] &lt; subscriptions[[#This Row],[start_date]]), 1, 0)</f>
        <v>0</v>
      </c>
      <c r="I5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1">
        <f>IF(
  AND(subscriptions[[#This Row],[end_before_start]]=0, subscriptions[[#This Row],[status_end_mismatch]]=0),
  1,
  0
)</f>
        <v>1</v>
      </c>
    </row>
    <row r="502" spans="1:10" x14ac:dyDescent="0.3">
      <c r="A502">
        <v>2798071</v>
      </c>
      <c r="B502">
        <v>546157</v>
      </c>
      <c r="C502">
        <v>1009</v>
      </c>
      <c r="D502" s="1">
        <v>44787</v>
      </c>
      <c r="E502" s="1"/>
      <c r="F502" t="s">
        <v>3480</v>
      </c>
      <c r="G502" t="str">
        <f>IF(ISNA(_xlfn.XLOOKUP(subscriptions[[#This Row],[customer_id]], customers[customer_id], customers[customer_id])), "NO", "YES")</f>
        <v>YES</v>
      </c>
      <c r="H502">
        <f>IF(AND(subscriptions[[#This Row],[end_date]]&lt;&gt;"", subscriptions[[#This Row],[end_date]] &lt; subscriptions[[#This Row],[start_date]]), 1, 0)</f>
        <v>0</v>
      </c>
      <c r="I5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2">
        <f>IF(
  AND(subscriptions[[#This Row],[end_before_start]]=0, subscriptions[[#This Row],[status_end_mismatch]]=0),
  1,
  0
)</f>
        <v>1</v>
      </c>
    </row>
    <row r="503" spans="1:10" x14ac:dyDescent="0.3">
      <c r="A503">
        <v>8731726</v>
      </c>
      <c r="B503">
        <v>838094</v>
      </c>
      <c r="C503">
        <v>1002</v>
      </c>
      <c r="D503" s="1">
        <v>44945</v>
      </c>
      <c r="E503" s="1"/>
      <c r="F503" t="s">
        <v>3480</v>
      </c>
      <c r="G503" t="str">
        <f>IF(ISNA(_xlfn.XLOOKUP(subscriptions[[#This Row],[customer_id]], customers[customer_id], customers[customer_id])), "NO", "YES")</f>
        <v>YES</v>
      </c>
      <c r="H503">
        <f>IF(AND(subscriptions[[#This Row],[end_date]]&lt;&gt;"", subscriptions[[#This Row],[end_date]] &lt; subscriptions[[#This Row],[start_date]]), 1, 0)</f>
        <v>0</v>
      </c>
      <c r="I5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3">
        <f>IF(
  AND(subscriptions[[#This Row],[end_before_start]]=0, subscriptions[[#This Row],[status_end_mismatch]]=0),
  1,
  0
)</f>
        <v>1</v>
      </c>
    </row>
    <row r="504" spans="1:10" x14ac:dyDescent="0.3">
      <c r="A504">
        <v>8989988</v>
      </c>
      <c r="B504">
        <v>938754</v>
      </c>
      <c r="C504">
        <v>1002</v>
      </c>
      <c r="D504" s="1">
        <v>45489</v>
      </c>
      <c r="E504" s="1"/>
      <c r="F504" t="s">
        <v>3480</v>
      </c>
      <c r="G504" t="str">
        <f>IF(ISNA(_xlfn.XLOOKUP(subscriptions[[#This Row],[customer_id]], customers[customer_id], customers[customer_id])), "NO", "YES")</f>
        <v>YES</v>
      </c>
      <c r="H504">
        <f>IF(AND(subscriptions[[#This Row],[end_date]]&lt;&gt;"", subscriptions[[#This Row],[end_date]] &lt; subscriptions[[#This Row],[start_date]]), 1, 0)</f>
        <v>0</v>
      </c>
      <c r="I5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4">
        <f>IF(
  AND(subscriptions[[#This Row],[end_before_start]]=0, subscriptions[[#This Row],[status_end_mismatch]]=0),
  1,
  0
)</f>
        <v>1</v>
      </c>
    </row>
    <row r="505" spans="1:10" x14ac:dyDescent="0.3">
      <c r="A505">
        <v>2985184</v>
      </c>
      <c r="B505">
        <v>443848</v>
      </c>
      <c r="C505">
        <v>1007</v>
      </c>
      <c r="D505" s="1">
        <v>44734</v>
      </c>
      <c r="E505" s="1"/>
      <c r="F505" t="s">
        <v>3480</v>
      </c>
      <c r="G505" t="str">
        <f>IF(ISNA(_xlfn.XLOOKUP(subscriptions[[#This Row],[customer_id]], customers[customer_id], customers[customer_id])), "NO", "YES")</f>
        <v>YES</v>
      </c>
      <c r="H505">
        <f>IF(AND(subscriptions[[#This Row],[end_date]]&lt;&gt;"", subscriptions[[#This Row],[end_date]] &lt; subscriptions[[#This Row],[start_date]]), 1, 0)</f>
        <v>0</v>
      </c>
      <c r="I5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5">
        <f>IF(
  AND(subscriptions[[#This Row],[end_before_start]]=0, subscriptions[[#This Row],[status_end_mismatch]]=0),
  1,
  0
)</f>
        <v>1</v>
      </c>
    </row>
    <row r="506" spans="1:10" x14ac:dyDescent="0.3">
      <c r="A506">
        <v>4557877</v>
      </c>
      <c r="B506">
        <v>534096</v>
      </c>
      <c r="C506">
        <v>1002</v>
      </c>
      <c r="D506" s="1">
        <v>44870</v>
      </c>
      <c r="E506" s="1"/>
      <c r="F506" t="s">
        <v>3480</v>
      </c>
      <c r="G506" t="str">
        <f>IF(ISNA(_xlfn.XLOOKUP(subscriptions[[#This Row],[customer_id]], customers[customer_id], customers[customer_id])), "NO", "YES")</f>
        <v>YES</v>
      </c>
      <c r="H506">
        <f>IF(AND(subscriptions[[#This Row],[end_date]]&lt;&gt;"", subscriptions[[#This Row],[end_date]] &lt; subscriptions[[#This Row],[start_date]]), 1, 0)</f>
        <v>0</v>
      </c>
      <c r="I5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6">
        <f>IF(
  AND(subscriptions[[#This Row],[end_before_start]]=0, subscriptions[[#This Row],[status_end_mismatch]]=0),
  1,
  0
)</f>
        <v>1</v>
      </c>
    </row>
    <row r="507" spans="1:10" x14ac:dyDescent="0.3">
      <c r="A507">
        <v>8228437</v>
      </c>
      <c r="B507">
        <v>923975</v>
      </c>
      <c r="C507">
        <v>1006</v>
      </c>
      <c r="D507" s="1">
        <v>45245</v>
      </c>
      <c r="E507" s="1"/>
      <c r="F507" t="s">
        <v>3480</v>
      </c>
      <c r="G507" t="str">
        <f>IF(ISNA(_xlfn.XLOOKUP(subscriptions[[#This Row],[customer_id]], customers[customer_id], customers[customer_id])), "NO", "YES")</f>
        <v>YES</v>
      </c>
      <c r="H507">
        <f>IF(AND(subscriptions[[#This Row],[end_date]]&lt;&gt;"", subscriptions[[#This Row],[end_date]] &lt; subscriptions[[#This Row],[start_date]]), 1, 0)</f>
        <v>0</v>
      </c>
      <c r="I5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7">
        <f>IF(
  AND(subscriptions[[#This Row],[end_before_start]]=0, subscriptions[[#This Row],[status_end_mismatch]]=0),
  1,
  0
)</f>
        <v>1</v>
      </c>
    </row>
    <row r="508" spans="1:10" x14ac:dyDescent="0.3">
      <c r="A508">
        <v>5573282</v>
      </c>
      <c r="B508">
        <v>555157</v>
      </c>
      <c r="C508">
        <v>1003</v>
      </c>
      <c r="D508" s="1">
        <v>45319</v>
      </c>
      <c r="E508" s="1"/>
      <c r="F508" t="s">
        <v>3480</v>
      </c>
      <c r="G508" t="str">
        <f>IF(ISNA(_xlfn.XLOOKUP(subscriptions[[#This Row],[customer_id]], customers[customer_id], customers[customer_id])), "NO", "YES")</f>
        <v>YES</v>
      </c>
      <c r="H508">
        <f>IF(AND(subscriptions[[#This Row],[end_date]]&lt;&gt;"", subscriptions[[#This Row],[end_date]] &lt; subscriptions[[#This Row],[start_date]]), 1, 0)</f>
        <v>0</v>
      </c>
      <c r="I5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8">
        <f>IF(
  AND(subscriptions[[#This Row],[end_before_start]]=0, subscriptions[[#This Row],[status_end_mismatch]]=0),
  1,
  0
)</f>
        <v>1</v>
      </c>
    </row>
    <row r="509" spans="1:10" x14ac:dyDescent="0.3">
      <c r="A509">
        <v>7417663</v>
      </c>
      <c r="B509">
        <v>829765</v>
      </c>
      <c r="C509">
        <v>1002</v>
      </c>
      <c r="D509" s="1">
        <v>45427</v>
      </c>
      <c r="E509" s="1"/>
      <c r="F509" t="s">
        <v>3480</v>
      </c>
      <c r="G509" t="str">
        <f>IF(ISNA(_xlfn.XLOOKUP(subscriptions[[#This Row],[customer_id]], customers[customer_id], customers[customer_id])), "NO", "YES")</f>
        <v>YES</v>
      </c>
      <c r="H509">
        <f>IF(AND(subscriptions[[#This Row],[end_date]]&lt;&gt;"", subscriptions[[#This Row],[end_date]] &lt; subscriptions[[#This Row],[start_date]]), 1, 0)</f>
        <v>0</v>
      </c>
      <c r="I5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09">
        <f>IF(
  AND(subscriptions[[#This Row],[end_before_start]]=0, subscriptions[[#This Row],[status_end_mismatch]]=0),
  1,
  0
)</f>
        <v>1</v>
      </c>
    </row>
    <row r="510" spans="1:10" x14ac:dyDescent="0.3">
      <c r="A510">
        <v>4178437</v>
      </c>
      <c r="B510">
        <v>989587</v>
      </c>
      <c r="C510">
        <v>1006</v>
      </c>
      <c r="D510" s="1">
        <v>45386</v>
      </c>
      <c r="E510" s="1"/>
      <c r="F510" t="s">
        <v>3480</v>
      </c>
      <c r="G510" t="str">
        <f>IF(ISNA(_xlfn.XLOOKUP(subscriptions[[#This Row],[customer_id]], customers[customer_id], customers[customer_id])), "NO", "YES")</f>
        <v>YES</v>
      </c>
      <c r="H510">
        <f>IF(AND(subscriptions[[#This Row],[end_date]]&lt;&gt;"", subscriptions[[#This Row],[end_date]] &lt; subscriptions[[#This Row],[start_date]]), 1, 0)</f>
        <v>0</v>
      </c>
      <c r="I5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0">
        <f>IF(
  AND(subscriptions[[#This Row],[end_before_start]]=0, subscriptions[[#This Row],[status_end_mismatch]]=0),
  1,
  0
)</f>
        <v>1</v>
      </c>
    </row>
    <row r="511" spans="1:10" x14ac:dyDescent="0.3">
      <c r="A511">
        <v>5629265</v>
      </c>
      <c r="B511">
        <v>668373</v>
      </c>
      <c r="C511">
        <v>1001</v>
      </c>
      <c r="D511" s="1">
        <v>45572</v>
      </c>
      <c r="E511" s="1"/>
      <c r="F511" t="s">
        <v>3480</v>
      </c>
      <c r="G511" t="str">
        <f>IF(ISNA(_xlfn.XLOOKUP(subscriptions[[#This Row],[customer_id]], customers[customer_id], customers[customer_id])), "NO", "YES")</f>
        <v>YES</v>
      </c>
      <c r="H511">
        <f>IF(AND(subscriptions[[#This Row],[end_date]]&lt;&gt;"", subscriptions[[#This Row],[end_date]] &lt; subscriptions[[#This Row],[start_date]]), 1, 0)</f>
        <v>0</v>
      </c>
      <c r="I5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1">
        <f>IF(
  AND(subscriptions[[#This Row],[end_before_start]]=0, subscriptions[[#This Row],[status_end_mismatch]]=0),
  1,
  0
)</f>
        <v>1</v>
      </c>
    </row>
    <row r="512" spans="1:10" x14ac:dyDescent="0.3">
      <c r="A512">
        <v>2831812</v>
      </c>
      <c r="B512">
        <v>906584</v>
      </c>
      <c r="C512">
        <v>1000</v>
      </c>
      <c r="D512" s="1">
        <v>44664</v>
      </c>
      <c r="E512" s="1">
        <v>44750</v>
      </c>
      <c r="F512" t="s">
        <v>3479</v>
      </c>
      <c r="G512" t="str">
        <f>IF(ISNA(_xlfn.XLOOKUP(subscriptions[[#This Row],[customer_id]], customers[customer_id], customers[customer_id])), "NO", "YES")</f>
        <v>YES</v>
      </c>
      <c r="H512">
        <f>IF(AND(subscriptions[[#This Row],[end_date]]&lt;&gt;"", subscriptions[[#This Row],[end_date]] &lt; subscriptions[[#This Row],[start_date]]), 1, 0)</f>
        <v>0</v>
      </c>
      <c r="I5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2">
        <f>IF(
  AND(subscriptions[[#This Row],[end_before_start]]=0, subscriptions[[#This Row],[status_end_mismatch]]=0),
  1,
  0
)</f>
        <v>1</v>
      </c>
    </row>
    <row r="513" spans="1:10" x14ac:dyDescent="0.3">
      <c r="A513">
        <v>4683937</v>
      </c>
      <c r="B513">
        <v>592198</v>
      </c>
      <c r="C513">
        <v>1006</v>
      </c>
      <c r="D513" s="1">
        <v>44797</v>
      </c>
      <c r="E513" s="1"/>
      <c r="F513" t="s">
        <v>3480</v>
      </c>
      <c r="G513" t="str">
        <f>IF(ISNA(_xlfn.XLOOKUP(subscriptions[[#This Row],[customer_id]], customers[customer_id], customers[customer_id])), "NO", "YES")</f>
        <v>YES</v>
      </c>
      <c r="H513">
        <f>IF(AND(subscriptions[[#This Row],[end_date]]&lt;&gt;"", subscriptions[[#This Row],[end_date]] &lt; subscriptions[[#This Row],[start_date]]), 1, 0)</f>
        <v>0</v>
      </c>
      <c r="I5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3">
        <f>IF(
  AND(subscriptions[[#This Row],[end_before_start]]=0, subscriptions[[#This Row],[status_end_mismatch]]=0),
  1,
  0
)</f>
        <v>1</v>
      </c>
    </row>
    <row r="514" spans="1:10" x14ac:dyDescent="0.3">
      <c r="A514">
        <v>1598744</v>
      </c>
      <c r="B514">
        <v>891937</v>
      </c>
      <c r="C514">
        <v>1007</v>
      </c>
      <c r="D514" s="1">
        <v>45107</v>
      </c>
      <c r="E514" s="1"/>
      <c r="F514" t="s">
        <v>3480</v>
      </c>
      <c r="G514" t="str">
        <f>IF(ISNA(_xlfn.XLOOKUP(subscriptions[[#This Row],[customer_id]], customers[customer_id], customers[customer_id])), "NO", "YES")</f>
        <v>YES</v>
      </c>
      <c r="H514">
        <f>IF(AND(subscriptions[[#This Row],[end_date]]&lt;&gt;"", subscriptions[[#This Row],[end_date]] &lt; subscriptions[[#This Row],[start_date]]), 1, 0)</f>
        <v>0</v>
      </c>
      <c r="I5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4">
        <f>IF(
  AND(subscriptions[[#This Row],[end_before_start]]=0, subscriptions[[#This Row],[status_end_mismatch]]=0),
  1,
  0
)</f>
        <v>1</v>
      </c>
    </row>
    <row r="515" spans="1:10" x14ac:dyDescent="0.3">
      <c r="A515">
        <v>9927688</v>
      </c>
      <c r="B515">
        <v>997343</v>
      </c>
      <c r="C515">
        <v>1003</v>
      </c>
      <c r="D515" s="1">
        <v>44768</v>
      </c>
      <c r="E515" s="1"/>
      <c r="F515" t="s">
        <v>3480</v>
      </c>
      <c r="G515" t="str">
        <f>IF(ISNA(_xlfn.XLOOKUP(subscriptions[[#This Row],[customer_id]], customers[customer_id], customers[customer_id])), "NO", "YES")</f>
        <v>YES</v>
      </c>
      <c r="H515">
        <f>IF(AND(subscriptions[[#This Row],[end_date]]&lt;&gt;"", subscriptions[[#This Row],[end_date]] &lt; subscriptions[[#This Row],[start_date]]), 1, 0)</f>
        <v>0</v>
      </c>
      <c r="I5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5">
        <f>IF(
  AND(subscriptions[[#This Row],[end_before_start]]=0, subscriptions[[#This Row],[status_end_mismatch]]=0),
  1,
  0
)</f>
        <v>1</v>
      </c>
    </row>
    <row r="516" spans="1:10" x14ac:dyDescent="0.3">
      <c r="A516">
        <v>7787380</v>
      </c>
      <c r="B516">
        <v>433396</v>
      </c>
      <c r="C516">
        <v>1004</v>
      </c>
      <c r="D516" s="1">
        <v>45364</v>
      </c>
      <c r="E516" s="1"/>
      <c r="F516" t="s">
        <v>3480</v>
      </c>
      <c r="G516" t="str">
        <f>IF(ISNA(_xlfn.XLOOKUP(subscriptions[[#This Row],[customer_id]], customers[customer_id], customers[customer_id])), "NO", "YES")</f>
        <v>YES</v>
      </c>
      <c r="H516">
        <f>IF(AND(subscriptions[[#This Row],[end_date]]&lt;&gt;"", subscriptions[[#This Row],[end_date]] &lt; subscriptions[[#This Row],[start_date]]), 1, 0)</f>
        <v>0</v>
      </c>
      <c r="I5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6">
        <f>IF(
  AND(subscriptions[[#This Row],[end_before_start]]=0, subscriptions[[#This Row],[status_end_mismatch]]=0),
  1,
  0
)</f>
        <v>1</v>
      </c>
    </row>
    <row r="517" spans="1:10" x14ac:dyDescent="0.3">
      <c r="A517">
        <v>4689113</v>
      </c>
      <c r="B517">
        <v>880623</v>
      </c>
      <c r="C517">
        <v>1003</v>
      </c>
      <c r="D517" s="1">
        <v>45111</v>
      </c>
      <c r="E517" s="1"/>
      <c r="F517" t="s">
        <v>3480</v>
      </c>
      <c r="G517" t="str">
        <f>IF(ISNA(_xlfn.XLOOKUP(subscriptions[[#This Row],[customer_id]], customers[customer_id], customers[customer_id])), "NO", "YES")</f>
        <v>YES</v>
      </c>
      <c r="H517">
        <f>IF(AND(subscriptions[[#This Row],[end_date]]&lt;&gt;"", subscriptions[[#This Row],[end_date]] &lt; subscriptions[[#This Row],[start_date]]), 1, 0)</f>
        <v>0</v>
      </c>
      <c r="I5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7">
        <f>IF(
  AND(subscriptions[[#This Row],[end_before_start]]=0, subscriptions[[#This Row],[status_end_mismatch]]=0),
  1,
  0
)</f>
        <v>1</v>
      </c>
    </row>
    <row r="518" spans="1:10" x14ac:dyDescent="0.3">
      <c r="A518">
        <v>3869392</v>
      </c>
      <c r="B518">
        <v>855276</v>
      </c>
      <c r="C518">
        <v>1004</v>
      </c>
      <c r="D518" s="1">
        <v>44978</v>
      </c>
      <c r="E518" s="1"/>
      <c r="F518" t="s">
        <v>3480</v>
      </c>
      <c r="G518" t="str">
        <f>IF(ISNA(_xlfn.XLOOKUP(subscriptions[[#This Row],[customer_id]], customers[customer_id], customers[customer_id])), "NO", "YES")</f>
        <v>YES</v>
      </c>
      <c r="H518">
        <f>IF(AND(subscriptions[[#This Row],[end_date]]&lt;&gt;"", subscriptions[[#This Row],[end_date]] &lt; subscriptions[[#This Row],[start_date]]), 1, 0)</f>
        <v>0</v>
      </c>
      <c r="I5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8">
        <f>IF(
  AND(subscriptions[[#This Row],[end_before_start]]=0, subscriptions[[#This Row],[status_end_mismatch]]=0),
  1,
  0
)</f>
        <v>1</v>
      </c>
    </row>
    <row r="519" spans="1:10" x14ac:dyDescent="0.3">
      <c r="A519">
        <v>5831713</v>
      </c>
      <c r="B519">
        <v>513927</v>
      </c>
      <c r="C519">
        <v>1005</v>
      </c>
      <c r="D519" s="1">
        <v>45151</v>
      </c>
      <c r="E519" s="1">
        <v>45229</v>
      </c>
      <c r="F519" t="s">
        <v>3479</v>
      </c>
      <c r="G519" t="str">
        <f>IF(ISNA(_xlfn.XLOOKUP(subscriptions[[#This Row],[customer_id]], customers[customer_id], customers[customer_id])), "NO", "YES")</f>
        <v>YES</v>
      </c>
      <c r="H519">
        <f>IF(AND(subscriptions[[#This Row],[end_date]]&lt;&gt;"", subscriptions[[#This Row],[end_date]] &lt; subscriptions[[#This Row],[start_date]]), 1, 0)</f>
        <v>0</v>
      </c>
      <c r="I5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19">
        <f>IF(
  AND(subscriptions[[#This Row],[end_before_start]]=0, subscriptions[[#This Row],[status_end_mismatch]]=0),
  1,
  0
)</f>
        <v>1</v>
      </c>
    </row>
    <row r="520" spans="1:10" x14ac:dyDescent="0.3">
      <c r="A520">
        <v>4105107</v>
      </c>
      <c r="B520">
        <v>813824</v>
      </c>
      <c r="C520">
        <v>1006</v>
      </c>
      <c r="D520" s="1">
        <v>45592</v>
      </c>
      <c r="E520" s="1">
        <v>45642</v>
      </c>
      <c r="F520" t="s">
        <v>3479</v>
      </c>
      <c r="G520" t="str">
        <f>IF(ISNA(_xlfn.XLOOKUP(subscriptions[[#This Row],[customer_id]], customers[customer_id], customers[customer_id])), "NO", "YES")</f>
        <v>YES</v>
      </c>
      <c r="H520">
        <f>IF(AND(subscriptions[[#This Row],[end_date]]&lt;&gt;"", subscriptions[[#This Row],[end_date]] &lt; subscriptions[[#This Row],[start_date]]), 1, 0)</f>
        <v>0</v>
      </c>
      <c r="I5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0">
        <f>IF(
  AND(subscriptions[[#This Row],[end_before_start]]=0, subscriptions[[#This Row],[status_end_mismatch]]=0),
  1,
  0
)</f>
        <v>1</v>
      </c>
    </row>
    <row r="521" spans="1:10" x14ac:dyDescent="0.3">
      <c r="A521">
        <v>6122489</v>
      </c>
      <c r="B521">
        <v>389854</v>
      </c>
      <c r="C521">
        <v>1002</v>
      </c>
      <c r="D521" s="1">
        <v>45050</v>
      </c>
      <c r="E521" s="1"/>
      <c r="F521" t="s">
        <v>3480</v>
      </c>
      <c r="G521" t="str">
        <f>IF(ISNA(_xlfn.XLOOKUP(subscriptions[[#This Row],[customer_id]], customers[customer_id], customers[customer_id])), "NO", "YES")</f>
        <v>YES</v>
      </c>
      <c r="H521">
        <f>IF(AND(subscriptions[[#This Row],[end_date]]&lt;&gt;"", subscriptions[[#This Row],[end_date]] &lt; subscriptions[[#This Row],[start_date]]), 1, 0)</f>
        <v>0</v>
      </c>
      <c r="I5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1">
        <f>IF(
  AND(subscriptions[[#This Row],[end_before_start]]=0, subscriptions[[#This Row],[status_end_mismatch]]=0),
  1,
  0
)</f>
        <v>1</v>
      </c>
    </row>
    <row r="522" spans="1:10" x14ac:dyDescent="0.3">
      <c r="A522">
        <v>2165255</v>
      </c>
      <c r="B522">
        <v>593869</v>
      </c>
      <c r="C522">
        <v>1009</v>
      </c>
      <c r="D522" s="1">
        <v>44903</v>
      </c>
      <c r="E522" s="1"/>
      <c r="F522" t="s">
        <v>3480</v>
      </c>
      <c r="G522" t="str">
        <f>IF(ISNA(_xlfn.XLOOKUP(subscriptions[[#This Row],[customer_id]], customers[customer_id], customers[customer_id])), "NO", "YES")</f>
        <v>YES</v>
      </c>
      <c r="H522">
        <f>IF(AND(subscriptions[[#This Row],[end_date]]&lt;&gt;"", subscriptions[[#This Row],[end_date]] &lt; subscriptions[[#This Row],[start_date]]), 1, 0)</f>
        <v>0</v>
      </c>
      <c r="I5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2">
        <f>IF(
  AND(subscriptions[[#This Row],[end_before_start]]=0, subscriptions[[#This Row],[status_end_mismatch]]=0),
  1,
  0
)</f>
        <v>1</v>
      </c>
    </row>
    <row r="523" spans="1:10" x14ac:dyDescent="0.3">
      <c r="A523">
        <v>8637262</v>
      </c>
      <c r="B523">
        <v>398910</v>
      </c>
      <c r="C523">
        <v>1005</v>
      </c>
      <c r="D523" s="1">
        <v>44852</v>
      </c>
      <c r="E523" s="1">
        <v>45223</v>
      </c>
      <c r="F523" t="s">
        <v>3479</v>
      </c>
      <c r="G523" t="str">
        <f>IF(ISNA(_xlfn.XLOOKUP(subscriptions[[#This Row],[customer_id]], customers[customer_id], customers[customer_id])), "NO", "YES")</f>
        <v>YES</v>
      </c>
      <c r="H523">
        <f>IF(AND(subscriptions[[#This Row],[end_date]]&lt;&gt;"", subscriptions[[#This Row],[end_date]] &lt; subscriptions[[#This Row],[start_date]]), 1, 0)</f>
        <v>0</v>
      </c>
      <c r="I5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3">
        <f>IF(
  AND(subscriptions[[#This Row],[end_before_start]]=0, subscriptions[[#This Row],[status_end_mismatch]]=0),
  1,
  0
)</f>
        <v>1</v>
      </c>
    </row>
    <row r="524" spans="1:10" x14ac:dyDescent="0.3">
      <c r="A524">
        <v>8962478</v>
      </c>
      <c r="B524">
        <v>854388</v>
      </c>
      <c r="C524">
        <v>1002</v>
      </c>
      <c r="D524" s="1">
        <v>45438</v>
      </c>
      <c r="E524" s="1"/>
      <c r="F524" t="s">
        <v>3480</v>
      </c>
      <c r="G524" t="str">
        <f>IF(ISNA(_xlfn.XLOOKUP(subscriptions[[#This Row],[customer_id]], customers[customer_id], customers[customer_id])), "NO", "YES")</f>
        <v>YES</v>
      </c>
      <c r="H524">
        <f>IF(AND(subscriptions[[#This Row],[end_date]]&lt;&gt;"", subscriptions[[#This Row],[end_date]] &lt; subscriptions[[#This Row],[start_date]]), 1, 0)</f>
        <v>0</v>
      </c>
      <c r="I5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4">
        <f>IF(
  AND(subscriptions[[#This Row],[end_before_start]]=0, subscriptions[[#This Row],[status_end_mismatch]]=0),
  1,
  0
)</f>
        <v>1</v>
      </c>
    </row>
    <row r="525" spans="1:10" x14ac:dyDescent="0.3">
      <c r="A525">
        <v>3978208</v>
      </c>
      <c r="B525">
        <v>193298</v>
      </c>
      <c r="C525">
        <v>1002</v>
      </c>
      <c r="D525" s="1">
        <v>45102</v>
      </c>
      <c r="E525" s="1">
        <v>45219</v>
      </c>
      <c r="F525" t="s">
        <v>3479</v>
      </c>
      <c r="G525" t="str">
        <f>IF(ISNA(_xlfn.XLOOKUP(subscriptions[[#This Row],[customer_id]], customers[customer_id], customers[customer_id])), "NO", "YES")</f>
        <v>YES</v>
      </c>
      <c r="H525">
        <f>IF(AND(subscriptions[[#This Row],[end_date]]&lt;&gt;"", subscriptions[[#This Row],[end_date]] &lt; subscriptions[[#This Row],[start_date]]), 1, 0)</f>
        <v>0</v>
      </c>
      <c r="I5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5">
        <f>IF(
  AND(subscriptions[[#This Row],[end_before_start]]=0, subscriptions[[#This Row],[status_end_mismatch]]=0),
  1,
  0
)</f>
        <v>1</v>
      </c>
    </row>
    <row r="526" spans="1:10" x14ac:dyDescent="0.3">
      <c r="A526">
        <v>1163307</v>
      </c>
      <c r="B526">
        <v>663244</v>
      </c>
      <c r="C526">
        <v>1004</v>
      </c>
      <c r="D526" s="1">
        <v>45283</v>
      </c>
      <c r="E526" s="1">
        <v>45611</v>
      </c>
      <c r="F526" t="s">
        <v>3479</v>
      </c>
      <c r="G526" t="str">
        <f>IF(ISNA(_xlfn.XLOOKUP(subscriptions[[#This Row],[customer_id]], customers[customer_id], customers[customer_id])), "NO", "YES")</f>
        <v>YES</v>
      </c>
      <c r="H526">
        <f>IF(AND(subscriptions[[#This Row],[end_date]]&lt;&gt;"", subscriptions[[#This Row],[end_date]] &lt; subscriptions[[#This Row],[start_date]]), 1, 0)</f>
        <v>0</v>
      </c>
      <c r="I5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6">
        <f>IF(
  AND(subscriptions[[#This Row],[end_before_start]]=0, subscriptions[[#This Row],[status_end_mismatch]]=0),
  1,
  0
)</f>
        <v>1</v>
      </c>
    </row>
    <row r="527" spans="1:10" x14ac:dyDescent="0.3">
      <c r="A527">
        <v>1016885</v>
      </c>
      <c r="B527">
        <v>804314</v>
      </c>
      <c r="C527">
        <v>1002</v>
      </c>
      <c r="D527" s="1">
        <v>45562</v>
      </c>
      <c r="E527" s="1">
        <v>45654</v>
      </c>
      <c r="F527" t="s">
        <v>3479</v>
      </c>
      <c r="G527" t="str">
        <f>IF(ISNA(_xlfn.XLOOKUP(subscriptions[[#This Row],[customer_id]], customers[customer_id], customers[customer_id])), "NO", "YES")</f>
        <v>YES</v>
      </c>
      <c r="H527">
        <f>IF(AND(subscriptions[[#This Row],[end_date]]&lt;&gt;"", subscriptions[[#This Row],[end_date]] &lt; subscriptions[[#This Row],[start_date]]), 1, 0)</f>
        <v>0</v>
      </c>
      <c r="I5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7">
        <f>IF(
  AND(subscriptions[[#This Row],[end_before_start]]=0, subscriptions[[#This Row],[status_end_mismatch]]=0),
  1,
  0
)</f>
        <v>1</v>
      </c>
    </row>
    <row r="528" spans="1:10" x14ac:dyDescent="0.3">
      <c r="A528">
        <v>1757936</v>
      </c>
      <c r="B528">
        <v>944986</v>
      </c>
      <c r="C528">
        <v>1008</v>
      </c>
      <c r="D528" s="1">
        <v>44597</v>
      </c>
      <c r="E528" s="1"/>
      <c r="F528" t="s">
        <v>3480</v>
      </c>
      <c r="G528" t="str">
        <f>IF(ISNA(_xlfn.XLOOKUP(subscriptions[[#This Row],[customer_id]], customers[customer_id], customers[customer_id])), "NO", "YES")</f>
        <v>YES</v>
      </c>
      <c r="H528">
        <f>IF(AND(subscriptions[[#This Row],[end_date]]&lt;&gt;"", subscriptions[[#This Row],[end_date]] &lt; subscriptions[[#This Row],[start_date]]), 1, 0)</f>
        <v>0</v>
      </c>
      <c r="I5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8">
        <f>IF(
  AND(subscriptions[[#This Row],[end_before_start]]=0, subscriptions[[#This Row],[status_end_mismatch]]=0),
  1,
  0
)</f>
        <v>1</v>
      </c>
    </row>
    <row r="529" spans="1:10" x14ac:dyDescent="0.3">
      <c r="A529">
        <v>5876441</v>
      </c>
      <c r="B529">
        <v>364239</v>
      </c>
      <c r="C529">
        <v>1000</v>
      </c>
      <c r="D529" s="1">
        <v>45029</v>
      </c>
      <c r="E529" s="1"/>
      <c r="F529" t="s">
        <v>3480</v>
      </c>
      <c r="G529" t="str">
        <f>IF(ISNA(_xlfn.XLOOKUP(subscriptions[[#This Row],[customer_id]], customers[customer_id], customers[customer_id])), "NO", "YES")</f>
        <v>YES</v>
      </c>
      <c r="H529">
        <f>IF(AND(subscriptions[[#This Row],[end_date]]&lt;&gt;"", subscriptions[[#This Row],[end_date]] &lt; subscriptions[[#This Row],[start_date]]), 1, 0)</f>
        <v>0</v>
      </c>
      <c r="I5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29">
        <f>IF(
  AND(subscriptions[[#This Row],[end_before_start]]=0, subscriptions[[#This Row],[status_end_mismatch]]=0),
  1,
  0
)</f>
        <v>1</v>
      </c>
    </row>
    <row r="530" spans="1:10" x14ac:dyDescent="0.3">
      <c r="A530">
        <v>3806907</v>
      </c>
      <c r="B530">
        <v>943584</v>
      </c>
      <c r="C530">
        <v>1001</v>
      </c>
      <c r="D530" s="1">
        <v>44862</v>
      </c>
      <c r="E530" s="1">
        <v>44943</v>
      </c>
      <c r="F530" t="s">
        <v>3479</v>
      </c>
      <c r="G530" t="str">
        <f>IF(ISNA(_xlfn.XLOOKUP(subscriptions[[#This Row],[customer_id]], customers[customer_id], customers[customer_id])), "NO", "YES")</f>
        <v>YES</v>
      </c>
      <c r="H530">
        <f>IF(AND(subscriptions[[#This Row],[end_date]]&lt;&gt;"", subscriptions[[#This Row],[end_date]] &lt; subscriptions[[#This Row],[start_date]]), 1, 0)</f>
        <v>0</v>
      </c>
      <c r="I5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0">
        <f>IF(
  AND(subscriptions[[#This Row],[end_before_start]]=0, subscriptions[[#This Row],[status_end_mismatch]]=0),
  1,
  0
)</f>
        <v>1</v>
      </c>
    </row>
    <row r="531" spans="1:10" x14ac:dyDescent="0.3">
      <c r="A531">
        <v>6110378</v>
      </c>
      <c r="B531">
        <v>969032</v>
      </c>
      <c r="C531">
        <v>1006</v>
      </c>
      <c r="D531" s="1">
        <v>45249</v>
      </c>
      <c r="E531" s="1"/>
      <c r="F531" t="s">
        <v>3480</v>
      </c>
      <c r="G531" t="str">
        <f>IF(ISNA(_xlfn.XLOOKUP(subscriptions[[#This Row],[customer_id]], customers[customer_id], customers[customer_id])), "NO", "YES")</f>
        <v>YES</v>
      </c>
      <c r="H531">
        <f>IF(AND(subscriptions[[#This Row],[end_date]]&lt;&gt;"", subscriptions[[#This Row],[end_date]] &lt; subscriptions[[#This Row],[start_date]]), 1, 0)</f>
        <v>0</v>
      </c>
      <c r="I5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1">
        <f>IF(
  AND(subscriptions[[#This Row],[end_before_start]]=0, subscriptions[[#This Row],[status_end_mismatch]]=0),
  1,
  0
)</f>
        <v>1</v>
      </c>
    </row>
    <row r="532" spans="1:10" x14ac:dyDescent="0.3">
      <c r="A532">
        <v>6885129</v>
      </c>
      <c r="B532">
        <v>586041</v>
      </c>
      <c r="C532">
        <v>1002</v>
      </c>
      <c r="D532" s="1">
        <v>45089</v>
      </c>
      <c r="E532" s="1">
        <v>45248</v>
      </c>
      <c r="F532" t="s">
        <v>3479</v>
      </c>
      <c r="G532" t="str">
        <f>IF(ISNA(_xlfn.XLOOKUP(subscriptions[[#This Row],[customer_id]], customers[customer_id], customers[customer_id])), "NO", "YES")</f>
        <v>YES</v>
      </c>
      <c r="H532">
        <f>IF(AND(subscriptions[[#This Row],[end_date]]&lt;&gt;"", subscriptions[[#This Row],[end_date]] &lt; subscriptions[[#This Row],[start_date]]), 1, 0)</f>
        <v>0</v>
      </c>
      <c r="I5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2">
        <f>IF(
  AND(subscriptions[[#This Row],[end_before_start]]=0, subscriptions[[#This Row],[status_end_mismatch]]=0),
  1,
  0
)</f>
        <v>1</v>
      </c>
    </row>
    <row r="533" spans="1:10" x14ac:dyDescent="0.3">
      <c r="A533">
        <v>7111760</v>
      </c>
      <c r="B533">
        <v>456324</v>
      </c>
      <c r="C533">
        <v>1006</v>
      </c>
      <c r="D533" s="1">
        <v>45501</v>
      </c>
      <c r="E533" s="1"/>
      <c r="F533" t="s">
        <v>3480</v>
      </c>
      <c r="G533" t="str">
        <f>IF(ISNA(_xlfn.XLOOKUP(subscriptions[[#This Row],[customer_id]], customers[customer_id], customers[customer_id])), "NO", "YES")</f>
        <v>YES</v>
      </c>
      <c r="H533">
        <f>IF(AND(subscriptions[[#This Row],[end_date]]&lt;&gt;"", subscriptions[[#This Row],[end_date]] &lt; subscriptions[[#This Row],[start_date]]), 1, 0)</f>
        <v>0</v>
      </c>
      <c r="I5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3">
        <f>IF(
  AND(subscriptions[[#This Row],[end_before_start]]=0, subscriptions[[#This Row],[status_end_mismatch]]=0),
  1,
  0
)</f>
        <v>1</v>
      </c>
    </row>
    <row r="534" spans="1:10" x14ac:dyDescent="0.3">
      <c r="A534">
        <v>6916088</v>
      </c>
      <c r="B534">
        <v>405202</v>
      </c>
      <c r="C534">
        <v>1008</v>
      </c>
      <c r="D534" s="1">
        <v>45178</v>
      </c>
      <c r="E534" s="1">
        <v>45473</v>
      </c>
      <c r="F534" t="s">
        <v>3479</v>
      </c>
      <c r="G534" t="str">
        <f>IF(ISNA(_xlfn.XLOOKUP(subscriptions[[#This Row],[customer_id]], customers[customer_id], customers[customer_id])), "NO", "YES")</f>
        <v>YES</v>
      </c>
      <c r="H534">
        <f>IF(AND(subscriptions[[#This Row],[end_date]]&lt;&gt;"", subscriptions[[#This Row],[end_date]] &lt; subscriptions[[#This Row],[start_date]]), 1, 0)</f>
        <v>0</v>
      </c>
      <c r="I5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4">
        <f>IF(
  AND(subscriptions[[#This Row],[end_before_start]]=0, subscriptions[[#This Row],[status_end_mismatch]]=0),
  1,
  0
)</f>
        <v>1</v>
      </c>
    </row>
    <row r="535" spans="1:10" x14ac:dyDescent="0.3">
      <c r="A535">
        <v>9126125</v>
      </c>
      <c r="B535">
        <v>575458</v>
      </c>
      <c r="C535">
        <v>1000</v>
      </c>
      <c r="D535" s="1">
        <v>44792</v>
      </c>
      <c r="E535" s="1"/>
      <c r="F535" t="s">
        <v>3480</v>
      </c>
      <c r="G535" t="str">
        <f>IF(ISNA(_xlfn.XLOOKUP(subscriptions[[#This Row],[customer_id]], customers[customer_id], customers[customer_id])), "NO", "YES")</f>
        <v>YES</v>
      </c>
      <c r="H535">
        <f>IF(AND(subscriptions[[#This Row],[end_date]]&lt;&gt;"", subscriptions[[#This Row],[end_date]] &lt; subscriptions[[#This Row],[start_date]]), 1, 0)</f>
        <v>0</v>
      </c>
      <c r="I5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5">
        <f>IF(
  AND(subscriptions[[#This Row],[end_before_start]]=0, subscriptions[[#This Row],[status_end_mismatch]]=0),
  1,
  0
)</f>
        <v>1</v>
      </c>
    </row>
    <row r="536" spans="1:10" x14ac:dyDescent="0.3">
      <c r="A536">
        <v>9712557</v>
      </c>
      <c r="B536">
        <v>957266</v>
      </c>
      <c r="C536">
        <v>1001</v>
      </c>
      <c r="D536" s="1">
        <v>44604</v>
      </c>
      <c r="E536" s="1"/>
      <c r="F536" t="s">
        <v>3480</v>
      </c>
      <c r="G536" t="str">
        <f>IF(ISNA(_xlfn.XLOOKUP(subscriptions[[#This Row],[customer_id]], customers[customer_id], customers[customer_id])), "NO", "YES")</f>
        <v>YES</v>
      </c>
      <c r="H536">
        <f>IF(AND(subscriptions[[#This Row],[end_date]]&lt;&gt;"", subscriptions[[#This Row],[end_date]] &lt; subscriptions[[#This Row],[start_date]]), 1, 0)</f>
        <v>0</v>
      </c>
      <c r="I5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6">
        <f>IF(
  AND(subscriptions[[#This Row],[end_before_start]]=0, subscriptions[[#This Row],[status_end_mismatch]]=0),
  1,
  0
)</f>
        <v>1</v>
      </c>
    </row>
    <row r="537" spans="1:10" x14ac:dyDescent="0.3">
      <c r="A537">
        <v>7884009</v>
      </c>
      <c r="B537">
        <v>962253</v>
      </c>
      <c r="C537">
        <v>1003</v>
      </c>
      <c r="D537" s="1">
        <v>45013</v>
      </c>
      <c r="E537" s="1">
        <v>45115</v>
      </c>
      <c r="F537" t="s">
        <v>3479</v>
      </c>
      <c r="G537" t="str">
        <f>IF(ISNA(_xlfn.XLOOKUP(subscriptions[[#This Row],[customer_id]], customers[customer_id], customers[customer_id])), "NO", "YES")</f>
        <v>YES</v>
      </c>
      <c r="H537">
        <f>IF(AND(subscriptions[[#This Row],[end_date]]&lt;&gt;"", subscriptions[[#This Row],[end_date]] &lt; subscriptions[[#This Row],[start_date]]), 1, 0)</f>
        <v>0</v>
      </c>
      <c r="I5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7">
        <f>IF(
  AND(subscriptions[[#This Row],[end_before_start]]=0, subscriptions[[#This Row],[status_end_mismatch]]=0),
  1,
  0
)</f>
        <v>1</v>
      </c>
    </row>
    <row r="538" spans="1:10" x14ac:dyDescent="0.3">
      <c r="A538">
        <v>6992727</v>
      </c>
      <c r="B538">
        <v>475691</v>
      </c>
      <c r="C538">
        <v>1001</v>
      </c>
      <c r="D538" s="1">
        <v>45581</v>
      </c>
      <c r="E538" s="1"/>
      <c r="F538" t="s">
        <v>3480</v>
      </c>
      <c r="G538" t="str">
        <f>IF(ISNA(_xlfn.XLOOKUP(subscriptions[[#This Row],[customer_id]], customers[customer_id], customers[customer_id])), "NO", "YES")</f>
        <v>YES</v>
      </c>
      <c r="H538">
        <f>IF(AND(subscriptions[[#This Row],[end_date]]&lt;&gt;"", subscriptions[[#This Row],[end_date]] &lt; subscriptions[[#This Row],[start_date]]), 1, 0)</f>
        <v>0</v>
      </c>
      <c r="I5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8">
        <f>IF(
  AND(subscriptions[[#This Row],[end_before_start]]=0, subscriptions[[#This Row],[status_end_mismatch]]=0),
  1,
  0
)</f>
        <v>1</v>
      </c>
    </row>
    <row r="539" spans="1:10" x14ac:dyDescent="0.3">
      <c r="A539">
        <v>8226291</v>
      </c>
      <c r="B539">
        <v>550513</v>
      </c>
      <c r="C539">
        <v>1002</v>
      </c>
      <c r="D539" s="1">
        <v>45298</v>
      </c>
      <c r="E539" s="1"/>
      <c r="F539" t="s">
        <v>3480</v>
      </c>
      <c r="G539" t="str">
        <f>IF(ISNA(_xlfn.XLOOKUP(subscriptions[[#This Row],[customer_id]], customers[customer_id], customers[customer_id])), "NO", "YES")</f>
        <v>YES</v>
      </c>
      <c r="H539">
        <f>IF(AND(subscriptions[[#This Row],[end_date]]&lt;&gt;"", subscriptions[[#This Row],[end_date]] &lt; subscriptions[[#This Row],[start_date]]), 1, 0)</f>
        <v>0</v>
      </c>
      <c r="I5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39">
        <f>IF(
  AND(subscriptions[[#This Row],[end_before_start]]=0, subscriptions[[#This Row],[status_end_mismatch]]=0),
  1,
  0
)</f>
        <v>1</v>
      </c>
    </row>
    <row r="540" spans="1:10" x14ac:dyDescent="0.3">
      <c r="A540">
        <v>2497768</v>
      </c>
      <c r="B540">
        <v>126240</v>
      </c>
      <c r="C540">
        <v>1003</v>
      </c>
      <c r="D540" s="1">
        <v>44958</v>
      </c>
      <c r="E540" s="1">
        <v>45181</v>
      </c>
      <c r="F540" t="s">
        <v>3479</v>
      </c>
      <c r="G540" t="str">
        <f>IF(ISNA(_xlfn.XLOOKUP(subscriptions[[#This Row],[customer_id]], customers[customer_id], customers[customer_id])), "NO", "YES")</f>
        <v>YES</v>
      </c>
      <c r="H540">
        <f>IF(AND(subscriptions[[#This Row],[end_date]]&lt;&gt;"", subscriptions[[#This Row],[end_date]] &lt; subscriptions[[#This Row],[start_date]]), 1, 0)</f>
        <v>0</v>
      </c>
      <c r="I5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0">
        <f>IF(
  AND(subscriptions[[#This Row],[end_before_start]]=0, subscriptions[[#This Row],[status_end_mismatch]]=0),
  1,
  0
)</f>
        <v>1</v>
      </c>
    </row>
    <row r="541" spans="1:10" x14ac:dyDescent="0.3">
      <c r="A541">
        <v>2810792</v>
      </c>
      <c r="B541">
        <v>712955</v>
      </c>
      <c r="C541">
        <v>1007</v>
      </c>
      <c r="D541" s="1">
        <v>45122</v>
      </c>
      <c r="E541" s="1">
        <v>45499</v>
      </c>
      <c r="F541" t="s">
        <v>3479</v>
      </c>
      <c r="G541" t="str">
        <f>IF(ISNA(_xlfn.XLOOKUP(subscriptions[[#This Row],[customer_id]], customers[customer_id], customers[customer_id])), "NO", "YES")</f>
        <v>YES</v>
      </c>
      <c r="H541">
        <f>IF(AND(subscriptions[[#This Row],[end_date]]&lt;&gt;"", subscriptions[[#This Row],[end_date]] &lt; subscriptions[[#This Row],[start_date]]), 1, 0)</f>
        <v>0</v>
      </c>
      <c r="I5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1">
        <f>IF(
  AND(subscriptions[[#This Row],[end_before_start]]=0, subscriptions[[#This Row],[status_end_mismatch]]=0),
  1,
  0
)</f>
        <v>1</v>
      </c>
    </row>
    <row r="542" spans="1:10" x14ac:dyDescent="0.3">
      <c r="A542">
        <v>8537488</v>
      </c>
      <c r="B542">
        <v>843167</v>
      </c>
      <c r="C542">
        <v>1002</v>
      </c>
      <c r="D542" s="1">
        <v>44920</v>
      </c>
      <c r="E542" s="1"/>
      <c r="F542" t="s">
        <v>3480</v>
      </c>
      <c r="G542" t="str">
        <f>IF(ISNA(_xlfn.XLOOKUP(subscriptions[[#This Row],[customer_id]], customers[customer_id], customers[customer_id])), "NO", "YES")</f>
        <v>YES</v>
      </c>
      <c r="H542">
        <f>IF(AND(subscriptions[[#This Row],[end_date]]&lt;&gt;"", subscriptions[[#This Row],[end_date]] &lt; subscriptions[[#This Row],[start_date]]), 1, 0)</f>
        <v>0</v>
      </c>
      <c r="I5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2">
        <f>IF(
  AND(subscriptions[[#This Row],[end_before_start]]=0, subscriptions[[#This Row],[status_end_mismatch]]=0),
  1,
  0
)</f>
        <v>1</v>
      </c>
    </row>
    <row r="543" spans="1:10" x14ac:dyDescent="0.3">
      <c r="A543">
        <v>6852648</v>
      </c>
      <c r="B543">
        <v>516174</v>
      </c>
      <c r="C543">
        <v>1003</v>
      </c>
      <c r="D543" s="1">
        <v>45240</v>
      </c>
      <c r="E543" s="1"/>
      <c r="F543" t="s">
        <v>3480</v>
      </c>
      <c r="G543" t="str">
        <f>IF(ISNA(_xlfn.XLOOKUP(subscriptions[[#This Row],[customer_id]], customers[customer_id], customers[customer_id])), "NO", "YES")</f>
        <v>YES</v>
      </c>
      <c r="H543">
        <f>IF(AND(subscriptions[[#This Row],[end_date]]&lt;&gt;"", subscriptions[[#This Row],[end_date]] &lt; subscriptions[[#This Row],[start_date]]), 1, 0)</f>
        <v>0</v>
      </c>
      <c r="I5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3">
        <f>IF(
  AND(subscriptions[[#This Row],[end_before_start]]=0, subscriptions[[#This Row],[status_end_mismatch]]=0),
  1,
  0
)</f>
        <v>1</v>
      </c>
    </row>
    <row r="544" spans="1:10" x14ac:dyDescent="0.3">
      <c r="A544">
        <v>8001036</v>
      </c>
      <c r="B544">
        <v>859782</v>
      </c>
      <c r="C544">
        <v>1001</v>
      </c>
      <c r="D544" s="1">
        <v>45127</v>
      </c>
      <c r="E544" s="1"/>
      <c r="F544" t="s">
        <v>3480</v>
      </c>
      <c r="G544" t="str">
        <f>IF(ISNA(_xlfn.XLOOKUP(subscriptions[[#This Row],[customer_id]], customers[customer_id], customers[customer_id])), "NO", "YES")</f>
        <v>YES</v>
      </c>
      <c r="H544">
        <f>IF(AND(subscriptions[[#This Row],[end_date]]&lt;&gt;"", subscriptions[[#This Row],[end_date]] &lt; subscriptions[[#This Row],[start_date]]), 1, 0)</f>
        <v>0</v>
      </c>
      <c r="I5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4">
        <f>IF(
  AND(subscriptions[[#This Row],[end_before_start]]=0, subscriptions[[#This Row],[status_end_mismatch]]=0),
  1,
  0
)</f>
        <v>1</v>
      </c>
    </row>
    <row r="545" spans="1:10" x14ac:dyDescent="0.3">
      <c r="A545">
        <v>1689543</v>
      </c>
      <c r="B545">
        <v>276556</v>
      </c>
      <c r="C545">
        <v>1006</v>
      </c>
      <c r="D545" s="1">
        <v>45265</v>
      </c>
      <c r="E545" s="1">
        <v>45357</v>
      </c>
      <c r="F545" t="s">
        <v>3479</v>
      </c>
      <c r="G545" t="str">
        <f>IF(ISNA(_xlfn.XLOOKUP(subscriptions[[#This Row],[customer_id]], customers[customer_id], customers[customer_id])), "NO", "YES")</f>
        <v>YES</v>
      </c>
      <c r="H545">
        <f>IF(AND(subscriptions[[#This Row],[end_date]]&lt;&gt;"", subscriptions[[#This Row],[end_date]] &lt; subscriptions[[#This Row],[start_date]]), 1, 0)</f>
        <v>0</v>
      </c>
      <c r="I5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5">
        <f>IF(
  AND(subscriptions[[#This Row],[end_before_start]]=0, subscriptions[[#This Row],[status_end_mismatch]]=0),
  1,
  0
)</f>
        <v>1</v>
      </c>
    </row>
    <row r="546" spans="1:10" x14ac:dyDescent="0.3">
      <c r="A546">
        <v>8272245</v>
      </c>
      <c r="B546">
        <v>907369</v>
      </c>
      <c r="C546">
        <v>1006</v>
      </c>
      <c r="D546" s="1">
        <v>45493</v>
      </c>
      <c r="E546" s="1"/>
      <c r="F546" t="s">
        <v>3480</v>
      </c>
      <c r="G546" t="str">
        <f>IF(ISNA(_xlfn.XLOOKUP(subscriptions[[#This Row],[customer_id]], customers[customer_id], customers[customer_id])), "NO", "YES")</f>
        <v>YES</v>
      </c>
      <c r="H546">
        <f>IF(AND(subscriptions[[#This Row],[end_date]]&lt;&gt;"", subscriptions[[#This Row],[end_date]] &lt; subscriptions[[#This Row],[start_date]]), 1, 0)</f>
        <v>0</v>
      </c>
      <c r="I5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6">
        <f>IF(
  AND(subscriptions[[#This Row],[end_before_start]]=0, subscriptions[[#This Row],[status_end_mismatch]]=0),
  1,
  0
)</f>
        <v>1</v>
      </c>
    </row>
    <row r="547" spans="1:10" x14ac:dyDescent="0.3">
      <c r="A547">
        <v>6821657</v>
      </c>
      <c r="B547">
        <v>260639</v>
      </c>
      <c r="C547">
        <v>1009</v>
      </c>
      <c r="D547" s="1">
        <v>45152</v>
      </c>
      <c r="E547" s="1"/>
      <c r="F547" t="s">
        <v>3480</v>
      </c>
      <c r="G547" t="str">
        <f>IF(ISNA(_xlfn.XLOOKUP(subscriptions[[#This Row],[customer_id]], customers[customer_id], customers[customer_id])), "NO", "YES")</f>
        <v>YES</v>
      </c>
      <c r="H547">
        <f>IF(AND(subscriptions[[#This Row],[end_date]]&lt;&gt;"", subscriptions[[#This Row],[end_date]] &lt; subscriptions[[#This Row],[start_date]]), 1, 0)</f>
        <v>0</v>
      </c>
      <c r="I5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7">
        <f>IF(
  AND(subscriptions[[#This Row],[end_before_start]]=0, subscriptions[[#This Row],[status_end_mismatch]]=0),
  1,
  0
)</f>
        <v>1</v>
      </c>
    </row>
    <row r="548" spans="1:10" x14ac:dyDescent="0.3">
      <c r="A548">
        <v>1139836</v>
      </c>
      <c r="B548">
        <v>176421</v>
      </c>
      <c r="C548">
        <v>1009</v>
      </c>
      <c r="D548" s="1">
        <v>45583</v>
      </c>
      <c r="E548" s="1">
        <v>45643</v>
      </c>
      <c r="F548" t="s">
        <v>3479</v>
      </c>
      <c r="G548" t="str">
        <f>IF(ISNA(_xlfn.XLOOKUP(subscriptions[[#This Row],[customer_id]], customers[customer_id], customers[customer_id])), "NO", "YES")</f>
        <v>YES</v>
      </c>
      <c r="H548">
        <f>IF(AND(subscriptions[[#This Row],[end_date]]&lt;&gt;"", subscriptions[[#This Row],[end_date]] &lt; subscriptions[[#This Row],[start_date]]), 1, 0)</f>
        <v>0</v>
      </c>
      <c r="I5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8">
        <f>IF(
  AND(subscriptions[[#This Row],[end_before_start]]=0, subscriptions[[#This Row],[status_end_mismatch]]=0),
  1,
  0
)</f>
        <v>1</v>
      </c>
    </row>
    <row r="549" spans="1:10" x14ac:dyDescent="0.3">
      <c r="A549">
        <v>3520403</v>
      </c>
      <c r="B549">
        <v>449031</v>
      </c>
      <c r="C549">
        <v>1006</v>
      </c>
      <c r="D549" s="1">
        <v>45155</v>
      </c>
      <c r="E549" s="1">
        <v>45525</v>
      </c>
      <c r="F549" t="s">
        <v>3479</v>
      </c>
      <c r="G549" t="str">
        <f>IF(ISNA(_xlfn.XLOOKUP(subscriptions[[#This Row],[customer_id]], customers[customer_id], customers[customer_id])), "NO", "YES")</f>
        <v>YES</v>
      </c>
      <c r="H549">
        <f>IF(AND(subscriptions[[#This Row],[end_date]]&lt;&gt;"", subscriptions[[#This Row],[end_date]] &lt; subscriptions[[#This Row],[start_date]]), 1, 0)</f>
        <v>0</v>
      </c>
      <c r="I5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49">
        <f>IF(
  AND(subscriptions[[#This Row],[end_before_start]]=0, subscriptions[[#This Row],[status_end_mismatch]]=0),
  1,
  0
)</f>
        <v>1</v>
      </c>
    </row>
    <row r="550" spans="1:10" x14ac:dyDescent="0.3">
      <c r="A550">
        <v>3728089</v>
      </c>
      <c r="B550">
        <v>693643</v>
      </c>
      <c r="C550">
        <v>1004</v>
      </c>
      <c r="D550" s="1">
        <v>45183</v>
      </c>
      <c r="E550" s="1"/>
      <c r="F550" t="s">
        <v>3480</v>
      </c>
      <c r="G550" t="str">
        <f>IF(ISNA(_xlfn.XLOOKUP(subscriptions[[#This Row],[customer_id]], customers[customer_id], customers[customer_id])), "NO", "YES")</f>
        <v>YES</v>
      </c>
      <c r="H550">
        <f>IF(AND(subscriptions[[#This Row],[end_date]]&lt;&gt;"", subscriptions[[#This Row],[end_date]] &lt; subscriptions[[#This Row],[start_date]]), 1, 0)</f>
        <v>0</v>
      </c>
      <c r="I5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0">
        <f>IF(
  AND(subscriptions[[#This Row],[end_before_start]]=0, subscriptions[[#This Row],[status_end_mismatch]]=0),
  1,
  0
)</f>
        <v>1</v>
      </c>
    </row>
    <row r="551" spans="1:10" x14ac:dyDescent="0.3">
      <c r="A551">
        <v>2084084</v>
      </c>
      <c r="B551">
        <v>615607</v>
      </c>
      <c r="C551">
        <v>1009</v>
      </c>
      <c r="D551" s="1">
        <v>45165</v>
      </c>
      <c r="E551" s="1"/>
      <c r="F551" t="s">
        <v>3480</v>
      </c>
      <c r="G551" t="str">
        <f>IF(ISNA(_xlfn.XLOOKUP(subscriptions[[#This Row],[customer_id]], customers[customer_id], customers[customer_id])), "NO", "YES")</f>
        <v>YES</v>
      </c>
      <c r="H551">
        <f>IF(AND(subscriptions[[#This Row],[end_date]]&lt;&gt;"", subscriptions[[#This Row],[end_date]] &lt; subscriptions[[#This Row],[start_date]]), 1, 0)</f>
        <v>0</v>
      </c>
      <c r="I5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1">
        <f>IF(
  AND(subscriptions[[#This Row],[end_before_start]]=0, subscriptions[[#This Row],[status_end_mismatch]]=0),
  1,
  0
)</f>
        <v>1</v>
      </c>
    </row>
    <row r="552" spans="1:10" x14ac:dyDescent="0.3">
      <c r="A552">
        <v>1687078</v>
      </c>
      <c r="B552">
        <v>794663</v>
      </c>
      <c r="C552">
        <v>1009</v>
      </c>
      <c r="D552" s="1">
        <v>45007</v>
      </c>
      <c r="E552" s="1"/>
      <c r="F552" t="s">
        <v>3480</v>
      </c>
      <c r="G552" t="str">
        <f>IF(ISNA(_xlfn.XLOOKUP(subscriptions[[#This Row],[customer_id]], customers[customer_id], customers[customer_id])), "NO", "YES")</f>
        <v>YES</v>
      </c>
      <c r="H552">
        <f>IF(AND(subscriptions[[#This Row],[end_date]]&lt;&gt;"", subscriptions[[#This Row],[end_date]] &lt; subscriptions[[#This Row],[start_date]]), 1, 0)</f>
        <v>0</v>
      </c>
      <c r="I5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2">
        <f>IF(
  AND(subscriptions[[#This Row],[end_before_start]]=0, subscriptions[[#This Row],[status_end_mismatch]]=0),
  1,
  0
)</f>
        <v>1</v>
      </c>
    </row>
    <row r="553" spans="1:10" x14ac:dyDescent="0.3">
      <c r="A553">
        <v>3070908</v>
      </c>
      <c r="B553">
        <v>738720</v>
      </c>
      <c r="C553">
        <v>1000</v>
      </c>
      <c r="D553" s="1">
        <v>44670</v>
      </c>
      <c r="E553" s="1"/>
      <c r="F553" t="s">
        <v>3480</v>
      </c>
      <c r="G553" t="str">
        <f>IF(ISNA(_xlfn.XLOOKUP(subscriptions[[#This Row],[customer_id]], customers[customer_id], customers[customer_id])), "NO", "YES")</f>
        <v>YES</v>
      </c>
      <c r="H553">
        <f>IF(AND(subscriptions[[#This Row],[end_date]]&lt;&gt;"", subscriptions[[#This Row],[end_date]] &lt; subscriptions[[#This Row],[start_date]]), 1, 0)</f>
        <v>0</v>
      </c>
      <c r="I5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3">
        <f>IF(
  AND(subscriptions[[#This Row],[end_before_start]]=0, subscriptions[[#This Row],[status_end_mismatch]]=0),
  1,
  0
)</f>
        <v>1</v>
      </c>
    </row>
    <row r="554" spans="1:10" x14ac:dyDescent="0.3">
      <c r="A554">
        <v>1085400</v>
      </c>
      <c r="B554">
        <v>870214</v>
      </c>
      <c r="C554">
        <v>1009</v>
      </c>
      <c r="D554" s="1">
        <v>45443</v>
      </c>
      <c r="E554" s="1"/>
      <c r="F554" t="s">
        <v>3480</v>
      </c>
      <c r="G554" t="str">
        <f>IF(ISNA(_xlfn.XLOOKUP(subscriptions[[#This Row],[customer_id]], customers[customer_id], customers[customer_id])), "NO", "YES")</f>
        <v>YES</v>
      </c>
      <c r="H554">
        <f>IF(AND(subscriptions[[#This Row],[end_date]]&lt;&gt;"", subscriptions[[#This Row],[end_date]] &lt; subscriptions[[#This Row],[start_date]]), 1, 0)</f>
        <v>0</v>
      </c>
      <c r="I5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4">
        <f>IF(
  AND(subscriptions[[#This Row],[end_before_start]]=0, subscriptions[[#This Row],[status_end_mismatch]]=0),
  1,
  0
)</f>
        <v>1</v>
      </c>
    </row>
    <row r="555" spans="1:10" x14ac:dyDescent="0.3">
      <c r="A555">
        <v>1010766</v>
      </c>
      <c r="B555">
        <v>374258</v>
      </c>
      <c r="C555">
        <v>1003</v>
      </c>
      <c r="D555" s="1">
        <v>44664</v>
      </c>
      <c r="E555" s="1"/>
      <c r="F555" t="s">
        <v>3480</v>
      </c>
      <c r="G555" t="str">
        <f>IF(ISNA(_xlfn.XLOOKUP(subscriptions[[#This Row],[customer_id]], customers[customer_id], customers[customer_id])), "NO", "YES")</f>
        <v>YES</v>
      </c>
      <c r="H555">
        <f>IF(AND(subscriptions[[#This Row],[end_date]]&lt;&gt;"", subscriptions[[#This Row],[end_date]] &lt; subscriptions[[#This Row],[start_date]]), 1, 0)</f>
        <v>0</v>
      </c>
      <c r="I5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5">
        <f>IF(
  AND(subscriptions[[#This Row],[end_before_start]]=0, subscriptions[[#This Row],[status_end_mismatch]]=0),
  1,
  0
)</f>
        <v>1</v>
      </c>
    </row>
    <row r="556" spans="1:10" x14ac:dyDescent="0.3">
      <c r="A556">
        <v>6875686</v>
      </c>
      <c r="B556">
        <v>430876</v>
      </c>
      <c r="C556">
        <v>1008</v>
      </c>
      <c r="D556" s="1">
        <v>45142</v>
      </c>
      <c r="E556" s="1">
        <v>45429</v>
      </c>
      <c r="F556" t="s">
        <v>3479</v>
      </c>
      <c r="G556" t="str">
        <f>IF(ISNA(_xlfn.XLOOKUP(subscriptions[[#This Row],[customer_id]], customers[customer_id], customers[customer_id])), "NO", "YES")</f>
        <v>YES</v>
      </c>
      <c r="H556">
        <f>IF(AND(subscriptions[[#This Row],[end_date]]&lt;&gt;"", subscriptions[[#This Row],[end_date]] &lt; subscriptions[[#This Row],[start_date]]), 1, 0)</f>
        <v>0</v>
      </c>
      <c r="I5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6">
        <f>IF(
  AND(subscriptions[[#This Row],[end_before_start]]=0, subscriptions[[#This Row],[status_end_mismatch]]=0),
  1,
  0
)</f>
        <v>1</v>
      </c>
    </row>
    <row r="557" spans="1:10" x14ac:dyDescent="0.3">
      <c r="A557">
        <v>3601089</v>
      </c>
      <c r="B557">
        <v>940247</v>
      </c>
      <c r="C557">
        <v>1000</v>
      </c>
      <c r="D557" s="1">
        <v>44738</v>
      </c>
      <c r="E557" s="1">
        <v>44841</v>
      </c>
      <c r="F557" t="s">
        <v>3479</v>
      </c>
      <c r="G557" t="str">
        <f>IF(ISNA(_xlfn.XLOOKUP(subscriptions[[#This Row],[customer_id]], customers[customer_id], customers[customer_id])), "NO", "YES")</f>
        <v>YES</v>
      </c>
      <c r="H557">
        <f>IF(AND(subscriptions[[#This Row],[end_date]]&lt;&gt;"", subscriptions[[#This Row],[end_date]] &lt; subscriptions[[#This Row],[start_date]]), 1, 0)</f>
        <v>0</v>
      </c>
      <c r="I5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7">
        <f>IF(
  AND(subscriptions[[#This Row],[end_before_start]]=0, subscriptions[[#This Row],[status_end_mismatch]]=0),
  1,
  0
)</f>
        <v>1</v>
      </c>
    </row>
    <row r="558" spans="1:10" x14ac:dyDescent="0.3">
      <c r="A558">
        <v>4300538</v>
      </c>
      <c r="B558">
        <v>880900</v>
      </c>
      <c r="C558">
        <v>1005</v>
      </c>
      <c r="D558" s="1">
        <v>45446</v>
      </c>
      <c r="E558" s="1"/>
      <c r="F558" t="s">
        <v>3480</v>
      </c>
      <c r="G558" t="str">
        <f>IF(ISNA(_xlfn.XLOOKUP(subscriptions[[#This Row],[customer_id]], customers[customer_id], customers[customer_id])), "NO", "YES")</f>
        <v>YES</v>
      </c>
      <c r="H558">
        <f>IF(AND(subscriptions[[#This Row],[end_date]]&lt;&gt;"", subscriptions[[#This Row],[end_date]] &lt; subscriptions[[#This Row],[start_date]]), 1, 0)</f>
        <v>0</v>
      </c>
      <c r="I5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8">
        <f>IF(
  AND(subscriptions[[#This Row],[end_before_start]]=0, subscriptions[[#This Row],[status_end_mismatch]]=0),
  1,
  0
)</f>
        <v>1</v>
      </c>
    </row>
    <row r="559" spans="1:10" x14ac:dyDescent="0.3">
      <c r="A559">
        <v>2354222</v>
      </c>
      <c r="B559">
        <v>539486</v>
      </c>
      <c r="C559">
        <v>1006</v>
      </c>
      <c r="D559" s="1">
        <v>45157</v>
      </c>
      <c r="E559" s="1"/>
      <c r="F559" t="s">
        <v>3480</v>
      </c>
      <c r="G559" t="str">
        <f>IF(ISNA(_xlfn.XLOOKUP(subscriptions[[#This Row],[customer_id]], customers[customer_id], customers[customer_id])), "NO", "YES")</f>
        <v>YES</v>
      </c>
      <c r="H559">
        <f>IF(AND(subscriptions[[#This Row],[end_date]]&lt;&gt;"", subscriptions[[#This Row],[end_date]] &lt; subscriptions[[#This Row],[start_date]]), 1, 0)</f>
        <v>0</v>
      </c>
      <c r="I5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59">
        <f>IF(
  AND(subscriptions[[#This Row],[end_before_start]]=0, subscriptions[[#This Row],[status_end_mismatch]]=0),
  1,
  0
)</f>
        <v>1</v>
      </c>
    </row>
    <row r="560" spans="1:10" x14ac:dyDescent="0.3">
      <c r="A560">
        <v>8938605</v>
      </c>
      <c r="B560">
        <v>405202</v>
      </c>
      <c r="C560">
        <v>1008</v>
      </c>
      <c r="D560" s="1">
        <v>45288</v>
      </c>
      <c r="E560" s="1"/>
      <c r="F560" t="s">
        <v>3480</v>
      </c>
      <c r="G560" t="str">
        <f>IF(ISNA(_xlfn.XLOOKUP(subscriptions[[#This Row],[customer_id]], customers[customer_id], customers[customer_id])), "NO", "YES")</f>
        <v>YES</v>
      </c>
      <c r="H560">
        <f>IF(AND(subscriptions[[#This Row],[end_date]]&lt;&gt;"", subscriptions[[#This Row],[end_date]] &lt; subscriptions[[#This Row],[start_date]]), 1, 0)</f>
        <v>0</v>
      </c>
      <c r="I5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0">
        <f>IF(
  AND(subscriptions[[#This Row],[end_before_start]]=0, subscriptions[[#This Row],[status_end_mismatch]]=0),
  1,
  0
)</f>
        <v>1</v>
      </c>
    </row>
    <row r="561" spans="1:10" x14ac:dyDescent="0.3">
      <c r="A561">
        <v>7480045</v>
      </c>
      <c r="B561">
        <v>944986</v>
      </c>
      <c r="C561">
        <v>1008</v>
      </c>
      <c r="D561" s="1">
        <v>45427</v>
      </c>
      <c r="E561" s="1"/>
      <c r="F561" t="s">
        <v>3480</v>
      </c>
      <c r="G561" t="str">
        <f>IF(ISNA(_xlfn.XLOOKUP(subscriptions[[#This Row],[customer_id]], customers[customer_id], customers[customer_id])), "NO", "YES")</f>
        <v>YES</v>
      </c>
      <c r="H561">
        <f>IF(AND(subscriptions[[#This Row],[end_date]]&lt;&gt;"", subscriptions[[#This Row],[end_date]] &lt; subscriptions[[#This Row],[start_date]]), 1, 0)</f>
        <v>0</v>
      </c>
      <c r="I5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1">
        <f>IF(
  AND(subscriptions[[#This Row],[end_before_start]]=0, subscriptions[[#This Row],[status_end_mismatch]]=0),
  1,
  0
)</f>
        <v>1</v>
      </c>
    </row>
    <row r="562" spans="1:10" x14ac:dyDescent="0.3">
      <c r="A562">
        <v>2646494</v>
      </c>
      <c r="B562">
        <v>891937</v>
      </c>
      <c r="C562">
        <v>1005</v>
      </c>
      <c r="D562" s="1">
        <v>45097</v>
      </c>
      <c r="E562" s="1">
        <v>45432</v>
      </c>
      <c r="F562" t="s">
        <v>3479</v>
      </c>
      <c r="G562" t="str">
        <f>IF(ISNA(_xlfn.XLOOKUP(subscriptions[[#This Row],[customer_id]], customers[customer_id], customers[customer_id])), "NO", "YES")</f>
        <v>YES</v>
      </c>
      <c r="H562">
        <f>IF(AND(subscriptions[[#This Row],[end_date]]&lt;&gt;"", subscriptions[[#This Row],[end_date]] &lt; subscriptions[[#This Row],[start_date]]), 1, 0)</f>
        <v>0</v>
      </c>
      <c r="I5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2">
        <f>IF(
  AND(subscriptions[[#This Row],[end_before_start]]=0, subscriptions[[#This Row],[status_end_mismatch]]=0),
  1,
  0
)</f>
        <v>1</v>
      </c>
    </row>
    <row r="563" spans="1:10" x14ac:dyDescent="0.3">
      <c r="A563">
        <v>6213281</v>
      </c>
      <c r="B563">
        <v>579404</v>
      </c>
      <c r="C563">
        <v>1005</v>
      </c>
      <c r="D563" s="1">
        <v>44916</v>
      </c>
      <c r="E563" s="1"/>
      <c r="F563" t="s">
        <v>3480</v>
      </c>
      <c r="G563" t="str">
        <f>IF(ISNA(_xlfn.XLOOKUP(subscriptions[[#This Row],[customer_id]], customers[customer_id], customers[customer_id])), "NO", "YES")</f>
        <v>YES</v>
      </c>
      <c r="H563">
        <f>IF(AND(subscriptions[[#This Row],[end_date]]&lt;&gt;"", subscriptions[[#This Row],[end_date]] &lt; subscriptions[[#This Row],[start_date]]), 1, 0)</f>
        <v>0</v>
      </c>
      <c r="I5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3">
        <f>IF(
  AND(subscriptions[[#This Row],[end_before_start]]=0, subscriptions[[#This Row],[status_end_mismatch]]=0),
  1,
  0
)</f>
        <v>1</v>
      </c>
    </row>
    <row r="564" spans="1:10" x14ac:dyDescent="0.3">
      <c r="A564">
        <v>6410314</v>
      </c>
      <c r="B564">
        <v>764873</v>
      </c>
      <c r="C564">
        <v>1009</v>
      </c>
      <c r="D564" s="1">
        <v>44847</v>
      </c>
      <c r="E564" s="1">
        <v>44979</v>
      </c>
      <c r="F564" t="s">
        <v>3479</v>
      </c>
      <c r="G564" t="str">
        <f>IF(ISNA(_xlfn.XLOOKUP(subscriptions[[#This Row],[customer_id]], customers[customer_id], customers[customer_id])), "NO", "YES")</f>
        <v>YES</v>
      </c>
      <c r="H564">
        <f>IF(AND(subscriptions[[#This Row],[end_date]]&lt;&gt;"", subscriptions[[#This Row],[end_date]] &lt; subscriptions[[#This Row],[start_date]]), 1, 0)</f>
        <v>0</v>
      </c>
      <c r="I5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4">
        <f>IF(
  AND(subscriptions[[#This Row],[end_before_start]]=0, subscriptions[[#This Row],[status_end_mismatch]]=0),
  1,
  0
)</f>
        <v>1</v>
      </c>
    </row>
    <row r="565" spans="1:10" x14ac:dyDescent="0.3">
      <c r="A565">
        <v>5194647</v>
      </c>
      <c r="B565">
        <v>556839</v>
      </c>
      <c r="C565">
        <v>1005</v>
      </c>
      <c r="D565" s="1">
        <v>44839</v>
      </c>
      <c r="E565" s="1"/>
      <c r="F565" t="s">
        <v>3480</v>
      </c>
      <c r="G565" t="str">
        <f>IF(ISNA(_xlfn.XLOOKUP(subscriptions[[#This Row],[customer_id]], customers[customer_id], customers[customer_id])), "NO", "YES")</f>
        <v>YES</v>
      </c>
      <c r="H565">
        <f>IF(AND(subscriptions[[#This Row],[end_date]]&lt;&gt;"", subscriptions[[#This Row],[end_date]] &lt; subscriptions[[#This Row],[start_date]]), 1, 0)</f>
        <v>0</v>
      </c>
      <c r="I5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5">
        <f>IF(
  AND(subscriptions[[#This Row],[end_before_start]]=0, subscriptions[[#This Row],[status_end_mismatch]]=0),
  1,
  0
)</f>
        <v>1</v>
      </c>
    </row>
    <row r="566" spans="1:10" x14ac:dyDescent="0.3">
      <c r="A566">
        <v>4347443</v>
      </c>
      <c r="B566">
        <v>904857</v>
      </c>
      <c r="C566">
        <v>1001</v>
      </c>
      <c r="D566" s="1">
        <v>45178</v>
      </c>
      <c r="E566" s="1"/>
      <c r="F566" t="s">
        <v>3480</v>
      </c>
      <c r="G566" t="str">
        <f>IF(ISNA(_xlfn.XLOOKUP(subscriptions[[#This Row],[customer_id]], customers[customer_id], customers[customer_id])), "NO", "YES")</f>
        <v>YES</v>
      </c>
      <c r="H566">
        <f>IF(AND(subscriptions[[#This Row],[end_date]]&lt;&gt;"", subscriptions[[#This Row],[end_date]] &lt; subscriptions[[#This Row],[start_date]]), 1, 0)</f>
        <v>0</v>
      </c>
      <c r="I5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6">
        <f>IF(
  AND(subscriptions[[#This Row],[end_before_start]]=0, subscriptions[[#This Row],[status_end_mismatch]]=0),
  1,
  0
)</f>
        <v>1</v>
      </c>
    </row>
    <row r="567" spans="1:10" x14ac:dyDescent="0.3">
      <c r="A567">
        <v>5988439</v>
      </c>
      <c r="B567">
        <v>124906</v>
      </c>
      <c r="C567">
        <v>1003</v>
      </c>
      <c r="D567" s="1">
        <v>45506</v>
      </c>
      <c r="E567" s="1"/>
      <c r="F567" t="s">
        <v>3480</v>
      </c>
      <c r="G567" t="str">
        <f>IF(ISNA(_xlfn.XLOOKUP(subscriptions[[#This Row],[customer_id]], customers[customer_id], customers[customer_id])), "NO", "YES")</f>
        <v>YES</v>
      </c>
      <c r="H567">
        <f>IF(AND(subscriptions[[#This Row],[end_date]]&lt;&gt;"", subscriptions[[#This Row],[end_date]] &lt; subscriptions[[#This Row],[start_date]]), 1, 0)</f>
        <v>0</v>
      </c>
      <c r="I5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7">
        <f>IF(
  AND(subscriptions[[#This Row],[end_before_start]]=0, subscriptions[[#This Row],[status_end_mismatch]]=0),
  1,
  0
)</f>
        <v>1</v>
      </c>
    </row>
    <row r="568" spans="1:10" x14ac:dyDescent="0.3">
      <c r="A568">
        <v>7307661</v>
      </c>
      <c r="B568">
        <v>753484</v>
      </c>
      <c r="C568">
        <v>1003</v>
      </c>
      <c r="D568" s="1">
        <v>45456</v>
      </c>
      <c r="E568" s="1"/>
      <c r="F568" t="s">
        <v>3480</v>
      </c>
      <c r="G568" t="str">
        <f>IF(ISNA(_xlfn.XLOOKUP(subscriptions[[#This Row],[customer_id]], customers[customer_id], customers[customer_id])), "NO", "YES")</f>
        <v>YES</v>
      </c>
      <c r="H568">
        <f>IF(AND(subscriptions[[#This Row],[end_date]]&lt;&gt;"", subscriptions[[#This Row],[end_date]] &lt; subscriptions[[#This Row],[start_date]]), 1, 0)</f>
        <v>0</v>
      </c>
      <c r="I5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8">
        <f>IF(
  AND(subscriptions[[#This Row],[end_before_start]]=0, subscriptions[[#This Row],[status_end_mismatch]]=0),
  1,
  0
)</f>
        <v>1</v>
      </c>
    </row>
    <row r="569" spans="1:10" x14ac:dyDescent="0.3">
      <c r="A569">
        <v>9834402</v>
      </c>
      <c r="B569">
        <v>923914</v>
      </c>
      <c r="C569">
        <v>1001</v>
      </c>
      <c r="D569" s="1">
        <v>45467</v>
      </c>
      <c r="E569" s="1">
        <v>45628</v>
      </c>
      <c r="F569" t="s">
        <v>3479</v>
      </c>
      <c r="G569" t="str">
        <f>IF(ISNA(_xlfn.XLOOKUP(subscriptions[[#This Row],[customer_id]], customers[customer_id], customers[customer_id])), "NO", "YES")</f>
        <v>YES</v>
      </c>
      <c r="H569">
        <f>IF(AND(subscriptions[[#This Row],[end_date]]&lt;&gt;"", subscriptions[[#This Row],[end_date]] &lt; subscriptions[[#This Row],[start_date]]), 1, 0)</f>
        <v>0</v>
      </c>
      <c r="I5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69">
        <f>IF(
  AND(subscriptions[[#This Row],[end_before_start]]=0, subscriptions[[#This Row],[status_end_mismatch]]=0),
  1,
  0
)</f>
        <v>1</v>
      </c>
    </row>
    <row r="570" spans="1:10" x14ac:dyDescent="0.3">
      <c r="A570">
        <v>6998844</v>
      </c>
      <c r="B570">
        <v>380028</v>
      </c>
      <c r="C570">
        <v>1001</v>
      </c>
      <c r="D570" s="1">
        <v>45521</v>
      </c>
      <c r="E570" s="1"/>
      <c r="F570" t="s">
        <v>3480</v>
      </c>
      <c r="G570" t="str">
        <f>IF(ISNA(_xlfn.XLOOKUP(subscriptions[[#This Row],[customer_id]], customers[customer_id], customers[customer_id])), "NO", "YES")</f>
        <v>YES</v>
      </c>
      <c r="H570">
        <f>IF(AND(subscriptions[[#This Row],[end_date]]&lt;&gt;"", subscriptions[[#This Row],[end_date]] &lt; subscriptions[[#This Row],[start_date]]), 1, 0)</f>
        <v>0</v>
      </c>
      <c r="I5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0">
        <f>IF(
  AND(subscriptions[[#This Row],[end_before_start]]=0, subscriptions[[#This Row],[status_end_mismatch]]=0),
  1,
  0
)</f>
        <v>1</v>
      </c>
    </row>
    <row r="571" spans="1:10" x14ac:dyDescent="0.3">
      <c r="A571">
        <v>8827453</v>
      </c>
      <c r="B571">
        <v>682667</v>
      </c>
      <c r="C571">
        <v>1009</v>
      </c>
      <c r="D571" s="1">
        <v>45423</v>
      </c>
      <c r="E571" s="1">
        <v>45657</v>
      </c>
      <c r="F571" t="s">
        <v>3479</v>
      </c>
      <c r="G571" t="str">
        <f>IF(ISNA(_xlfn.XLOOKUP(subscriptions[[#This Row],[customer_id]], customers[customer_id], customers[customer_id])), "NO", "YES")</f>
        <v>YES</v>
      </c>
      <c r="H571">
        <f>IF(AND(subscriptions[[#This Row],[end_date]]&lt;&gt;"", subscriptions[[#This Row],[end_date]] &lt; subscriptions[[#This Row],[start_date]]), 1, 0)</f>
        <v>0</v>
      </c>
      <c r="I5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1">
        <f>IF(
  AND(subscriptions[[#This Row],[end_before_start]]=0, subscriptions[[#This Row],[status_end_mismatch]]=0),
  1,
  0
)</f>
        <v>1</v>
      </c>
    </row>
    <row r="572" spans="1:10" x14ac:dyDescent="0.3">
      <c r="A572">
        <v>1443289</v>
      </c>
      <c r="B572">
        <v>225151</v>
      </c>
      <c r="C572">
        <v>1006</v>
      </c>
      <c r="D572" s="1">
        <v>45424</v>
      </c>
      <c r="E572" s="1"/>
      <c r="F572" t="s">
        <v>3480</v>
      </c>
      <c r="G572" t="str">
        <f>IF(ISNA(_xlfn.XLOOKUP(subscriptions[[#This Row],[customer_id]], customers[customer_id], customers[customer_id])), "NO", "YES")</f>
        <v>YES</v>
      </c>
      <c r="H572">
        <f>IF(AND(subscriptions[[#This Row],[end_date]]&lt;&gt;"", subscriptions[[#This Row],[end_date]] &lt; subscriptions[[#This Row],[start_date]]), 1, 0)</f>
        <v>0</v>
      </c>
      <c r="I5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2">
        <f>IF(
  AND(subscriptions[[#This Row],[end_before_start]]=0, subscriptions[[#This Row],[status_end_mismatch]]=0),
  1,
  0
)</f>
        <v>1</v>
      </c>
    </row>
    <row r="573" spans="1:10" x14ac:dyDescent="0.3">
      <c r="A573">
        <v>3358634</v>
      </c>
      <c r="B573">
        <v>699573</v>
      </c>
      <c r="C573">
        <v>1006</v>
      </c>
      <c r="D573" s="1">
        <v>45181</v>
      </c>
      <c r="E573" s="1">
        <v>45508</v>
      </c>
      <c r="F573" t="s">
        <v>3479</v>
      </c>
      <c r="G573" t="str">
        <f>IF(ISNA(_xlfn.XLOOKUP(subscriptions[[#This Row],[customer_id]], customers[customer_id], customers[customer_id])), "NO", "YES")</f>
        <v>YES</v>
      </c>
      <c r="H573">
        <f>IF(AND(subscriptions[[#This Row],[end_date]]&lt;&gt;"", subscriptions[[#This Row],[end_date]] &lt; subscriptions[[#This Row],[start_date]]), 1, 0)</f>
        <v>0</v>
      </c>
      <c r="I5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3">
        <f>IF(
  AND(subscriptions[[#This Row],[end_before_start]]=0, subscriptions[[#This Row],[status_end_mismatch]]=0),
  1,
  0
)</f>
        <v>1</v>
      </c>
    </row>
    <row r="574" spans="1:10" x14ac:dyDescent="0.3">
      <c r="A574">
        <v>9593404</v>
      </c>
      <c r="B574">
        <v>576133</v>
      </c>
      <c r="C574">
        <v>1005</v>
      </c>
      <c r="D574" s="1">
        <v>45326</v>
      </c>
      <c r="E574" s="1"/>
      <c r="F574" t="s">
        <v>3480</v>
      </c>
      <c r="G574" t="str">
        <f>IF(ISNA(_xlfn.XLOOKUP(subscriptions[[#This Row],[customer_id]], customers[customer_id], customers[customer_id])), "NO", "YES")</f>
        <v>YES</v>
      </c>
      <c r="H574">
        <f>IF(AND(subscriptions[[#This Row],[end_date]]&lt;&gt;"", subscriptions[[#This Row],[end_date]] &lt; subscriptions[[#This Row],[start_date]]), 1, 0)</f>
        <v>0</v>
      </c>
      <c r="I5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4">
        <f>IF(
  AND(subscriptions[[#This Row],[end_before_start]]=0, subscriptions[[#This Row],[status_end_mismatch]]=0),
  1,
  0
)</f>
        <v>1</v>
      </c>
    </row>
    <row r="575" spans="1:10" x14ac:dyDescent="0.3">
      <c r="A575">
        <v>5921482</v>
      </c>
      <c r="B575">
        <v>771088</v>
      </c>
      <c r="C575">
        <v>1008</v>
      </c>
      <c r="D575" s="1">
        <v>44671</v>
      </c>
      <c r="E575" s="1">
        <v>44902</v>
      </c>
      <c r="F575" t="s">
        <v>3479</v>
      </c>
      <c r="G575" t="str">
        <f>IF(ISNA(_xlfn.XLOOKUP(subscriptions[[#This Row],[customer_id]], customers[customer_id], customers[customer_id])), "NO", "YES")</f>
        <v>YES</v>
      </c>
      <c r="H575">
        <f>IF(AND(subscriptions[[#This Row],[end_date]]&lt;&gt;"", subscriptions[[#This Row],[end_date]] &lt; subscriptions[[#This Row],[start_date]]), 1, 0)</f>
        <v>0</v>
      </c>
      <c r="I5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5">
        <f>IF(
  AND(subscriptions[[#This Row],[end_before_start]]=0, subscriptions[[#This Row],[status_end_mismatch]]=0),
  1,
  0
)</f>
        <v>1</v>
      </c>
    </row>
    <row r="576" spans="1:10" x14ac:dyDescent="0.3">
      <c r="A576">
        <v>3112852</v>
      </c>
      <c r="B576">
        <v>584125</v>
      </c>
      <c r="C576">
        <v>1000</v>
      </c>
      <c r="D576" s="1">
        <v>45387</v>
      </c>
      <c r="E576" s="1">
        <v>45653</v>
      </c>
      <c r="F576" t="s">
        <v>3479</v>
      </c>
      <c r="G576" t="str">
        <f>IF(ISNA(_xlfn.XLOOKUP(subscriptions[[#This Row],[customer_id]], customers[customer_id], customers[customer_id])), "NO", "YES")</f>
        <v>YES</v>
      </c>
      <c r="H576">
        <f>IF(AND(subscriptions[[#This Row],[end_date]]&lt;&gt;"", subscriptions[[#This Row],[end_date]] &lt; subscriptions[[#This Row],[start_date]]), 1, 0)</f>
        <v>0</v>
      </c>
      <c r="I5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6">
        <f>IF(
  AND(subscriptions[[#This Row],[end_before_start]]=0, subscriptions[[#This Row],[status_end_mismatch]]=0),
  1,
  0
)</f>
        <v>1</v>
      </c>
    </row>
    <row r="577" spans="1:10" x14ac:dyDescent="0.3">
      <c r="A577">
        <v>9690736</v>
      </c>
      <c r="B577">
        <v>560823</v>
      </c>
      <c r="C577">
        <v>1008</v>
      </c>
      <c r="D577" s="1">
        <v>45504</v>
      </c>
      <c r="E577" s="1">
        <v>45577</v>
      </c>
      <c r="F577" t="s">
        <v>3479</v>
      </c>
      <c r="G577" t="str">
        <f>IF(ISNA(_xlfn.XLOOKUP(subscriptions[[#This Row],[customer_id]], customers[customer_id], customers[customer_id])), "NO", "YES")</f>
        <v>YES</v>
      </c>
      <c r="H577">
        <f>IF(AND(subscriptions[[#This Row],[end_date]]&lt;&gt;"", subscriptions[[#This Row],[end_date]] &lt; subscriptions[[#This Row],[start_date]]), 1, 0)</f>
        <v>0</v>
      </c>
      <c r="I5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7">
        <f>IF(
  AND(subscriptions[[#This Row],[end_before_start]]=0, subscriptions[[#This Row],[status_end_mismatch]]=0),
  1,
  0
)</f>
        <v>1</v>
      </c>
    </row>
    <row r="578" spans="1:10" x14ac:dyDescent="0.3">
      <c r="A578">
        <v>1917592</v>
      </c>
      <c r="B578">
        <v>550513</v>
      </c>
      <c r="C578">
        <v>1009</v>
      </c>
      <c r="D578" s="1">
        <v>45115</v>
      </c>
      <c r="E578" s="1">
        <v>45477</v>
      </c>
      <c r="F578" t="s">
        <v>3479</v>
      </c>
      <c r="G578" t="str">
        <f>IF(ISNA(_xlfn.XLOOKUP(subscriptions[[#This Row],[customer_id]], customers[customer_id], customers[customer_id])), "NO", "YES")</f>
        <v>YES</v>
      </c>
      <c r="H578">
        <f>IF(AND(subscriptions[[#This Row],[end_date]]&lt;&gt;"", subscriptions[[#This Row],[end_date]] &lt; subscriptions[[#This Row],[start_date]]), 1, 0)</f>
        <v>0</v>
      </c>
      <c r="I5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8">
        <f>IF(
  AND(subscriptions[[#This Row],[end_before_start]]=0, subscriptions[[#This Row],[status_end_mismatch]]=0),
  1,
  0
)</f>
        <v>1</v>
      </c>
    </row>
    <row r="579" spans="1:10" x14ac:dyDescent="0.3">
      <c r="A579">
        <v>2795982</v>
      </c>
      <c r="B579">
        <v>265759</v>
      </c>
      <c r="C579">
        <v>1004</v>
      </c>
      <c r="D579" s="1">
        <v>45244</v>
      </c>
      <c r="E579" s="1"/>
      <c r="F579" t="s">
        <v>3480</v>
      </c>
      <c r="G579" t="str">
        <f>IF(ISNA(_xlfn.XLOOKUP(subscriptions[[#This Row],[customer_id]], customers[customer_id], customers[customer_id])), "NO", "YES")</f>
        <v>YES</v>
      </c>
      <c r="H579">
        <f>IF(AND(subscriptions[[#This Row],[end_date]]&lt;&gt;"", subscriptions[[#This Row],[end_date]] &lt; subscriptions[[#This Row],[start_date]]), 1, 0)</f>
        <v>0</v>
      </c>
      <c r="I5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79">
        <f>IF(
  AND(subscriptions[[#This Row],[end_before_start]]=0, subscriptions[[#This Row],[status_end_mismatch]]=0),
  1,
  0
)</f>
        <v>1</v>
      </c>
    </row>
    <row r="580" spans="1:10" x14ac:dyDescent="0.3">
      <c r="A580">
        <v>5875071</v>
      </c>
      <c r="B580">
        <v>785592</v>
      </c>
      <c r="C580">
        <v>1006</v>
      </c>
      <c r="D580" s="1">
        <v>45548</v>
      </c>
      <c r="E580" s="1">
        <v>45609</v>
      </c>
      <c r="F580" t="s">
        <v>3479</v>
      </c>
      <c r="G580" t="str">
        <f>IF(ISNA(_xlfn.XLOOKUP(subscriptions[[#This Row],[customer_id]], customers[customer_id], customers[customer_id])), "NO", "YES")</f>
        <v>YES</v>
      </c>
      <c r="H580">
        <f>IF(AND(subscriptions[[#This Row],[end_date]]&lt;&gt;"", subscriptions[[#This Row],[end_date]] &lt; subscriptions[[#This Row],[start_date]]), 1, 0)</f>
        <v>0</v>
      </c>
      <c r="I5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0">
        <f>IF(
  AND(subscriptions[[#This Row],[end_before_start]]=0, subscriptions[[#This Row],[status_end_mismatch]]=0),
  1,
  0
)</f>
        <v>1</v>
      </c>
    </row>
    <row r="581" spans="1:10" x14ac:dyDescent="0.3">
      <c r="A581">
        <v>3037470</v>
      </c>
      <c r="B581">
        <v>434400</v>
      </c>
      <c r="C581">
        <v>1008</v>
      </c>
      <c r="D581" s="1">
        <v>44670</v>
      </c>
      <c r="E581" s="1">
        <v>44964</v>
      </c>
      <c r="F581" t="s">
        <v>3479</v>
      </c>
      <c r="G581" t="str">
        <f>IF(ISNA(_xlfn.XLOOKUP(subscriptions[[#This Row],[customer_id]], customers[customer_id], customers[customer_id])), "NO", "YES")</f>
        <v>YES</v>
      </c>
      <c r="H581">
        <f>IF(AND(subscriptions[[#This Row],[end_date]]&lt;&gt;"", subscriptions[[#This Row],[end_date]] &lt; subscriptions[[#This Row],[start_date]]), 1, 0)</f>
        <v>0</v>
      </c>
      <c r="I5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1">
        <f>IF(
  AND(subscriptions[[#This Row],[end_before_start]]=0, subscriptions[[#This Row],[status_end_mismatch]]=0),
  1,
  0
)</f>
        <v>1</v>
      </c>
    </row>
    <row r="582" spans="1:10" x14ac:dyDescent="0.3">
      <c r="A582">
        <v>3418467</v>
      </c>
      <c r="B582">
        <v>948749</v>
      </c>
      <c r="C582">
        <v>1007</v>
      </c>
      <c r="D582" s="1">
        <v>45576</v>
      </c>
      <c r="E582" s="1"/>
      <c r="F582" t="s">
        <v>3480</v>
      </c>
      <c r="G582" t="str">
        <f>IF(ISNA(_xlfn.XLOOKUP(subscriptions[[#This Row],[customer_id]], customers[customer_id], customers[customer_id])), "NO", "YES")</f>
        <v>YES</v>
      </c>
      <c r="H582">
        <f>IF(AND(subscriptions[[#This Row],[end_date]]&lt;&gt;"", subscriptions[[#This Row],[end_date]] &lt; subscriptions[[#This Row],[start_date]]), 1, 0)</f>
        <v>0</v>
      </c>
      <c r="I5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2">
        <f>IF(
  AND(subscriptions[[#This Row],[end_before_start]]=0, subscriptions[[#This Row],[status_end_mismatch]]=0),
  1,
  0
)</f>
        <v>1</v>
      </c>
    </row>
    <row r="583" spans="1:10" x14ac:dyDescent="0.3">
      <c r="A583">
        <v>3596701</v>
      </c>
      <c r="B583">
        <v>446337</v>
      </c>
      <c r="C583">
        <v>1008</v>
      </c>
      <c r="D583" s="1">
        <v>45178</v>
      </c>
      <c r="E583" s="1">
        <v>45576</v>
      </c>
      <c r="F583" t="s">
        <v>3479</v>
      </c>
      <c r="G583" t="str">
        <f>IF(ISNA(_xlfn.XLOOKUP(subscriptions[[#This Row],[customer_id]], customers[customer_id], customers[customer_id])), "NO", "YES")</f>
        <v>YES</v>
      </c>
      <c r="H583">
        <f>IF(AND(subscriptions[[#This Row],[end_date]]&lt;&gt;"", subscriptions[[#This Row],[end_date]] &lt; subscriptions[[#This Row],[start_date]]), 1, 0)</f>
        <v>0</v>
      </c>
      <c r="I5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3">
        <f>IF(
  AND(subscriptions[[#This Row],[end_before_start]]=0, subscriptions[[#This Row],[status_end_mismatch]]=0),
  1,
  0
)</f>
        <v>1</v>
      </c>
    </row>
    <row r="584" spans="1:10" x14ac:dyDescent="0.3">
      <c r="A584">
        <v>1108226</v>
      </c>
      <c r="B584">
        <v>229827</v>
      </c>
      <c r="C584">
        <v>1009</v>
      </c>
      <c r="D584" s="1">
        <v>45555</v>
      </c>
      <c r="E584" s="1">
        <v>45654</v>
      </c>
      <c r="F584" t="s">
        <v>3479</v>
      </c>
      <c r="G584" t="str">
        <f>IF(ISNA(_xlfn.XLOOKUP(subscriptions[[#This Row],[customer_id]], customers[customer_id], customers[customer_id])), "NO", "YES")</f>
        <v>YES</v>
      </c>
      <c r="H584">
        <f>IF(AND(subscriptions[[#This Row],[end_date]]&lt;&gt;"", subscriptions[[#This Row],[end_date]] &lt; subscriptions[[#This Row],[start_date]]), 1, 0)</f>
        <v>0</v>
      </c>
      <c r="I5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4">
        <f>IF(
  AND(subscriptions[[#This Row],[end_before_start]]=0, subscriptions[[#This Row],[status_end_mismatch]]=0),
  1,
  0
)</f>
        <v>1</v>
      </c>
    </row>
    <row r="585" spans="1:10" x14ac:dyDescent="0.3">
      <c r="A585">
        <v>2126456</v>
      </c>
      <c r="B585">
        <v>766563</v>
      </c>
      <c r="C585">
        <v>1002</v>
      </c>
      <c r="D585" s="1">
        <v>44562</v>
      </c>
      <c r="E585" s="1"/>
      <c r="F585" t="s">
        <v>3480</v>
      </c>
      <c r="G585" t="str">
        <f>IF(ISNA(_xlfn.XLOOKUP(subscriptions[[#This Row],[customer_id]], customers[customer_id], customers[customer_id])), "NO", "YES")</f>
        <v>YES</v>
      </c>
      <c r="H585">
        <f>IF(AND(subscriptions[[#This Row],[end_date]]&lt;&gt;"", subscriptions[[#This Row],[end_date]] &lt; subscriptions[[#This Row],[start_date]]), 1, 0)</f>
        <v>0</v>
      </c>
      <c r="I5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5">
        <f>IF(
  AND(subscriptions[[#This Row],[end_before_start]]=0, subscriptions[[#This Row],[status_end_mismatch]]=0),
  1,
  0
)</f>
        <v>1</v>
      </c>
    </row>
    <row r="586" spans="1:10" x14ac:dyDescent="0.3">
      <c r="A586">
        <v>3030620</v>
      </c>
      <c r="B586">
        <v>189318</v>
      </c>
      <c r="C586">
        <v>1007</v>
      </c>
      <c r="D586" s="1">
        <v>44760</v>
      </c>
      <c r="E586" s="1"/>
      <c r="F586" t="s">
        <v>3480</v>
      </c>
      <c r="G586" t="str">
        <f>IF(ISNA(_xlfn.XLOOKUP(subscriptions[[#This Row],[customer_id]], customers[customer_id], customers[customer_id])), "NO", "YES")</f>
        <v>YES</v>
      </c>
      <c r="H586">
        <f>IF(AND(subscriptions[[#This Row],[end_date]]&lt;&gt;"", subscriptions[[#This Row],[end_date]] &lt; subscriptions[[#This Row],[start_date]]), 1, 0)</f>
        <v>0</v>
      </c>
      <c r="I5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6">
        <f>IF(
  AND(subscriptions[[#This Row],[end_before_start]]=0, subscriptions[[#This Row],[status_end_mismatch]]=0),
  1,
  0
)</f>
        <v>1</v>
      </c>
    </row>
    <row r="587" spans="1:10" x14ac:dyDescent="0.3">
      <c r="A587">
        <v>2738237</v>
      </c>
      <c r="B587">
        <v>882351</v>
      </c>
      <c r="C587">
        <v>1008</v>
      </c>
      <c r="D587" s="1">
        <v>45532</v>
      </c>
      <c r="E587" s="1"/>
      <c r="F587" t="s">
        <v>3480</v>
      </c>
      <c r="G587" t="str">
        <f>IF(ISNA(_xlfn.XLOOKUP(subscriptions[[#This Row],[customer_id]], customers[customer_id], customers[customer_id])), "NO", "YES")</f>
        <v>YES</v>
      </c>
      <c r="H587">
        <f>IF(AND(subscriptions[[#This Row],[end_date]]&lt;&gt;"", subscriptions[[#This Row],[end_date]] &lt; subscriptions[[#This Row],[start_date]]), 1, 0)</f>
        <v>0</v>
      </c>
      <c r="I5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7">
        <f>IF(
  AND(subscriptions[[#This Row],[end_before_start]]=0, subscriptions[[#This Row],[status_end_mismatch]]=0),
  1,
  0
)</f>
        <v>1</v>
      </c>
    </row>
    <row r="588" spans="1:10" x14ac:dyDescent="0.3">
      <c r="A588">
        <v>9485991</v>
      </c>
      <c r="B588">
        <v>819622</v>
      </c>
      <c r="C588">
        <v>1004</v>
      </c>
      <c r="D588" s="1">
        <v>45470</v>
      </c>
      <c r="E588" s="1"/>
      <c r="F588" t="s">
        <v>3480</v>
      </c>
      <c r="G588" t="str">
        <f>IF(ISNA(_xlfn.XLOOKUP(subscriptions[[#This Row],[customer_id]], customers[customer_id], customers[customer_id])), "NO", "YES")</f>
        <v>YES</v>
      </c>
      <c r="H588">
        <f>IF(AND(subscriptions[[#This Row],[end_date]]&lt;&gt;"", subscriptions[[#This Row],[end_date]] &lt; subscriptions[[#This Row],[start_date]]), 1, 0)</f>
        <v>0</v>
      </c>
      <c r="I5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8">
        <f>IF(
  AND(subscriptions[[#This Row],[end_before_start]]=0, subscriptions[[#This Row],[status_end_mismatch]]=0),
  1,
  0
)</f>
        <v>1</v>
      </c>
    </row>
    <row r="589" spans="1:10" x14ac:dyDescent="0.3">
      <c r="A589">
        <v>3043656</v>
      </c>
      <c r="B589">
        <v>539486</v>
      </c>
      <c r="C589">
        <v>1005</v>
      </c>
      <c r="D589" s="1">
        <v>45176</v>
      </c>
      <c r="E589" s="1"/>
      <c r="F589" t="s">
        <v>3480</v>
      </c>
      <c r="G589" t="str">
        <f>IF(ISNA(_xlfn.XLOOKUP(subscriptions[[#This Row],[customer_id]], customers[customer_id], customers[customer_id])), "NO", "YES")</f>
        <v>YES</v>
      </c>
      <c r="H589">
        <f>IF(AND(subscriptions[[#This Row],[end_date]]&lt;&gt;"", subscriptions[[#This Row],[end_date]] &lt; subscriptions[[#This Row],[start_date]]), 1, 0)</f>
        <v>0</v>
      </c>
      <c r="I5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89">
        <f>IF(
  AND(subscriptions[[#This Row],[end_before_start]]=0, subscriptions[[#This Row],[status_end_mismatch]]=0),
  1,
  0
)</f>
        <v>1</v>
      </c>
    </row>
    <row r="590" spans="1:10" x14ac:dyDescent="0.3">
      <c r="A590">
        <v>4087744</v>
      </c>
      <c r="B590">
        <v>702733</v>
      </c>
      <c r="C590">
        <v>1000</v>
      </c>
      <c r="D590" s="1">
        <v>45043</v>
      </c>
      <c r="E590" s="1">
        <v>45352</v>
      </c>
      <c r="F590" t="s">
        <v>3479</v>
      </c>
      <c r="G590" t="str">
        <f>IF(ISNA(_xlfn.XLOOKUP(subscriptions[[#This Row],[customer_id]], customers[customer_id], customers[customer_id])), "NO", "YES")</f>
        <v>YES</v>
      </c>
      <c r="H590">
        <f>IF(AND(subscriptions[[#This Row],[end_date]]&lt;&gt;"", subscriptions[[#This Row],[end_date]] &lt; subscriptions[[#This Row],[start_date]]), 1, 0)</f>
        <v>0</v>
      </c>
      <c r="I5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0">
        <f>IF(
  AND(subscriptions[[#This Row],[end_before_start]]=0, subscriptions[[#This Row],[status_end_mismatch]]=0),
  1,
  0
)</f>
        <v>1</v>
      </c>
    </row>
    <row r="591" spans="1:10" x14ac:dyDescent="0.3">
      <c r="A591">
        <v>5366631</v>
      </c>
      <c r="B591">
        <v>145594</v>
      </c>
      <c r="C591">
        <v>1003</v>
      </c>
      <c r="D591" s="1">
        <v>45461</v>
      </c>
      <c r="E591" s="1">
        <v>45654</v>
      </c>
      <c r="F591" t="s">
        <v>3479</v>
      </c>
      <c r="G591" t="str">
        <f>IF(ISNA(_xlfn.XLOOKUP(subscriptions[[#This Row],[customer_id]], customers[customer_id], customers[customer_id])), "NO", "YES")</f>
        <v>YES</v>
      </c>
      <c r="H591">
        <f>IF(AND(subscriptions[[#This Row],[end_date]]&lt;&gt;"", subscriptions[[#This Row],[end_date]] &lt; subscriptions[[#This Row],[start_date]]), 1, 0)</f>
        <v>0</v>
      </c>
      <c r="I5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1">
        <f>IF(
  AND(subscriptions[[#This Row],[end_before_start]]=0, subscriptions[[#This Row],[status_end_mismatch]]=0),
  1,
  0
)</f>
        <v>1</v>
      </c>
    </row>
    <row r="592" spans="1:10" x14ac:dyDescent="0.3">
      <c r="A592">
        <v>8253691</v>
      </c>
      <c r="B592">
        <v>115997</v>
      </c>
      <c r="C592">
        <v>1002</v>
      </c>
      <c r="D592" s="1">
        <v>44861</v>
      </c>
      <c r="E592" s="1">
        <v>44985</v>
      </c>
      <c r="F592" t="s">
        <v>3479</v>
      </c>
      <c r="G592" t="str">
        <f>IF(ISNA(_xlfn.XLOOKUP(subscriptions[[#This Row],[customer_id]], customers[customer_id], customers[customer_id])), "NO", "YES")</f>
        <v>YES</v>
      </c>
      <c r="H592">
        <f>IF(AND(subscriptions[[#This Row],[end_date]]&lt;&gt;"", subscriptions[[#This Row],[end_date]] &lt; subscriptions[[#This Row],[start_date]]), 1, 0)</f>
        <v>0</v>
      </c>
      <c r="I5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2">
        <f>IF(
  AND(subscriptions[[#This Row],[end_before_start]]=0, subscriptions[[#This Row],[status_end_mismatch]]=0),
  1,
  0
)</f>
        <v>1</v>
      </c>
    </row>
    <row r="593" spans="1:10" x14ac:dyDescent="0.3">
      <c r="A593">
        <v>3377099</v>
      </c>
      <c r="B593">
        <v>419409</v>
      </c>
      <c r="C593">
        <v>1003</v>
      </c>
      <c r="D593" s="1">
        <v>45054</v>
      </c>
      <c r="E593" s="1"/>
      <c r="F593" t="s">
        <v>3480</v>
      </c>
      <c r="G593" t="str">
        <f>IF(ISNA(_xlfn.XLOOKUP(subscriptions[[#This Row],[customer_id]], customers[customer_id], customers[customer_id])), "NO", "YES")</f>
        <v>YES</v>
      </c>
      <c r="H593">
        <f>IF(AND(subscriptions[[#This Row],[end_date]]&lt;&gt;"", subscriptions[[#This Row],[end_date]] &lt; subscriptions[[#This Row],[start_date]]), 1, 0)</f>
        <v>0</v>
      </c>
      <c r="I5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3">
        <f>IF(
  AND(subscriptions[[#This Row],[end_before_start]]=0, subscriptions[[#This Row],[status_end_mismatch]]=0),
  1,
  0
)</f>
        <v>1</v>
      </c>
    </row>
    <row r="594" spans="1:10" x14ac:dyDescent="0.3">
      <c r="A594">
        <v>4361332</v>
      </c>
      <c r="B594">
        <v>221916</v>
      </c>
      <c r="C594">
        <v>1004</v>
      </c>
      <c r="D594" s="1">
        <v>45537</v>
      </c>
      <c r="E594" s="1"/>
      <c r="F594" t="s">
        <v>3480</v>
      </c>
      <c r="G594" t="str">
        <f>IF(ISNA(_xlfn.XLOOKUP(subscriptions[[#This Row],[customer_id]], customers[customer_id], customers[customer_id])), "NO", "YES")</f>
        <v>YES</v>
      </c>
      <c r="H594">
        <f>IF(AND(subscriptions[[#This Row],[end_date]]&lt;&gt;"", subscriptions[[#This Row],[end_date]] &lt; subscriptions[[#This Row],[start_date]]), 1, 0)</f>
        <v>0</v>
      </c>
      <c r="I5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4">
        <f>IF(
  AND(subscriptions[[#This Row],[end_before_start]]=0, subscriptions[[#This Row],[status_end_mismatch]]=0),
  1,
  0
)</f>
        <v>1</v>
      </c>
    </row>
    <row r="595" spans="1:10" x14ac:dyDescent="0.3">
      <c r="A595">
        <v>5856148</v>
      </c>
      <c r="B595">
        <v>464354</v>
      </c>
      <c r="C595">
        <v>1006</v>
      </c>
      <c r="D595" s="1">
        <v>44766</v>
      </c>
      <c r="E595" s="1">
        <v>45048</v>
      </c>
      <c r="F595" t="s">
        <v>3479</v>
      </c>
      <c r="G595" t="str">
        <f>IF(ISNA(_xlfn.XLOOKUP(subscriptions[[#This Row],[customer_id]], customers[customer_id], customers[customer_id])), "NO", "YES")</f>
        <v>YES</v>
      </c>
      <c r="H595">
        <f>IF(AND(subscriptions[[#This Row],[end_date]]&lt;&gt;"", subscriptions[[#This Row],[end_date]] &lt; subscriptions[[#This Row],[start_date]]), 1, 0)</f>
        <v>0</v>
      </c>
      <c r="I5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5">
        <f>IF(
  AND(subscriptions[[#This Row],[end_before_start]]=0, subscriptions[[#This Row],[status_end_mismatch]]=0),
  1,
  0
)</f>
        <v>1</v>
      </c>
    </row>
    <row r="596" spans="1:10" x14ac:dyDescent="0.3">
      <c r="A596">
        <v>7162932</v>
      </c>
      <c r="B596">
        <v>147285</v>
      </c>
      <c r="C596">
        <v>1002</v>
      </c>
      <c r="D596" s="1">
        <v>45125</v>
      </c>
      <c r="E596" s="1"/>
      <c r="F596" t="s">
        <v>3480</v>
      </c>
      <c r="G596" t="str">
        <f>IF(ISNA(_xlfn.XLOOKUP(subscriptions[[#This Row],[customer_id]], customers[customer_id], customers[customer_id])), "NO", "YES")</f>
        <v>YES</v>
      </c>
      <c r="H596">
        <f>IF(AND(subscriptions[[#This Row],[end_date]]&lt;&gt;"", subscriptions[[#This Row],[end_date]] &lt; subscriptions[[#This Row],[start_date]]), 1, 0)</f>
        <v>0</v>
      </c>
      <c r="I5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6">
        <f>IF(
  AND(subscriptions[[#This Row],[end_before_start]]=0, subscriptions[[#This Row],[status_end_mismatch]]=0),
  1,
  0
)</f>
        <v>1</v>
      </c>
    </row>
    <row r="597" spans="1:10" x14ac:dyDescent="0.3">
      <c r="A597">
        <v>2800796</v>
      </c>
      <c r="B597">
        <v>340977</v>
      </c>
      <c r="C597">
        <v>1001</v>
      </c>
      <c r="D597" s="1">
        <v>45512</v>
      </c>
      <c r="E597" s="1"/>
      <c r="F597" t="s">
        <v>3480</v>
      </c>
      <c r="G597" t="str">
        <f>IF(ISNA(_xlfn.XLOOKUP(subscriptions[[#This Row],[customer_id]], customers[customer_id], customers[customer_id])), "NO", "YES")</f>
        <v>YES</v>
      </c>
      <c r="H597">
        <f>IF(AND(subscriptions[[#This Row],[end_date]]&lt;&gt;"", subscriptions[[#This Row],[end_date]] &lt; subscriptions[[#This Row],[start_date]]), 1, 0)</f>
        <v>0</v>
      </c>
      <c r="I5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7">
        <f>IF(
  AND(subscriptions[[#This Row],[end_before_start]]=0, subscriptions[[#This Row],[status_end_mismatch]]=0),
  1,
  0
)</f>
        <v>1</v>
      </c>
    </row>
    <row r="598" spans="1:10" x14ac:dyDescent="0.3">
      <c r="A598">
        <v>8127514</v>
      </c>
      <c r="B598">
        <v>786393</v>
      </c>
      <c r="C598">
        <v>1009</v>
      </c>
      <c r="D598" s="1">
        <v>44865</v>
      </c>
      <c r="E598" s="1"/>
      <c r="F598" t="s">
        <v>3480</v>
      </c>
      <c r="G598" t="str">
        <f>IF(ISNA(_xlfn.XLOOKUP(subscriptions[[#This Row],[customer_id]], customers[customer_id], customers[customer_id])), "NO", "YES")</f>
        <v>YES</v>
      </c>
      <c r="H598">
        <f>IF(AND(subscriptions[[#This Row],[end_date]]&lt;&gt;"", subscriptions[[#This Row],[end_date]] &lt; subscriptions[[#This Row],[start_date]]), 1, 0)</f>
        <v>0</v>
      </c>
      <c r="I5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8">
        <f>IF(
  AND(subscriptions[[#This Row],[end_before_start]]=0, subscriptions[[#This Row],[status_end_mismatch]]=0),
  1,
  0
)</f>
        <v>1</v>
      </c>
    </row>
    <row r="599" spans="1:10" x14ac:dyDescent="0.3">
      <c r="A599">
        <v>8668568</v>
      </c>
      <c r="B599">
        <v>739711</v>
      </c>
      <c r="C599">
        <v>1005</v>
      </c>
      <c r="D599" s="1">
        <v>44808</v>
      </c>
      <c r="E599" s="1"/>
      <c r="F599" t="s">
        <v>3480</v>
      </c>
      <c r="G599" t="str">
        <f>IF(ISNA(_xlfn.XLOOKUP(subscriptions[[#This Row],[customer_id]], customers[customer_id], customers[customer_id])), "NO", "YES")</f>
        <v>YES</v>
      </c>
      <c r="H599">
        <f>IF(AND(subscriptions[[#This Row],[end_date]]&lt;&gt;"", subscriptions[[#This Row],[end_date]] &lt; subscriptions[[#This Row],[start_date]]), 1, 0)</f>
        <v>0</v>
      </c>
      <c r="I5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599">
        <f>IF(
  AND(subscriptions[[#This Row],[end_before_start]]=0, subscriptions[[#This Row],[status_end_mismatch]]=0),
  1,
  0
)</f>
        <v>1</v>
      </c>
    </row>
    <row r="600" spans="1:10" x14ac:dyDescent="0.3">
      <c r="A600">
        <v>1184878</v>
      </c>
      <c r="B600">
        <v>338536</v>
      </c>
      <c r="C600">
        <v>1009</v>
      </c>
      <c r="D600" s="1">
        <v>45182</v>
      </c>
      <c r="E600" s="1"/>
      <c r="F600" t="s">
        <v>3480</v>
      </c>
      <c r="G600" t="str">
        <f>IF(ISNA(_xlfn.XLOOKUP(subscriptions[[#This Row],[customer_id]], customers[customer_id], customers[customer_id])), "NO", "YES")</f>
        <v>YES</v>
      </c>
      <c r="H600">
        <f>IF(AND(subscriptions[[#This Row],[end_date]]&lt;&gt;"", subscriptions[[#This Row],[end_date]] &lt; subscriptions[[#This Row],[start_date]]), 1, 0)</f>
        <v>0</v>
      </c>
      <c r="I6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0">
        <f>IF(
  AND(subscriptions[[#This Row],[end_before_start]]=0, subscriptions[[#This Row],[status_end_mismatch]]=0),
  1,
  0
)</f>
        <v>1</v>
      </c>
    </row>
    <row r="601" spans="1:10" x14ac:dyDescent="0.3">
      <c r="A601">
        <v>8457126</v>
      </c>
      <c r="B601">
        <v>916779</v>
      </c>
      <c r="C601">
        <v>1001</v>
      </c>
      <c r="D601" s="1">
        <v>44649</v>
      </c>
      <c r="E601" s="1">
        <v>44860</v>
      </c>
      <c r="F601" t="s">
        <v>3479</v>
      </c>
      <c r="G601" t="str">
        <f>IF(ISNA(_xlfn.XLOOKUP(subscriptions[[#This Row],[customer_id]], customers[customer_id], customers[customer_id])), "NO", "YES")</f>
        <v>YES</v>
      </c>
      <c r="H601">
        <f>IF(AND(subscriptions[[#This Row],[end_date]]&lt;&gt;"", subscriptions[[#This Row],[end_date]] &lt; subscriptions[[#This Row],[start_date]]), 1, 0)</f>
        <v>0</v>
      </c>
      <c r="I6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1">
        <f>IF(
  AND(subscriptions[[#This Row],[end_before_start]]=0, subscriptions[[#This Row],[status_end_mismatch]]=0),
  1,
  0
)</f>
        <v>1</v>
      </c>
    </row>
    <row r="602" spans="1:10" x14ac:dyDescent="0.3">
      <c r="A602">
        <v>3337125</v>
      </c>
      <c r="B602">
        <v>810287</v>
      </c>
      <c r="C602">
        <v>1005</v>
      </c>
      <c r="D602" s="1">
        <v>45520</v>
      </c>
      <c r="E602" s="1">
        <v>45649</v>
      </c>
      <c r="F602" t="s">
        <v>3479</v>
      </c>
      <c r="G602" t="str">
        <f>IF(ISNA(_xlfn.XLOOKUP(subscriptions[[#This Row],[customer_id]], customers[customer_id], customers[customer_id])), "NO", "YES")</f>
        <v>YES</v>
      </c>
      <c r="H602">
        <f>IF(AND(subscriptions[[#This Row],[end_date]]&lt;&gt;"", subscriptions[[#This Row],[end_date]] &lt; subscriptions[[#This Row],[start_date]]), 1, 0)</f>
        <v>0</v>
      </c>
      <c r="I6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2">
        <f>IF(
  AND(subscriptions[[#This Row],[end_before_start]]=0, subscriptions[[#This Row],[status_end_mismatch]]=0),
  1,
  0
)</f>
        <v>1</v>
      </c>
    </row>
    <row r="603" spans="1:10" x14ac:dyDescent="0.3">
      <c r="A603">
        <v>1153009</v>
      </c>
      <c r="B603">
        <v>104895</v>
      </c>
      <c r="C603">
        <v>1000</v>
      </c>
      <c r="D603" s="1">
        <v>44886</v>
      </c>
      <c r="E603" s="1"/>
      <c r="F603" t="s">
        <v>3480</v>
      </c>
      <c r="G603" t="str">
        <f>IF(ISNA(_xlfn.XLOOKUP(subscriptions[[#This Row],[customer_id]], customers[customer_id], customers[customer_id])), "NO", "YES")</f>
        <v>YES</v>
      </c>
      <c r="H603">
        <f>IF(AND(subscriptions[[#This Row],[end_date]]&lt;&gt;"", subscriptions[[#This Row],[end_date]] &lt; subscriptions[[#This Row],[start_date]]), 1, 0)</f>
        <v>0</v>
      </c>
      <c r="I6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3">
        <f>IF(
  AND(subscriptions[[#This Row],[end_before_start]]=0, subscriptions[[#This Row],[status_end_mismatch]]=0),
  1,
  0
)</f>
        <v>1</v>
      </c>
    </row>
    <row r="604" spans="1:10" x14ac:dyDescent="0.3">
      <c r="A604">
        <v>9442389</v>
      </c>
      <c r="B604">
        <v>250210</v>
      </c>
      <c r="C604">
        <v>1002</v>
      </c>
      <c r="D604" s="1">
        <v>44993</v>
      </c>
      <c r="E604" s="1"/>
      <c r="F604" t="s">
        <v>3480</v>
      </c>
      <c r="G604" t="str">
        <f>IF(ISNA(_xlfn.XLOOKUP(subscriptions[[#This Row],[customer_id]], customers[customer_id], customers[customer_id])), "NO", "YES")</f>
        <v>YES</v>
      </c>
      <c r="H604">
        <f>IF(AND(subscriptions[[#This Row],[end_date]]&lt;&gt;"", subscriptions[[#This Row],[end_date]] &lt; subscriptions[[#This Row],[start_date]]), 1, 0)</f>
        <v>0</v>
      </c>
      <c r="I6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4">
        <f>IF(
  AND(subscriptions[[#This Row],[end_before_start]]=0, subscriptions[[#This Row],[status_end_mismatch]]=0),
  1,
  0
)</f>
        <v>1</v>
      </c>
    </row>
    <row r="605" spans="1:10" x14ac:dyDescent="0.3">
      <c r="A605">
        <v>9808972</v>
      </c>
      <c r="B605">
        <v>537605</v>
      </c>
      <c r="C605">
        <v>1008</v>
      </c>
      <c r="D605" s="1">
        <v>45361</v>
      </c>
      <c r="E605" s="1"/>
      <c r="F605" t="s">
        <v>3480</v>
      </c>
      <c r="G605" t="str">
        <f>IF(ISNA(_xlfn.XLOOKUP(subscriptions[[#This Row],[customer_id]], customers[customer_id], customers[customer_id])), "NO", "YES")</f>
        <v>YES</v>
      </c>
      <c r="H605">
        <f>IF(AND(subscriptions[[#This Row],[end_date]]&lt;&gt;"", subscriptions[[#This Row],[end_date]] &lt; subscriptions[[#This Row],[start_date]]), 1, 0)</f>
        <v>0</v>
      </c>
      <c r="I6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5">
        <f>IF(
  AND(subscriptions[[#This Row],[end_before_start]]=0, subscriptions[[#This Row],[status_end_mismatch]]=0),
  1,
  0
)</f>
        <v>1</v>
      </c>
    </row>
    <row r="606" spans="1:10" x14ac:dyDescent="0.3">
      <c r="A606">
        <v>3927571</v>
      </c>
      <c r="B606">
        <v>257782</v>
      </c>
      <c r="C606">
        <v>1007</v>
      </c>
      <c r="D606" s="1">
        <v>44872</v>
      </c>
      <c r="E606" s="1"/>
      <c r="F606" t="s">
        <v>3480</v>
      </c>
      <c r="G606" t="str">
        <f>IF(ISNA(_xlfn.XLOOKUP(subscriptions[[#This Row],[customer_id]], customers[customer_id], customers[customer_id])), "NO", "YES")</f>
        <v>YES</v>
      </c>
      <c r="H606">
        <f>IF(AND(subscriptions[[#This Row],[end_date]]&lt;&gt;"", subscriptions[[#This Row],[end_date]] &lt; subscriptions[[#This Row],[start_date]]), 1, 0)</f>
        <v>0</v>
      </c>
      <c r="I6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6">
        <f>IF(
  AND(subscriptions[[#This Row],[end_before_start]]=0, subscriptions[[#This Row],[status_end_mismatch]]=0),
  1,
  0
)</f>
        <v>1</v>
      </c>
    </row>
    <row r="607" spans="1:10" x14ac:dyDescent="0.3">
      <c r="A607">
        <v>6692359</v>
      </c>
      <c r="B607">
        <v>703853</v>
      </c>
      <c r="C607">
        <v>1009</v>
      </c>
      <c r="D607" s="1">
        <v>45503</v>
      </c>
      <c r="E607" s="1">
        <v>45604</v>
      </c>
      <c r="F607" t="s">
        <v>3479</v>
      </c>
      <c r="G607" t="str">
        <f>IF(ISNA(_xlfn.XLOOKUP(subscriptions[[#This Row],[customer_id]], customers[customer_id], customers[customer_id])), "NO", "YES")</f>
        <v>YES</v>
      </c>
      <c r="H607">
        <f>IF(AND(subscriptions[[#This Row],[end_date]]&lt;&gt;"", subscriptions[[#This Row],[end_date]] &lt; subscriptions[[#This Row],[start_date]]), 1, 0)</f>
        <v>0</v>
      </c>
      <c r="I6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7">
        <f>IF(
  AND(subscriptions[[#This Row],[end_before_start]]=0, subscriptions[[#This Row],[status_end_mismatch]]=0),
  1,
  0
)</f>
        <v>1</v>
      </c>
    </row>
    <row r="608" spans="1:10" x14ac:dyDescent="0.3">
      <c r="A608">
        <v>5669772</v>
      </c>
      <c r="B608">
        <v>289592</v>
      </c>
      <c r="C608">
        <v>1003</v>
      </c>
      <c r="D608" s="1">
        <v>45182</v>
      </c>
      <c r="E608" s="1">
        <v>45246</v>
      </c>
      <c r="F608" t="s">
        <v>3479</v>
      </c>
      <c r="G608" t="str">
        <f>IF(ISNA(_xlfn.XLOOKUP(subscriptions[[#This Row],[customer_id]], customers[customer_id], customers[customer_id])), "NO", "YES")</f>
        <v>YES</v>
      </c>
      <c r="H608">
        <f>IF(AND(subscriptions[[#This Row],[end_date]]&lt;&gt;"", subscriptions[[#This Row],[end_date]] &lt; subscriptions[[#This Row],[start_date]]), 1, 0)</f>
        <v>0</v>
      </c>
      <c r="I6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8">
        <f>IF(
  AND(subscriptions[[#This Row],[end_before_start]]=0, subscriptions[[#This Row],[status_end_mismatch]]=0),
  1,
  0
)</f>
        <v>1</v>
      </c>
    </row>
    <row r="609" spans="1:10" x14ac:dyDescent="0.3">
      <c r="A609">
        <v>9115888</v>
      </c>
      <c r="B609">
        <v>905625</v>
      </c>
      <c r="C609">
        <v>1005</v>
      </c>
      <c r="D609" s="1">
        <v>45333</v>
      </c>
      <c r="E609" s="1">
        <v>45636</v>
      </c>
      <c r="F609" t="s">
        <v>3479</v>
      </c>
      <c r="G609" t="str">
        <f>IF(ISNA(_xlfn.XLOOKUP(subscriptions[[#This Row],[customer_id]], customers[customer_id], customers[customer_id])), "NO", "YES")</f>
        <v>YES</v>
      </c>
      <c r="H609">
        <f>IF(AND(subscriptions[[#This Row],[end_date]]&lt;&gt;"", subscriptions[[#This Row],[end_date]] &lt; subscriptions[[#This Row],[start_date]]), 1, 0)</f>
        <v>0</v>
      </c>
      <c r="I6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09">
        <f>IF(
  AND(subscriptions[[#This Row],[end_before_start]]=0, subscriptions[[#This Row],[status_end_mismatch]]=0),
  1,
  0
)</f>
        <v>1</v>
      </c>
    </row>
    <row r="610" spans="1:10" x14ac:dyDescent="0.3">
      <c r="A610">
        <v>4026182</v>
      </c>
      <c r="B610">
        <v>150486</v>
      </c>
      <c r="C610">
        <v>1007</v>
      </c>
      <c r="D610" s="1">
        <v>45092</v>
      </c>
      <c r="E610" s="1"/>
      <c r="F610" t="s">
        <v>3480</v>
      </c>
      <c r="G610" t="str">
        <f>IF(ISNA(_xlfn.XLOOKUP(subscriptions[[#This Row],[customer_id]], customers[customer_id], customers[customer_id])), "NO", "YES")</f>
        <v>YES</v>
      </c>
      <c r="H610">
        <f>IF(AND(subscriptions[[#This Row],[end_date]]&lt;&gt;"", subscriptions[[#This Row],[end_date]] &lt; subscriptions[[#This Row],[start_date]]), 1, 0)</f>
        <v>0</v>
      </c>
      <c r="I6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0">
        <f>IF(
  AND(subscriptions[[#This Row],[end_before_start]]=0, subscriptions[[#This Row],[status_end_mismatch]]=0),
  1,
  0
)</f>
        <v>1</v>
      </c>
    </row>
    <row r="611" spans="1:10" x14ac:dyDescent="0.3">
      <c r="A611">
        <v>6437103</v>
      </c>
      <c r="B611">
        <v>612855</v>
      </c>
      <c r="C611">
        <v>1001</v>
      </c>
      <c r="D611" s="1">
        <v>45274</v>
      </c>
      <c r="E611" s="1"/>
      <c r="F611" t="s">
        <v>3480</v>
      </c>
      <c r="G611" t="str">
        <f>IF(ISNA(_xlfn.XLOOKUP(subscriptions[[#This Row],[customer_id]], customers[customer_id], customers[customer_id])), "NO", "YES")</f>
        <v>YES</v>
      </c>
      <c r="H611">
        <f>IF(AND(subscriptions[[#This Row],[end_date]]&lt;&gt;"", subscriptions[[#This Row],[end_date]] &lt; subscriptions[[#This Row],[start_date]]), 1, 0)</f>
        <v>0</v>
      </c>
      <c r="I6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1">
        <f>IF(
  AND(subscriptions[[#This Row],[end_before_start]]=0, subscriptions[[#This Row],[status_end_mismatch]]=0),
  1,
  0
)</f>
        <v>1</v>
      </c>
    </row>
    <row r="612" spans="1:10" x14ac:dyDescent="0.3">
      <c r="A612">
        <v>7774201</v>
      </c>
      <c r="B612">
        <v>850435</v>
      </c>
      <c r="C612">
        <v>1005</v>
      </c>
      <c r="D612" s="1">
        <v>44700</v>
      </c>
      <c r="E612" s="1"/>
      <c r="F612" t="s">
        <v>3480</v>
      </c>
      <c r="G612" t="str">
        <f>IF(ISNA(_xlfn.XLOOKUP(subscriptions[[#This Row],[customer_id]], customers[customer_id], customers[customer_id])), "NO", "YES")</f>
        <v>YES</v>
      </c>
      <c r="H612">
        <f>IF(AND(subscriptions[[#This Row],[end_date]]&lt;&gt;"", subscriptions[[#This Row],[end_date]] &lt; subscriptions[[#This Row],[start_date]]), 1, 0)</f>
        <v>0</v>
      </c>
      <c r="I6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2">
        <f>IF(
  AND(subscriptions[[#This Row],[end_before_start]]=0, subscriptions[[#This Row],[status_end_mismatch]]=0),
  1,
  0
)</f>
        <v>1</v>
      </c>
    </row>
    <row r="613" spans="1:10" x14ac:dyDescent="0.3">
      <c r="A613">
        <v>3670591</v>
      </c>
      <c r="B613">
        <v>314353</v>
      </c>
      <c r="C613">
        <v>1008</v>
      </c>
      <c r="D613" s="1">
        <v>45036</v>
      </c>
      <c r="E613" s="1"/>
      <c r="F613" t="s">
        <v>3480</v>
      </c>
      <c r="G613" t="str">
        <f>IF(ISNA(_xlfn.XLOOKUP(subscriptions[[#This Row],[customer_id]], customers[customer_id], customers[customer_id])), "NO", "YES")</f>
        <v>YES</v>
      </c>
      <c r="H613">
        <f>IF(AND(subscriptions[[#This Row],[end_date]]&lt;&gt;"", subscriptions[[#This Row],[end_date]] &lt; subscriptions[[#This Row],[start_date]]), 1, 0)</f>
        <v>0</v>
      </c>
      <c r="I6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3">
        <f>IF(
  AND(subscriptions[[#This Row],[end_before_start]]=0, subscriptions[[#This Row],[status_end_mismatch]]=0),
  1,
  0
)</f>
        <v>1</v>
      </c>
    </row>
    <row r="614" spans="1:10" x14ac:dyDescent="0.3">
      <c r="A614">
        <v>2782083</v>
      </c>
      <c r="B614">
        <v>898461</v>
      </c>
      <c r="C614">
        <v>1003</v>
      </c>
      <c r="D614" s="1">
        <v>45584</v>
      </c>
      <c r="E614" s="1">
        <v>45647</v>
      </c>
      <c r="F614" t="s">
        <v>3479</v>
      </c>
      <c r="G614" t="str">
        <f>IF(ISNA(_xlfn.XLOOKUP(subscriptions[[#This Row],[customer_id]], customers[customer_id], customers[customer_id])), "NO", "YES")</f>
        <v>YES</v>
      </c>
      <c r="H614">
        <f>IF(AND(subscriptions[[#This Row],[end_date]]&lt;&gt;"", subscriptions[[#This Row],[end_date]] &lt; subscriptions[[#This Row],[start_date]]), 1, 0)</f>
        <v>0</v>
      </c>
      <c r="I6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4">
        <f>IF(
  AND(subscriptions[[#This Row],[end_before_start]]=0, subscriptions[[#This Row],[status_end_mismatch]]=0),
  1,
  0
)</f>
        <v>1</v>
      </c>
    </row>
    <row r="615" spans="1:10" x14ac:dyDescent="0.3">
      <c r="A615">
        <v>4884505</v>
      </c>
      <c r="B615">
        <v>561457</v>
      </c>
      <c r="C615">
        <v>1000</v>
      </c>
      <c r="D615" s="1">
        <v>45046</v>
      </c>
      <c r="E615" s="1"/>
      <c r="F615" t="s">
        <v>3480</v>
      </c>
      <c r="G615" t="str">
        <f>IF(ISNA(_xlfn.XLOOKUP(subscriptions[[#This Row],[customer_id]], customers[customer_id], customers[customer_id])), "NO", "YES")</f>
        <v>YES</v>
      </c>
      <c r="H615">
        <f>IF(AND(subscriptions[[#This Row],[end_date]]&lt;&gt;"", subscriptions[[#This Row],[end_date]] &lt; subscriptions[[#This Row],[start_date]]), 1, 0)</f>
        <v>0</v>
      </c>
      <c r="I6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5">
        <f>IF(
  AND(subscriptions[[#This Row],[end_before_start]]=0, subscriptions[[#This Row],[status_end_mismatch]]=0),
  1,
  0
)</f>
        <v>1</v>
      </c>
    </row>
    <row r="616" spans="1:10" x14ac:dyDescent="0.3">
      <c r="A616">
        <v>3919201</v>
      </c>
      <c r="B616">
        <v>885408</v>
      </c>
      <c r="C616">
        <v>1004</v>
      </c>
      <c r="D616" s="1">
        <v>45348</v>
      </c>
      <c r="E616" s="1">
        <v>45593</v>
      </c>
      <c r="F616" t="s">
        <v>3479</v>
      </c>
      <c r="G616" t="str">
        <f>IF(ISNA(_xlfn.XLOOKUP(subscriptions[[#This Row],[customer_id]], customers[customer_id], customers[customer_id])), "NO", "YES")</f>
        <v>YES</v>
      </c>
      <c r="H616">
        <f>IF(AND(subscriptions[[#This Row],[end_date]]&lt;&gt;"", subscriptions[[#This Row],[end_date]] &lt; subscriptions[[#This Row],[start_date]]), 1, 0)</f>
        <v>0</v>
      </c>
      <c r="I6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6">
        <f>IF(
  AND(subscriptions[[#This Row],[end_before_start]]=0, subscriptions[[#This Row],[status_end_mismatch]]=0),
  1,
  0
)</f>
        <v>1</v>
      </c>
    </row>
    <row r="617" spans="1:10" x14ac:dyDescent="0.3">
      <c r="A617">
        <v>2079947</v>
      </c>
      <c r="B617">
        <v>483162</v>
      </c>
      <c r="C617">
        <v>1000</v>
      </c>
      <c r="D617" s="1">
        <v>44688</v>
      </c>
      <c r="E617" s="1">
        <v>44776</v>
      </c>
      <c r="F617" t="s">
        <v>3479</v>
      </c>
      <c r="G617" t="str">
        <f>IF(ISNA(_xlfn.XLOOKUP(subscriptions[[#This Row],[customer_id]], customers[customer_id], customers[customer_id])), "NO", "YES")</f>
        <v>YES</v>
      </c>
      <c r="H617">
        <f>IF(AND(subscriptions[[#This Row],[end_date]]&lt;&gt;"", subscriptions[[#This Row],[end_date]] &lt; subscriptions[[#This Row],[start_date]]), 1, 0)</f>
        <v>0</v>
      </c>
      <c r="I6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7">
        <f>IF(
  AND(subscriptions[[#This Row],[end_before_start]]=0, subscriptions[[#This Row],[status_end_mismatch]]=0),
  1,
  0
)</f>
        <v>1</v>
      </c>
    </row>
    <row r="618" spans="1:10" x14ac:dyDescent="0.3">
      <c r="A618">
        <v>1627774</v>
      </c>
      <c r="B618">
        <v>385470</v>
      </c>
      <c r="C618">
        <v>1008</v>
      </c>
      <c r="D618" s="1">
        <v>44711</v>
      </c>
      <c r="E618" s="1"/>
      <c r="F618" t="s">
        <v>3480</v>
      </c>
      <c r="G618" t="str">
        <f>IF(ISNA(_xlfn.XLOOKUP(subscriptions[[#This Row],[customer_id]], customers[customer_id], customers[customer_id])), "NO", "YES")</f>
        <v>YES</v>
      </c>
      <c r="H618">
        <f>IF(AND(subscriptions[[#This Row],[end_date]]&lt;&gt;"", subscriptions[[#This Row],[end_date]] &lt; subscriptions[[#This Row],[start_date]]), 1, 0)</f>
        <v>0</v>
      </c>
      <c r="I6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8">
        <f>IF(
  AND(subscriptions[[#This Row],[end_before_start]]=0, subscriptions[[#This Row],[status_end_mismatch]]=0),
  1,
  0
)</f>
        <v>1</v>
      </c>
    </row>
    <row r="619" spans="1:10" x14ac:dyDescent="0.3">
      <c r="A619">
        <v>7280082</v>
      </c>
      <c r="B619">
        <v>902930</v>
      </c>
      <c r="C619">
        <v>1008</v>
      </c>
      <c r="D619" s="1">
        <v>44622</v>
      </c>
      <c r="E619" s="1">
        <v>44816</v>
      </c>
      <c r="F619" t="s">
        <v>3479</v>
      </c>
      <c r="G619" t="str">
        <f>IF(ISNA(_xlfn.XLOOKUP(subscriptions[[#This Row],[customer_id]], customers[customer_id], customers[customer_id])), "NO", "YES")</f>
        <v>YES</v>
      </c>
      <c r="H619">
        <f>IF(AND(subscriptions[[#This Row],[end_date]]&lt;&gt;"", subscriptions[[#This Row],[end_date]] &lt; subscriptions[[#This Row],[start_date]]), 1, 0)</f>
        <v>0</v>
      </c>
      <c r="I6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19">
        <f>IF(
  AND(subscriptions[[#This Row],[end_before_start]]=0, subscriptions[[#This Row],[status_end_mismatch]]=0),
  1,
  0
)</f>
        <v>1</v>
      </c>
    </row>
    <row r="620" spans="1:10" x14ac:dyDescent="0.3">
      <c r="A620">
        <v>2806251</v>
      </c>
      <c r="B620">
        <v>494956</v>
      </c>
      <c r="C620">
        <v>1007</v>
      </c>
      <c r="D620" s="1">
        <v>45482</v>
      </c>
      <c r="E620" s="1"/>
      <c r="F620" t="s">
        <v>3480</v>
      </c>
      <c r="G620" t="str">
        <f>IF(ISNA(_xlfn.XLOOKUP(subscriptions[[#This Row],[customer_id]], customers[customer_id], customers[customer_id])), "NO", "YES")</f>
        <v>YES</v>
      </c>
      <c r="H620">
        <f>IF(AND(subscriptions[[#This Row],[end_date]]&lt;&gt;"", subscriptions[[#This Row],[end_date]] &lt; subscriptions[[#This Row],[start_date]]), 1, 0)</f>
        <v>0</v>
      </c>
      <c r="I6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0">
        <f>IF(
  AND(subscriptions[[#This Row],[end_before_start]]=0, subscriptions[[#This Row],[status_end_mismatch]]=0),
  1,
  0
)</f>
        <v>1</v>
      </c>
    </row>
    <row r="621" spans="1:10" x14ac:dyDescent="0.3">
      <c r="A621">
        <v>4350987</v>
      </c>
      <c r="B621">
        <v>670968</v>
      </c>
      <c r="C621">
        <v>1001</v>
      </c>
      <c r="D621" s="1">
        <v>44962</v>
      </c>
      <c r="E621" s="1"/>
      <c r="F621" t="s">
        <v>3480</v>
      </c>
      <c r="G621" t="str">
        <f>IF(ISNA(_xlfn.XLOOKUP(subscriptions[[#This Row],[customer_id]], customers[customer_id], customers[customer_id])), "NO", "YES")</f>
        <v>YES</v>
      </c>
      <c r="H621">
        <f>IF(AND(subscriptions[[#This Row],[end_date]]&lt;&gt;"", subscriptions[[#This Row],[end_date]] &lt; subscriptions[[#This Row],[start_date]]), 1, 0)</f>
        <v>0</v>
      </c>
      <c r="I6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1">
        <f>IF(
  AND(subscriptions[[#This Row],[end_before_start]]=0, subscriptions[[#This Row],[status_end_mismatch]]=0),
  1,
  0
)</f>
        <v>1</v>
      </c>
    </row>
    <row r="622" spans="1:10" x14ac:dyDescent="0.3">
      <c r="A622">
        <v>8340281</v>
      </c>
      <c r="B622">
        <v>384645</v>
      </c>
      <c r="C622">
        <v>1007</v>
      </c>
      <c r="D622" s="1">
        <v>45147</v>
      </c>
      <c r="E622" s="1"/>
      <c r="F622" t="s">
        <v>3480</v>
      </c>
      <c r="G622" t="str">
        <f>IF(ISNA(_xlfn.XLOOKUP(subscriptions[[#This Row],[customer_id]], customers[customer_id], customers[customer_id])), "NO", "YES")</f>
        <v>YES</v>
      </c>
      <c r="H622">
        <f>IF(AND(subscriptions[[#This Row],[end_date]]&lt;&gt;"", subscriptions[[#This Row],[end_date]] &lt; subscriptions[[#This Row],[start_date]]), 1, 0)</f>
        <v>0</v>
      </c>
      <c r="I6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2">
        <f>IF(
  AND(subscriptions[[#This Row],[end_before_start]]=0, subscriptions[[#This Row],[status_end_mismatch]]=0),
  1,
  0
)</f>
        <v>1</v>
      </c>
    </row>
    <row r="623" spans="1:10" x14ac:dyDescent="0.3">
      <c r="A623">
        <v>3719411</v>
      </c>
      <c r="B623">
        <v>398910</v>
      </c>
      <c r="C623">
        <v>1002</v>
      </c>
      <c r="D623" s="1">
        <v>45450</v>
      </c>
      <c r="E623" s="1">
        <v>45578</v>
      </c>
      <c r="F623" t="s">
        <v>3479</v>
      </c>
      <c r="G623" t="str">
        <f>IF(ISNA(_xlfn.XLOOKUP(subscriptions[[#This Row],[customer_id]], customers[customer_id], customers[customer_id])), "NO", "YES")</f>
        <v>YES</v>
      </c>
      <c r="H623">
        <f>IF(AND(subscriptions[[#This Row],[end_date]]&lt;&gt;"", subscriptions[[#This Row],[end_date]] &lt; subscriptions[[#This Row],[start_date]]), 1, 0)</f>
        <v>0</v>
      </c>
      <c r="I6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3">
        <f>IF(
  AND(subscriptions[[#This Row],[end_before_start]]=0, subscriptions[[#This Row],[status_end_mismatch]]=0),
  1,
  0
)</f>
        <v>1</v>
      </c>
    </row>
    <row r="624" spans="1:10" x14ac:dyDescent="0.3">
      <c r="A624">
        <v>2443147</v>
      </c>
      <c r="B624">
        <v>813666</v>
      </c>
      <c r="C624">
        <v>1006</v>
      </c>
      <c r="D624" s="1">
        <v>44611</v>
      </c>
      <c r="E624" s="1">
        <v>44983</v>
      </c>
      <c r="F624" t="s">
        <v>3479</v>
      </c>
      <c r="G624" t="str">
        <f>IF(ISNA(_xlfn.XLOOKUP(subscriptions[[#This Row],[customer_id]], customers[customer_id], customers[customer_id])), "NO", "YES")</f>
        <v>YES</v>
      </c>
      <c r="H624">
        <f>IF(AND(subscriptions[[#This Row],[end_date]]&lt;&gt;"", subscriptions[[#This Row],[end_date]] &lt; subscriptions[[#This Row],[start_date]]), 1, 0)</f>
        <v>0</v>
      </c>
      <c r="I6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4">
        <f>IF(
  AND(subscriptions[[#This Row],[end_before_start]]=0, subscriptions[[#This Row],[status_end_mismatch]]=0),
  1,
  0
)</f>
        <v>1</v>
      </c>
    </row>
    <row r="625" spans="1:10" x14ac:dyDescent="0.3">
      <c r="A625">
        <v>2614070</v>
      </c>
      <c r="B625">
        <v>537605</v>
      </c>
      <c r="C625">
        <v>1008</v>
      </c>
      <c r="D625" s="1">
        <v>44978</v>
      </c>
      <c r="E625" s="1"/>
      <c r="F625" t="s">
        <v>3480</v>
      </c>
      <c r="G625" t="str">
        <f>IF(ISNA(_xlfn.XLOOKUP(subscriptions[[#This Row],[customer_id]], customers[customer_id], customers[customer_id])), "NO", "YES")</f>
        <v>YES</v>
      </c>
      <c r="H625">
        <f>IF(AND(subscriptions[[#This Row],[end_date]]&lt;&gt;"", subscriptions[[#This Row],[end_date]] &lt; subscriptions[[#This Row],[start_date]]), 1, 0)</f>
        <v>0</v>
      </c>
      <c r="I6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5">
        <f>IF(
  AND(subscriptions[[#This Row],[end_before_start]]=0, subscriptions[[#This Row],[status_end_mismatch]]=0),
  1,
  0
)</f>
        <v>1</v>
      </c>
    </row>
    <row r="626" spans="1:10" x14ac:dyDescent="0.3">
      <c r="A626">
        <v>3358248</v>
      </c>
      <c r="B626">
        <v>920347</v>
      </c>
      <c r="C626">
        <v>1002</v>
      </c>
      <c r="D626" s="1">
        <v>44572</v>
      </c>
      <c r="E626" s="1"/>
      <c r="F626" t="s">
        <v>3480</v>
      </c>
      <c r="G626" t="str">
        <f>IF(ISNA(_xlfn.XLOOKUP(subscriptions[[#This Row],[customer_id]], customers[customer_id], customers[customer_id])), "NO", "YES")</f>
        <v>YES</v>
      </c>
      <c r="H626">
        <f>IF(AND(subscriptions[[#This Row],[end_date]]&lt;&gt;"", subscriptions[[#This Row],[end_date]] &lt; subscriptions[[#This Row],[start_date]]), 1, 0)</f>
        <v>0</v>
      </c>
      <c r="I6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6">
        <f>IF(
  AND(subscriptions[[#This Row],[end_before_start]]=0, subscriptions[[#This Row],[status_end_mismatch]]=0),
  1,
  0
)</f>
        <v>1</v>
      </c>
    </row>
    <row r="627" spans="1:10" x14ac:dyDescent="0.3">
      <c r="A627">
        <v>7845563</v>
      </c>
      <c r="B627">
        <v>425434</v>
      </c>
      <c r="C627">
        <v>1001</v>
      </c>
      <c r="D627" s="1">
        <v>44709</v>
      </c>
      <c r="E627" s="1"/>
      <c r="F627" t="s">
        <v>3480</v>
      </c>
      <c r="G627" t="str">
        <f>IF(ISNA(_xlfn.XLOOKUP(subscriptions[[#This Row],[customer_id]], customers[customer_id], customers[customer_id])), "NO", "YES")</f>
        <v>YES</v>
      </c>
      <c r="H627">
        <f>IF(AND(subscriptions[[#This Row],[end_date]]&lt;&gt;"", subscriptions[[#This Row],[end_date]] &lt; subscriptions[[#This Row],[start_date]]), 1, 0)</f>
        <v>0</v>
      </c>
      <c r="I6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7">
        <f>IF(
  AND(subscriptions[[#This Row],[end_before_start]]=0, subscriptions[[#This Row],[status_end_mismatch]]=0),
  1,
  0
)</f>
        <v>1</v>
      </c>
    </row>
    <row r="628" spans="1:10" x14ac:dyDescent="0.3">
      <c r="A628">
        <v>9860962</v>
      </c>
      <c r="B628">
        <v>549622</v>
      </c>
      <c r="C628">
        <v>1006</v>
      </c>
      <c r="D628" s="1">
        <v>45578</v>
      </c>
      <c r="E628" s="1"/>
      <c r="F628" t="s">
        <v>3480</v>
      </c>
      <c r="G628" t="str">
        <f>IF(ISNA(_xlfn.XLOOKUP(subscriptions[[#This Row],[customer_id]], customers[customer_id], customers[customer_id])), "NO", "YES")</f>
        <v>YES</v>
      </c>
      <c r="H628">
        <f>IF(AND(subscriptions[[#This Row],[end_date]]&lt;&gt;"", subscriptions[[#This Row],[end_date]] &lt; subscriptions[[#This Row],[start_date]]), 1, 0)</f>
        <v>0</v>
      </c>
      <c r="I6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8">
        <f>IF(
  AND(subscriptions[[#This Row],[end_before_start]]=0, subscriptions[[#This Row],[status_end_mismatch]]=0),
  1,
  0
)</f>
        <v>1</v>
      </c>
    </row>
    <row r="629" spans="1:10" x14ac:dyDescent="0.3">
      <c r="A629">
        <v>4480849</v>
      </c>
      <c r="B629">
        <v>981473</v>
      </c>
      <c r="C629">
        <v>1008</v>
      </c>
      <c r="D629" s="1">
        <v>45532</v>
      </c>
      <c r="E629" s="1"/>
      <c r="F629" t="s">
        <v>3480</v>
      </c>
      <c r="G629" t="str">
        <f>IF(ISNA(_xlfn.XLOOKUP(subscriptions[[#This Row],[customer_id]], customers[customer_id], customers[customer_id])), "NO", "YES")</f>
        <v>YES</v>
      </c>
      <c r="H629">
        <f>IF(AND(subscriptions[[#This Row],[end_date]]&lt;&gt;"", subscriptions[[#This Row],[end_date]] &lt; subscriptions[[#This Row],[start_date]]), 1, 0)</f>
        <v>0</v>
      </c>
      <c r="I6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29">
        <f>IF(
  AND(subscriptions[[#This Row],[end_before_start]]=0, subscriptions[[#This Row],[status_end_mismatch]]=0),
  1,
  0
)</f>
        <v>1</v>
      </c>
    </row>
    <row r="630" spans="1:10" x14ac:dyDescent="0.3">
      <c r="A630">
        <v>6980829</v>
      </c>
      <c r="B630">
        <v>947684</v>
      </c>
      <c r="C630">
        <v>1003</v>
      </c>
      <c r="D630" s="1">
        <v>44844</v>
      </c>
      <c r="E630" s="1">
        <v>45098</v>
      </c>
      <c r="F630" t="s">
        <v>3479</v>
      </c>
      <c r="G630" t="str">
        <f>IF(ISNA(_xlfn.XLOOKUP(subscriptions[[#This Row],[customer_id]], customers[customer_id], customers[customer_id])), "NO", "YES")</f>
        <v>YES</v>
      </c>
      <c r="H630">
        <f>IF(AND(subscriptions[[#This Row],[end_date]]&lt;&gt;"", subscriptions[[#This Row],[end_date]] &lt; subscriptions[[#This Row],[start_date]]), 1, 0)</f>
        <v>0</v>
      </c>
      <c r="I6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0">
        <f>IF(
  AND(subscriptions[[#This Row],[end_before_start]]=0, subscriptions[[#This Row],[status_end_mismatch]]=0),
  1,
  0
)</f>
        <v>1</v>
      </c>
    </row>
    <row r="631" spans="1:10" x14ac:dyDescent="0.3">
      <c r="A631">
        <v>8172456</v>
      </c>
      <c r="B631">
        <v>378085</v>
      </c>
      <c r="C631">
        <v>1005</v>
      </c>
      <c r="D631" s="1">
        <v>45332</v>
      </c>
      <c r="E631" s="1">
        <v>45653</v>
      </c>
      <c r="F631" t="s">
        <v>3479</v>
      </c>
      <c r="G631" t="str">
        <f>IF(ISNA(_xlfn.XLOOKUP(subscriptions[[#This Row],[customer_id]], customers[customer_id], customers[customer_id])), "NO", "YES")</f>
        <v>YES</v>
      </c>
      <c r="H631">
        <f>IF(AND(subscriptions[[#This Row],[end_date]]&lt;&gt;"", subscriptions[[#This Row],[end_date]] &lt; subscriptions[[#This Row],[start_date]]), 1, 0)</f>
        <v>0</v>
      </c>
      <c r="I6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1">
        <f>IF(
  AND(subscriptions[[#This Row],[end_before_start]]=0, subscriptions[[#This Row],[status_end_mismatch]]=0),
  1,
  0
)</f>
        <v>1</v>
      </c>
    </row>
    <row r="632" spans="1:10" x14ac:dyDescent="0.3">
      <c r="A632">
        <v>2311035</v>
      </c>
      <c r="B632">
        <v>725380</v>
      </c>
      <c r="C632">
        <v>1006</v>
      </c>
      <c r="D632" s="1">
        <v>44822</v>
      </c>
      <c r="E632" s="1">
        <v>45004</v>
      </c>
      <c r="F632" t="s">
        <v>3479</v>
      </c>
      <c r="G632" t="str">
        <f>IF(ISNA(_xlfn.XLOOKUP(subscriptions[[#This Row],[customer_id]], customers[customer_id], customers[customer_id])), "NO", "YES")</f>
        <v>YES</v>
      </c>
      <c r="H632">
        <f>IF(AND(subscriptions[[#This Row],[end_date]]&lt;&gt;"", subscriptions[[#This Row],[end_date]] &lt; subscriptions[[#This Row],[start_date]]), 1, 0)</f>
        <v>0</v>
      </c>
      <c r="I6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2">
        <f>IF(
  AND(subscriptions[[#This Row],[end_before_start]]=0, subscriptions[[#This Row],[status_end_mismatch]]=0),
  1,
  0
)</f>
        <v>1</v>
      </c>
    </row>
    <row r="633" spans="1:10" x14ac:dyDescent="0.3">
      <c r="A633">
        <v>2693039</v>
      </c>
      <c r="B633">
        <v>361609</v>
      </c>
      <c r="C633">
        <v>1008</v>
      </c>
      <c r="D633" s="1">
        <v>44803</v>
      </c>
      <c r="E633" s="1"/>
      <c r="F633" t="s">
        <v>3480</v>
      </c>
      <c r="G633" t="str">
        <f>IF(ISNA(_xlfn.XLOOKUP(subscriptions[[#This Row],[customer_id]], customers[customer_id], customers[customer_id])), "NO", "YES")</f>
        <v>YES</v>
      </c>
      <c r="H633">
        <f>IF(AND(subscriptions[[#This Row],[end_date]]&lt;&gt;"", subscriptions[[#This Row],[end_date]] &lt; subscriptions[[#This Row],[start_date]]), 1, 0)</f>
        <v>0</v>
      </c>
      <c r="I6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3">
        <f>IF(
  AND(subscriptions[[#This Row],[end_before_start]]=0, subscriptions[[#This Row],[status_end_mismatch]]=0),
  1,
  0
)</f>
        <v>1</v>
      </c>
    </row>
    <row r="634" spans="1:10" x14ac:dyDescent="0.3">
      <c r="A634">
        <v>1863674</v>
      </c>
      <c r="B634">
        <v>288274</v>
      </c>
      <c r="C634">
        <v>1007</v>
      </c>
      <c r="D634" s="1">
        <v>45239</v>
      </c>
      <c r="E634" s="1"/>
      <c r="F634" t="s">
        <v>3480</v>
      </c>
      <c r="G634" t="str">
        <f>IF(ISNA(_xlfn.XLOOKUP(subscriptions[[#This Row],[customer_id]], customers[customer_id], customers[customer_id])), "NO", "YES")</f>
        <v>YES</v>
      </c>
      <c r="H634">
        <f>IF(AND(subscriptions[[#This Row],[end_date]]&lt;&gt;"", subscriptions[[#This Row],[end_date]] &lt; subscriptions[[#This Row],[start_date]]), 1, 0)</f>
        <v>0</v>
      </c>
      <c r="I6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4">
        <f>IF(
  AND(subscriptions[[#This Row],[end_before_start]]=0, subscriptions[[#This Row],[status_end_mismatch]]=0),
  1,
  0
)</f>
        <v>1</v>
      </c>
    </row>
    <row r="635" spans="1:10" x14ac:dyDescent="0.3">
      <c r="A635">
        <v>5863655</v>
      </c>
      <c r="B635">
        <v>859782</v>
      </c>
      <c r="C635">
        <v>1000</v>
      </c>
      <c r="D635" s="1">
        <v>45076</v>
      </c>
      <c r="E635" s="1"/>
      <c r="F635" t="s">
        <v>3480</v>
      </c>
      <c r="G635" t="str">
        <f>IF(ISNA(_xlfn.XLOOKUP(subscriptions[[#This Row],[customer_id]], customers[customer_id], customers[customer_id])), "NO", "YES")</f>
        <v>YES</v>
      </c>
      <c r="H635">
        <f>IF(AND(subscriptions[[#This Row],[end_date]]&lt;&gt;"", subscriptions[[#This Row],[end_date]] &lt; subscriptions[[#This Row],[start_date]]), 1, 0)</f>
        <v>0</v>
      </c>
      <c r="I6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5">
        <f>IF(
  AND(subscriptions[[#This Row],[end_before_start]]=0, subscriptions[[#This Row],[status_end_mismatch]]=0),
  1,
  0
)</f>
        <v>1</v>
      </c>
    </row>
    <row r="636" spans="1:10" x14ac:dyDescent="0.3">
      <c r="A636">
        <v>7004652</v>
      </c>
      <c r="B636">
        <v>627054</v>
      </c>
      <c r="C636">
        <v>1006</v>
      </c>
      <c r="D636" s="1">
        <v>44701</v>
      </c>
      <c r="E636" s="1">
        <v>44811</v>
      </c>
      <c r="F636" t="s">
        <v>3479</v>
      </c>
      <c r="G636" t="str">
        <f>IF(ISNA(_xlfn.XLOOKUP(subscriptions[[#This Row],[customer_id]], customers[customer_id], customers[customer_id])), "NO", "YES")</f>
        <v>YES</v>
      </c>
      <c r="H636">
        <f>IF(AND(subscriptions[[#This Row],[end_date]]&lt;&gt;"", subscriptions[[#This Row],[end_date]] &lt; subscriptions[[#This Row],[start_date]]), 1, 0)</f>
        <v>0</v>
      </c>
      <c r="I6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6">
        <f>IF(
  AND(subscriptions[[#This Row],[end_before_start]]=0, subscriptions[[#This Row],[status_end_mismatch]]=0),
  1,
  0
)</f>
        <v>1</v>
      </c>
    </row>
    <row r="637" spans="1:10" x14ac:dyDescent="0.3">
      <c r="A637">
        <v>5832995</v>
      </c>
      <c r="B637">
        <v>136554</v>
      </c>
      <c r="C637">
        <v>1002</v>
      </c>
      <c r="D637" s="1">
        <v>44715</v>
      </c>
      <c r="E637" s="1"/>
      <c r="F637" t="s">
        <v>3480</v>
      </c>
      <c r="G637" t="str">
        <f>IF(ISNA(_xlfn.XLOOKUP(subscriptions[[#This Row],[customer_id]], customers[customer_id], customers[customer_id])), "NO", "YES")</f>
        <v>YES</v>
      </c>
      <c r="H637">
        <f>IF(AND(subscriptions[[#This Row],[end_date]]&lt;&gt;"", subscriptions[[#This Row],[end_date]] &lt; subscriptions[[#This Row],[start_date]]), 1, 0)</f>
        <v>0</v>
      </c>
      <c r="I6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7">
        <f>IF(
  AND(subscriptions[[#This Row],[end_before_start]]=0, subscriptions[[#This Row],[status_end_mismatch]]=0),
  1,
  0
)</f>
        <v>1</v>
      </c>
    </row>
    <row r="638" spans="1:10" x14ac:dyDescent="0.3">
      <c r="A638">
        <v>5049993</v>
      </c>
      <c r="B638">
        <v>433193</v>
      </c>
      <c r="C638">
        <v>1007</v>
      </c>
      <c r="D638" s="1">
        <v>45586</v>
      </c>
      <c r="E638" s="1"/>
      <c r="F638" t="s">
        <v>3480</v>
      </c>
      <c r="G638" t="str">
        <f>IF(ISNA(_xlfn.XLOOKUP(subscriptions[[#This Row],[customer_id]], customers[customer_id], customers[customer_id])), "NO", "YES")</f>
        <v>YES</v>
      </c>
      <c r="H638">
        <f>IF(AND(subscriptions[[#This Row],[end_date]]&lt;&gt;"", subscriptions[[#This Row],[end_date]] &lt; subscriptions[[#This Row],[start_date]]), 1, 0)</f>
        <v>0</v>
      </c>
      <c r="I6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8">
        <f>IF(
  AND(subscriptions[[#This Row],[end_before_start]]=0, subscriptions[[#This Row],[status_end_mismatch]]=0),
  1,
  0
)</f>
        <v>1</v>
      </c>
    </row>
    <row r="639" spans="1:10" x14ac:dyDescent="0.3">
      <c r="A639">
        <v>1950399</v>
      </c>
      <c r="B639">
        <v>784578</v>
      </c>
      <c r="C639">
        <v>1006</v>
      </c>
      <c r="D639" s="1">
        <v>44789</v>
      </c>
      <c r="E639" s="1"/>
      <c r="F639" t="s">
        <v>3480</v>
      </c>
      <c r="G639" t="str">
        <f>IF(ISNA(_xlfn.XLOOKUP(subscriptions[[#This Row],[customer_id]], customers[customer_id], customers[customer_id])), "NO", "YES")</f>
        <v>YES</v>
      </c>
      <c r="H639">
        <f>IF(AND(subscriptions[[#This Row],[end_date]]&lt;&gt;"", subscriptions[[#This Row],[end_date]] &lt; subscriptions[[#This Row],[start_date]]), 1, 0)</f>
        <v>0</v>
      </c>
      <c r="I6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39">
        <f>IF(
  AND(subscriptions[[#This Row],[end_before_start]]=0, subscriptions[[#This Row],[status_end_mismatch]]=0),
  1,
  0
)</f>
        <v>1</v>
      </c>
    </row>
    <row r="640" spans="1:10" x14ac:dyDescent="0.3">
      <c r="A640">
        <v>5413298</v>
      </c>
      <c r="B640">
        <v>568288</v>
      </c>
      <c r="C640">
        <v>1009</v>
      </c>
      <c r="D640" s="1">
        <v>44623</v>
      </c>
      <c r="E640" s="1"/>
      <c r="F640" t="s">
        <v>3480</v>
      </c>
      <c r="G640" t="str">
        <f>IF(ISNA(_xlfn.XLOOKUP(subscriptions[[#This Row],[customer_id]], customers[customer_id], customers[customer_id])), "NO", "YES")</f>
        <v>YES</v>
      </c>
      <c r="H640">
        <f>IF(AND(subscriptions[[#This Row],[end_date]]&lt;&gt;"", subscriptions[[#This Row],[end_date]] &lt; subscriptions[[#This Row],[start_date]]), 1, 0)</f>
        <v>0</v>
      </c>
      <c r="I6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0">
        <f>IF(
  AND(subscriptions[[#This Row],[end_before_start]]=0, subscriptions[[#This Row],[status_end_mismatch]]=0),
  1,
  0
)</f>
        <v>1</v>
      </c>
    </row>
    <row r="641" spans="1:10" x14ac:dyDescent="0.3">
      <c r="A641">
        <v>8070014</v>
      </c>
      <c r="B641">
        <v>402218</v>
      </c>
      <c r="C641">
        <v>1001</v>
      </c>
      <c r="D641" s="1">
        <v>45096</v>
      </c>
      <c r="E641" s="1"/>
      <c r="F641" t="s">
        <v>3480</v>
      </c>
      <c r="G641" t="str">
        <f>IF(ISNA(_xlfn.XLOOKUP(subscriptions[[#This Row],[customer_id]], customers[customer_id], customers[customer_id])), "NO", "YES")</f>
        <v>YES</v>
      </c>
      <c r="H641">
        <f>IF(AND(subscriptions[[#This Row],[end_date]]&lt;&gt;"", subscriptions[[#This Row],[end_date]] &lt; subscriptions[[#This Row],[start_date]]), 1, 0)</f>
        <v>0</v>
      </c>
      <c r="I6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1">
        <f>IF(
  AND(subscriptions[[#This Row],[end_before_start]]=0, subscriptions[[#This Row],[status_end_mismatch]]=0),
  1,
  0
)</f>
        <v>1</v>
      </c>
    </row>
    <row r="642" spans="1:10" x14ac:dyDescent="0.3">
      <c r="A642">
        <v>1996431</v>
      </c>
      <c r="B642">
        <v>202170</v>
      </c>
      <c r="C642">
        <v>1009</v>
      </c>
      <c r="D642" s="1">
        <v>44847</v>
      </c>
      <c r="E642" s="1"/>
      <c r="F642" t="s">
        <v>3480</v>
      </c>
      <c r="G642" t="str">
        <f>IF(ISNA(_xlfn.XLOOKUP(subscriptions[[#This Row],[customer_id]], customers[customer_id], customers[customer_id])), "NO", "YES")</f>
        <v>YES</v>
      </c>
      <c r="H642">
        <f>IF(AND(subscriptions[[#This Row],[end_date]]&lt;&gt;"", subscriptions[[#This Row],[end_date]] &lt; subscriptions[[#This Row],[start_date]]), 1, 0)</f>
        <v>0</v>
      </c>
      <c r="I6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2">
        <f>IF(
  AND(subscriptions[[#This Row],[end_before_start]]=0, subscriptions[[#This Row],[status_end_mismatch]]=0),
  1,
  0
)</f>
        <v>1</v>
      </c>
    </row>
    <row r="643" spans="1:10" x14ac:dyDescent="0.3">
      <c r="A643">
        <v>6529924</v>
      </c>
      <c r="B643">
        <v>982804</v>
      </c>
      <c r="C643">
        <v>1001</v>
      </c>
      <c r="D643" s="1">
        <v>44689</v>
      </c>
      <c r="E643" s="1"/>
      <c r="F643" t="s">
        <v>3480</v>
      </c>
      <c r="G643" t="str">
        <f>IF(ISNA(_xlfn.XLOOKUP(subscriptions[[#This Row],[customer_id]], customers[customer_id], customers[customer_id])), "NO", "YES")</f>
        <v>YES</v>
      </c>
      <c r="H643">
        <f>IF(AND(subscriptions[[#This Row],[end_date]]&lt;&gt;"", subscriptions[[#This Row],[end_date]] &lt; subscriptions[[#This Row],[start_date]]), 1, 0)</f>
        <v>0</v>
      </c>
      <c r="I6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3">
        <f>IF(
  AND(subscriptions[[#This Row],[end_before_start]]=0, subscriptions[[#This Row],[status_end_mismatch]]=0),
  1,
  0
)</f>
        <v>1</v>
      </c>
    </row>
    <row r="644" spans="1:10" x14ac:dyDescent="0.3">
      <c r="A644">
        <v>2223258</v>
      </c>
      <c r="B644">
        <v>386886</v>
      </c>
      <c r="C644">
        <v>1003</v>
      </c>
      <c r="D644" s="1">
        <v>44634</v>
      </c>
      <c r="E644" s="1"/>
      <c r="F644" t="s">
        <v>3480</v>
      </c>
      <c r="G644" t="str">
        <f>IF(ISNA(_xlfn.XLOOKUP(subscriptions[[#This Row],[customer_id]], customers[customer_id], customers[customer_id])), "NO", "YES")</f>
        <v>YES</v>
      </c>
      <c r="H644">
        <f>IF(AND(subscriptions[[#This Row],[end_date]]&lt;&gt;"", subscriptions[[#This Row],[end_date]] &lt; subscriptions[[#This Row],[start_date]]), 1, 0)</f>
        <v>0</v>
      </c>
      <c r="I6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4">
        <f>IF(
  AND(subscriptions[[#This Row],[end_before_start]]=0, subscriptions[[#This Row],[status_end_mismatch]]=0),
  1,
  0
)</f>
        <v>1</v>
      </c>
    </row>
    <row r="645" spans="1:10" x14ac:dyDescent="0.3">
      <c r="A645">
        <v>2187207</v>
      </c>
      <c r="B645">
        <v>277735</v>
      </c>
      <c r="C645">
        <v>1008</v>
      </c>
      <c r="D645" s="1">
        <v>45414</v>
      </c>
      <c r="E645" s="1"/>
      <c r="F645" t="s">
        <v>3480</v>
      </c>
      <c r="G645" t="str">
        <f>IF(ISNA(_xlfn.XLOOKUP(subscriptions[[#This Row],[customer_id]], customers[customer_id], customers[customer_id])), "NO", "YES")</f>
        <v>YES</v>
      </c>
      <c r="H645">
        <f>IF(AND(subscriptions[[#This Row],[end_date]]&lt;&gt;"", subscriptions[[#This Row],[end_date]] &lt; subscriptions[[#This Row],[start_date]]), 1, 0)</f>
        <v>0</v>
      </c>
      <c r="I6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5">
        <f>IF(
  AND(subscriptions[[#This Row],[end_before_start]]=0, subscriptions[[#This Row],[status_end_mismatch]]=0),
  1,
  0
)</f>
        <v>1</v>
      </c>
    </row>
    <row r="646" spans="1:10" x14ac:dyDescent="0.3">
      <c r="A646">
        <v>2352134</v>
      </c>
      <c r="B646">
        <v>170394</v>
      </c>
      <c r="C646">
        <v>1008</v>
      </c>
      <c r="D646" s="1">
        <v>45542</v>
      </c>
      <c r="E646" s="1">
        <v>45634</v>
      </c>
      <c r="F646" t="s">
        <v>3479</v>
      </c>
      <c r="G646" t="str">
        <f>IF(ISNA(_xlfn.XLOOKUP(subscriptions[[#This Row],[customer_id]], customers[customer_id], customers[customer_id])), "NO", "YES")</f>
        <v>YES</v>
      </c>
      <c r="H646">
        <f>IF(AND(subscriptions[[#This Row],[end_date]]&lt;&gt;"", subscriptions[[#This Row],[end_date]] &lt; subscriptions[[#This Row],[start_date]]), 1, 0)</f>
        <v>0</v>
      </c>
      <c r="I6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6">
        <f>IF(
  AND(subscriptions[[#This Row],[end_before_start]]=0, subscriptions[[#This Row],[status_end_mismatch]]=0),
  1,
  0
)</f>
        <v>1</v>
      </c>
    </row>
    <row r="647" spans="1:10" x14ac:dyDescent="0.3">
      <c r="A647">
        <v>1700297</v>
      </c>
      <c r="B647">
        <v>560767</v>
      </c>
      <c r="C647">
        <v>1004</v>
      </c>
      <c r="D647" s="1">
        <v>44775</v>
      </c>
      <c r="E647" s="1"/>
      <c r="F647" t="s">
        <v>3480</v>
      </c>
      <c r="G647" t="str">
        <f>IF(ISNA(_xlfn.XLOOKUP(subscriptions[[#This Row],[customer_id]], customers[customer_id], customers[customer_id])), "NO", "YES")</f>
        <v>YES</v>
      </c>
      <c r="H647">
        <f>IF(AND(subscriptions[[#This Row],[end_date]]&lt;&gt;"", subscriptions[[#This Row],[end_date]] &lt; subscriptions[[#This Row],[start_date]]), 1, 0)</f>
        <v>0</v>
      </c>
      <c r="I6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7">
        <f>IF(
  AND(subscriptions[[#This Row],[end_before_start]]=0, subscriptions[[#This Row],[status_end_mismatch]]=0),
  1,
  0
)</f>
        <v>1</v>
      </c>
    </row>
    <row r="648" spans="1:10" x14ac:dyDescent="0.3">
      <c r="A648">
        <v>9516186</v>
      </c>
      <c r="B648">
        <v>616926</v>
      </c>
      <c r="C648">
        <v>1005</v>
      </c>
      <c r="D648" s="1">
        <v>45023</v>
      </c>
      <c r="E648" s="1">
        <v>45273</v>
      </c>
      <c r="F648" t="s">
        <v>3479</v>
      </c>
      <c r="G648" t="str">
        <f>IF(ISNA(_xlfn.XLOOKUP(subscriptions[[#This Row],[customer_id]], customers[customer_id], customers[customer_id])), "NO", "YES")</f>
        <v>YES</v>
      </c>
      <c r="H648">
        <f>IF(AND(subscriptions[[#This Row],[end_date]]&lt;&gt;"", subscriptions[[#This Row],[end_date]] &lt; subscriptions[[#This Row],[start_date]]), 1, 0)</f>
        <v>0</v>
      </c>
      <c r="I6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8">
        <f>IF(
  AND(subscriptions[[#This Row],[end_before_start]]=0, subscriptions[[#This Row],[status_end_mismatch]]=0),
  1,
  0
)</f>
        <v>1</v>
      </c>
    </row>
    <row r="649" spans="1:10" x14ac:dyDescent="0.3">
      <c r="A649">
        <v>9012674</v>
      </c>
      <c r="B649">
        <v>459315</v>
      </c>
      <c r="C649">
        <v>1002</v>
      </c>
      <c r="D649" s="1">
        <v>45183</v>
      </c>
      <c r="E649" s="1">
        <v>45329</v>
      </c>
      <c r="F649" t="s">
        <v>3479</v>
      </c>
      <c r="G649" t="str">
        <f>IF(ISNA(_xlfn.XLOOKUP(subscriptions[[#This Row],[customer_id]], customers[customer_id], customers[customer_id])), "NO", "YES")</f>
        <v>YES</v>
      </c>
      <c r="H649">
        <f>IF(AND(subscriptions[[#This Row],[end_date]]&lt;&gt;"", subscriptions[[#This Row],[end_date]] &lt; subscriptions[[#This Row],[start_date]]), 1, 0)</f>
        <v>0</v>
      </c>
      <c r="I6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49">
        <f>IF(
  AND(subscriptions[[#This Row],[end_before_start]]=0, subscriptions[[#This Row],[status_end_mismatch]]=0),
  1,
  0
)</f>
        <v>1</v>
      </c>
    </row>
    <row r="650" spans="1:10" x14ac:dyDescent="0.3">
      <c r="A650">
        <v>1359758</v>
      </c>
      <c r="B650">
        <v>146177</v>
      </c>
      <c r="C650">
        <v>1005</v>
      </c>
      <c r="D650" s="1">
        <v>44675</v>
      </c>
      <c r="E650" s="1"/>
      <c r="F650" t="s">
        <v>3480</v>
      </c>
      <c r="G650" t="str">
        <f>IF(ISNA(_xlfn.XLOOKUP(subscriptions[[#This Row],[customer_id]], customers[customer_id], customers[customer_id])), "NO", "YES")</f>
        <v>YES</v>
      </c>
      <c r="H650">
        <f>IF(AND(subscriptions[[#This Row],[end_date]]&lt;&gt;"", subscriptions[[#This Row],[end_date]] &lt; subscriptions[[#This Row],[start_date]]), 1, 0)</f>
        <v>0</v>
      </c>
      <c r="I6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0">
        <f>IF(
  AND(subscriptions[[#This Row],[end_before_start]]=0, subscriptions[[#This Row],[status_end_mismatch]]=0),
  1,
  0
)</f>
        <v>1</v>
      </c>
    </row>
    <row r="651" spans="1:10" x14ac:dyDescent="0.3">
      <c r="A651">
        <v>4291258</v>
      </c>
      <c r="B651">
        <v>722665</v>
      </c>
      <c r="C651">
        <v>1008</v>
      </c>
      <c r="D651" s="1">
        <v>45338</v>
      </c>
      <c r="E651" s="1">
        <v>45377</v>
      </c>
      <c r="F651" t="s">
        <v>3479</v>
      </c>
      <c r="G651" t="str">
        <f>IF(ISNA(_xlfn.XLOOKUP(subscriptions[[#This Row],[customer_id]], customers[customer_id], customers[customer_id])), "NO", "YES")</f>
        <v>YES</v>
      </c>
      <c r="H651">
        <f>IF(AND(subscriptions[[#This Row],[end_date]]&lt;&gt;"", subscriptions[[#This Row],[end_date]] &lt; subscriptions[[#This Row],[start_date]]), 1, 0)</f>
        <v>0</v>
      </c>
      <c r="I6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1">
        <f>IF(
  AND(subscriptions[[#This Row],[end_before_start]]=0, subscriptions[[#This Row],[status_end_mismatch]]=0),
  1,
  0
)</f>
        <v>1</v>
      </c>
    </row>
    <row r="652" spans="1:10" x14ac:dyDescent="0.3">
      <c r="A652">
        <v>9089526</v>
      </c>
      <c r="B652">
        <v>913185</v>
      </c>
      <c r="C652">
        <v>1006</v>
      </c>
      <c r="D652" s="1">
        <v>44668</v>
      </c>
      <c r="E652" s="1"/>
      <c r="F652" t="s">
        <v>3480</v>
      </c>
      <c r="G652" t="str">
        <f>IF(ISNA(_xlfn.XLOOKUP(subscriptions[[#This Row],[customer_id]], customers[customer_id], customers[customer_id])), "NO", "YES")</f>
        <v>YES</v>
      </c>
      <c r="H652">
        <f>IF(AND(subscriptions[[#This Row],[end_date]]&lt;&gt;"", subscriptions[[#This Row],[end_date]] &lt; subscriptions[[#This Row],[start_date]]), 1, 0)</f>
        <v>0</v>
      </c>
      <c r="I6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2">
        <f>IF(
  AND(subscriptions[[#This Row],[end_before_start]]=0, subscriptions[[#This Row],[status_end_mismatch]]=0),
  1,
  0
)</f>
        <v>1</v>
      </c>
    </row>
    <row r="653" spans="1:10" x14ac:dyDescent="0.3">
      <c r="A653">
        <v>7328832</v>
      </c>
      <c r="B653">
        <v>969659</v>
      </c>
      <c r="C653">
        <v>1006</v>
      </c>
      <c r="D653" s="1">
        <v>44818</v>
      </c>
      <c r="E653" s="1"/>
      <c r="F653" t="s">
        <v>3480</v>
      </c>
      <c r="G653" t="str">
        <f>IF(ISNA(_xlfn.XLOOKUP(subscriptions[[#This Row],[customer_id]], customers[customer_id], customers[customer_id])), "NO", "YES")</f>
        <v>YES</v>
      </c>
      <c r="H653">
        <f>IF(AND(subscriptions[[#This Row],[end_date]]&lt;&gt;"", subscriptions[[#This Row],[end_date]] &lt; subscriptions[[#This Row],[start_date]]), 1, 0)</f>
        <v>0</v>
      </c>
      <c r="I6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3">
        <f>IF(
  AND(subscriptions[[#This Row],[end_before_start]]=0, subscriptions[[#This Row],[status_end_mismatch]]=0),
  1,
  0
)</f>
        <v>1</v>
      </c>
    </row>
    <row r="654" spans="1:10" x14ac:dyDescent="0.3">
      <c r="A654">
        <v>8161079</v>
      </c>
      <c r="B654">
        <v>255362</v>
      </c>
      <c r="C654">
        <v>1002</v>
      </c>
      <c r="D654" s="1">
        <v>44844</v>
      </c>
      <c r="E654" s="1"/>
      <c r="F654" t="s">
        <v>3480</v>
      </c>
      <c r="G654" t="str">
        <f>IF(ISNA(_xlfn.XLOOKUP(subscriptions[[#This Row],[customer_id]], customers[customer_id], customers[customer_id])), "NO", "YES")</f>
        <v>YES</v>
      </c>
      <c r="H654">
        <f>IF(AND(subscriptions[[#This Row],[end_date]]&lt;&gt;"", subscriptions[[#This Row],[end_date]] &lt; subscriptions[[#This Row],[start_date]]), 1, 0)</f>
        <v>0</v>
      </c>
      <c r="I6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4">
        <f>IF(
  AND(subscriptions[[#This Row],[end_before_start]]=0, subscriptions[[#This Row],[status_end_mismatch]]=0),
  1,
  0
)</f>
        <v>1</v>
      </c>
    </row>
    <row r="655" spans="1:10" x14ac:dyDescent="0.3">
      <c r="A655">
        <v>2979586</v>
      </c>
      <c r="B655">
        <v>904857</v>
      </c>
      <c r="C655">
        <v>1009</v>
      </c>
      <c r="D655" s="1">
        <v>45315</v>
      </c>
      <c r="E655" s="1"/>
      <c r="F655" t="s">
        <v>3480</v>
      </c>
      <c r="G655" t="str">
        <f>IF(ISNA(_xlfn.XLOOKUP(subscriptions[[#This Row],[customer_id]], customers[customer_id], customers[customer_id])), "NO", "YES")</f>
        <v>YES</v>
      </c>
      <c r="H655">
        <f>IF(AND(subscriptions[[#This Row],[end_date]]&lt;&gt;"", subscriptions[[#This Row],[end_date]] &lt; subscriptions[[#This Row],[start_date]]), 1, 0)</f>
        <v>0</v>
      </c>
      <c r="I6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5">
        <f>IF(
  AND(subscriptions[[#This Row],[end_before_start]]=0, subscriptions[[#This Row],[status_end_mismatch]]=0),
  1,
  0
)</f>
        <v>1</v>
      </c>
    </row>
    <row r="656" spans="1:10" x14ac:dyDescent="0.3">
      <c r="A656">
        <v>6756692</v>
      </c>
      <c r="B656">
        <v>166938</v>
      </c>
      <c r="C656">
        <v>1007</v>
      </c>
      <c r="D656" s="1">
        <v>45456</v>
      </c>
      <c r="E656" s="1">
        <v>45607</v>
      </c>
      <c r="F656" t="s">
        <v>3479</v>
      </c>
      <c r="G656" t="str">
        <f>IF(ISNA(_xlfn.XLOOKUP(subscriptions[[#This Row],[customer_id]], customers[customer_id], customers[customer_id])), "NO", "YES")</f>
        <v>YES</v>
      </c>
      <c r="H656">
        <f>IF(AND(subscriptions[[#This Row],[end_date]]&lt;&gt;"", subscriptions[[#This Row],[end_date]] &lt; subscriptions[[#This Row],[start_date]]), 1, 0)</f>
        <v>0</v>
      </c>
      <c r="I6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6">
        <f>IF(
  AND(subscriptions[[#This Row],[end_before_start]]=0, subscriptions[[#This Row],[status_end_mismatch]]=0),
  1,
  0
)</f>
        <v>1</v>
      </c>
    </row>
    <row r="657" spans="1:10" x14ac:dyDescent="0.3">
      <c r="A657">
        <v>4892874</v>
      </c>
      <c r="B657">
        <v>953266</v>
      </c>
      <c r="C657">
        <v>1000</v>
      </c>
      <c r="D657" s="1">
        <v>44750</v>
      </c>
      <c r="E657" s="1"/>
      <c r="F657" t="s">
        <v>3480</v>
      </c>
      <c r="G657" t="str">
        <f>IF(ISNA(_xlfn.XLOOKUP(subscriptions[[#This Row],[customer_id]], customers[customer_id], customers[customer_id])), "NO", "YES")</f>
        <v>YES</v>
      </c>
      <c r="H657">
        <f>IF(AND(subscriptions[[#This Row],[end_date]]&lt;&gt;"", subscriptions[[#This Row],[end_date]] &lt; subscriptions[[#This Row],[start_date]]), 1, 0)</f>
        <v>0</v>
      </c>
      <c r="I6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7">
        <f>IF(
  AND(subscriptions[[#This Row],[end_before_start]]=0, subscriptions[[#This Row],[status_end_mismatch]]=0),
  1,
  0
)</f>
        <v>1</v>
      </c>
    </row>
    <row r="658" spans="1:10" x14ac:dyDescent="0.3">
      <c r="A658">
        <v>4810540</v>
      </c>
      <c r="B658">
        <v>688730</v>
      </c>
      <c r="C658">
        <v>1005</v>
      </c>
      <c r="D658" s="1">
        <v>45407</v>
      </c>
      <c r="E658" s="1">
        <v>45639</v>
      </c>
      <c r="F658" t="s">
        <v>3479</v>
      </c>
      <c r="G658" t="str">
        <f>IF(ISNA(_xlfn.XLOOKUP(subscriptions[[#This Row],[customer_id]], customers[customer_id], customers[customer_id])), "NO", "YES")</f>
        <v>YES</v>
      </c>
      <c r="H658">
        <f>IF(AND(subscriptions[[#This Row],[end_date]]&lt;&gt;"", subscriptions[[#This Row],[end_date]] &lt; subscriptions[[#This Row],[start_date]]), 1, 0)</f>
        <v>0</v>
      </c>
      <c r="I6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8">
        <f>IF(
  AND(subscriptions[[#This Row],[end_before_start]]=0, subscriptions[[#This Row],[status_end_mismatch]]=0),
  1,
  0
)</f>
        <v>1</v>
      </c>
    </row>
    <row r="659" spans="1:10" x14ac:dyDescent="0.3">
      <c r="A659">
        <v>1768056</v>
      </c>
      <c r="B659">
        <v>827851</v>
      </c>
      <c r="C659">
        <v>1006</v>
      </c>
      <c r="D659" s="1">
        <v>44592</v>
      </c>
      <c r="E659" s="1">
        <v>44749</v>
      </c>
      <c r="F659" t="s">
        <v>3479</v>
      </c>
      <c r="G659" t="str">
        <f>IF(ISNA(_xlfn.XLOOKUP(subscriptions[[#This Row],[customer_id]], customers[customer_id], customers[customer_id])), "NO", "YES")</f>
        <v>YES</v>
      </c>
      <c r="H659">
        <f>IF(AND(subscriptions[[#This Row],[end_date]]&lt;&gt;"", subscriptions[[#This Row],[end_date]] &lt; subscriptions[[#This Row],[start_date]]), 1, 0)</f>
        <v>0</v>
      </c>
      <c r="I6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59">
        <f>IF(
  AND(subscriptions[[#This Row],[end_before_start]]=0, subscriptions[[#This Row],[status_end_mismatch]]=0),
  1,
  0
)</f>
        <v>1</v>
      </c>
    </row>
    <row r="660" spans="1:10" x14ac:dyDescent="0.3">
      <c r="A660">
        <v>1954349</v>
      </c>
      <c r="B660">
        <v>361609</v>
      </c>
      <c r="C660">
        <v>1009</v>
      </c>
      <c r="D660" s="1">
        <v>44718</v>
      </c>
      <c r="E660" s="1"/>
      <c r="F660" t="s">
        <v>3480</v>
      </c>
      <c r="G660" t="str">
        <f>IF(ISNA(_xlfn.XLOOKUP(subscriptions[[#This Row],[customer_id]], customers[customer_id], customers[customer_id])), "NO", "YES")</f>
        <v>YES</v>
      </c>
      <c r="H660">
        <f>IF(AND(subscriptions[[#This Row],[end_date]]&lt;&gt;"", subscriptions[[#This Row],[end_date]] &lt; subscriptions[[#This Row],[start_date]]), 1, 0)</f>
        <v>0</v>
      </c>
      <c r="I6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0">
        <f>IF(
  AND(subscriptions[[#This Row],[end_before_start]]=0, subscriptions[[#This Row],[status_end_mismatch]]=0),
  1,
  0
)</f>
        <v>1</v>
      </c>
    </row>
    <row r="661" spans="1:10" x14ac:dyDescent="0.3">
      <c r="A661">
        <v>8357746</v>
      </c>
      <c r="B661">
        <v>431863</v>
      </c>
      <c r="C661">
        <v>1004</v>
      </c>
      <c r="D661" s="1">
        <v>44931</v>
      </c>
      <c r="E661" s="1"/>
      <c r="F661" t="s">
        <v>3480</v>
      </c>
      <c r="G661" t="str">
        <f>IF(ISNA(_xlfn.XLOOKUP(subscriptions[[#This Row],[customer_id]], customers[customer_id], customers[customer_id])), "NO", "YES")</f>
        <v>YES</v>
      </c>
      <c r="H661">
        <f>IF(AND(subscriptions[[#This Row],[end_date]]&lt;&gt;"", subscriptions[[#This Row],[end_date]] &lt; subscriptions[[#This Row],[start_date]]), 1, 0)</f>
        <v>0</v>
      </c>
      <c r="I6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1">
        <f>IF(
  AND(subscriptions[[#This Row],[end_before_start]]=0, subscriptions[[#This Row],[status_end_mismatch]]=0),
  1,
  0
)</f>
        <v>1</v>
      </c>
    </row>
    <row r="662" spans="1:10" x14ac:dyDescent="0.3">
      <c r="A662">
        <v>6270157</v>
      </c>
      <c r="B662">
        <v>883641</v>
      </c>
      <c r="C662">
        <v>1000</v>
      </c>
      <c r="D662" s="1">
        <v>45278</v>
      </c>
      <c r="E662" s="1">
        <v>45433</v>
      </c>
      <c r="F662" t="s">
        <v>3479</v>
      </c>
      <c r="G662" t="str">
        <f>IF(ISNA(_xlfn.XLOOKUP(subscriptions[[#This Row],[customer_id]], customers[customer_id], customers[customer_id])), "NO", "YES")</f>
        <v>YES</v>
      </c>
      <c r="H662">
        <f>IF(AND(subscriptions[[#This Row],[end_date]]&lt;&gt;"", subscriptions[[#This Row],[end_date]] &lt; subscriptions[[#This Row],[start_date]]), 1, 0)</f>
        <v>0</v>
      </c>
      <c r="I6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2">
        <f>IF(
  AND(subscriptions[[#This Row],[end_before_start]]=0, subscriptions[[#This Row],[status_end_mismatch]]=0),
  1,
  0
)</f>
        <v>1</v>
      </c>
    </row>
    <row r="663" spans="1:10" x14ac:dyDescent="0.3">
      <c r="A663">
        <v>5905871</v>
      </c>
      <c r="B663">
        <v>288056</v>
      </c>
      <c r="C663">
        <v>1006</v>
      </c>
      <c r="D663" s="1">
        <v>44827</v>
      </c>
      <c r="E663" s="1">
        <v>45102</v>
      </c>
      <c r="F663" t="s">
        <v>3479</v>
      </c>
      <c r="G663" t="str">
        <f>IF(ISNA(_xlfn.XLOOKUP(subscriptions[[#This Row],[customer_id]], customers[customer_id], customers[customer_id])), "NO", "YES")</f>
        <v>YES</v>
      </c>
      <c r="H663">
        <f>IF(AND(subscriptions[[#This Row],[end_date]]&lt;&gt;"", subscriptions[[#This Row],[end_date]] &lt; subscriptions[[#This Row],[start_date]]), 1, 0)</f>
        <v>0</v>
      </c>
      <c r="I6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3">
        <f>IF(
  AND(subscriptions[[#This Row],[end_before_start]]=0, subscriptions[[#This Row],[status_end_mismatch]]=0),
  1,
  0
)</f>
        <v>1</v>
      </c>
    </row>
    <row r="664" spans="1:10" x14ac:dyDescent="0.3">
      <c r="A664">
        <v>3053134</v>
      </c>
      <c r="B664">
        <v>449499</v>
      </c>
      <c r="C664">
        <v>1003</v>
      </c>
      <c r="D664" s="1">
        <v>44719</v>
      </c>
      <c r="E664" s="1"/>
      <c r="F664" t="s">
        <v>3480</v>
      </c>
      <c r="G664" t="str">
        <f>IF(ISNA(_xlfn.XLOOKUP(subscriptions[[#This Row],[customer_id]], customers[customer_id], customers[customer_id])), "NO", "YES")</f>
        <v>YES</v>
      </c>
      <c r="H664">
        <f>IF(AND(subscriptions[[#This Row],[end_date]]&lt;&gt;"", subscriptions[[#This Row],[end_date]] &lt; subscriptions[[#This Row],[start_date]]), 1, 0)</f>
        <v>0</v>
      </c>
      <c r="I6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4">
        <f>IF(
  AND(subscriptions[[#This Row],[end_before_start]]=0, subscriptions[[#This Row],[status_end_mismatch]]=0),
  1,
  0
)</f>
        <v>1</v>
      </c>
    </row>
    <row r="665" spans="1:10" x14ac:dyDescent="0.3">
      <c r="A665">
        <v>4453773</v>
      </c>
      <c r="B665">
        <v>856442</v>
      </c>
      <c r="C665">
        <v>1008</v>
      </c>
      <c r="D665" s="1">
        <v>45575</v>
      </c>
      <c r="E665" s="1">
        <v>45629</v>
      </c>
      <c r="F665" t="s">
        <v>3479</v>
      </c>
      <c r="G665" t="str">
        <f>IF(ISNA(_xlfn.XLOOKUP(subscriptions[[#This Row],[customer_id]], customers[customer_id], customers[customer_id])), "NO", "YES")</f>
        <v>YES</v>
      </c>
      <c r="H665">
        <f>IF(AND(subscriptions[[#This Row],[end_date]]&lt;&gt;"", subscriptions[[#This Row],[end_date]] &lt; subscriptions[[#This Row],[start_date]]), 1, 0)</f>
        <v>0</v>
      </c>
      <c r="I6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5">
        <f>IF(
  AND(subscriptions[[#This Row],[end_before_start]]=0, subscriptions[[#This Row],[status_end_mismatch]]=0),
  1,
  0
)</f>
        <v>1</v>
      </c>
    </row>
    <row r="666" spans="1:10" x14ac:dyDescent="0.3">
      <c r="A666">
        <v>4695807</v>
      </c>
      <c r="B666">
        <v>188374</v>
      </c>
      <c r="C666">
        <v>1004</v>
      </c>
      <c r="D666" s="1">
        <v>45470</v>
      </c>
      <c r="E666" s="1">
        <v>45633</v>
      </c>
      <c r="F666" t="s">
        <v>3479</v>
      </c>
      <c r="G666" t="str">
        <f>IF(ISNA(_xlfn.XLOOKUP(subscriptions[[#This Row],[customer_id]], customers[customer_id], customers[customer_id])), "NO", "YES")</f>
        <v>YES</v>
      </c>
      <c r="H666">
        <f>IF(AND(subscriptions[[#This Row],[end_date]]&lt;&gt;"", subscriptions[[#This Row],[end_date]] &lt; subscriptions[[#This Row],[start_date]]), 1, 0)</f>
        <v>0</v>
      </c>
      <c r="I6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6">
        <f>IF(
  AND(subscriptions[[#This Row],[end_before_start]]=0, subscriptions[[#This Row],[status_end_mismatch]]=0),
  1,
  0
)</f>
        <v>1</v>
      </c>
    </row>
    <row r="667" spans="1:10" x14ac:dyDescent="0.3">
      <c r="A667">
        <v>5910412</v>
      </c>
      <c r="B667">
        <v>950576</v>
      </c>
      <c r="C667">
        <v>1000</v>
      </c>
      <c r="D667" s="1">
        <v>45062</v>
      </c>
      <c r="E667" s="1"/>
      <c r="F667" t="s">
        <v>3480</v>
      </c>
      <c r="G667" t="str">
        <f>IF(ISNA(_xlfn.XLOOKUP(subscriptions[[#This Row],[customer_id]], customers[customer_id], customers[customer_id])), "NO", "YES")</f>
        <v>YES</v>
      </c>
      <c r="H667">
        <f>IF(AND(subscriptions[[#This Row],[end_date]]&lt;&gt;"", subscriptions[[#This Row],[end_date]] &lt; subscriptions[[#This Row],[start_date]]), 1, 0)</f>
        <v>0</v>
      </c>
      <c r="I6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7">
        <f>IF(
  AND(subscriptions[[#This Row],[end_before_start]]=0, subscriptions[[#This Row],[status_end_mismatch]]=0),
  1,
  0
)</f>
        <v>1</v>
      </c>
    </row>
    <row r="668" spans="1:10" x14ac:dyDescent="0.3">
      <c r="A668">
        <v>5488496</v>
      </c>
      <c r="B668">
        <v>392075</v>
      </c>
      <c r="C668">
        <v>1001</v>
      </c>
      <c r="D668" s="1">
        <v>45215</v>
      </c>
      <c r="E668" s="1">
        <v>45502</v>
      </c>
      <c r="F668" t="s">
        <v>3479</v>
      </c>
      <c r="G668" t="str">
        <f>IF(ISNA(_xlfn.XLOOKUP(subscriptions[[#This Row],[customer_id]], customers[customer_id], customers[customer_id])), "NO", "YES")</f>
        <v>YES</v>
      </c>
      <c r="H668">
        <f>IF(AND(subscriptions[[#This Row],[end_date]]&lt;&gt;"", subscriptions[[#This Row],[end_date]] &lt; subscriptions[[#This Row],[start_date]]), 1, 0)</f>
        <v>0</v>
      </c>
      <c r="I6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8">
        <f>IF(
  AND(subscriptions[[#This Row],[end_before_start]]=0, subscriptions[[#This Row],[status_end_mismatch]]=0),
  1,
  0
)</f>
        <v>1</v>
      </c>
    </row>
    <row r="669" spans="1:10" x14ac:dyDescent="0.3">
      <c r="A669">
        <v>2751175</v>
      </c>
      <c r="B669">
        <v>215830</v>
      </c>
      <c r="C669">
        <v>1000</v>
      </c>
      <c r="D669" s="1">
        <v>44672</v>
      </c>
      <c r="E669" s="1"/>
      <c r="F669" t="s">
        <v>3480</v>
      </c>
      <c r="G669" t="str">
        <f>IF(ISNA(_xlfn.XLOOKUP(subscriptions[[#This Row],[customer_id]], customers[customer_id], customers[customer_id])), "NO", "YES")</f>
        <v>YES</v>
      </c>
      <c r="H669">
        <f>IF(AND(subscriptions[[#This Row],[end_date]]&lt;&gt;"", subscriptions[[#This Row],[end_date]] &lt; subscriptions[[#This Row],[start_date]]), 1, 0)</f>
        <v>0</v>
      </c>
      <c r="I6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69">
        <f>IF(
  AND(subscriptions[[#This Row],[end_before_start]]=0, subscriptions[[#This Row],[status_end_mismatch]]=0),
  1,
  0
)</f>
        <v>1</v>
      </c>
    </row>
    <row r="670" spans="1:10" x14ac:dyDescent="0.3">
      <c r="A670">
        <v>7892648</v>
      </c>
      <c r="B670">
        <v>622584</v>
      </c>
      <c r="C670">
        <v>1002</v>
      </c>
      <c r="D670" s="1">
        <v>45557</v>
      </c>
      <c r="E670" s="1"/>
      <c r="F670" t="s">
        <v>3480</v>
      </c>
      <c r="G670" t="str">
        <f>IF(ISNA(_xlfn.XLOOKUP(subscriptions[[#This Row],[customer_id]], customers[customer_id], customers[customer_id])), "NO", "YES")</f>
        <v>YES</v>
      </c>
      <c r="H670">
        <f>IF(AND(subscriptions[[#This Row],[end_date]]&lt;&gt;"", subscriptions[[#This Row],[end_date]] &lt; subscriptions[[#This Row],[start_date]]), 1, 0)</f>
        <v>0</v>
      </c>
      <c r="I6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0">
        <f>IF(
  AND(subscriptions[[#This Row],[end_before_start]]=0, subscriptions[[#This Row],[status_end_mismatch]]=0),
  1,
  0
)</f>
        <v>1</v>
      </c>
    </row>
    <row r="671" spans="1:10" x14ac:dyDescent="0.3">
      <c r="A671">
        <v>4415085</v>
      </c>
      <c r="B671">
        <v>670968</v>
      </c>
      <c r="C671">
        <v>1000</v>
      </c>
      <c r="D671" s="1">
        <v>44842</v>
      </c>
      <c r="E671" s="1">
        <v>45138</v>
      </c>
      <c r="F671" t="s">
        <v>3479</v>
      </c>
      <c r="G671" t="str">
        <f>IF(ISNA(_xlfn.XLOOKUP(subscriptions[[#This Row],[customer_id]], customers[customer_id], customers[customer_id])), "NO", "YES")</f>
        <v>YES</v>
      </c>
      <c r="H671">
        <f>IF(AND(subscriptions[[#This Row],[end_date]]&lt;&gt;"", subscriptions[[#This Row],[end_date]] &lt; subscriptions[[#This Row],[start_date]]), 1, 0)</f>
        <v>0</v>
      </c>
      <c r="I6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1">
        <f>IF(
  AND(subscriptions[[#This Row],[end_before_start]]=0, subscriptions[[#This Row],[status_end_mismatch]]=0),
  1,
  0
)</f>
        <v>1</v>
      </c>
    </row>
    <row r="672" spans="1:10" x14ac:dyDescent="0.3">
      <c r="A672">
        <v>4867751</v>
      </c>
      <c r="B672">
        <v>492127</v>
      </c>
      <c r="C672">
        <v>1004</v>
      </c>
      <c r="D672" s="1">
        <v>45186</v>
      </c>
      <c r="E672" s="1">
        <v>45323</v>
      </c>
      <c r="F672" t="s">
        <v>3479</v>
      </c>
      <c r="G672" t="str">
        <f>IF(ISNA(_xlfn.XLOOKUP(subscriptions[[#This Row],[customer_id]], customers[customer_id], customers[customer_id])), "NO", "YES")</f>
        <v>YES</v>
      </c>
      <c r="H672">
        <f>IF(AND(subscriptions[[#This Row],[end_date]]&lt;&gt;"", subscriptions[[#This Row],[end_date]] &lt; subscriptions[[#This Row],[start_date]]), 1, 0)</f>
        <v>0</v>
      </c>
      <c r="I6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2">
        <f>IF(
  AND(subscriptions[[#This Row],[end_before_start]]=0, subscriptions[[#This Row],[status_end_mismatch]]=0),
  1,
  0
)</f>
        <v>1</v>
      </c>
    </row>
    <row r="673" spans="1:10" x14ac:dyDescent="0.3">
      <c r="A673">
        <v>3059370</v>
      </c>
      <c r="B673">
        <v>546157</v>
      </c>
      <c r="C673">
        <v>1002</v>
      </c>
      <c r="D673" s="1">
        <v>45324</v>
      </c>
      <c r="E673" s="1">
        <v>45426</v>
      </c>
      <c r="F673" t="s">
        <v>3479</v>
      </c>
      <c r="G673" t="str">
        <f>IF(ISNA(_xlfn.XLOOKUP(subscriptions[[#This Row],[customer_id]], customers[customer_id], customers[customer_id])), "NO", "YES")</f>
        <v>YES</v>
      </c>
      <c r="H673">
        <f>IF(AND(subscriptions[[#This Row],[end_date]]&lt;&gt;"", subscriptions[[#This Row],[end_date]] &lt; subscriptions[[#This Row],[start_date]]), 1, 0)</f>
        <v>0</v>
      </c>
      <c r="I6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3">
        <f>IF(
  AND(subscriptions[[#This Row],[end_before_start]]=0, subscriptions[[#This Row],[status_end_mismatch]]=0),
  1,
  0
)</f>
        <v>1</v>
      </c>
    </row>
    <row r="674" spans="1:10" x14ac:dyDescent="0.3">
      <c r="A674">
        <v>1601759</v>
      </c>
      <c r="B674">
        <v>890075</v>
      </c>
      <c r="C674">
        <v>1003</v>
      </c>
      <c r="D674" s="1">
        <v>45043</v>
      </c>
      <c r="E674" s="1">
        <v>45405</v>
      </c>
      <c r="F674" t="s">
        <v>3479</v>
      </c>
      <c r="G674" t="str">
        <f>IF(ISNA(_xlfn.XLOOKUP(subscriptions[[#This Row],[customer_id]], customers[customer_id], customers[customer_id])), "NO", "YES")</f>
        <v>YES</v>
      </c>
      <c r="H674">
        <f>IF(AND(subscriptions[[#This Row],[end_date]]&lt;&gt;"", subscriptions[[#This Row],[end_date]] &lt; subscriptions[[#This Row],[start_date]]), 1, 0)</f>
        <v>0</v>
      </c>
      <c r="I6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4">
        <f>IF(
  AND(subscriptions[[#This Row],[end_before_start]]=0, subscriptions[[#This Row],[status_end_mismatch]]=0),
  1,
  0
)</f>
        <v>1</v>
      </c>
    </row>
    <row r="675" spans="1:10" x14ac:dyDescent="0.3">
      <c r="A675">
        <v>8612879</v>
      </c>
      <c r="B675">
        <v>114549</v>
      </c>
      <c r="C675">
        <v>1003</v>
      </c>
      <c r="D675" s="1">
        <v>44795</v>
      </c>
      <c r="E675" s="1"/>
      <c r="F675" t="s">
        <v>3480</v>
      </c>
      <c r="G675" t="str">
        <f>IF(ISNA(_xlfn.XLOOKUP(subscriptions[[#This Row],[customer_id]], customers[customer_id], customers[customer_id])), "NO", "YES")</f>
        <v>YES</v>
      </c>
      <c r="H675">
        <f>IF(AND(subscriptions[[#This Row],[end_date]]&lt;&gt;"", subscriptions[[#This Row],[end_date]] &lt; subscriptions[[#This Row],[start_date]]), 1, 0)</f>
        <v>0</v>
      </c>
      <c r="I6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5">
        <f>IF(
  AND(subscriptions[[#This Row],[end_before_start]]=0, subscriptions[[#This Row],[status_end_mismatch]]=0),
  1,
  0
)</f>
        <v>1</v>
      </c>
    </row>
    <row r="676" spans="1:10" x14ac:dyDescent="0.3">
      <c r="A676">
        <v>1566334</v>
      </c>
      <c r="B676">
        <v>128142</v>
      </c>
      <c r="C676">
        <v>1007</v>
      </c>
      <c r="D676" s="1">
        <v>45115</v>
      </c>
      <c r="E676" s="1"/>
      <c r="F676" t="s">
        <v>3480</v>
      </c>
      <c r="G676" t="str">
        <f>IF(ISNA(_xlfn.XLOOKUP(subscriptions[[#This Row],[customer_id]], customers[customer_id], customers[customer_id])), "NO", "YES")</f>
        <v>YES</v>
      </c>
      <c r="H676">
        <f>IF(AND(subscriptions[[#This Row],[end_date]]&lt;&gt;"", subscriptions[[#This Row],[end_date]] &lt; subscriptions[[#This Row],[start_date]]), 1, 0)</f>
        <v>0</v>
      </c>
      <c r="I6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6">
        <f>IF(
  AND(subscriptions[[#This Row],[end_before_start]]=0, subscriptions[[#This Row],[status_end_mismatch]]=0),
  1,
  0
)</f>
        <v>1</v>
      </c>
    </row>
    <row r="677" spans="1:10" x14ac:dyDescent="0.3">
      <c r="A677">
        <v>7445414</v>
      </c>
      <c r="B677">
        <v>746281</v>
      </c>
      <c r="C677">
        <v>1007</v>
      </c>
      <c r="D677" s="1">
        <v>45177</v>
      </c>
      <c r="E677" s="1">
        <v>45250</v>
      </c>
      <c r="F677" t="s">
        <v>3479</v>
      </c>
      <c r="G677" t="str">
        <f>IF(ISNA(_xlfn.XLOOKUP(subscriptions[[#This Row],[customer_id]], customers[customer_id], customers[customer_id])), "NO", "YES")</f>
        <v>YES</v>
      </c>
      <c r="H677">
        <f>IF(AND(subscriptions[[#This Row],[end_date]]&lt;&gt;"", subscriptions[[#This Row],[end_date]] &lt; subscriptions[[#This Row],[start_date]]), 1, 0)</f>
        <v>0</v>
      </c>
      <c r="I6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7">
        <f>IF(
  AND(subscriptions[[#This Row],[end_before_start]]=0, subscriptions[[#This Row],[status_end_mismatch]]=0),
  1,
  0
)</f>
        <v>1</v>
      </c>
    </row>
    <row r="678" spans="1:10" x14ac:dyDescent="0.3">
      <c r="A678">
        <v>2001936</v>
      </c>
      <c r="B678">
        <v>780130</v>
      </c>
      <c r="C678">
        <v>1006</v>
      </c>
      <c r="D678" s="1">
        <v>45133</v>
      </c>
      <c r="E678" s="1">
        <v>45359</v>
      </c>
      <c r="F678" t="s">
        <v>3479</v>
      </c>
      <c r="G678" t="str">
        <f>IF(ISNA(_xlfn.XLOOKUP(subscriptions[[#This Row],[customer_id]], customers[customer_id], customers[customer_id])), "NO", "YES")</f>
        <v>YES</v>
      </c>
      <c r="H678">
        <f>IF(AND(subscriptions[[#This Row],[end_date]]&lt;&gt;"", subscriptions[[#This Row],[end_date]] &lt; subscriptions[[#This Row],[start_date]]), 1, 0)</f>
        <v>0</v>
      </c>
      <c r="I6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8">
        <f>IF(
  AND(subscriptions[[#This Row],[end_before_start]]=0, subscriptions[[#This Row],[status_end_mismatch]]=0),
  1,
  0
)</f>
        <v>1</v>
      </c>
    </row>
    <row r="679" spans="1:10" x14ac:dyDescent="0.3">
      <c r="A679">
        <v>9310719</v>
      </c>
      <c r="B679">
        <v>715732</v>
      </c>
      <c r="C679">
        <v>1004</v>
      </c>
      <c r="D679" s="1">
        <v>44600</v>
      </c>
      <c r="E679" s="1">
        <v>44826</v>
      </c>
      <c r="F679" t="s">
        <v>3479</v>
      </c>
      <c r="G679" t="str">
        <f>IF(ISNA(_xlfn.XLOOKUP(subscriptions[[#This Row],[customer_id]], customers[customer_id], customers[customer_id])), "NO", "YES")</f>
        <v>YES</v>
      </c>
      <c r="H679">
        <f>IF(AND(subscriptions[[#This Row],[end_date]]&lt;&gt;"", subscriptions[[#This Row],[end_date]] &lt; subscriptions[[#This Row],[start_date]]), 1, 0)</f>
        <v>0</v>
      </c>
      <c r="I6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79">
        <f>IF(
  AND(subscriptions[[#This Row],[end_before_start]]=0, subscriptions[[#This Row],[status_end_mismatch]]=0),
  1,
  0
)</f>
        <v>1</v>
      </c>
    </row>
    <row r="680" spans="1:10" x14ac:dyDescent="0.3">
      <c r="A680">
        <v>8449415</v>
      </c>
      <c r="B680">
        <v>597440</v>
      </c>
      <c r="C680">
        <v>1005</v>
      </c>
      <c r="D680" s="1">
        <v>44652</v>
      </c>
      <c r="E680" s="1"/>
      <c r="F680" t="s">
        <v>3480</v>
      </c>
      <c r="G680" t="str">
        <f>IF(ISNA(_xlfn.XLOOKUP(subscriptions[[#This Row],[customer_id]], customers[customer_id], customers[customer_id])), "NO", "YES")</f>
        <v>YES</v>
      </c>
      <c r="H680">
        <f>IF(AND(subscriptions[[#This Row],[end_date]]&lt;&gt;"", subscriptions[[#This Row],[end_date]] &lt; subscriptions[[#This Row],[start_date]]), 1, 0)</f>
        <v>0</v>
      </c>
      <c r="I6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0">
        <f>IF(
  AND(subscriptions[[#This Row],[end_before_start]]=0, subscriptions[[#This Row],[status_end_mismatch]]=0),
  1,
  0
)</f>
        <v>1</v>
      </c>
    </row>
    <row r="681" spans="1:10" x14ac:dyDescent="0.3">
      <c r="A681">
        <v>7364050</v>
      </c>
      <c r="B681">
        <v>575637</v>
      </c>
      <c r="C681">
        <v>1003</v>
      </c>
      <c r="D681" s="1">
        <v>44939</v>
      </c>
      <c r="E681" s="1">
        <v>45241</v>
      </c>
      <c r="F681" t="s">
        <v>3479</v>
      </c>
      <c r="G681" t="str">
        <f>IF(ISNA(_xlfn.XLOOKUP(subscriptions[[#This Row],[customer_id]], customers[customer_id], customers[customer_id])), "NO", "YES")</f>
        <v>YES</v>
      </c>
      <c r="H681">
        <f>IF(AND(subscriptions[[#This Row],[end_date]]&lt;&gt;"", subscriptions[[#This Row],[end_date]] &lt; subscriptions[[#This Row],[start_date]]), 1, 0)</f>
        <v>0</v>
      </c>
      <c r="I6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1">
        <f>IF(
  AND(subscriptions[[#This Row],[end_before_start]]=0, subscriptions[[#This Row],[status_end_mismatch]]=0),
  1,
  0
)</f>
        <v>1</v>
      </c>
    </row>
    <row r="682" spans="1:10" x14ac:dyDescent="0.3">
      <c r="A682">
        <v>1876771</v>
      </c>
      <c r="B682">
        <v>423939</v>
      </c>
      <c r="C682">
        <v>1006</v>
      </c>
      <c r="D682" s="1">
        <v>45186</v>
      </c>
      <c r="E682" s="1"/>
      <c r="F682" t="s">
        <v>3480</v>
      </c>
      <c r="G682" t="str">
        <f>IF(ISNA(_xlfn.XLOOKUP(subscriptions[[#This Row],[customer_id]], customers[customer_id], customers[customer_id])), "NO", "YES")</f>
        <v>YES</v>
      </c>
      <c r="H682">
        <f>IF(AND(subscriptions[[#This Row],[end_date]]&lt;&gt;"", subscriptions[[#This Row],[end_date]] &lt; subscriptions[[#This Row],[start_date]]), 1, 0)</f>
        <v>0</v>
      </c>
      <c r="I6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2">
        <f>IF(
  AND(subscriptions[[#This Row],[end_before_start]]=0, subscriptions[[#This Row],[status_end_mismatch]]=0),
  1,
  0
)</f>
        <v>1</v>
      </c>
    </row>
    <row r="683" spans="1:10" x14ac:dyDescent="0.3">
      <c r="A683">
        <v>6835191</v>
      </c>
      <c r="B683">
        <v>444625</v>
      </c>
      <c r="C683">
        <v>1004</v>
      </c>
      <c r="D683" s="1">
        <v>44615</v>
      </c>
      <c r="E683" s="1">
        <v>44817</v>
      </c>
      <c r="F683" t="s">
        <v>3479</v>
      </c>
      <c r="G683" t="str">
        <f>IF(ISNA(_xlfn.XLOOKUP(subscriptions[[#This Row],[customer_id]], customers[customer_id], customers[customer_id])), "NO", "YES")</f>
        <v>YES</v>
      </c>
      <c r="H683">
        <f>IF(AND(subscriptions[[#This Row],[end_date]]&lt;&gt;"", subscriptions[[#This Row],[end_date]] &lt; subscriptions[[#This Row],[start_date]]), 1, 0)</f>
        <v>0</v>
      </c>
      <c r="I6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3">
        <f>IF(
  AND(subscriptions[[#This Row],[end_before_start]]=0, subscriptions[[#This Row],[status_end_mismatch]]=0),
  1,
  0
)</f>
        <v>1</v>
      </c>
    </row>
    <row r="684" spans="1:10" x14ac:dyDescent="0.3">
      <c r="A684">
        <v>5404568</v>
      </c>
      <c r="B684">
        <v>995420</v>
      </c>
      <c r="C684">
        <v>1008</v>
      </c>
      <c r="D684" s="1">
        <v>45005</v>
      </c>
      <c r="E684" s="1">
        <v>45209</v>
      </c>
      <c r="F684" t="s">
        <v>3479</v>
      </c>
      <c r="G684" t="str">
        <f>IF(ISNA(_xlfn.XLOOKUP(subscriptions[[#This Row],[customer_id]], customers[customer_id], customers[customer_id])), "NO", "YES")</f>
        <v>YES</v>
      </c>
      <c r="H684">
        <f>IF(AND(subscriptions[[#This Row],[end_date]]&lt;&gt;"", subscriptions[[#This Row],[end_date]] &lt; subscriptions[[#This Row],[start_date]]), 1, 0)</f>
        <v>0</v>
      </c>
      <c r="I6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4">
        <f>IF(
  AND(subscriptions[[#This Row],[end_before_start]]=0, subscriptions[[#This Row],[status_end_mismatch]]=0),
  1,
  0
)</f>
        <v>1</v>
      </c>
    </row>
    <row r="685" spans="1:10" x14ac:dyDescent="0.3">
      <c r="A685">
        <v>8282586</v>
      </c>
      <c r="B685">
        <v>269170</v>
      </c>
      <c r="C685">
        <v>1005</v>
      </c>
      <c r="D685" s="1">
        <v>45437</v>
      </c>
      <c r="E685" s="1">
        <v>45496</v>
      </c>
      <c r="F685" t="s">
        <v>3479</v>
      </c>
      <c r="G685" t="str">
        <f>IF(ISNA(_xlfn.XLOOKUP(subscriptions[[#This Row],[customer_id]], customers[customer_id], customers[customer_id])), "NO", "YES")</f>
        <v>YES</v>
      </c>
      <c r="H685">
        <f>IF(AND(subscriptions[[#This Row],[end_date]]&lt;&gt;"", subscriptions[[#This Row],[end_date]] &lt; subscriptions[[#This Row],[start_date]]), 1, 0)</f>
        <v>0</v>
      </c>
      <c r="I6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5">
        <f>IF(
  AND(subscriptions[[#This Row],[end_before_start]]=0, subscriptions[[#This Row],[status_end_mismatch]]=0),
  1,
  0
)</f>
        <v>1</v>
      </c>
    </row>
    <row r="686" spans="1:10" x14ac:dyDescent="0.3">
      <c r="A686">
        <v>2832243</v>
      </c>
      <c r="B686">
        <v>509593</v>
      </c>
      <c r="C686">
        <v>1004</v>
      </c>
      <c r="D686" s="1">
        <v>45356</v>
      </c>
      <c r="E686" s="1">
        <v>45648</v>
      </c>
      <c r="F686" t="s">
        <v>3479</v>
      </c>
      <c r="G686" t="str">
        <f>IF(ISNA(_xlfn.XLOOKUP(subscriptions[[#This Row],[customer_id]], customers[customer_id], customers[customer_id])), "NO", "YES")</f>
        <v>YES</v>
      </c>
      <c r="H686">
        <f>IF(AND(subscriptions[[#This Row],[end_date]]&lt;&gt;"", subscriptions[[#This Row],[end_date]] &lt; subscriptions[[#This Row],[start_date]]), 1, 0)</f>
        <v>0</v>
      </c>
      <c r="I6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6">
        <f>IF(
  AND(subscriptions[[#This Row],[end_before_start]]=0, subscriptions[[#This Row],[status_end_mismatch]]=0),
  1,
  0
)</f>
        <v>1</v>
      </c>
    </row>
    <row r="687" spans="1:10" x14ac:dyDescent="0.3">
      <c r="A687">
        <v>9971807</v>
      </c>
      <c r="B687">
        <v>189856</v>
      </c>
      <c r="C687">
        <v>1005</v>
      </c>
      <c r="D687" s="1">
        <v>45511</v>
      </c>
      <c r="E687" s="1"/>
      <c r="F687" t="s">
        <v>3480</v>
      </c>
      <c r="G687" t="str">
        <f>IF(ISNA(_xlfn.XLOOKUP(subscriptions[[#This Row],[customer_id]], customers[customer_id], customers[customer_id])), "NO", "YES")</f>
        <v>YES</v>
      </c>
      <c r="H687">
        <f>IF(AND(subscriptions[[#This Row],[end_date]]&lt;&gt;"", subscriptions[[#This Row],[end_date]] &lt; subscriptions[[#This Row],[start_date]]), 1, 0)</f>
        <v>0</v>
      </c>
      <c r="I6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7">
        <f>IF(
  AND(subscriptions[[#This Row],[end_before_start]]=0, subscriptions[[#This Row],[status_end_mismatch]]=0),
  1,
  0
)</f>
        <v>1</v>
      </c>
    </row>
    <row r="688" spans="1:10" x14ac:dyDescent="0.3">
      <c r="A688">
        <v>9705913</v>
      </c>
      <c r="B688">
        <v>868043</v>
      </c>
      <c r="C688">
        <v>1002</v>
      </c>
      <c r="D688" s="1">
        <v>45094</v>
      </c>
      <c r="E688" s="1"/>
      <c r="F688" t="s">
        <v>3480</v>
      </c>
      <c r="G688" t="str">
        <f>IF(ISNA(_xlfn.XLOOKUP(subscriptions[[#This Row],[customer_id]], customers[customer_id], customers[customer_id])), "NO", "YES")</f>
        <v>YES</v>
      </c>
      <c r="H688">
        <f>IF(AND(subscriptions[[#This Row],[end_date]]&lt;&gt;"", subscriptions[[#This Row],[end_date]] &lt; subscriptions[[#This Row],[start_date]]), 1, 0)</f>
        <v>0</v>
      </c>
      <c r="I6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8">
        <f>IF(
  AND(subscriptions[[#This Row],[end_before_start]]=0, subscriptions[[#This Row],[status_end_mismatch]]=0),
  1,
  0
)</f>
        <v>1</v>
      </c>
    </row>
    <row r="689" spans="1:10" x14ac:dyDescent="0.3">
      <c r="A689">
        <v>7397002</v>
      </c>
      <c r="B689">
        <v>859181</v>
      </c>
      <c r="C689">
        <v>1004</v>
      </c>
      <c r="D689" s="1">
        <v>45519</v>
      </c>
      <c r="E689" s="1">
        <v>45653</v>
      </c>
      <c r="F689" t="s">
        <v>3479</v>
      </c>
      <c r="G689" t="str">
        <f>IF(ISNA(_xlfn.XLOOKUP(subscriptions[[#This Row],[customer_id]], customers[customer_id], customers[customer_id])), "NO", "YES")</f>
        <v>YES</v>
      </c>
      <c r="H689">
        <f>IF(AND(subscriptions[[#This Row],[end_date]]&lt;&gt;"", subscriptions[[#This Row],[end_date]] &lt; subscriptions[[#This Row],[start_date]]), 1, 0)</f>
        <v>0</v>
      </c>
      <c r="I6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89">
        <f>IF(
  AND(subscriptions[[#This Row],[end_before_start]]=0, subscriptions[[#This Row],[status_end_mismatch]]=0),
  1,
  0
)</f>
        <v>1</v>
      </c>
    </row>
    <row r="690" spans="1:10" x14ac:dyDescent="0.3">
      <c r="A690">
        <v>1254735</v>
      </c>
      <c r="B690">
        <v>813666</v>
      </c>
      <c r="C690">
        <v>1007</v>
      </c>
      <c r="D690" s="1">
        <v>45136</v>
      </c>
      <c r="E690" s="1">
        <v>45306</v>
      </c>
      <c r="F690" t="s">
        <v>3479</v>
      </c>
      <c r="G690" t="str">
        <f>IF(ISNA(_xlfn.XLOOKUP(subscriptions[[#This Row],[customer_id]], customers[customer_id], customers[customer_id])), "NO", "YES")</f>
        <v>YES</v>
      </c>
      <c r="H690">
        <f>IF(AND(subscriptions[[#This Row],[end_date]]&lt;&gt;"", subscriptions[[#This Row],[end_date]] &lt; subscriptions[[#This Row],[start_date]]), 1, 0)</f>
        <v>0</v>
      </c>
      <c r="I6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0">
        <f>IF(
  AND(subscriptions[[#This Row],[end_before_start]]=0, subscriptions[[#This Row],[status_end_mismatch]]=0),
  1,
  0
)</f>
        <v>1</v>
      </c>
    </row>
    <row r="691" spans="1:10" x14ac:dyDescent="0.3">
      <c r="A691">
        <v>2435070</v>
      </c>
      <c r="B691">
        <v>259540</v>
      </c>
      <c r="C691">
        <v>1002</v>
      </c>
      <c r="D691" s="1">
        <v>45073</v>
      </c>
      <c r="E691" s="1">
        <v>45254</v>
      </c>
      <c r="F691" t="s">
        <v>3479</v>
      </c>
      <c r="G691" t="str">
        <f>IF(ISNA(_xlfn.XLOOKUP(subscriptions[[#This Row],[customer_id]], customers[customer_id], customers[customer_id])), "NO", "YES")</f>
        <v>YES</v>
      </c>
      <c r="H691">
        <f>IF(AND(subscriptions[[#This Row],[end_date]]&lt;&gt;"", subscriptions[[#This Row],[end_date]] &lt; subscriptions[[#This Row],[start_date]]), 1, 0)</f>
        <v>0</v>
      </c>
      <c r="I6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1">
        <f>IF(
  AND(subscriptions[[#This Row],[end_before_start]]=0, subscriptions[[#This Row],[status_end_mismatch]]=0),
  1,
  0
)</f>
        <v>1</v>
      </c>
    </row>
    <row r="692" spans="1:10" x14ac:dyDescent="0.3">
      <c r="A692">
        <v>6662853</v>
      </c>
      <c r="B692">
        <v>232981</v>
      </c>
      <c r="C692">
        <v>1003</v>
      </c>
      <c r="D692" s="1">
        <v>45370</v>
      </c>
      <c r="E692" s="1"/>
      <c r="F692" t="s">
        <v>3480</v>
      </c>
      <c r="G692" t="str">
        <f>IF(ISNA(_xlfn.XLOOKUP(subscriptions[[#This Row],[customer_id]], customers[customer_id], customers[customer_id])), "NO", "YES")</f>
        <v>YES</v>
      </c>
      <c r="H692">
        <f>IF(AND(subscriptions[[#This Row],[end_date]]&lt;&gt;"", subscriptions[[#This Row],[end_date]] &lt; subscriptions[[#This Row],[start_date]]), 1, 0)</f>
        <v>0</v>
      </c>
      <c r="I6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2">
        <f>IF(
  AND(subscriptions[[#This Row],[end_before_start]]=0, subscriptions[[#This Row],[status_end_mismatch]]=0),
  1,
  0
)</f>
        <v>1</v>
      </c>
    </row>
    <row r="693" spans="1:10" x14ac:dyDescent="0.3">
      <c r="A693">
        <v>5601485</v>
      </c>
      <c r="B693">
        <v>567315</v>
      </c>
      <c r="C693">
        <v>1001</v>
      </c>
      <c r="D693" s="1">
        <v>45302</v>
      </c>
      <c r="E693" s="1"/>
      <c r="F693" t="s">
        <v>3480</v>
      </c>
      <c r="G693" t="str">
        <f>IF(ISNA(_xlfn.XLOOKUP(subscriptions[[#This Row],[customer_id]], customers[customer_id], customers[customer_id])), "NO", "YES")</f>
        <v>YES</v>
      </c>
      <c r="H693">
        <f>IF(AND(subscriptions[[#This Row],[end_date]]&lt;&gt;"", subscriptions[[#This Row],[end_date]] &lt; subscriptions[[#This Row],[start_date]]), 1, 0)</f>
        <v>0</v>
      </c>
      <c r="I6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3">
        <f>IF(
  AND(subscriptions[[#This Row],[end_before_start]]=0, subscriptions[[#This Row],[status_end_mismatch]]=0),
  1,
  0
)</f>
        <v>1</v>
      </c>
    </row>
    <row r="694" spans="1:10" x14ac:dyDescent="0.3">
      <c r="A694">
        <v>5202915</v>
      </c>
      <c r="B694">
        <v>202170</v>
      </c>
      <c r="C694">
        <v>1003</v>
      </c>
      <c r="D694" s="1">
        <v>44587</v>
      </c>
      <c r="E694" s="1"/>
      <c r="F694" t="s">
        <v>3480</v>
      </c>
      <c r="G694" t="str">
        <f>IF(ISNA(_xlfn.XLOOKUP(subscriptions[[#This Row],[customer_id]], customers[customer_id], customers[customer_id])), "NO", "YES")</f>
        <v>YES</v>
      </c>
      <c r="H694">
        <f>IF(AND(subscriptions[[#This Row],[end_date]]&lt;&gt;"", subscriptions[[#This Row],[end_date]] &lt; subscriptions[[#This Row],[start_date]]), 1, 0)</f>
        <v>0</v>
      </c>
      <c r="I6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4">
        <f>IF(
  AND(subscriptions[[#This Row],[end_before_start]]=0, subscriptions[[#This Row],[status_end_mismatch]]=0),
  1,
  0
)</f>
        <v>1</v>
      </c>
    </row>
    <row r="695" spans="1:10" x14ac:dyDescent="0.3">
      <c r="A695">
        <v>6385308</v>
      </c>
      <c r="B695">
        <v>777366</v>
      </c>
      <c r="C695">
        <v>1004</v>
      </c>
      <c r="D695" s="1">
        <v>45103</v>
      </c>
      <c r="E695" s="1">
        <v>45360</v>
      </c>
      <c r="F695" t="s">
        <v>3479</v>
      </c>
      <c r="G695" t="str">
        <f>IF(ISNA(_xlfn.XLOOKUP(subscriptions[[#This Row],[customer_id]], customers[customer_id], customers[customer_id])), "NO", "YES")</f>
        <v>YES</v>
      </c>
      <c r="H695">
        <f>IF(AND(subscriptions[[#This Row],[end_date]]&lt;&gt;"", subscriptions[[#This Row],[end_date]] &lt; subscriptions[[#This Row],[start_date]]), 1, 0)</f>
        <v>0</v>
      </c>
      <c r="I6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5">
        <f>IF(
  AND(subscriptions[[#This Row],[end_before_start]]=0, subscriptions[[#This Row],[status_end_mismatch]]=0),
  1,
  0
)</f>
        <v>1</v>
      </c>
    </row>
    <row r="696" spans="1:10" x14ac:dyDescent="0.3">
      <c r="A696">
        <v>8763225</v>
      </c>
      <c r="B696">
        <v>695370</v>
      </c>
      <c r="C696">
        <v>1009</v>
      </c>
      <c r="D696" s="1">
        <v>44597</v>
      </c>
      <c r="E696" s="1"/>
      <c r="F696" t="s">
        <v>3480</v>
      </c>
      <c r="G696" t="str">
        <f>IF(ISNA(_xlfn.XLOOKUP(subscriptions[[#This Row],[customer_id]], customers[customer_id], customers[customer_id])), "NO", "YES")</f>
        <v>YES</v>
      </c>
      <c r="H696">
        <f>IF(AND(subscriptions[[#This Row],[end_date]]&lt;&gt;"", subscriptions[[#This Row],[end_date]] &lt; subscriptions[[#This Row],[start_date]]), 1, 0)</f>
        <v>0</v>
      </c>
      <c r="I6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6">
        <f>IF(
  AND(subscriptions[[#This Row],[end_before_start]]=0, subscriptions[[#This Row],[status_end_mismatch]]=0),
  1,
  0
)</f>
        <v>1</v>
      </c>
    </row>
    <row r="697" spans="1:10" x14ac:dyDescent="0.3">
      <c r="A697">
        <v>8825556</v>
      </c>
      <c r="B697">
        <v>433396</v>
      </c>
      <c r="C697">
        <v>1004</v>
      </c>
      <c r="D697" s="1">
        <v>44637</v>
      </c>
      <c r="E697" s="1">
        <v>44912</v>
      </c>
      <c r="F697" t="s">
        <v>3479</v>
      </c>
      <c r="G697" t="str">
        <f>IF(ISNA(_xlfn.XLOOKUP(subscriptions[[#This Row],[customer_id]], customers[customer_id], customers[customer_id])), "NO", "YES")</f>
        <v>YES</v>
      </c>
      <c r="H697">
        <f>IF(AND(subscriptions[[#This Row],[end_date]]&lt;&gt;"", subscriptions[[#This Row],[end_date]] &lt; subscriptions[[#This Row],[start_date]]), 1, 0)</f>
        <v>0</v>
      </c>
      <c r="I6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7">
        <f>IF(
  AND(subscriptions[[#This Row],[end_before_start]]=0, subscriptions[[#This Row],[status_end_mismatch]]=0),
  1,
  0
)</f>
        <v>1</v>
      </c>
    </row>
    <row r="698" spans="1:10" x14ac:dyDescent="0.3">
      <c r="A698">
        <v>4654790</v>
      </c>
      <c r="B698">
        <v>992744</v>
      </c>
      <c r="C698">
        <v>1006</v>
      </c>
      <c r="D698" s="1">
        <v>45398</v>
      </c>
      <c r="E698" s="1"/>
      <c r="F698" t="s">
        <v>3480</v>
      </c>
      <c r="G698" t="str">
        <f>IF(ISNA(_xlfn.XLOOKUP(subscriptions[[#This Row],[customer_id]], customers[customer_id], customers[customer_id])), "NO", "YES")</f>
        <v>YES</v>
      </c>
      <c r="H698">
        <f>IF(AND(subscriptions[[#This Row],[end_date]]&lt;&gt;"", subscriptions[[#This Row],[end_date]] &lt; subscriptions[[#This Row],[start_date]]), 1, 0)</f>
        <v>0</v>
      </c>
      <c r="I6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8">
        <f>IF(
  AND(subscriptions[[#This Row],[end_before_start]]=0, subscriptions[[#This Row],[status_end_mismatch]]=0),
  1,
  0
)</f>
        <v>1</v>
      </c>
    </row>
    <row r="699" spans="1:10" x14ac:dyDescent="0.3">
      <c r="A699">
        <v>2334575</v>
      </c>
      <c r="B699">
        <v>431414</v>
      </c>
      <c r="C699">
        <v>1005</v>
      </c>
      <c r="D699" s="1">
        <v>45128</v>
      </c>
      <c r="E699" s="1">
        <v>45440</v>
      </c>
      <c r="F699" t="s">
        <v>3479</v>
      </c>
      <c r="G699" t="str">
        <f>IF(ISNA(_xlfn.XLOOKUP(subscriptions[[#This Row],[customer_id]], customers[customer_id], customers[customer_id])), "NO", "YES")</f>
        <v>YES</v>
      </c>
      <c r="H699">
        <f>IF(AND(subscriptions[[#This Row],[end_date]]&lt;&gt;"", subscriptions[[#This Row],[end_date]] &lt; subscriptions[[#This Row],[start_date]]), 1, 0)</f>
        <v>0</v>
      </c>
      <c r="I6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699">
        <f>IF(
  AND(subscriptions[[#This Row],[end_before_start]]=0, subscriptions[[#This Row],[status_end_mismatch]]=0),
  1,
  0
)</f>
        <v>1</v>
      </c>
    </row>
    <row r="700" spans="1:10" x14ac:dyDescent="0.3">
      <c r="A700">
        <v>6268490</v>
      </c>
      <c r="B700">
        <v>568288</v>
      </c>
      <c r="C700">
        <v>1003</v>
      </c>
      <c r="D700" s="1">
        <v>44693</v>
      </c>
      <c r="E700" s="1"/>
      <c r="F700" t="s">
        <v>3480</v>
      </c>
      <c r="G700" t="str">
        <f>IF(ISNA(_xlfn.XLOOKUP(subscriptions[[#This Row],[customer_id]], customers[customer_id], customers[customer_id])), "NO", "YES")</f>
        <v>YES</v>
      </c>
      <c r="H700">
        <f>IF(AND(subscriptions[[#This Row],[end_date]]&lt;&gt;"", subscriptions[[#This Row],[end_date]] &lt; subscriptions[[#This Row],[start_date]]), 1, 0)</f>
        <v>0</v>
      </c>
      <c r="I7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0">
        <f>IF(
  AND(subscriptions[[#This Row],[end_before_start]]=0, subscriptions[[#This Row],[status_end_mismatch]]=0),
  1,
  0
)</f>
        <v>1</v>
      </c>
    </row>
    <row r="701" spans="1:10" x14ac:dyDescent="0.3">
      <c r="A701">
        <v>5328638</v>
      </c>
      <c r="B701">
        <v>226460</v>
      </c>
      <c r="C701">
        <v>1004</v>
      </c>
      <c r="D701" s="1">
        <v>45127</v>
      </c>
      <c r="E701" s="1"/>
      <c r="F701" t="s">
        <v>3480</v>
      </c>
      <c r="G701" t="str">
        <f>IF(ISNA(_xlfn.XLOOKUP(subscriptions[[#This Row],[customer_id]], customers[customer_id], customers[customer_id])), "NO", "YES")</f>
        <v>YES</v>
      </c>
      <c r="H701">
        <f>IF(AND(subscriptions[[#This Row],[end_date]]&lt;&gt;"", subscriptions[[#This Row],[end_date]] &lt; subscriptions[[#This Row],[start_date]]), 1, 0)</f>
        <v>0</v>
      </c>
      <c r="I7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1">
        <f>IF(
  AND(subscriptions[[#This Row],[end_before_start]]=0, subscriptions[[#This Row],[status_end_mismatch]]=0),
  1,
  0
)</f>
        <v>1</v>
      </c>
    </row>
    <row r="702" spans="1:10" x14ac:dyDescent="0.3">
      <c r="A702">
        <v>9303529</v>
      </c>
      <c r="B702">
        <v>342397</v>
      </c>
      <c r="C702">
        <v>1003</v>
      </c>
      <c r="D702" s="1">
        <v>44822</v>
      </c>
      <c r="E702" s="1"/>
      <c r="F702" t="s">
        <v>3480</v>
      </c>
      <c r="G702" t="str">
        <f>IF(ISNA(_xlfn.XLOOKUP(subscriptions[[#This Row],[customer_id]], customers[customer_id], customers[customer_id])), "NO", "YES")</f>
        <v>YES</v>
      </c>
      <c r="H702">
        <f>IF(AND(subscriptions[[#This Row],[end_date]]&lt;&gt;"", subscriptions[[#This Row],[end_date]] &lt; subscriptions[[#This Row],[start_date]]), 1, 0)</f>
        <v>0</v>
      </c>
      <c r="I7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2">
        <f>IF(
  AND(subscriptions[[#This Row],[end_before_start]]=0, subscriptions[[#This Row],[status_end_mismatch]]=0),
  1,
  0
)</f>
        <v>1</v>
      </c>
    </row>
    <row r="703" spans="1:10" x14ac:dyDescent="0.3">
      <c r="A703">
        <v>3927545</v>
      </c>
      <c r="B703">
        <v>722665</v>
      </c>
      <c r="C703">
        <v>1004</v>
      </c>
      <c r="D703" s="1">
        <v>44862</v>
      </c>
      <c r="E703" s="1">
        <v>45227</v>
      </c>
      <c r="F703" t="s">
        <v>3479</v>
      </c>
      <c r="G703" t="str">
        <f>IF(ISNA(_xlfn.XLOOKUP(subscriptions[[#This Row],[customer_id]], customers[customer_id], customers[customer_id])), "NO", "YES")</f>
        <v>YES</v>
      </c>
      <c r="H703">
        <f>IF(AND(subscriptions[[#This Row],[end_date]]&lt;&gt;"", subscriptions[[#This Row],[end_date]] &lt; subscriptions[[#This Row],[start_date]]), 1, 0)</f>
        <v>0</v>
      </c>
      <c r="I7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3">
        <f>IF(
  AND(subscriptions[[#This Row],[end_before_start]]=0, subscriptions[[#This Row],[status_end_mismatch]]=0),
  1,
  0
)</f>
        <v>1</v>
      </c>
    </row>
    <row r="704" spans="1:10" x14ac:dyDescent="0.3">
      <c r="A704">
        <v>1831808</v>
      </c>
      <c r="B704">
        <v>580067</v>
      </c>
      <c r="C704">
        <v>1007</v>
      </c>
      <c r="D704" s="1">
        <v>45038</v>
      </c>
      <c r="E704" s="1"/>
      <c r="F704" t="s">
        <v>3480</v>
      </c>
      <c r="G704" t="str">
        <f>IF(ISNA(_xlfn.XLOOKUP(subscriptions[[#This Row],[customer_id]], customers[customer_id], customers[customer_id])), "NO", "YES")</f>
        <v>YES</v>
      </c>
      <c r="H704">
        <f>IF(AND(subscriptions[[#This Row],[end_date]]&lt;&gt;"", subscriptions[[#This Row],[end_date]] &lt; subscriptions[[#This Row],[start_date]]), 1, 0)</f>
        <v>0</v>
      </c>
      <c r="I7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4">
        <f>IF(
  AND(subscriptions[[#This Row],[end_before_start]]=0, subscriptions[[#This Row],[status_end_mismatch]]=0),
  1,
  0
)</f>
        <v>1</v>
      </c>
    </row>
    <row r="705" spans="1:10" x14ac:dyDescent="0.3">
      <c r="A705">
        <v>1645952</v>
      </c>
      <c r="B705">
        <v>989587</v>
      </c>
      <c r="C705">
        <v>1005</v>
      </c>
      <c r="D705" s="1">
        <v>44939</v>
      </c>
      <c r="E705" s="1">
        <v>45194</v>
      </c>
      <c r="F705" t="s">
        <v>3479</v>
      </c>
      <c r="G705" t="str">
        <f>IF(ISNA(_xlfn.XLOOKUP(subscriptions[[#This Row],[customer_id]], customers[customer_id], customers[customer_id])), "NO", "YES")</f>
        <v>YES</v>
      </c>
      <c r="H705">
        <f>IF(AND(subscriptions[[#This Row],[end_date]]&lt;&gt;"", subscriptions[[#This Row],[end_date]] &lt; subscriptions[[#This Row],[start_date]]), 1, 0)</f>
        <v>0</v>
      </c>
      <c r="I7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5">
        <f>IF(
  AND(subscriptions[[#This Row],[end_before_start]]=0, subscriptions[[#This Row],[status_end_mismatch]]=0),
  1,
  0
)</f>
        <v>1</v>
      </c>
    </row>
    <row r="706" spans="1:10" x14ac:dyDescent="0.3">
      <c r="A706">
        <v>6323988</v>
      </c>
      <c r="B706">
        <v>620248</v>
      </c>
      <c r="C706">
        <v>1002</v>
      </c>
      <c r="D706" s="1">
        <v>44647</v>
      </c>
      <c r="E706" s="1"/>
      <c r="F706" t="s">
        <v>3480</v>
      </c>
      <c r="G706" t="str">
        <f>IF(ISNA(_xlfn.XLOOKUP(subscriptions[[#This Row],[customer_id]], customers[customer_id], customers[customer_id])), "NO", "YES")</f>
        <v>YES</v>
      </c>
      <c r="H706">
        <f>IF(AND(subscriptions[[#This Row],[end_date]]&lt;&gt;"", subscriptions[[#This Row],[end_date]] &lt; subscriptions[[#This Row],[start_date]]), 1, 0)</f>
        <v>0</v>
      </c>
      <c r="I7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6">
        <f>IF(
  AND(subscriptions[[#This Row],[end_before_start]]=0, subscriptions[[#This Row],[status_end_mismatch]]=0),
  1,
  0
)</f>
        <v>1</v>
      </c>
    </row>
    <row r="707" spans="1:10" x14ac:dyDescent="0.3">
      <c r="A707">
        <v>4824407</v>
      </c>
      <c r="B707">
        <v>208239</v>
      </c>
      <c r="C707">
        <v>1007</v>
      </c>
      <c r="D707" s="1">
        <v>44686</v>
      </c>
      <c r="E707" s="1">
        <v>44848</v>
      </c>
      <c r="F707" t="s">
        <v>3479</v>
      </c>
      <c r="G707" t="str">
        <f>IF(ISNA(_xlfn.XLOOKUP(subscriptions[[#This Row],[customer_id]], customers[customer_id], customers[customer_id])), "NO", "YES")</f>
        <v>YES</v>
      </c>
      <c r="H707">
        <f>IF(AND(subscriptions[[#This Row],[end_date]]&lt;&gt;"", subscriptions[[#This Row],[end_date]] &lt; subscriptions[[#This Row],[start_date]]), 1, 0)</f>
        <v>0</v>
      </c>
      <c r="I7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7">
        <f>IF(
  AND(subscriptions[[#This Row],[end_before_start]]=0, subscriptions[[#This Row],[status_end_mismatch]]=0),
  1,
  0
)</f>
        <v>1</v>
      </c>
    </row>
    <row r="708" spans="1:10" x14ac:dyDescent="0.3">
      <c r="A708">
        <v>5319211</v>
      </c>
      <c r="B708">
        <v>843167</v>
      </c>
      <c r="C708">
        <v>1001</v>
      </c>
      <c r="D708" s="1">
        <v>44595</v>
      </c>
      <c r="E708" s="1">
        <v>44805</v>
      </c>
      <c r="F708" t="s">
        <v>3479</v>
      </c>
      <c r="G708" t="str">
        <f>IF(ISNA(_xlfn.XLOOKUP(subscriptions[[#This Row],[customer_id]], customers[customer_id], customers[customer_id])), "NO", "YES")</f>
        <v>YES</v>
      </c>
      <c r="H708">
        <f>IF(AND(subscriptions[[#This Row],[end_date]]&lt;&gt;"", subscriptions[[#This Row],[end_date]] &lt; subscriptions[[#This Row],[start_date]]), 1, 0)</f>
        <v>0</v>
      </c>
      <c r="I7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8">
        <f>IF(
  AND(subscriptions[[#This Row],[end_before_start]]=0, subscriptions[[#This Row],[status_end_mismatch]]=0),
  1,
  0
)</f>
        <v>1</v>
      </c>
    </row>
    <row r="709" spans="1:10" x14ac:dyDescent="0.3">
      <c r="A709">
        <v>1750496</v>
      </c>
      <c r="B709">
        <v>310743</v>
      </c>
      <c r="C709">
        <v>1002</v>
      </c>
      <c r="D709" s="1">
        <v>45042</v>
      </c>
      <c r="E709" s="1"/>
      <c r="F709" t="s">
        <v>3480</v>
      </c>
      <c r="G709" t="str">
        <f>IF(ISNA(_xlfn.XLOOKUP(subscriptions[[#This Row],[customer_id]], customers[customer_id], customers[customer_id])), "NO", "YES")</f>
        <v>YES</v>
      </c>
      <c r="H709">
        <f>IF(AND(subscriptions[[#This Row],[end_date]]&lt;&gt;"", subscriptions[[#This Row],[end_date]] &lt; subscriptions[[#This Row],[start_date]]), 1, 0)</f>
        <v>0</v>
      </c>
      <c r="I7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09">
        <f>IF(
  AND(subscriptions[[#This Row],[end_before_start]]=0, subscriptions[[#This Row],[status_end_mismatch]]=0),
  1,
  0
)</f>
        <v>1</v>
      </c>
    </row>
    <row r="710" spans="1:10" x14ac:dyDescent="0.3">
      <c r="A710">
        <v>2299884</v>
      </c>
      <c r="B710">
        <v>387198</v>
      </c>
      <c r="C710">
        <v>1004</v>
      </c>
      <c r="D710" s="1">
        <v>45470</v>
      </c>
      <c r="E710" s="1"/>
      <c r="F710" t="s">
        <v>3480</v>
      </c>
      <c r="G710" t="str">
        <f>IF(ISNA(_xlfn.XLOOKUP(subscriptions[[#This Row],[customer_id]], customers[customer_id], customers[customer_id])), "NO", "YES")</f>
        <v>YES</v>
      </c>
      <c r="H710">
        <f>IF(AND(subscriptions[[#This Row],[end_date]]&lt;&gt;"", subscriptions[[#This Row],[end_date]] &lt; subscriptions[[#This Row],[start_date]]), 1, 0)</f>
        <v>0</v>
      </c>
      <c r="I7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0">
        <f>IF(
  AND(subscriptions[[#This Row],[end_before_start]]=0, subscriptions[[#This Row],[status_end_mismatch]]=0),
  1,
  0
)</f>
        <v>1</v>
      </c>
    </row>
    <row r="711" spans="1:10" x14ac:dyDescent="0.3">
      <c r="A711">
        <v>2299399</v>
      </c>
      <c r="B711">
        <v>665579</v>
      </c>
      <c r="C711">
        <v>1001</v>
      </c>
      <c r="D711" s="1">
        <v>45047</v>
      </c>
      <c r="E711" s="1"/>
      <c r="F711" t="s">
        <v>3480</v>
      </c>
      <c r="G711" t="str">
        <f>IF(ISNA(_xlfn.XLOOKUP(subscriptions[[#This Row],[customer_id]], customers[customer_id], customers[customer_id])), "NO", "YES")</f>
        <v>YES</v>
      </c>
      <c r="H711">
        <f>IF(AND(subscriptions[[#This Row],[end_date]]&lt;&gt;"", subscriptions[[#This Row],[end_date]] &lt; subscriptions[[#This Row],[start_date]]), 1, 0)</f>
        <v>0</v>
      </c>
      <c r="I7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1">
        <f>IF(
  AND(subscriptions[[#This Row],[end_before_start]]=0, subscriptions[[#This Row],[status_end_mismatch]]=0),
  1,
  0
)</f>
        <v>1</v>
      </c>
    </row>
    <row r="712" spans="1:10" x14ac:dyDescent="0.3">
      <c r="A712">
        <v>7230376</v>
      </c>
      <c r="B712">
        <v>885408</v>
      </c>
      <c r="C712">
        <v>1000</v>
      </c>
      <c r="D712" s="1">
        <v>45413</v>
      </c>
      <c r="E712" s="1"/>
      <c r="F712" t="s">
        <v>3480</v>
      </c>
      <c r="G712" t="str">
        <f>IF(ISNA(_xlfn.XLOOKUP(subscriptions[[#This Row],[customer_id]], customers[customer_id], customers[customer_id])), "NO", "YES")</f>
        <v>YES</v>
      </c>
      <c r="H712">
        <f>IF(AND(subscriptions[[#This Row],[end_date]]&lt;&gt;"", subscriptions[[#This Row],[end_date]] &lt; subscriptions[[#This Row],[start_date]]), 1, 0)</f>
        <v>0</v>
      </c>
      <c r="I7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2">
        <f>IF(
  AND(subscriptions[[#This Row],[end_before_start]]=0, subscriptions[[#This Row],[status_end_mismatch]]=0),
  1,
  0
)</f>
        <v>1</v>
      </c>
    </row>
    <row r="713" spans="1:10" x14ac:dyDescent="0.3">
      <c r="A713">
        <v>8155068</v>
      </c>
      <c r="B713">
        <v>642085</v>
      </c>
      <c r="C713">
        <v>1005</v>
      </c>
      <c r="D713" s="1">
        <v>45141</v>
      </c>
      <c r="E713" s="1"/>
      <c r="F713" t="s">
        <v>3480</v>
      </c>
      <c r="G713" t="str">
        <f>IF(ISNA(_xlfn.XLOOKUP(subscriptions[[#This Row],[customer_id]], customers[customer_id], customers[customer_id])), "NO", "YES")</f>
        <v>YES</v>
      </c>
      <c r="H713">
        <f>IF(AND(subscriptions[[#This Row],[end_date]]&lt;&gt;"", subscriptions[[#This Row],[end_date]] &lt; subscriptions[[#This Row],[start_date]]), 1, 0)</f>
        <v>0</v>
      </c>
      <c r="I7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3">
        <f>IF(
  AND(subscriptions[[#This Row],[end_before_start]]=0, subscriptions[[#This Row],[status_end_mismatch]]=0),
  1,
  0
)</f>
        <v>1</v>
      </c>
    </row>
    <row r="714" spans="1:10" x14ac:dyDescent="0.3">
      <c r="A714">
        <v>6478441</v>
      </c>
      <c r="B714">
        <v>311727</v>
      </c>
      <c r="C714">
        <v>1000</v>
      </c>
      <c r="D714" s="1">
        <v>45299</v>
      </c>
      <c r="E714" s="1"/>
      <c r="F714" t="s">
        <v>3480</v>
      </c>
      <c r="G714" t="str">
        <f>IF(ISNA(_xlfn.XLOOKUP(subscriptions[[#This Row],[customer_id]], customers[customer_id], customers[customer_id])), "NO", "YES")</f>
        <v>YES</v>
      </c>
      <c r="H714">
        <f>IF(AND(subscriptions[[#This Row],[end_date]]&lt;&gt;"", subscriptions[[#This Row],[end_date]] &lt; subscriptions[[#This Row],[start_date]]), 1, 0)</f>
        <v>0</v>
      </c>
      <c r="I7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4">
        <f>IF(
  AND(subscriptions[[#This Row],[end_before_start]]=0, subscriptions[[#This Row],[status_end_mismatch]]=0),
  1,
  0
)</f>
        <v>1</v>
      </c>
    </row>
    <row r="715" spans="1:10" x14ac:dyDescent="0.3">
      <c r="A715">
        <v>7847411</v>
      </c>
      <c r="B715">
        <v>112210</v>
      </c>
      <c r="C715">
        <v>1003</v>
      </c>
      <c r="D715" s="1">
        <v>45329</v>
      </c>
      <c r="E715" s="1"/>
      <c r="F715" t="s">
        <v>3480</v>
      </c>
      <c r="G715" t="str">
        <f>IF(ISNA(_xlfn.XLOOKUP(subscriptions[[#This Row],[customer_id]], customers[customer_id], customers[customer_id])), "NO", "YES")</f>
        <v>YES</v>
      </c>
      <c r="H715">
        <f>IF(AND(subscriptions[[#This Row],[end_date]]&lt;&gt;"", subscriptions[[#This Row],[end_date]] &lt; subscriptions[[#This Row],[start_date]]), 1, 0)</f>
        <v>0</v>
      </c>
      <c r="I7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5">
        <f>IF(
  AND(subscriptions[[#This Row],[end_before_start]]=0, subscriptions[[#This Row],[status_end_mismatch]]=0),
  1,
  0
)</f>
        <v>1</v>
      </c>
    </row>
    <row r="716" spans="1:10" x14ac:dyDescent="0.3">
      <c r="A716">
        <v>5933559</v>
      </c>
      <c r="B716">
        <v>946826</v>
      </c>
      <c r="C716">
        <v>1000</v>
      </c>
      <c r="D716" s="1">
        <v>44625</v>
      </c>
      <c r="E716" s="1"/>
      <c r="F716" t="s">
        <v>3480</v>
      </c>
      <c r="G716" t="str">
        <f>IF(ISNA(_xlfn.XLOOKUP(subscriptions[[#This Row],[customer_id]], customers[customer_id], customers[customer_id])), "NO", "YES")</f>
        <v>YES</v>
      </c>
      <c r="H716">
        <f>IF(AND(subscriptions[[#This Row],[end_date]]&lt;&gt;"", subscriptions[[#This Row],[end_date]] &lt; subscriptions[[#This Row],[start_date]]), 1, 0)</f>
        <v>0</v>
      </c>
      <c r="I7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6">
        <f>IF(
  AND(subscriptions[[#This Row],[end_before_start]]=0, subscriptions[[#This Row],[status_end_mismatch]]=0),
  1,
  0
)</f>
        <v>1</v>
      </c>
    </row>
    <row r="717" spans="1:10" x14ac:dyDescent="0.3">
      <c r="A717">
        <v>1748441</v>
      </c>
      <c r="B717">
        <v>186243</v>
      </c>
      <c r="C717">
        <v>1000</v>
      </c>
      <c r="D717" s="1">
        <v>45157</v>
      </c>
      <c r="E717" s="1">
        <v>45489</v>
      </c>
      <c r="F717" t="s">
        <v>3479</v>
      </c>
      <c r="G717" t="str">
        <f>IF(ISNA(_xlfn.XLOOKUP(subscriptions[[#This Row],[customer_id]], customers[customer_id], customers[customer_id])), "NO", "YES")</f>
        <v>YES</v>
      </c>
      <c r="H717">
        <f>IF(AND(subscriptions[[#This Row],[end_date]]&lt;&gt;"", subscriptions[[#This Row],[end_date]] &lt; subscriptions[[#This Row],[start_date]]), 1, 0)</f>
        <v>0</v>
      </c>
      <c r="I7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7">
        <f>IF(
  AND(subscriptions[[#This Row],[end_before_start]]=0, subscriptions[[#This Row],[status_end_mismatch]]=0),
  1,
  0
)</f>
        <v>1</v>
      </c>
    </row>
    <row r="718" spans="1:10" x14ac:dyDescent="0.3">
      <c r="A718">
        <v>1428411</v>
      </c>
      <c r="B718">
        <v>384645</v>
      </c>
      <c r="C718">
        <v>1003</v>
      </c>
      <c r="D718" s="1">
        <v>44779</v>
      </c>
      <c r="E718" s="1">
        <v>44969</v>
      </c>
      <c r="F718" t="s">
        <v>3479</v>
      </c>
      <c r="G718" t="str">
        <f>IF(ISNA(_xlfn.XLOOKUP(subscriptions[[#This Row],[customer_id]], customers[customer_id], customers[customer_id])), "NO", "YES")</f>
        <v>YES</v>
      </c>
      <c r="H718">
        <f>IF(AND(subscriptions[[#This Row],[end_date]]&lt;&gt;"", subscriptions[[#This Row],[end_date]] &lt; subscriptions[[#This Row],[start_date]]), 1, 0)</f>
        <v>0</v>
      </c>
      <c r="I7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8">
        <f>IF(
  AND(subscriptions[[#This Row],[end_before_start]]=0, subscriptions[[#This Row],[status_end_mismatch]]=0),
  1,
  0
)</f>
        <v>1</v>
      </c>
    </row>
    <row r="719" spans="1:10" x14ac:dyDescent="0.3">
      <c r="A719">
        <v>9569737</v>
      </c>
      <c r="B719">
        <v>167348</v>
      </c>
      <c r="C719">
        <v>1001</v>
      </c>
      <c r="D719" s="1">
        <v>45266</v>
      </c>
      <c r="E719" s="1">
        <v>45489</v>
      </c>
      <c r="F719" t="s">
        <v>3479</v>
      </c>
      <c r="G719" t="str">
        <f>IF(ISNA(_xlfn.XLOOKUP(subscriptions[[#This Row],[customer_id]], customers[customer_id], customers[customer_id])), "NO", "YES")</f>
        <v>YES</v>
      </c>
      <c r="H719">
        <f>IF(AND(subscriptions[[#This Row],[end_date]]&lt;&gt;"", subscriptions[[#This Row],[end_date]] &lt; subscriptions[[#This Row],[start_date]]), 1, 0)</f>
        <v>0</v>
      </c>
      <c r="I7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19">
        <f>IF(
  AND(subscriptions[[#This Row],[end_before_start]]=0, subscriptions[[#This Row],[status_end_mismatch]]=0),
  1,
  0
)</f>
        <v>1</v>
      </c>
    </row>
    <row r="720" spans="1:10" x14ac:dyDescent="0.3">
      <c r="A720">
        <v>1546929</v>
      </c>
      <c r="B720">
        <v>825846</v>
      </c>
      <c r="C720">
        <v>1002</v>
      </c>
      <c r="D720" s="1">
        <v>44869</v>
      </c>
      <c r="E720" s="1"/>
      <c r="F720" t="s">
        <v>3480</v>
      </c>
      <c r="G720" t="str">
        <f>IF(ISNA(_xlfn.XLOOKUP(subscriptions[[#This Row],[customer_id]], customers[customer_id], customers[customer_id])), "NO", "YES")</f>
        <v>YES</v>
      </c>
      <c r="H720">
        <f>IF(AND(subscriptions[[#This Row],[end_date]]&lt;&gt;"", subscriptions[[#This Row],[end_date]] &lt; subscriptions[[#This Row],[start_date]]), 1, 0)</f>
        <v>0</v>
      </c>
      <c r="I7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0">
        <f>IF(
  AND(subscriptions[[#This Row],[end_before_start]]=0, subscriptions[[#This Row],[status_end_mismatch]]=0),
  1,
  0
)</f>
        <v>1</v>
      </c>
    </row>
    <row r="721" spans="1:10" x14ac:dyDescent="0.3">
      <c r="A721">
        <v>2316088</v>
      </c>
      <c r="B721">
        <v>587957</v>
      </c>
      <c r="C721">
        <v>1008</v>
      </c>
      <c r="D721" s="1">
        <v>44720</v>
      </c>
      <c r="E721" s="1">
        <v>44864</v>
      </c>
      <c r="F721" t="s">
        <v>3479</v>
      </c>
      <c r="G721" t="str">
        <f>IF(ISNA(_xlfn.XLOOKUP(subscriptions[[#This Row],[customer_id]], customers[customer_id], customers[customer_id])), "NO", "YES")</f>
        <v>YES</v>
      </c>
      <c r="H721">
        <f>IF(AND(subscriptions[[#This Row],[end_date]]&lt;&gt;"", subscriptions[[#This Row],[end_date]] &lt; subscriptions[[#This Row],[start_date]]), 1, 0)</f>
        <v>0</v>
      </c>
      <c r="I7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1">
        <f>IF(
  AND(subscriptions[[#This Row],[end_before_start]]=0, subscriptions[[#This Row],[status_end_mismatch]]=0),
  1,
  0
)</f>
        <v>1</v>
      </c>
    </row>
    <row r="722" spans="1:10" x14ac:dyDescent="0.3">
      <c r="A722">
        <v>9447259</v>
      </c>
      <c r="B722">
        <v>975522</v>
      </c>
      <c r="C722">
        <v>1006</v>
      </c>
      <c r="D722" s="1">
        <v>45418</v>
      </c>
      <c r="E722" s="1"/>
      <c r="F722" t="s">
        <v>3480</v>
      </c>
      <c r="G722" t="str">
        <f>IF(ISNA(_xlfn.XLOOKUP(subscriptions[[#This Row],[customer_id]], customers[customer_id], customers[customer_id])), "NO", "YES")</f>
        <v>YES</v>
      </c>
      <c r="H722">
        <f>IF(AND(subscriptions[[#This Row],[end_date]]&lt;&gt;"", subscriptions[[#This Row],[end_date]] &lt; subscriptions[[#This Row],[start_date]]), 1, 0)</f>
        <v>0</v>
      </c>
      <c r="I7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2">
        <f>IF(
  AND(subscriptions[[#This Row],[end_before_start]]=0, subscriptions[[#This Row],[status_end_mismatch]]=0),
  1,
  0
)</f>
        <v>1</v>
      </c>
    </row>
    <row r="723" spans="1:10" x14ac:dyDescent="0.3">
      <c r="A723">
        <v>3034109</v>
      </c>
      <c r="B723">
        <v>551914</v>
      </c>
      <c r="C723">
        <v>1002</v>
      </c>
      <c r="D723" s="1">
        <v>44667</v>
      </c>
      <c r="E723" s="1">
        <v>45034</v>
      </c>
      <c r="F723" t="s">
        <v>3479</v>
      </c>
      <c r="G723" t="str">
        <f>IF(ISNA(_xlfn.XLOOKUP(subscriptions[[#This Row],[customer_id]], customers[customer_id], customers[customer_id])), "NO", "YES")</f>
        <v>YES</v>
      </c>
      <c r="H723">
        <f>IF(AND(subscriptions[[#This Row],[end_date]]&lt;&gt;"", subscriptions[[#This Row],[end_date]] &lt; subscriptions[[#This Row],[start_date]]), 1, 0)</f>
        <v>0</v>
      </c>
      <c r="I7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3">
        <f>IF(
  AND(subscriptions[[#This Row],[end_before_start]]=0, subscriptions[[#This Row],[status_end_mismatch]]=0),
  1,
  0
)</f>
        <v>1</v>
      </c>
    </row>
    <row r="724" spans="1:10" x14ac:dyDescent="0.3">
      <c r="A724">
        <v>9798778</v>
      </c>
      <c r="B724">
        <v>844037</v>
      </c>
      <c r="C724">
        <v>1004</v>
      </c>
      <c r="D724" s="1">
        <v>45465</v>
      </c>
      <c r="E724" s="1"/>
      <c r="F724" t="s">
        <v>3480</v>
      </c>
      <c r="G724" t="str">
        <f>IF(ISNA(_xlfn.XLOOKUP(subscriptions[[#This Row],[customer_id]], customers[customer_id], customers[customer_id])), "NO", "YES")</f>
        <v>YES</v>
      </c>
      <c r="H724">
        <f>IF(AND(subscriptions[[#This Row],[end_date]]&lt;&gt;"", subscriptions[[#This Row],[end_date]] &lt; subscriptions[[#This Row],[start_date]]), 1, 0)</f>
        <v>0</v>
      </c>
      <c r="I7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4">
        <f>IF(
  AND(subscriptions[[#This Row],[end_before_start]]=0, subscriptions[[#This Row],[status_end_mismatch]]=0),
  1,
  0
)</f>
        <v>1</v>
      </c>
    </row>
    <row r="725" spans="1:10" x14ac:dyDescent="0.3">
      <c r="A725">
        <v>4271952</v>
      </c>
      <c r="B725">
        <v>466813</v>
      </c>
      <c r="C725">
        <v>1005</v>
      </c>
      <c r="D725" s="1">
        <v>45162</v>
      </c>
      <c r="E725" s="1">
        <v>45360</v>
      </c>
      <c r="F725" t="s">
        <v>3479</v>
      </c>
      <c r="G725" t="str">
        <f>IF(ISNA(_xlfn.XLOOKUP(subscriptions[[#This Row],[customer_id]], customers[customer_id], customers[customer_id])), "NO", "YES")</f>
        <v>YES</v>
      </c>
      <c r="H725">
        <f>IF(AND(subscriptions[[#This Row],[end_date]]&lt;&gt;"", subscriptions[[#This Row],[end_date]] &lt; subscriptions[[#This Row],[start_date]]), 1, 0)</f>
        <v>0</v>
      </c>
      <c r="I7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5">
        <f>IF(
  AND(subscriptions[[#This Row],[end_before_start]]=0, subscriptions[[#This Row],[status_end_mismatch]]=0),
  1,
  0
)</f>
        <v>1</v>
      </c>
    </row>
    <row r="726" spans="1:10" x14ac:dyDescent="0.3">
      <c r="A726">
        <v>5078093</v>
      </c>
      <c r="B726">
        <v>825318</v>
      </c>
      <c r="C726">
        <v>1003</v>
      </c>
      <c r="D726" s="1">
        <v>45303</v>
      </c>
      <c r="E726" s="1"/>
      <c r="F726" t="s">
        <v>3480</v>
      </c>
      <c r="G726" t="str">
        <f>IF(ISNA(_xlfn.XLOOKUP(subscriptions[[#This Row],[customer_id]], customers[customer_id], customers[customer_id])), "NO", "YES")</f>
        <v>YES</v>
      </c>
      <c r="H726">
        <f>IF(AND(subscriptions[[#This Row],[end_date]]&lt;&gt;"", subscriptions[[#This Row],[end_date]] &lt; subscriptions[[#This Row],[start_date]]), 1, 0)</f>
        <v>0</v>
      </c>
      <c r="I7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6">
        <f>IF(
  AND(subscriptions[[#This Row],[end_before_start]]=0, subscriptions[[#This Row],[status_end_mismatch]]=0),
  1,
  0
)</f>
        <v>1</v>
      </c>
    </row>
    <row r="727" spans="1:10" x14ac:dyDescent="0.3">
      <c r="A727">
        <v>6281742</v>
      </c>
      <c r="B727">
        <v>585494</v>
      </c>
      <c r="C727">
        <v>1009</v>
      </c>
      <c r="D727" s="1">
        <v>44798</v>
      </c>
      <c r="E727" s="1">
        <v>45055</v>
      </c>
      <c r="F727" t="s">
        <v>3479</v>
      </c>
      <c r="G727" t="str">
        <f>IF(ISNA(_xlfn.XLOOKUP(subscriptions[[#This Row],[customer_id]], customers[customer_id], customers[customer_id])), "NO", "YES")</f>
        <v>YES</v>
      </c>
      <c r="H727">
        <f>IF(AND(subscriptions[[#This Row],[end_date]]&lt;&gt;"", subscriptions[[#This Row],[end_date]] &lt; subscriptions[[#This Row],[start_date]]), 1, 0)</f>
        <v>0</v>
      </c>
      <c r="I7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7">
        <f>IF(
  AND(subscriptions[[#This Row],[end_before_start]]=0, subscriptions[[#This Row],[status_end_mismatch]]=0),
  1,
  0
)</f>
        <v>1</v>
      </c>
    </row>
    <row r="728" spans="1:10" x14ac:dyDescent="0.3">
      <c r="A728">
        <v>7877413</v>
      </c>
      <c r="B728">
        <v>550961</v>
      </c>
      <c r="C728">
        <v>1006</v>
      </c>
      <c r="D728" s="1">
        <v>45303</v>
      </c>
      <c r="E728" s="1"/>
      <c r="F728" t="s">
        <v>3480</v>
      </c>
      <c r="G728" t="str">
        <f>IF(ISNA(_xlfn.XLOOKUP(subscriptions[[#This Row],[customer_id]], customers[customer_id], customers[customer_id])), "NO", "YES")</f>
        <v>YES</v>
      </c>
      <c r="H728">
        <f>IF(AND(subscriptions[[#This Row],[end_date]]&lt;&gt;"", subscriptions[[#This Row],[end_date]] &lt; subscriptions[[#This Row],[start_date]]), 1, 0)</f>
        <v>0</v>
      </c>
      <c r="I7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8">
        <f>IF(
  AND(subscriptions[[#This Row],[end_before_start]]=0, subscriptions[[#This Row],[status_end_mismatch]]=0),
  1,
  0
)</f>
        <v>1</v>
      </c>
    </row>
    <row r="729" spans="1:10" x14ac:dyDescent="0.3">
      <c r="A729">
        <v>9483289</v>
      </c>
      <c r="B729">
        <v>569945</v>
      </c>
      <c r="C729">
        <v>1009</v>
      </c>
      <c r="D729" s="1">
        <v>44718</v>
      </c>
      <c r="E729" s="1">
        <v>45082</v>
      </c>
      <c r="F729" t="s">
        <v>3479</v>
      </c>
      <c r="G729" t="str">
        <f>IF(ISNA(_xlfn.XLOOKUP(subscriptions[[#This Row],[customer_id]], customers[customer_id], customers[customer_id])), "NO", "YES")</f>
        <v>YES</v>
      </c>
      <c r="H729">
        <f>IF(AND(subscriptions[[#This Row],[end_date]]&lt;&gt;"", subscriptions[[#This Row],[end_date]] &lt; subscriptions[[#This Row],[start_date]]), 1, 0)</f>
        <v>0</v>
      </c>
      <c r="I7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29">
        <f>IF(
  AND(subscriptions[[#This Row],[end_before_start]]=0, subscriptions[[#This Row],[status_end_mismatch]]=0),
  1,
  0
)</f>
        <v>1</v>
      </c>
    </row>
    <row r="730" spans="1:10" x14ac:dyDescent="0.3">
      <c r="A730">
        <v>9122764</v>
      </c>
      <c r="B730">
        <v>539122</v>
      </c>
      <c r="C730">
        <v>1005</v>
      </c>
      <c r="D730" s="1">
        <v>45033</v>
      </c>
      <c r="E730" s="1"/>
      <c r="F730" t="s">
        <v>3480</v>
      </c>
      <c r="G730" t="str">
        <f>IF(ISNA(_xlfn.XLOOKUP(subscriptions[[#This Row],[customer_id]], customers[customer_id], customers[customer_id])), "NO", "YES")</f>
        <v>YES</v>
      </c>
      <c r="H730">
        <f>IF(AND(subscriptions[[#This Row],[end_date]]&lt;&gt;"", subscriptions[[#This Row],[end_date]] &lt; subscriptions[[#This Row],[start_date]]), 1, 0)</f>
        <v>0</v>
      </c>
      <c r="I7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0">
        <f>IF(
  AND(subscriptions[[#This Row],[end_before_start]]=0, subscriptions[[#This Row],[status_end_mismatch]]=0),
  1,
  0
)</f>
        <v>1</v>
      </c>
    </row>
    <row r="731" spans="1:10" x14ac:dyDescent="0.3">
      <c r="A731">
        <v>8027140</v>
      </c>
      <c r="B731">
        <v>269999</v>
      </c>
      <c r="C731">
        <v>1008</v>
      </c>
      <c r="D731" s="1">
        <v>45032</v>
      </c>
      <c r="E731" s="1"/>
      <c r="F731" t="s">
        <v>3480</v>
      </c>
      <c r="G731" t="str">
        <f>IF(ISNA(_xlfn.XLOOKUP(subscriptions[[#This Row],[customer_id]], customers[customer_id], customers[customer_id])), "NO", "YES")</f>
        <v>YES</v>
      </c>
      <c r="H731">
        <f>IF(AND(subscriptions[[#This Row],[end_date]]&lt;&gt;"", subscriptions[[#This Row],[end_date]] &lt; subscriptions[[#This Row],[start_date]]), 1, 0)</f>
        <v>0</v>
      </c>
      <c r="I7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1">
        <f>IF(
  AND(subscriptions[[#This Row],[end_before_start]]=0, subscriptions[[#This Row],[status_end_mismatch]]=0),
  1,
  0
)</f>
        <v>1</v>
      </c>
    </row>
    <row r="732" spans="1:10" x14ac:dyDescent="0.3">
      <c r="A732">
        <v>3101870</v>
      </c>
      <c r="B732">
        <v>882351</v>
      </c>
      <c r="C732">
        <v>1001</v>
      </c>
      <c r="D732" s="1">
        <v>45063</v>
      </c>
      <c r="E732" s="1">
        <v>45301</v>
      </c>
      <c r="F732" t="s">
        <v>3479</v>
      </c>
      <c r="G732" t="str">
        <f>IF(ISNA(_xlfn.XLOOKUP(subscriptions[[#This Row],[customer_id]], customers[customer_id], customers[customer_id])), "NO", "YES")</f>
        <v>YES</v>
      </c>
      <c r="H732">
        <f>IF(AND(subscriptions[[#This Row],[end_date]]&lt;&gt;"", subscriptions[[#This Row],[end_date]] &lt; subscriptions[[#This Row],[start_date]]), 1, 0)</f>
        <v>0</v>
      </c>
      <c r="I7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2">
        <f>IF(
  AND(subscriptions[[#This Row],[end_before_start]]=0, subscriptions[[#This Row],[status_end_mismatch]]=0),
  1,
  0
)</f>
        <v>1</v>
      </c>
    </row>
    <row r="733" spans="1:10" x14ac:dyDescent="0.3">
      <c r="A733">
        <v>3317607</v>
      </c>
      <c r="B733">
        <v>222692</v>
      </c>
      <c r="C733">
        <v>1000</v>
      </c>
      <c r="D733" s="1">
        <v>45095</v>
      </c>
      <c r="E733" s="1">
        <v>45299</v>
      </c>
      <c r="F733" t="s">
        <v>3479</v>
      </c>
      <c r="G733" t="str">
        <f>IF(ISNA(_xlfn.XLOOKUP(subscriptions[[#This Row],[customer_id]], customers[customer_id], customers[customer_id])), "NO", "YES")</f>
        <v>YES</v>
      </c>
      <c r="H733">
        <f>IF(AND(subscriptions[[#This Row],[end_date]]&lt;&gt;"", subscriptions[[#This Row],[end_date]] &lt; subscriptions[[#This Row],[start_date]]), 1, 0)</f>
        <v>0</v>
      </c>
      <c r="I7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3">
        <f>IF(
  AND(subscriptions[[#This Row],[end_before_start]]=0, subscriptions[[#This Row],[status_end_mismatch]]=0),
  1,
  0
)</f>
        <v>1</v>
      </c>
    </row>
    <row r="734" spans="1:10" x14ac:dyDescent="0.3">
      <c r="A734">
        <v>6265434</v>
      </c>
      <c r="B734">
        <v>104666</v>
      </c>
      <c r="C734">
        <v>1006</v>
      </c>
      <c r="D734" s="1">
        <v>44803</v>
      </c>
      <c r="E734" s="1"/>
      <c r="F734" t="s">
        <v>3480</v>
      </c>
      <c r="G734" t="str">
        <f>IF(ISNA(_xlfn.XLOOKUP(subscriptions[[#This Row],[customer_id]], customers[customer_id], customers[customer_id])), "NO", "YES")</f>
        <v>YES</v>
      </c>
      <c r="H734">
        <f>IF(AND(subscriptions[[#This Row],[end_date]]&lt;&gt;"", subscriptions[[#This Row],[end_date]] &lt; subscriptions[[#This Row],[start_date]]), 1, 0)</f>
        <v>0</v>
      </c>
      <c r="I7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4">
        <f>IF(
  AND(subscriptions[[#This Row],[end_before_start]]=0, subscriptions[[#This Row],[status_end_mismatch]]=0),
  1,
  0
)</f>
        <v>1</v>
      </c>
    </row>
    <row r="735" spans="1:10" x14ac:dyDescent="0.3">
      <c r="A735">
        <v>8063586</v>
      </c>
      <c r="B735">
        <v>858711</v>
      </c>
      <c r="C735">
        <v>1001</v>
      </c>
      <c r="D735" s="1">
        <v>45596</v>
      </c>
      <c r="E735" s="1">
        <v>45642</v>
      </c>
      <c r="F735" t="s">
        <v>3479</v>
      </c>
      <c r="G735" t="str">
        <f>IF(ISNA(_xlfn.XLOOKUP(subscriptions[[#This Row],[customer_id]], customers[customer_id], customers[customer_id])), "NO", "YES")</f>
        <v>YES</v>
      </c>
      <c r="H735">
        <f>IF(AND(subscriptions[[#This Row],[end_date]]&lt;&gt;"", subscriptions[[#This Row],[end_date]] &lt; subscriptions[[#This Row],[start_date]]), 1, 0)</f>
        <v>0</v>
      </c>
      <c r="I7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5">
        <f>IF(
  AND(subscriptions[[#This Row],[end_before_start]]=0, subscriptions[[#This Row],[status_end_mismatch]]=0),
  1,
  0
)</f>
        <v>1</v>
      </c>
    </row>
    <row r="736" spans="1:10" x14ac:dyDescent="0.3">
      <c r="A736">
        <v>4323637</v>
      </c>
      <c r="B736">
        <v>831295</v>
      </c>
      <c r="C736">
        <v>1009</v>
      </c>
      <c r="D736" s="1">
        <v>44930</v>
      </c>
      <c r="E736" s="1">
        <v>44967</v>
      </c>
      <c r="F736" t="s">
        <v>3479</v>
      </c>
      <c r="G736" t="str">
        <f>IF(ISNA(_xlfn.XLOOKUP(subscriptions[[#This Row],[customer_id]], customers[customer_id], customers[customer_id])), "NO", "YES")</f>
        <v>YES</v>
      </c>
      <c r="H736">
        <f>IF(AND(subscriptions[[#This Row],[end_date]]&lt;&gt;"", subscriptions[[#This Row],[end_date]] &lt; subscriptions[[#This Row],[start_date]]), 1, 0)</f>
        <v>0</v>
      </c>
      <c r="I7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6">
        <f>IF(
  AND(subscriptions[[#This Row],[end_before_start]]=0, subscriptions[[#This Row],[status_end_mismatch]]=0),
  1,
  0
)</f>
        <v>1</v>
      </c>
    </row>
    <row r="737" spans="1:10" x14ac:dyDescent="0.3">
      <c r="A737">
        <v>3797952</v>
      </c>
      <c r="B737">
        <v>192296</v>
      </c>
      <c r="C737">
        <v>1007</v>
      </c>
      <c r="D737" s="1">
        <v>44809</v>
      </c>
      <c r="E737" s="1"/>
      <c r="F737" t="s">
        <v>3480</v>
      </c>
      <c r="G737" t="str">
        <f>IF(ISNA(_xlfn.XLOOKUP(subscriptions[[#This Row],[customer_id]], customers[customer_id], customers[customer_id])), "NO", "YES")</f>
        <v>YES</v>
      </c>
      <c r="H737">
        <f>IF(AND(subscriptions[[#This Row],[end_date]]&lt;&gt;"", subscriptions[[#This Row],[end_date]] &lt; subscriptions[[#This Row],[start_date]]), 1, 0)</f>
        <v>0</v>
      </c>
      <c r="I7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7">
        <f>IF(
  AND(subscriptions[[#This Row],[end_before_start]]=0, subscriptions[[#This Row],[status_end_mismatch]]=0),
  1,
  0
)</f>
        <v>1</v>
      </c>
    </row>
    <row r="738" spans="1:10" x14ac:dyDescent="0.3">
      <c r="A738">
        <v>8882947</v>
      </c>
      <c r="B738">
        <v>189903</v>
      </c>
      <c r="C738">
        <v>1004</v>
      </c>
      <c r="D738" s="1">
        <v>44768</v>
      </c>
      <c r="E738" s="1"/>
      <c r="F738" t="s">
        <v>3480</v>
      </c>
      <c r="G738" t="str">
        <f>IF(ISNA(_xlfn.XLOOKUP(subscriptions[[#This Row],[customer_id]], customers[customer_id], customers[customer_id])), "NO", "YES")</f>
        <v>YES</v>
      </c>
      <c r="H738">
        <f>IF(AND(subscriptions[[#This Row],[end_date]]&lt;&gt;"", subscriptions[[#This Row],[end_date]] &lt; subscriptions[[#This Row],[start_date]]), 1, 0)</f>
        <v>0</v>
      </c>
      <c r="I7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8">
        <f>IF(
  AND(subscriptions[[#This Row],[end_before_start]]=0, subscriptions[[#This Row],[status_end_mismatch]]=0),
  1,
  0
)</f>
        <v>1</v>
      </c>
    </row>
    <row r="739" spans="1:10" x14ac:dyDescent="0.3">
      <c r="A739">
        <v>1571694</v>
      </c>
      <c r="B739">
        <v>299742</v>
      </c>
      <c r="C739">
        <v>1000</v>
      </c>
      <c r="D739" s="1">
        <v>45445</v>
      </c>
      <c r="E739" s="1"/>
      <c r="F739" t="s">
        <v>3480</v>
      </c>
      <c r="G739" t="str">
        <f>IF(ISNA(_xlfn.XLOOKUP(subscriptions[[#This Row],[customer_id]], customers[customer_id], customers[customer_id])), "NO", "YES")</f>
        <v>YES</v>
      </c>
      <c r="H739">
        <f>IF(AND(subscriptions[[#This Row],[end_date]]&lt;&gt;"", subscriptions[[#This Row],[end_date]] &lt; subscriptions[[#This Row],[start_date]]), 1, 0)</f>
        <v>0</v>
      </c>
      <c r="I7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39">
        <f>IF(
  AND(subscriptions[[#This Row],[end_before_start]]=0, subscriptions[[#This Row],[status_end_mismatch]]=0),
  1,
  0
)</f>
        <v>1</v>
      </c>
    </row>
    <row r="740" spans="1:10" x14ac:dyDescent="0.3">
      <c r="A740">
        <v>3800715</v>
      </c>
      <c r="B740">
        <v>265603</v>
      </c>
      <c r="C740">
        <v>1006</v>
      </c>
      <c r="D740" s="1">
        <v>44711</v>
      </c>
      <c r="E740" s="1"/>
      <c r="F740" t="s">
        <v>3480</v>
      </c>
      <c r="G740" t="str">
        <f>IF(ISNA(_xlfn.XLOOKUP(subscriptions[[#This Row],[customer_id]], customers[customer_id], customers[customer_id])), "NO", "YES")</f>
        <v>YES</v>
      </c>
      <c r="H740">
        <f>IF(AND(subscriptions[[#This Row],[end_date]]&lt;&gt;"", subscriptions[[#This Row],[end_date]] &lt; subscriptions[[#This Row],[start_date]]), 1, 0)</f>
        <v>0</v>
      </c>
      <c r="I7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0">
        <f>IF(
  AND(subscriptions[[#This Row],[end_before_start]]=0, subscriptions[[#This Row],[status_end_mismatch]]=0),
  1,
  0
)</f>
        <v>1</v>
      </c>
    </row>
    <row r="741" spans="1:10" x14ac:dyDescent="0.3">
      <c r="A741">
        <v>9880342</v>
      </c>
      <c r="B741">
        <v>916779</v>
      </c>
      <c r="C741">
        <v>1008</v>
      </c>
      <c r="D741" s="1">
        <v>45356</v>
      </c>
      <c r="E741" s="1">
        <v>45567</v>
      </c>
      <c r="F741" t="s">
        <v>3479</v>
      </c>
      <c r="G741" t="str">
        <f>IF(ISNA(_xlfn.XLOOKUP(subscriptions[[#This Row],[customer_id]], customers[customer_id], customers[customer_id])), "NO", "YES")</f>
        <v>YES</v>
      </c>
      <c r="H741">
        <f>IF(AND(subscriptions[[#This Row],[end_date]]&lt;&gt;"", subscriptions[[#This Row],[end_date]] &lt; subscriptions[[#This Row],[start_date]]), 1, 0)</f>
        <v>0</v>
      </c>
      <c r="I7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1">
        <f>IF(
  AND(subscriptions[[#This Row],[end_before_start]]=0, subscriptions[[#This Row],[status_end_mismatch]]=0),
  1,
  0
)</f>
        <v>1</v>
      </c>
    </row>
    <row r="742" spans="1:10" x14ac:dyDescent="0.3">
      <c r="A742">
        <v>3138306</v>
      </c>
      <c r="B742">
        <v>495129</v>
      </c>
      <c r="C742">
        <v>1006</v>
      </c>
      <c r="D742" s="1">
        <v>45385</v>
      </c>
      <c r="E742" s="1">
        <v>45538</v>
      </c>
      <c r="F742" t="s">
        <v>3479</v>
      </c>
      <c r="G742" t="str">
        <f>IF(ISNA(_xlfn.XLOOKUP(subscriptions[[#This Row],[customer_id]], customers[customer_id], customers[customer_id])), "NO", "YES")</f>
        <v>YES</v>
      </c>
      <c r="H742">
        <f>IF(AND(subscriptions[[#This Row],[end_date]]&lt;&gt;"", subscriptions[[#This Row],[end_date]] &lt; subscriptions[[#This Row],[start_date]]), 1, 0)</f>
        <v>0</v>
      </c>
      <c r="I7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2">
        <f>IF(
  AND(subscriptions[[#This Row],[end_before_start]]=0, subscriptions[[#This Row],[status_end_mismatch]]=0),
  1,
  0
)</f>
        <v>1</v>
      </c>
    </row>
    <row r="743" spans="1:10" x14ac:dyDescent="0.3">
      <c r="A743">
        <v>5922299</v>
      </c>
      <c r="B743">
        <v>731548</v>
      </c>
      <c r="C743">
        <v>1000</v>
      </c>
      <c r="D743" s="1">
        <v>44805</v>
      </c>
      <c r="E743" s="1"/>
      <c r="F743" t="s">
        <v>3480</v>
      </c>
      <c r="G743" t="str">
        <f>IF(ISNA(_xlfn.XLOOKUP(subscriptions[[#This Row],[customer_id]], customers[customer_id], customers[customer_id])), "NO", "YES")</f>
        <v>YES</v>
      </c>
      <c r="H743">
        <f>IF(AND(subscriptions[[#This Row],[end_date]]&lt;&gt;"", subscriptions[[#This Row],[end_date]] &lt; subscriptions[[#This Row],[start_date]]), 1, 0)</f>
        <v>0</v>
      </c>
      <c r="I7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3">
        <f>IF(
  AND(subscriptions[[#This Row],[end_before_start]]=0, subscriptions[[#This Row],[status_end_mismatch]]=0),
  1,
  0
)</f>
        <v>1</v>
      </c>
    </row>
    <row r="744" spans="1:10" x14ac:dyDescent="0.3">
      <c r="A744">
        <v>6647890</v>
      </c>
      <c r="B744">
        <v>731548</v>
      </c>
      <c r="C744">
        <v>1006</v>
      </c>
      <c r="D744" s="1">
        <v>44782</v>
      </c>
      <c r="E744" s="1">
        <v>44835</v>
      </c>
      <c r="F744" t="s">
        <v>3479</v>
      </c>
      <c r="G744" t="str">
        <f>IF(ISNA(_xlfn.XLOOKUP(subscriptions[[#This Row],[customer_id]], customers[customer_id], customers[customer_id])), "NO", "YES")</f>
        <v>YES</v>
      </c>
      <c r="H744">
        <f>IF(AND(subscriptions[[#This Row],[end_date]]&lt;&gt;"", subscriptions[[#This Row],[end_date]] &lt; subscriptions[[#This Row],[start_date]]), 1, 0)</f>
        <v>0</v>
      </c>
      <c r="I7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4">
        <f>IF(
  AND(subscriptions[[#This Row],[end_before_start]]=0, subscriptions[[#This Row],[status_end_mismatch]]=0),
  1,
  0
)</f>
        <v>1</v>
      </c>
    </row>
    <row r="745" spans="1:10" x14ac:dyDescent="0.3">
      <c r="A745">
        <v>2237362</v>
      </c>
      <c r="B745">
        <v>676429</v>
      </c>
      <c r="C745">
        <v>1009</v>
      </c>
      <c r="D745" s="1">
        <v>45288</v>
      </c>
      <c r="E745" s="1">
        <v>45527</v>
      </c>
      <c r="F745" t="s">
        <v>3479</v>
      </c>
      <c r="G745" t="str">
        <f>IF(ISNA(_xlfn.XLOOKUP(subscriptions[[#This Row],[customer_id]], customers[customer_id], customers[customer_id])), "NO", "YES")</f>
        <v>YES</v>
      </c>
      <c r="H745">
        <f>IF(AND(subscriptions[[#This Row],[end_date]]&lt;&gt;"", subscriptions[[#This Row],[end_date]] &lt; subscriptions[[#This Row],[start_date]]), 1, 0)</f>
        <v>0</v>
      </c>
      <c r="I7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5">
        <f>IF(
  AND(subscriptions[[#This Row],[end_before_start]]=0, subscriptions[[#This Row],[status_end_mismatch]]=0),
  1,
  0
)</f>
        <v>1</v>
      </c>
    </row>
    <row r="746" spans="1:10" x14ac:dyDescent="0.3">
      <c r="A746">
        <v>8545615</v>
      </c>
      <c r="B746">
        <v>583757</v>
      </c>
      <c r="C746">
        <v>1006</v>
      </c>
      <c r="D746" s="1">
        <v>45454</v>
      </c>
      <c r="E746" s="1"/>
      <c r="F746" t="s">
        <v>3480</v>
      </c>
      <c r="G746" t="str">
        <f>IF(ISNA(_xlfn.XLOOKUP(subscriptions[[#This Row],[customer_id]], customers[customer_id], customers[customer_id])), "NO", "YES")</f>
        <v>YES</v>
      </c>
      <c r="H746">
        <f>IF(AND(subscriptions[[#This Row],[end_date]]&lt;&gt;"", subscriptions[[#This Row],[end_date]] &lt; subscriptions[[#This Row],[start_date]]), 1, 0)</f>
        <v>0</v>
      </c>
      <c r="I7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6">
        <f>IF(
  AND(subscriptions[[#This Row],[end_before_start]]=0, subscriptions[[#This Row],[status_end_mismatch]]=0),
  1,
  0
)</f>
        <v>1</v>
      </c>
    </row>
    <row r="747" spans="1:10" x14ac:dyDescent="0.3">
      <c r="A747">
        <v>9004511</v>
      </c>
      <c r="B747">
        <v>549622</v>
      </c>
      <c r="C747">
        <v>1001</v>
      </c>
      <c r="D747" s="1">
        <v>44837</v>
      </c>
      <c r="E747" s="1">
        <v>45237</v>
      </c>
      <c r="F747" t="s">
        <v>3479</v>
      </c>
      <c r="G747" t="str">
        <f>IF(ISNA(_xlfn.XLOOKUP(subscriptions[[#This Row],[customer_id]], customers[customer_id], customers[customer_id])), "NO", "YES")</f>
        <v>YES</v>
      </c>
      <c r="H747">
        <f>IF(AND(subscriptions[[#This Row],[end_date]]&lt;&gt;"", subscriptions[[#This Row],[end_date]] &lt; subscriptions[[#This Row],[start_date]]), 1, 0)</f>
        <v>0</v>
      </c>
      <c r="I7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7">
        <f>IF(
  AND(subscriptions[[#This Row],[end_before_start]]=0, subscriptions[[#This Row],[status_end_mismatch]]=0),
  1,
  0
)</f>
        <v>1</v>
      </c>
    </row>
    <row r="748" spans="1:10" x14ac:dyDescent="0.3">
      <c r="A748">
        <v>9545877</v>
      </c>
      <c r="B748">
        <v>553873</v>
      </c>
      <c r="C748">
        <v>1000</v>
      </c>
      <c r="D748" s="1">
        <v>44733</v>
      </c>
      <c r="E748" s="1"/>
      <c r="F748" t="s">
        <v>3480</v>
      </c>
      <c r="G748" t="str">
        <f>IF(ISNA(_xlfn.XLOOKUP(subscriptions[[#This Row],[customer_id]], customers[customer_id], customers[customer_id])), "NO", "YES")</f>
        <v>YES</v>
      </c>
      <c r="H748">
        <f>IF(AND(subscriptions[[#This Row],[end_date]]&lt;&gt;"", subscriptions[[#This Row],[end_date]] &lt; subscriptions[[#This Row],[start_date]]), 1, 0)</f>
        <v>0</v>
      </c>
      <c r="I7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8">
        <f>IF(
  AND(subscriptions[[#This Row],[end_before_start]]=0, subscriptions[[#This Row],[status_end_mismatch]]=0),
  1,
  0
)</f>
        <v>1</v>
      </c>
    </row>
    <row r="749" spans="1:10" x14ac:dyDescent="0.3">
      <c r="A749">
        <v>1130589</v>
      </c>
      <c r="B749">
        <v>160718</v>
      </c>
      <c r="C749">
        <v>1000</v>
      </c>
      <c r="D749" s="1">
        <v>45319</v>
      </c>
      <c r="E749" s="1">
        <v>45581</v>
      </c>
      <c r="F749" t="s">
        <v>3479</v>
      </c>
      <c r="G749" t="str">
        <f>IF(ISNA(_xlfn.XLOOKUP(subscriptions[[#This Row],[customer_id]], customers[customer_id], customers[customer_id])), "NO", "YES")</f>
        <v>YES</v>
      </c>
      <c r="H749">
        <f>IF(AND(subscriptions[[#This Row],[end_date]]&lt;&gt;"", subscriptions[[#This Row],[end_date]] &lt; subscriptions[[#This Row],[start_date]]), 1, 0)</f>
        <v>0</v>
      </c>
      <c r="I7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49">
        <f>IF(
  AND(subscriptions[[#This Row],[end_before_start]]=0, subscriptions[[#This Row],[status_end_mismatch]]=0),
  1,
  0
)</f>
        <v>1</v>
      </c>
    </row>
    <row r="750" spans="1:10" x14ac:dyDescent="0.3">
      <c r="A750">
        <v>7364849</v>
      </c>
      <c r="B750">
        <v>857537</v>
      </c>
      <c r="C750">
        <v>1002</v>
      </c>
      <c r="D750" s="1">
        <v>45218</v>
      </c>
      <c r="E750" s="1"/>
      <c r="F750" t="s">
        <v>3480</v>
      </c>
      <c r="G750" t="str">
        <f>IF(ISNA(_xlfn.XLOOKUP(subscriptions[[#This Row],[customer_id]], customers[customer_id], customers[customer_id])), "NO", "YES")</f>
        <v>YES</v>
      </c>
      <c r="H750">
        <f>IF(AND(subscriptions[[#This Row],[end_date]]&lt;&gt;"", subscriptions[[#This Row],[end_date]] &lt; subscriptions[[#This Row],[start_date]]), 1, 0)</f>
        <v>0</v>
      </c>
      <c r="I7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0">
        <f>IF(
  AND(subscriptions[[#This Row],[end_before_start]]=0, subscriptions[[#This Row],[status_end_mismatch]]=0),
  1,
  0
)</f>
        <v>1</v>
      </c>
    </row>
    <row r="751" spans="1:10" x14ac:dyDescent="0.3">
      <c r="A751">
        <v>9534019</v>
      </c>
      <c r="B751">
        <v>706224</v>
      </c>
      <c r="C751">
        <v>1004</v>
      </c>
      <c r="D751" s="1">
        <v>45134</v>
      </c>
      <c r="E751" s="1">
        <v>45213</v>
      </c>
      <c r="F751" t="s">
        <v>3479</v>
      </c>
      <c r="G751" t="str">
        <f>IF(ISNA(_xlfn.XLOOKUP(subscriptions[[#This Row],[customer_id]], customers[customer_id], customers[customer_id])), "NO", "YES")</f>
        <v>YES</v>
      </c>
      <c r="H751">
        <f>IF(AND(subscriptions[[#This Row],[end_date]]&lt;&gt;"", subscriptions[[#This Row],[end_date]] &lt; subscriptions[[#This Row],[start_date]]), 1, 0)</f>
        <v>0</v>
      </c>
      <c r="I7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1">
        <f>IF(
  AND(subscriptions[[#This Row],[end_before_start]]=0, subscriptions[[#This Row],[status_end_mismatch]]=0),
  1,
  0
)</f>
        <v>1</v>
      </c>
    </row>
    <row r="752" spans="1:10" x14ac:dyDescent="0.3">
      <c r="A752">
        <v>4896735</v>
      </c>
      <c r="B752">
        <v>739244</v>
      </c>
      <c r="C752">
        <v>1009</v>
      </c>
      <c r="D752" s="1">
        <v>45170</v>
      </c>
      <c r="E752" s="1"/>
      <c r="F752" t="s">
        <v>3480</v>
      </c>
      <c r="G752" t="str">
        <f>IF(ISNA(_xlfn.XLOOKUP(subscriptions[[#This Row],[customer_id]], customers[customer_id], customers[customer_id])), "NO", "YES")</f>
        <v>YES</v>
      </c>
      <c r="H752">
        <f>IF(AND(subscriptions[[#This Row],[end_date]]&lt;&gt;"", subscriptions[[#This Row],[end_date]] &lt; subscriptions[[#This Row],[start_date]]), 1, 0)</f>
        <v>0</v>
      </c>
      <c r="I7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2">
        <f>IF(
  AND(subscriptions[[#This Row],[end_before_start]]=0, subscriptions[[#This Row],[status_end_mismatch]]=0),
  1,
  0
)</f>
        <v>1</v>
      </c>
    </row>
    <row r="753" spans="1:10" x14ac:dyDescent="0.3">
      <c r="A753">
        <v>1810137</v>
      </c>
      <c r="B753">
        <v>100716</v>
      </c>
      <c r="C753">
        <v>1002</v>
      </c>
      <c r="D753" s="1">
        <v>45435</v>
      </c>
      <c r="E753" s="1"/>
      <c r="F753" t="s">
        <v>3480</v>
      </c>
      <c r="G753" t="str">
        <f>IF(ISNA(_xlfn.XLOOKUP(subscriptions[[#This Row],[customer_id]], customers[customer_id], customers[customer_id])), "NO", "YES")</f>
        <v>YES</v>
      </c>
      <c r="H753">
        <f>IF(AND(subscriptions[[#This Row],[end_date]]&lt;&gt;"", subscriptions[[#This Row],[end_date]] &lt; subscriptions[[#This Row],[start_date]]), 1, 0)</f>
        <v>0</v>
      </c>
      <c r="I7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3">
        <f>IF(
  AND(subscriptions[[#This Row],[end_before_start]]=0, subscriptions[[#This Row],[status_end_mismatch]]=0),
  1,
  0
)</f>
        <v>1</v>
      </c>
    </row>
    <row r="754" spans="1:10" x14ac:dyDescent="0.3">
      <c r="A754">
        <v>7443587</v>
      </c>
      <c r="B754">
        <v>449479</v>
      </c>
      <c r="C754">
        <v>1002</v>
      </c>
      <c r="D754" s="1">
        <v>45214</v>
      </c>
      <c r="E754" s="1">
        <v>45317</v>
      </c>
      <c r="F754" t="s">
        <v>3479</v>
      </c>
      <c r="G754" t="str">
        <f>IF(ISNA(_xlfn.XLOOKUP(subscriptions[[#This Row],[customer_id]], customers[customer_id], customers[customer_id])), "NO", "YES")</f>
        <v>YES</v>
      </c>
      <c r="H754">
        <f>IF(AND(subscriptions[[#This Row],[end_date]]&lt;&gt;"", subscriptions[[#This Row],[end_date]] &lt; subscriptions[[#This Row],[start_date]]), 1, 0)</f>
        <v>0</v>
      </c>
      <c r="I7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4">
        <f>IF(
  AND(subscriptions[[#This Row],[end_before_start]]=0, subscriptions[[#This Row],[status_end_mismatch]]=0),
  1,
  0
)</f>
        <v>1</v>
      </c>
    </row>
    <row r="755" spans="1:10" x14ac:dyDescent="0.3">
      <c r="A755">
        <v>1703542</v>
      </c>
      <c r="B755">
        <v>335426</v>
      </c>
      <c r="C755">
        <v>1009</v>
      </c>
      <c r="D755" s="1">
        <v>44993</v>
      </c>
      <c r="E755" s="1"/>
      <c r="F755" t="s">
        <v>3480</v>
      </c>
      <c r="G755" t="str">
        <f>IF(ISNA(_xlfn.XLOOKUP(subscriptions[[#This Row],[customer_id]], customers[customer_id], customers[customer_id])), "NO", "YES")</f>
        <v>YES</v>
      </c>
      <c r="H755">
        <f>IF(AND(subscriptions[[#This Row],[end_date]]&lt;&gt;"", subscriptions[[#This Row],[end_date]] &lt; subscriptions[[#This Row],[start_date]]), 1, 0)</f>
        <v>0</v>
      </c>
      <c r="I7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5">
        <f>IF(
  AND(subscriptions[[#This Row],[end_before_start]]=0, subscriptions[[#This Row],[status_end_mismatch]]=0),
  1,
  0
)</f>
        <v>1</v>
      </c>
    </row>
    <row r="756" spans="1:10" x14ac:dyDescent="0.3">
      <c r="A756">
        <v>5668364</v>
      </c>
      <c r="B756">
        <v>231113</v>
      </c>
      <c r="C756">
        <v>1003</v>
      </c>
      <c r="D756" s="1">
        <v>45205</v>
      </c>
      <c r="E756" s="1"/>
      <c r="F756" t="s">
        <v>3480</v>
      </c>
      <c r="G756" t="str">
        <f>IF(ISNA(_xlfn.XLOOKUP(subscriptions[[#This Row],[customer_id]], customers[customer_id], customers[customer_id])), "NO", "YES")</f>
        <v>YES</v>
      </c>
      <c r="H756">
        <f>IF(AND(subscriptions[[#This Row],[end_date]]&lt;&gt;"", subscriptions[[#This Row],[end_date]] &lt; subscriptions[[#This Row],[start_date]]), 1, 0)</f>
        <v>0</v>
      </c>
      <c r="I7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6">
        <f>IF(
  AND(subscriptions[[#This Row],[end_before_start]]=0, subscriptions[[#This Row],[status_end_mismatch]]=0),
  1,
  0
)</f>
        <v>1</v>
      </c>
    </row>
    <row r="757" spans="1:10" x14ac:dyDescent="0.3">
      <c r="A757">
        <v>5777999</v>
      </c>
      <c r="B757">
        <v>401769</v>
      </c>
      <c r="C757">
        <v>1005</v>
      </c>
      <c r="D757" s="1">
        <v>44901</v>
      </c>
      <c r="E757" s="1"/>
      <c r="F757" t="s">
        <v>3480</v>
      </c>
      <c r="G757" t="str">
        <f>IF(ISNA(_xlfn.XLOOKUP(subscriptions[[#This Row],[customer_id]], customers[customer_id], customers[customer_id])), "NO", "YES")</f>
        <v>YES</v>
      </c>
      <c r="H757">
        <f>IF(AND(subscriptions[[#This Row],[end_date]]&lt;&gt;"", subscriptions[[#This Row],[end_date]] &lt; subscriptions[[#This Row],[start_date]]), 1, 0)</f>
        <v>0</v>
      </c>
      <c r="I7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7">
        <f>IF(
  AND(subscriptions[[#This Row],[end_before_start]]=0, subscriptions[[#This Row],[status_end_mismatch]]=0),
  1,
  0
)</f>
        <v>1</v>
      </c>
    </row>
    <row r="758" spans="1:10" x14ac:dyDescent="0.3">
      <c r="A758">
        <v>5594415</v>
      </c>
      <c r="B758">
        <v>726258</v>
      </c>
      <c r="C758">
        <v>1000</v>
      </c>
      <c r="D758" s="1">
        <v>45558</v>
      </c>
      <c r="E758" s="1"/>
      <c r="F758" t="s">
        <v>3480</v>
      </c>
      <c r="G758" t="str">
        <f>IF(ISNA(_xlfn.XLOOKUP(subscriptions[[#This Row],[customer_id]], customers[customer_id], customers[customer_id])), "NO", "YES")</f>
        <v>YES</v>
      </c>
      <c r="H758">
        <f>IF(AND(subscriptions[[#This Row],[end_date]]&lt;&gt;"", subscriptions[[#This Row],[end_date]] &lt; subscriptions[[#This Row],[start_date]]), 1, 0)</f>
        <v>0</v>
      </c>
      <c r="I7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8">
        <f>IF(
  AND(subscriptions[[#This Row],[end_before_start]]=0, subscriptions[[#This Row],[status_end_mismatch]]=0),
  1,
  0
)</f>
        <v>1</v>
      </c>
    </row>
    <row r="759" spans="1:10" x14ac:dyDescent="0.3">
      <c r="A759">
        <v>3840731</v>
      </c>
      <c r="B759">
        <v>403915</v>
      </c>
      <c r="C759">
        <v>1008</v>
      </c>
      <c r="D759" s="1">
        <v>45152</v>
      </c>
      <c r="E759" s="1">
        <v>45314</v>
      </c>
      <c r="F759" t="s">
        <v>3479</v>
      </c>
      <c r="G759" t="str">
        <f>IF(ISNA(_xlfn.XLOOKUP(subscriptions[[#This Row],[customer_id]], customers[customer_id], customers[customer_id])), "NO", "YES")</f>
        <v>YES</v>
      </c>
      <c r="H759">
        <f>IF(AND(subscriptions[[#This Row],[end_date]]&lt;&gt;"", subscriptions[[#This Row],[end_date]] &lt; subscriptions[[#This Row],[start_date]]), 1, 0)</f>
        <v>0</v>
      </c>
      <c r="I7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59">
        <f>IF(
  AND(subscriptions[[#This Row],[end_before_start]]=0, subscriptions[[#This Row],[status_end_mismatch]]=0),
  1,
  0
)</f>
        <v>1</v>
      </c>
    </row>
    <row r="760" spans="1:10" x14ac:dyDescent="0.3">
      <c r="A760">
        <v>2780388</v>
      </c>
      <c r="B760">
        <v>111068</v>
      </c>
      <c r="C760">
        <v>1009</v>
      </c>
      <c r="D760" s="1">
        <v>45036</v>
      </c>
      <c r="E760" s="1">
        <v>45138</v>
      </c>
      <c r="F760" t="s">
        <v>3479</v>
      </c>
      <c r="G760" t="str">
        <f>IF(ISNA(_xlfn.XLOOKUP(subscriptions[[#This Row],[customer_id]], customers[customer_id], customers[customer_id])), "NO", "YES")</f>
        <v>YES</v>
      </c>
      <c r="H760">
        <f>IF(AND(subscriptions[[#This Row],[end_date]]&lt;&gt;"", subscriptions[[#This Row],[end_date]] &lt; subscriptions[[#This Row],[start_date]]), 1, 0)</f>
        <v>0</v>
      </c>
      <c r="I7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0">
        <f>IF(
  AND(subscriptions[[#This Row],[end_before_start]]=0, subscriptions[[#This Row],[status_end_mismatch]]=0),
  1,
  0
)</f>
        <v>1</v>
      </c>
    </row>
    <row r="761" spans="1:10" x14ac:dyDescent="0.3">
      <c r="A761">
        <v>2610210</v>
      </c>
      <c r="B761">
        <v>719221</v>
      </c>
      <c r="C761">
        <v>1008</v>
      </c>
      <c r="D761" s="1">
        <v>44985</v>
      </c>
      <c r="E761" s="1"/>
      <c r="F761" t="s">
        <v>3480</v>
      </c>
      <c r="G761" t="str">
        <f>IF(ISNA(_xlfn.XLOOKUP(subscriptions[[#This Row],[customer_id]], customers[customer_id], customers[customer_id])), "NO", "YES")</f>
        <v>YES</v>
      </c>
      <c r="H761">
        <f>IF(AND(subscriptions[[#This Row],[end_date]]&lt;&gt;"", subscriptions[[#This Row],[end_date]] &lt; subscriptions[[#This Row],[start_date]]), 1, 0)</f>
        <v>0</v>
      </c>
      <c r="I7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1">
        <f>IF(
  AND(subscriptions[[#This Row],[end_before_start]]=0, subscriptions[[#This Row],[status_end_mismatch]]=0),
  1,
  0
)</f>
        <v>1</v>
      </c>
    </row>
    <row r="762" spans="1:10" x14ac:dyDescent="0.3">
      <c r="A762">
        <v>9534539</v>
      </c>
      <c r="B762">
        <v>273659</v>
      </c>
      <c r="C762">
        <v>1005</v>
      </c>
      <c r="D762" s="1">
        <v>44907</v>
      </c>
      <c r="E762" s="1"/>
      <c r="F762" t="s">
        <v>3480</v>
      </c>
      <c r="G762" t="str">
        <f>IF(ISNA(_xlfn.XLOOKUP(subscriptions[[#This Row],[customer_id]], customers[customer_id], customers[customer_id])), "NO", "YES")</f>
        <v>YES</v>
      </c>
      <c r="H762">
        <f>IF(AND(subscriptions[[#This Row],[end_date]]&lt;&gt;"", subscriptions[[#This Row],[end_date]] &lt; subscriptions[[#This Row],[start_date]]), 1, 0)</f>
        <v>0</v>
      </c>
      <c r="I7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2">
        <f>IF(
  AND(subscriptions[[#This Row],[end_before_start]]=0, subscriptions[[#This Row],[status_end_mismatch]]=0),
  1,
  0
)</f>
        <v>1</v>
      </c>
    </row>
    <row r="763" spans="1:10" x14ac:dyDescent="0.3">
      <c r="A763">
        <v>1666811</v>
      </c>
      <c r="B763">
        <v>393328</v>
      </c>
      <c r="C763">
        <v>1000</v>
      </c>
      <c r="D763" s="1">
        <v>44961</v>
      </c>
      <c r="E763" s="1"/>
      <c r="F763" t="s">
        <v>3480</v>
      </c>
      <c r="G763" t="str">
        <f>IF(ISNA(_xlfn.XLOOKUP(subscriptions[[#This Row],[customer_id]], customers[customer_id], customers[customer_id])), "NO", "YES")</f>
        <v>YES</v>
      </c>
      <c r="H763">
        <f>IF(AND(subscriptions[[#This Row],[end_date]]&lt;&gt;"", subscriptions[[#This Row],[end_date]] &lt; subscriptions[[#This Row],[start_date]]), 1, 0)</f>
        <v>0</v>
      </c>
      <c r="I7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3">
        <f>IF(
  AND(subscriptions[[#This Row],[end_before_start]]=0, subscriptions[[#This Row],[status_end_mismatch]]=0),
  1,
  0
)</f>
        <v>1</v>
      </c>
    </row>
    <row r="764" spans="1:10" x14ac:dyDescent="0.3">
      <c r="A764">
        <v>1432471</v>
      </c>
      <c r="B764">
        <v>358771</v>
      </c>
      <c r="C764">
        <v>1000</v>
      </c>
      <c r="D764" s="1">
        <v>45318</v>
      </c>
      <c r="E764" s="1"/>
      <c r="F764" t="s">
        <v>3480</v>
      </c>
      <c r="G764" t="str">
        <f>IF(ISNA(_xlfn.XLOOKUP(subscriptions[[#This Row],[customer_id]], customers[customer_id], customers[customer_id])), "NO", "YES")</f>
        <v>YES</v>
      </c>
      <c r="H764">
        <f>IF(AND(subscriptions[[#This Row],[end_date]]&lt;&gt;"", subscriptions[[#This Row],[end_date]] &lt; subscriptions[[#This Row],[start_date]]), 1, 0)</f>
        <v>0</v>
      </c>
      <c r="I7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4">
        <f>IF(
  AND(subscriptions[[#This Row],[end_before_start]]=0, subscriptions[[#This Row],[status_end_mismatch]]=0),
  1,
  0
)</f>
        <v>1</v>
      </c>
    </row>
    <row r="765" spans="1:10" x14ac:dyDescent="0.3">
      <c r="A765">
        <v>8155525</v>
      </c>
      <c r="B765">
        <v>177449</v>
      </c>
      <c r="C765">
        <v>1004</v>
      </c>
      <c r="D765" s="1">
        <v>45473</v>
      </c>
      <c r="E765" s="1"/>
      <c r="F765" t="s">
        <v>3480</v>
      </c>
      <c r="G765" t="str">
        <f>IF(ISNA(_xlfn.XLOOKUP(subscriptions[[#This Row],[customer_id]], customers[customer_id], customers[customer_id])), "NO", "YES")</f>
        <v>YES</v>
      </c>
      <c r="H765">
        <f>IF(AND(subscriptions[[#This Row],[end_date]]&lt;&gt;"", subscriptions[[#This Row],[end_date]] &lt; subscriptions[[#This Row],[start_date]]), 1, 0)</f>
        <v>0</v>
      </c>
      <c r="I7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5">
        <f>IF(
  AND(subscriptions[[#This Row],[end_before_start]]=0, subscriptions[[#This Row],[status_end_mismatch]]=0),
  1,
  0
)</f>
        <v>1</v>
      </c>
    </row>
    <row r="766" spans="1:10" x14ac:dyDescent="0.3">
      <c r="A766">
        <v>8614329</v>
      </c>
      <c r="B766">
        <v>844638</v>
      </c>
      <c r="C766">
        <v>1008</v>
      </c>
      <c r="D766" s="1">
        <v>45166</v>
      </c>
      <c r="E766" s="1">
        <v>45562</v>
      </c>
      <c r="F766" t="s">
        <v>3479</v>
      </c>
      <c r="G766" t="str">
        <f>IF(ISNA(_xlfn.XLOOKUP(subscriptions[[#This Row],[customer_id]], customers[customer_id], customers[customer_id])), "NO", "YES")</f>
        <v>YES</v>
      </c>
      <c r="H766">
        <f>IF(AND(subscriptions[[#This Row],[end_date]]&lt;&gt;"", subscriptions[[#This Row],[end_date]] &lt; subscriptions[[#This Row],[start_date]]), 1, 0)</f>
        <v>0</v>
      </c>
      <c r="I7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6">
        <f>IF(
  AND(subscriptions[[#This Row],[end_before_start]]=0, subscriptions[[#This Row],[status_end_mismatch]]=0),
  1,
  0
)</f>
        <v>1</v>
      </c>
    </row>
    <row r="767" spans="1:10" x14ac:dyDescent="0.3">
      <c r="A767">
        <v>3012269</v>
      </c>
      <c r="B767">
        <v>215266</v>
      </c>
      <c r="C767">
        <v>1000</v>
      </c>
      <c r="D767" s="1">
        <v>45472</v>
      </c>
      <c r="E767" s="1">
        <v>45649</v>
      </c>
      <c r="F767" t="s">
        <v>3479</v>
      </c>
      <c r="G767" t="str">
        <f>IF(ISNA(_xlfn.XLOOKUP(subscriptions[[#This Row],[customer_id]], customers[customer_id], customers[customer_id])), "NO", "YES")</f>
        <v>YES</v>
      </c>
      <c r="H767">
        <f>IF(AND(subscriptions[[#This Row],[end_date]]&lt;&gt;"", subscriptions[[#This Row],[end_date]] &lt; subscriptions[[#This Row],[start_date]]), 1, 0)</f>
        <v>0</v>
      </c>
      <c r="I7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7">
        <f>IF(
  AND(subscriptions[[#This Row],[end_before_start]]=0, subscriptions[[#This Row],[status_end_mismatch]]=0),
  1,
  0
)</f>
        <v>1</v>
      </c>
    </row>
    <row r="768" spans="1:10" x14ac:dyDescent="0.3">
      <c r="A768">
        <v>2457333</v>
      </c>
      <c r="B768">
        <v>760830</v>
      </c>
      <c r="C768">
        <v>1006</v>
      </c>
      <c r="D768" s="1">
        <v>44842</v>
      </c>
      <c r="E768" s="1">
        <v>45214</v>
      </c>
      <c r="F768" t="s">
        <v>3479</v>
      </c>
      <c r="G768" t="str">
        <f>IF(ISNA(_xlfn.XLOOKUP(subscriptions[[#This Row],[customer_id]], customers[customer_id], customers[customer_id])), "NO", "YES")</f>
        <v>YES</v>
      </c>
      <c r="H768">
        <f>IF(AND(subscriptions[[#This Row],[end_date]]&lt;&gt;"", subscriptions[[#This Row],[end_date]] &lt; subscriptions[[#This Row],[start_date]]), 1, 0)</f>
        <v>0</v>
      </c>
      <c r="I7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8">
        <f>IF(
  AND(subscriptions[[#This Row],[end_before_start]]=0, subscriptions[[#This Row],[status_end_mismatch]]=0),
  1,
  0
)</f>
        <v>1</v>
      </c>
    </row>
    <row r="769" spans="1:10" x14ac:dyDescent="0.3">
      <c r="A769">
        <v>2953918</v>
      </c>
      <c r="B769">
        <v>829884</v>
      </c>
      <c r="C769">
        <v>1003</v>
      </c>
      <c r="D769" s="1">
        <v>45286</v>
      </c>
      <c r="E769" s="1">
        <v>45429</v>
      </c>
      <c r="F769" t="s">
        <v>3479</v>
      </c>
      <c r="G769" t="str">
        <f>IF(ISNA(_xlfn.XLOOKUP(subscriptions[[#This Row],[customer_id]], customers[customer_id], customers[customer_id])), "NO", "YES")</f>
        <v>YES</v>
      </c>
      <c r="H769">
        <f>IF(AND(subscriptions[[#This Row],[end_date]]&lt;&gt;"", subscriptions[[#This Row],[end_date]] &lt; subscriptions[[#This Row],[start_date]]), 1, 0)</f>
        <v>0</v>
      </c>
      <c r="I7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69">
        <f>IF(
  AND(subscriptions[[#This Row],[end_before_start]]=0, subscriptions[[#This Row],[status_end_mismatch]]=0),
  1,
  0
)</f>
        <v>1</v>
      </c>
    </row>
    <row r="770" spans="1:10" x14ac:dyDescent="0.3">
      <c r="A770">
        <v>2247391</v>
      </c>
      <c r="B770">
        <v>995940</v>
      </c>
      <c r="C770">
        <v>1006</v>
      </c>
      <c r="D770" s="1">
        <v>45231</v>
      </c>
      <c r="E770" s="1"/>
      <c r="F770" t="s">
        <v>3480</v>
      </c>
      <c r="G770" t="str">
        <f>IF(ISNA(_xlfn.XLOOKUP(subscriptions[[#This Row],[customer_id]], customers[customer_id], customers[customer_id])), "NO", "YES")</f>
        <v>YES</v>
      </c>
      <c r="H770">
        <f>IF(AND(subscriptions[[#This Row],[end_date]]&lt;&gt;"", subscriptions[[#This Row],[end_date]] &lt; subscriptions[[#This Row],[start_date]]), 1, 0)</f>
        <v>0</v>
      </c>
      <c r="I7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0">
        <f>IF(
  AND(subscriptions[[#This Row],[end_before_start]]=0, subscriptions[[#This Row],[status_end_mismatch]]=0),
  1,
  0
)</f>
        <v>1</v>
      </c>
    </row>
    <row r="771" spans="1:10" x14ac:dyDescent="0.3">
      <c r="A771">
        <v>6626024</v>
      </c>
      <c r="B771">
        <v>623460</v>
      </c>
      <c r="C771">
        <v>1004</v>
      </c>
      <c r="D771" s="1">
        <v>45127</v>
      </c>
      <c r="E771" s="1"/>
      <c r="F771" t="s">
        <v>3480</v>
      </c>
      <c r="G771" t="str">
        <f>IF(ISNA(_xlfn.XLOOKUP(subscriptions[[#This Row],[customer_id]], customers[customer_id], customers[customer_id])), "NO", "YES")</f>
        <v>YES</v>
      </c>
      <c r="H771">
        <f>IF(AND(subscriptions[[#This Row],[end_date]]&lt;&gt;"", subscriptions[[#This Row],[end_date]] &lt; subscriptions[[#This Row],[start_date]]), 1, 0)</f>
        <v>0</v>
      </c>
      <c r="I7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1">
        <f>IF(
  AND(subscriptions[[#This Row],[end_before_start]]=0, subscriptions[[#This Row],[status_end_mismatch]]=0),
  1,
  0
)</f>
        <v>1</v>
      </c>
    </row>
    <row r="772" spans="1:10" x14ac:dyDescent="0.3">
      <c r="A772">
        <v>9604096</v>
      </c>
      <c r="B772">
        <v>261790</v>
      </c>
      <c r="C772">
        <v>1000</v>
      </c>
      <c r="D772" s="1">
        <v>44713</v>
      </c>
      <c r="E772" s="1">
        <v>44904</v>
      </c>
      <c r="F772" t="s">
        <v>3479</v>
      </c>
      <c r="G772" t="str">
        <f>IF(ISNA(_xlfn.XLOOKUP(subscriptions[[#This Row],[customer_id]], customers[customer_id], customers[customer_id])), "NO", "YES")</f>
        <v>YES</v>
      </c>
      <c r="H772">
        <f>IF(AND(subscriptions[[#This Row],[end_date]]&lt;&gt;"", subscriptions[[#This Row],[end_date]] &lt; subscriptions[[#This Row],[start_date]]), 1, 0)</f>
        <v>0</v>
      </c>
      <c r="I7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2">
        <f>IF(
  AND(subscriptions[[#This Row],[end_before_start]]=0, subscriptions[[#This Row],[status_end_mismatch]]=0),
  1,
  0
)</f>
        <v>1</v>
      </c>
    </row>
    <row r="773" spans="1:10" x14ac:dyDescent="0.3">
      <c r="A773">
        <v>1643521</v>
      </c>
      <c r="B773">
        <v>984293</v>
      </c>
      <c r="C773">
        <v>1003</v>
      </c>
      <c r="D773" s="1">
        <v>45449</v>
      </c>
      <c r="E773" s="1"/>
      <c r="F773" t="s">
        <v>3480</v>
      </c>
      <c r="G773" t="str">
        <f>IF(ISNA(_xlfn.XLOOKUP(subscriptions[[#This Row],[customer_id]], customers[customer_id], customers[customer_id])), "NO", "YES")</f>
        <v>YES</v>
      </c>
      <c r="H773">
        <f>IF(AND(subscriptions[[#This Row],[end_date]]&lt;&gt;"", subscriptions[[#This Row],[end_date]] &lt; subscriptions[[#This Row],[start_date]]), 1, 0)</f>
        <v>0</v>
      </c>
      <c r="I7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3">
        <f>IF(
  AND(subscriptions[[#This Row],[end_before_start]]=0, subscriptions[[#This Row],[status_end_mismatch]]=0),
  1,
  0
)</f>
        <v>1</v>
      </c>
    </row>
    <row r="774" spans="1:10" x14ac:dyDescent="0.3">
      <c r="A774">
        <v>9745909</v>
      </c>
      <c r="B774">
        <v>764873</v>
      </c>
      <c r="C774">
        <v>1002</v>
      </c>
      <c r="D774" s="1">
        <v>45212</v>
      </c>
      <c r="E774" s="1"/>
      <c r="F774" t="s">
        <v>3480</v>
      </c>
      <c r="G774" t="str">
        <f>IF(ISNA(_xlfn.XLOOKUP(subscriptions[[#This Row],[customer_id]], customers[customer_id], customers[customer_id])), "NO", "YES")</f>
        <v>YES</v>
      </c>
      <c r="H774">
        <f>IF(AND(subscriptions[[#This Row],[end_date]]&lt;&gt;"", subscriptions[[#This Row],[end_date]] &lt; subscriptions[[#This Row],[start_date]]), 1, 0)</f>
        <v>0</v>
      </c>
      <c r="I7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4">
        <f>IF(
  AND(subscriptions[[#This Row],[end_before_start]]=0, subscriptions[[#This Row],[status_end_mismatch]]=0),
  1,
  0
)</f>
        <v>1</v>
      </c>
    </row>
    <row r="775" spans="1:10" x14ac:dyDescent="0.3">
      <c r="A775">
        <v>1597875</v>
      </c>
      <c r="B775">
        <v>764873</v>
      </c>
      <c r="C775">
        <v>1008</v>
      </c>
      <c r="D775" s="1">
        <v>44578</v>
      </c>
      <c r="E775" s="1"/>
      <c r="F775" t="s">
        <v>3480</v>
      </c>
      <c r="G775" t="str">
        <f>IF(ISNA(_xlfn.XLOOKUP(subscriptions[[#This Row],[customer_id]], customers[customer_id], customers[customer_id])), "NO", "YES")</f>
        <v>YES</v>
      </c>
      <c r="H775">
        <f>IF(AND(subscriptions[[#This Row],[end_date]]&lt;&gt;"", subscriptions[[#This Row],[end_date]] &lt; subscriptions[[#This Row],[start_date]]), 1, 0)</f>
        <v>0</v>
      </c>
      <c r="I7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5">
        <f>IF(
  AND(subscriptions[[#This Row],[end_before_start]]=0, subscriptions[[#This Row],[status_end_mismatch]]=0),
  1,
  0
)</f>
        <v>1</v>
      </c>
    </row>
    <row r="776" spans="1:10" x14ac:dyDescent="0.3">
      <c r="A776">
        <v>7311740</v>
      </c>
      <c r="B776">
        <v>520106</v>
      </c>
      <c r="C776">
        <v>1000</v>
      </c>
      <c r="D776" s="1">
        <v>45012</v>
      </c>
      <c r="E776" s="1">
        <v>45177</v>
      </c>
      <c r="F776" t="s">
        <v>3479</v>
      </c>
      <c r="G776" t="str">
        <f>IF(ISNA(_xlfn.XLOOKUP(subscriptions[[#This Row],[customer_id]], customers[customer_id], customers[customer_id])), "NO", "YES")</f>
        <v>YES</v>
      </c>
      <c r="H776">
        <f>IF(AND(subscriptions[[#This Row],[end_date]]&lt;&gt;"", subscriptions[[#This Row],[end_date]] &lt; subscriptions[[#This Row],[start_date]]), 1, 0)</f>
        <v>0</v>
      </c>
      <c r="I7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6">
        <f>IF(
  AND(subscriptions[[#This Row],[end_before_start]]=0, subscriptions[[#This Row],[status_end_mismatch]]=0),
  1,
  0
)</f>
        <v>1</v>
      </c>
    </row>
    <row r="777" spans="1:10" x14ac:dyDescent="0.3">
      <c r="A777">
        <v>8887227</v>
      </c>
      <c r="B777">
        <v>443199</v>
      </c>
      <c r="C777">
        <v>1003</v>
      </c>
      <c r="D777" s="1">
        <v>44872</v>
      </c>
      <c r="E777" s="1"/>
      <c r="F777" t="s">
        <v>3480</v>
      </c>
      <c r="G777" t="str">
        <f>IF(ISNA(_xlfn.XLOOKUP(subscriptions[[#This Row],[customer_id]], customers[customer_id], customers[customer_id])), "NO", "YES")</f>
        <v>YES</v>
      </c>
      <c r="H777">
        <f>IF(AND(subscriptions[[#This Row],[end_date]]&lt;&gt;"", subscriptions[[#This Row],[end_date]] &lt; subscriptions[[#This Row],[start_date]]), 1, 0)</f>
        <v>0</v>
      </c>
      <c r="I7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7">
        <f>IF(
  AND(subscriptions[[#This Row],[end_before_start]]=0, subscriptions[[#This Row],[status_end_mismatch]]=0),
  1,
  0
)</f>
        <v>1</v>
      </c>
    </row>
    <row r="778" spans="1:10" x14ac:dyDescent="0.3">
      <c r="A778">
        <v>4139098</v>
      </c>
      <c r="B778">
        <v>476105</v>
      </c>
      <c r="C778">
        <v>1004</v>
      </c>
      <c r="D778" s="1">
        <v>45579</v>
      </c>
      <c r="E778" s="1"/>
      <c r="F778" t="s">
        <v>3480</v>
      </c>
      <c r="G778" t="str">
        <f>IF(ISNA(_xlfn.XLOOKUP(subscriptions[[#This Row],[customer_id]], customers[customer_id], customers[customer_id])), "NO", "YES")</f>
        <v>YES</v>
      </c>
      <c r="H778">
        <f>IF(AND(subscriptions[[#This Row],[end_date]]&lt;&gt;"", subscriptions[[#This Row],[end_date]] &lt; subscriptions[[#This Row],[start_date]]), 1, 0)</f>
        <v>0</v>
      </c>
      <c r="I7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8">
        <f>IF(
  AND(subscriptions[[#This Row],[end_before_start]]=0, subscriptions[[#This Row],[status_end_mismatch]]=0),
  1,
  0
)</f>
        <v>1</v>
      </c>
    </row>
    <row r="779" spans="1:10" x14ac:dyDescent="0.3">
      <c r="A779">
        <v>4331501</v>
      </c>
      <c r="B779">
        <v>929090</v>
      </c>
      <c r="C779">
        <v>1007</v>
      </c>
      <c r="D779" s="1">
        <v>44743</v>
      </c>
      <c r="E779" s="1">
        <v>45143</v>
      </c>
      <c r="F779" t="s">
        <v>3479</v>
      </c>
      <c r="G779" t="str">
        <f>IF(ISNA(_xlfn.XLOOKUP(subscriptions[[#This Row],[customer_id]], customers[customer_id], customers[customer_id])), "NO", "YES")</f>
        <v>YES</v>
      </c>
      <c r="H779">
        <f>IF(AND(subscriptions[[#This Row],[end_date]]&lt;&gt;"", subscriptions[[#This Row],[end_date]] &lt; subscriptions[[#This Row],[start_date]]), 1, 0)</f>
        <v>0</v>
      </c>
      <c r="I7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79">
        <f>IF(
  AND(subscriptions[[#This Row],[end_before_start]]=0, subscriptions[[#This Row],[status_end_mismatch]]=0),
  1,
  0
)</f>
        <v>1</v>
      </c>
    </row>
    <row r="780" spans="1:10" x14ac:dyDescent="0.3">
      <c r="A780">
        <v>4593496</v>
      </c>
      <c r="B780">
        <v>999138</v>
      </c>
      <c r="C780">
        <v>1006</v>
      </c>
      <c r="D780" s="1">
        <v>44568</v>
      </c>
      <c r="E780" s="1"/>
      <c r="F780" t="s">
        <v>3480</v>
      </c>
      <c r="G780" t="str">
        <f>IF(ISNA(_xlfn.XLOOKUP(subscriptions[[#This Row],[customer_id]], customers[customer_id], customers[customer_id])), "NO", "YES")</f>
        <v>YES</v>
      </c>
      <c r="H780">
        <f>IF(AND(subscriptions[[#This Row],[end_date]]&lt;&gt;"", subscriptions[[#This Row],[end_date]] &lt; subscriptions[[#This Row],[start_date]]), 1, 0)</f>
        <v>0</v>
      </c>
      <c r="I7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0">
        <f>IF(
  AND(subscriptions[[#This Row],[end_before_start]]=0, subscriptions[[#This Row],[status_end_mismatch]]=0),
  1,
  0
)</f>
        <v>1</v>
      </c>
    </row>
    <row r="781" spans="1:10" x14ac:dyDescent="0.3">
      <c r="A781">
        <v>9232431</v>
      </c>
      <c r="B781">
        <v>281201</v>
      </c>
      <c r="C781">
        <v>1005</v>
      </c>
      <c r="D781" s="1">
        <v>44989</v>
      </c>
      <c r="E781" s="1">
        <v>45038</v>
      </c>
      <c r="F781" t="s">
        <v>3479</v>
      </c>
      <c r="G781" t="str">
        <f>IF(ISNA(_xlfn.XLOOKUP(subscriptions[[#This Row],[customer_id]], customers[customer_id], customers[customer_id])), "NO", "YES")</f>
        <v>YES</v>
      </c>
      <c r="H781">
        <f>IF(AND(subscriptions[[#This Row],[end_date]]&lt;&gt;"", subscriptions[[#This Row],[end_date]] &lt; subscriptions[[#This Row],[start_date]]), 1, 0)</f>
        <v>0</v>
      </c>
      <c r="I7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1">
        <f>IF(
  AND(subscriptions[[#This Row],[end_before_start]]=0, subscriptions[[#This Row],[status_end_mismatch]]=0),
  1,
  0
)</f>
        <v>1</v>
      </c>
    </row>
    <row r="782" spans="1:10" x14ac:dyDescent="0.3">
      <c r="A782">
        <v>8015549</v>
      </c>
      <c r="B782">
        <v>249375</v>
      </c>
      <c r="C782">
        <v>1001</v>
      </c>
      <c r="D782" s="1">
        <v>45100</v>
      </c>
      <c r="E782" s="1">
        <v>45453</v>
      </c>
      <c r="F782" t="s">
        <v>3479</v>
      </c>
      <c r="G782" t="str">
        <f>IF(ISNA(_xlfn.XLOOKUP(subscriptions[[#This Row],[customer_id]], customers[customer_id], customers[customer_id])), "NO", "YES")</f>
        <v>YES</v>
      </c>
      <c r="H782">
        <f>IF(AND(subscriptions[[#This Row],[end_date]]&lt;&gt;"", subscriptions[[#This Row],[end_date]] &lt; subscriptions[[#This Row],[start_date]]), 1, 0)</f>
        <v>0</v>
      </c>
      <c r="I7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2">
        <f>IF(
  AND(subscriptions[[#This Row],[end_before_start]]=0, subscriptions[[#This Row],[status_end_mismatch]]=0),
  1,
  0
)</f>
        <v>1</v>
      </c>
    </row>
    <row r="783" spans="1:10" x14ac:dyDescent="0.3">
      <c r="A783">
        <v>4937877</v>
      </c>
      <c r="B783">
        <v>651400</v>
      </c>
      <c r="C783">
        <v>1004</v>
      </c>
      <c r="D783" s="1">
        <v>45276</v>
      </c>
      <c r="E783" s="1"/>
      <c r="F783" t="s">
        <v>3480</v>
      </c>
      <c r="G783" t="str">
        <f>IF(ISNA(_xlfn.XLOOKUP(subscriptions[[#This Row],[customer_id]], customers[customer_id], customers[customer_id])), "NO", "YES")</f>
        <v>YES</v>
      </c>
      <c r="H783">
        <f>IF(AND(subscriptions[[#This Row],[end_date]]&lt;&gt;"", subscriptions[[#This Row],[end_date]] &lt; subscriptions[[#This Row],[start_date]]), 1, 0)</f>
        <v>0</v>
      </c>
      <c r="I7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3">
        <f>IF(
  AND(subscriptions[[#This Row],[end_before_start]]=0, subscriptions[[#This Row],[status_end_mismatch]]=0),
  1,
  0
)</f>
        <v>1</v>
      </c>
    </row>
    <row r="784" spans="1:10" x14ac:dyDescent="0.3">
      <c r="A784">
        <v>4020978</v>
      </c>
      <c r="B784">
        <v>480133</v>
      </c>
      <c r="C784">
        <v>1002</v>
      </c>
      <c r="D784" s="1">
        <v>45176</v>
      </c>
      <c r="E784" s="1">
        <v>45355</v>
      </c>
      <c r="F784" t="s">
        <v>3479</v>
      </c>
      <c r="G784" t="str">
        <f>IF(ISNA(_xlfn.XLOOKUP(subscriptions[[#This Row],[customer_id]], customers[customer_id], customers[customer_id])), "NO", "YES")</f>
        <v>YES</v>
      </c>
      <c r="H784">
        <f>IF(AND(subscriptions[[#This Row],[end_date]]&lt;&gt;"", subscriptions[[#This Row],[end_date]] &lt; subscriptions[[#This Row],[start_date]]), 1, 0)</f>
        <v>0</v>
      </c>
      <c r="I7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4">
        <f>IF(
  AND(subscriptions[[#This Row],[end_before_start]]=0, subscriptions[[#This Row],[status_end_mismatch]]=0),
  1,
  0
)</f>
        <v>1</v>
      </c>
    </row>
    <row r="785" spans="1:10" x14ac:dyDescent="0.3">
      <c r="A785">
        <v>9137955</v>
      </c>
      <c r="B785">
        <v>926952</v>
      </c>
      <c r="C785">
        <v>1007</v>
      </c>
      <c r="D785" s="1">
        <v>45565</v>
      </c>
      <c r="E785" s="1">
        <v>45638</v>
      </c>
      <c r="F785" t="s">
        <v>3479</v>
      </c>
      <c r="G785" t="str">
        <f>IF(ISNA(_xlfn.XLOOKUP(subscriptions[[#This Row],[customer_id]], customers[customer_id], customers[customer_id])), "NO", "YES")</f>
        <v>YES</v>
      </c>
      <c r="H785">
        <f>IF(AND(subscriptions[[#This Row],[end_date]]&lt;&gt;"", subscriptions[[#This Row],[end_date]] &lt; subscriptions[[#This Row],[start_date]]), 1, 0)</f>
        <v>0</v>
      </c>
      <c r="I7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5">
        <f>IF(
  AND(subscriptions[[#This Row],[end_before_start]]=0, subscriptions[[#This Row],[status_end_mismatch]]=0),
  1,
  0
)</f>
        <v>1</v>
      </c>
    </row>
    <row r="786" spans="1:10" x14ac:dyDescent="0.3">
      <c r="A786">
        <v>6991611</v>
      </c>
      <c r="B786">
        <v>222621</v>
      </c>
      <c r="C786">
        <v>1003</v>
      </c>
      <c r="D786" s="1">
        <v>45547</v>
      </c>
      <c r="E786" s="1"/>
      <c r="F786" t="s">
        <v>3480</v>
      </c>
      <c r="G786" t="str">
        <f>IF(ISNA(_xlfn.XLOOKUP(subscriptions[[#This Row],[customer_id]], customers[customer_id], customers[customer_id])), "NO", "YES")</f>
        <v>YES</v>
      </c>
      <c r="H786">
        <f>IF(AND(subscriptions[[#This Row],[end_date]]&lt;&gt;"", subscriptions[[#This Row],[end_date]] &lt; subscriptions[[#This Row],[start_date]]), 1, 0)</f>
        <v>0</v>
      </c>
      <c r="I7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6">
        <f>IF(
  AND(subscriptions[[#This Row],[end_before_start]]=0, subscriptions[[#This Row],[status_end_mismatch]]=0),
  1,
  0
)</f>
        <v>1</v>
      </c>
    </row>
    <row r="787" spans="1:10" x14ac:dyDescent="0.3">
      <c r="A787">
        <v>4673044</v>
      </c>
      <c r="B787">
        <v>638051</v>
      </c>
      <c r="C787">
        <v>1007</v>
      </c>
      <c r="D787" s="1">
        <v>44792</v>
      </c>
      <c r="E787" s="1">
        <v>44969</v>
      </c>
      <c r="F787" t="s">
        <v>3479</v>
      </c>
      <c r="G787" t="str">
        <f>IF(ISNA(_xlfn.XLOOKUP(subscriptions[[#This Row],[customer_id]], customers[customer_id], customers[customer_id])), "NO", "YES")</f>
        <v>YES</v>
      </c>
      <c r="H787">
        <f>IF(AND(subscriptions[[#This Row],[end_date]]&lt;&gt;"", subscriptions[[#This Row],[end_date]] &lt; subscriptions[[#This Row],[start_date]]), 1, 0)</f>
        <v>0</v>
      </c>
      <c r="I7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7">
        <f>IF(
  AND(subscriptions[[#This Row],[end_before_start]]=0, subscriptions[[#This Row],[status_end_mismatch]]=0),
  1,
  0
)</f>
        <v>1</v>
      </c>
    </row>
    <row r="788" spans="1:10" x14ac:dyDescent="0.3">
      <c r="A788">
        <v>8039619</v>
      </c>
      <c r="B788">
        <v>278758</v>
      </c>
      <c r="C788">
        <v>1007</v>
      </c>
      <c r="D788" s="1">
        <v>45477</v>
      </c>
      <c r="E788" s="1"/>
      <c r="F788" t="s">
        <v>3480</v>
      </c>
      <c r="G788" t="str">
        <f>IF(ISNA(_xlfn.XLOOKUP(subscriptions[[#This Row],[customer_id]], customers[customer_id], customers[customer_id])), "NO", "YES")</f>
        <v>YES</v>
      </c>
      <c r="H788">
        <f>IF(AND(subscriptions[[#This Row],[end_date]]&lt;&gt;"", subscriptions[[#This Row],[end_date]] &lt; subscriptions[[#This Row],[start_date]]), 1, 0)</f>
        <v>0</v>
      </c>
      <c r="I7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8">
        <f>IF(
  AND(subscriptions[[#This Row],[end_before_start]]=0, subscriptions[[#This Row],[status_end_mismatch]]=0),
  1,
  0
)</f>
        <v>1</v>
      </c>
    </row>
    <row r="789" spans="1:10" x14ac:dyDescent="0.3">
      <c r="A789">
        <v>8128056</v>
      </c>
      <c r="B789">
        <v>871501</v>
      </c>
      <c r="C789">
        <v>1009</v>
      </c>
      <c r="D789" s="1">
        <v>44799</v>
      </c>
      <c r="E789" s="1"/>
      <c r="F789" t="s">
        <v>3480</v>
      </c>
      <c r="G789" t="str">
        <f>IF(ISNA(_xlfn.XLOOKUP(subscriptions[[#This Row],[customer_id]], customers[customer_id], customers[customer_id])), "NO", "YES")</f>
        <v>YES</v>
      </c>
      <c r="H789">
        <f>IF(AND(subscriptions[[#This Row],[end_date]]&lt;&gt;"", subscriptions[[#This Row],[end_date]] &lt; subscriptions[[#This Row],[start_date]]), 1, 0)</f>
        <v>0</v>
      </c>
      <c r="I7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89">
        <f>IF(
  AND(subscriptions[[#This Row],[end_before_start]]=0, subscriptions[[#This Row],[status_end_mismatch]]=0),
  1,
  0
)</f>
        <v>1</v>
      </c>
    </row>
    <row r="790" spans="1:10" x14ac:dyDescent="0.3">
      <c r="A790">
        <v>6350354</v>
      </c>
      <c r="B790">
        <v>743687</v>
      </c>
      <c r="C790">
        <v>1001</v>
      </c>
      <c r="D790" s="1">
        <v>44794</v>
      </c>
      <c r="E790" s="1"/>
      <c r="F790" t="s">
        <v>3480</v>
      </c>
      <c r="G790" t="str">
        <f>IF(ISNA(_xlfn.XLOOKUP(subscriptions[[#This Row],[customer_id]], customers[customer_id], customers[customer_id])), "NO", "YES")</f>
        <v>YES</v>
      </c>
      <c r="H790">
        <f>IF(AND(subscriptions[[#This Row],[end_date]]&lt;&gt;"", subscriptions[[#This Row],[end_date]] &lt; subscriptions[[#This Row],[start_date]]), 1, 0)</f>
        <v>0</v>
      </c>
      <c r="I7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0">
        <f>IF(
  AND(subscriptions[[#This Row],[end_before_start]]=0, subscriptions[[#This Row],[status_end_mismatch]]=0),
  1,
  0
)</f>
        <v>1</v>
      </c>
    </row>
    <row r="791" spans="1:10" x14ac:dyDescent="0.3">
      <c r="A791">
        <v>7678830</v>
      </c>
      <c r="B791">
        <v>740405</v>
      </c>
      <c r="C791">
        <v>1000</v>
      </c>
      <c r="D791" s="1">
        <v>44824</v>
      </c>
      <c r="E791" s="1">
        <v>45101</v>
      </c>
      <c r="F791" t="s">
        <v>3479</v>
      </c>
      <c r="G791" t="str">
        <f>IF(ISNA(_xlfn.XLOOKUP(subscriptions[[#This Row],[customer_id]], customers[customer_id], customers[customer_id])), "NO", "YES")</f>
        <v>YES</v>
      </c>
      <c r="H791">
        <f>IF(AND(subscriptions[[#This Row],[end_date]]&lt;&gt;"", subscriptions[[#This Row],[end_date]] &lt; subscriptions[[#This Row],[start_date]]), 1, 0)</f>
        <v>0</v>
      </c>
      <c r="I7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1">
        <f>IF(
  AND(subscriptions[[#This Row],[end_before_start]]=0, subscriptions[[#This Row],[status_end_mismatch]]=0),
  1,
  0
)</f>
        <v>1</v>
      </c>
    </row>
    <row r="792" spans="1:10" x14ac:dyDescent="0.3">
      <c r="A792">
        <v>9206984</v>
      </c>
      <c r="B792">
        <v>735988</v>
      </c>
      <c r="C792">
        <v>1000</v>
      </c>
      <c r="D792" s="1">
        <v>45405</v>
      </c>
      <c r="E792" s="1">
        <v>45449</v>
      </c>
      <c r="F792" t="s">
        <v>3479</v>
      </c>
      <c r="G792" t="str">
        <f>IF(ISNA(_xlfn.XLOOKUP(subscriptions[[#This Row],[customer_id]], customers[customer_id], customers[customer_id])), "NO", "YES")</f>
        <v>YES</v>
      </c>
      <c r="H792">
        <f>IF(AND(subscriptions[[#This Row],[end_date]]&lt;&gt;"", subscriptions[[#This Row],[end_date]] &lt; subscriptions[[#This Row],[start_date]]), 1, 0)</f>
        <v>0</v>
      </c>
      <c r="I7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2">
        <f>IF(
  AND(subscriptions[[#This Row],[end_before_start]]=0, subscriptions[[#This Row],[status_end_mismatch]]=0),
  1,
  0
)</f>
        <v>1</v>
      </c>
    </row>
    <row r="793" spans="1:10" x14ac:dyDescent="0.3">
      <c r="A793">
        <v>5880999</v>
      </c>
      <c r="B793">
        <v>237935</v>
      </c>
      <c r="C793">
        <v>1008</v>
      </c>
      <c r="D793" s="1">
        <v>45110</v>
      </c>
      <c r="E793" s="1"/>
      <c r="F793" t="s">
        <v>3480</v>
      </c>
      <c r="G793" t="str">
        <f>IF(ISNA(_xlfn.XLOOKUP(subscriptions[[#This Row],[customer_id]], customers[customer_id], customers[customer_id])), "NO", "YES")</f>
        <v>YES</v>
      </c>
      <c r="H793">
        <f>IF(AND(subscriptions[[#This Row],[end_date]]&lt;&gt;"", subscriptions[[#This Row],[end_date]] &lt; subscriptions[[#This Row],[start_date]]), 1, 0)</f>
        <v>0</v>
      </c>
      <c r="I7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3">
        <f>IF(
  AND(subscriptions[[#This Row],[end_before_start]]=0, subscriptions[[#This Row],[status_end_mismatch]]=0),
  1,
  0
)</f>
        <v>1</v>
      </c>
    </row>
    <row r="794" spans="1:10" x14ac:dyDescent="0.3">
      <c r="A794">
        <v>7861979</v>
      </c>
      <c r="B794">
        <v>786393</v>
      </c>
      <c r="C794">
        <v>1001</v>
      </c>
      <c r="D794" s="1">
        <v>44686</v>
      </c>
      <c r="E794" s="1"/>
      <c r="F794" t="s">
        <v>3480</v>
      </c>
      <c r="G794" t="str">
        <f>IF(ISNA(_xlfn.XLOOKUP(subscriptions[[#This Row],[customer_id]], customers[customer_id], customers[customer_id])), "NO", "YES")</f>
        <v>YES</v>
      </c>
      <c r="H794">
        <f>IF(AND(subscriptions[[#This Row],[end_date]]&lt;&gt;"", subscriptions[[#This Row],[end_date]] &lt; subscriptions[[#This Row],[start_date]]), 1, 0)</f>
        <v>0</v>
      </c>
      <c r="I7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4">
        <f>IF(
  AND(subscriptions[[#This Row],[end_before_start]]=0, subscriptions[[#This Row],[status_end_mismatch]]=0),
  1,
  0
)</f>
        <v>1</v>
      </c>
    </row>
    <row r="795" spans="1:10" x14ac:dyDescent="0.3">
      <c r="A795">
        <v>6422262</v>
      </c>
      <c r="B795">
        <v>193520</v>
      </c>
      <c r="C795">
        <v>1002</v>
      </c>
      <c r="D795" s="1">
        <v>45097</v>
      </c>
      <c r="E795" s="1">
        <v>45337</v>
      </c>
      <c r="F795" t="s">
        <v>3479</v>
      </c>
      <c r="G795" t="str">
        <f>IF(ISNA(_xlfn.XLOOKUP(subscriptions[[#This Row],[customer_id]], customers[customer_id], customers[customer_id])), "NO", "YES")</f>
        <v>YES</v>
      </c>
      <c r="H795">
        <f>IF(AND(subscriptions[[#This Row],[end_date]]&lt;&gt;"", subscriptions[[#This Row],[end_date]] &lt; subscriptions[[#This Row],[start_date]]), 1, 0)</f>
        <v>0</v>
      </c>
      <c r="I7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5">
        <f>IF(
  AND(subscriptions[[#This Row],[end_before_start]]=0, subscriptions[[#This Row],[status_end_mismatch]]=0),
  1,
  0
)</f>
        <v>1</v>
      </c>
    </row>
    <row r="796" spans="1:10" x14ac:dyDescent="0.3">
      <c r="A796">
        <v>7566239</v>
      </c>
      <c r="B796">
        <v>986365</v>
      </c>
      <c r="C796">
        <v>1006</v>
      </c>
      <c r="D796" s="1">
        <v>45467</v>
      </c>
      <c r="E796" s="1"/>
      <c r="F796" t="s">
        <v>3480</v>
      </c>
      <c r="G796" t="str">
        <f>IF(ISNA(_xlfn.XLOOKUP(subscriptions[[#This Row],[customer_id]], customers[customer_id], customers[customer_id])), "NO", "YES")</f>
        <v>YES</v>
      </c>
      <c r="H796">
        <f>IF(AND(subscriptions[[#This Row],[end_date]]&lt;&gt;"", subscriptions[[#This Row],[end_date]] &lt; subscriptions[[#This Row],[start_date]]), 1, 0)</f>
        <v>0</v>
      </c>
      <c r="I7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6">
        <f>IF(
  AND(subscriptions[[#This Row],[end_before_start]]=0, subscriptions[[#This Row],[status_end_mismatch]]=0),
  1,
  0
)</f>
        <v>1</v>
      </c>
    </row>
    <row r="797" spans="1:10" x14ac:dyDescent="0.3">
      <c r="A797">
        <v>5373809</v>
      </c>
      <c r="B797">
        <v>615607</v>
      </c>
      <c r="C797">
        <v>1009</v>
      </c>
      <c r="D797" s="1">
        <v>44673</v>
      </c>
      <c r="E797" s="1"/>
      <c r="F797" t="s">
        <v>3480</v>
      </c>
      <c r="G797" t="str">
        <f>IF(ISNA(_xlfn.XLOOKUP(subscriptions[[#This Row],[customer_id]], customers[customer_id], customers[customer_id])), "NO", "YES")</f>
        <v>YES</v>
      </c>
      <c r="H797">
        <f>IF(AND(subscriptions[[#This Row],[end_date]]&lt;&gt;"", subscriptions[[#This Row],[end_date]] &lt; subscriptions[[#This Row],[start_date]]), 1, 0)</f>
        <v>0</v>
      </c>
      <c r="I7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7">
        <f>IF(
  AND(subscriptions[[#This Row],[end_before_start]]=0, subscriptions[[#This Row],[status_end_mismatch]]=0),
  1,
  0
)</f>
        <v>1</v>
      </c>
    </row>
    <row r="798" spans="1:10" x14ac:dyDescent="0.3">
      <c r="A798">
        <v>4673341</v>
      </c>
      <c r="B798">
        <v>875501</v>
      </c>
      <c r="C798">
        <v>1001</v>
      </c>
      <c r="D798" s="1">
        <v>45257</v>
      </c>
      <c r="E798" s="1">
        <v>45310</v>
      </c>
      <c r="F798" t="s">
        <v>3479</v>
      </c>
      <c r="G798" t="str">
        <f>IF(ISNA(_xlfn.XLOOKUP(subscriptions[[#This Row],[customer_id]], customers[customer_id], customers[customer_id])), "NO", "YES")</f>
        <v>YES</v>
      </c>
      <c r="H798">
        <f>IF(AND(subscriptions[[#This Row],[end_date]]&lt;&gt;"", subscriptions[[#This Row],[end_date]] &lt; subscriptions[[#This Row],[start_date]]), 1, 0)</f>
        <v>0</v>
      </c>
      <c r="I7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8">
        <f>IF(
  AND(subscriptions[[#This Row],[end_before_start]]=0, subscriptions[[#This Row],[status_end_mismatch]]=0),
  1,
  0
)</f>
        <v>1</v>
      </c>
    </row>
    <row r="799" spans="1:10" x14ac:dyDescent="0.3">
      <c r="A799">
        <v>6175949</v>
      </c>
      <c r="B799">
        <v>580067</v>
      </c>
      <c r="C799">
        <v>1007</v>
      </c>
      <c r="D799" s="1">
        <v>45478</v>
      </c>
      <c r="E799" s="1"/>
      <c r="F799" t="s">
        <v>3480</v>
      </c>
      <c r="G799" t="str">
        <f>IF(ISNA(_xlfn.XLOOKUP(subscriptions[[#This Row],[customer_id]], customers[customer_id], customers[customer_id])), "NO", "YES")</f>
        <v>YES</v>
      </c>
      <c r="H799">
        <f>IF(AND(subscriptions[[#This Row],[end_date]]&lt;&gt;"", subscriptions[[#This Row],[end_date]] &lt; subscriptions[[#This Row],[start_date]]), 1, 0)</f>
        <v>0</v>
      </c>
      <c r="I7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799">
        <f>IF(
  AND(subscriptions[[#This Row],[end_before_start]]=0, subscriptions[[#This Row],[status_end_mismatch]]=0),
  1,
  0
)</f>
        <v>1</v>
      </c>
    </row>
    <row r="800" spans="1:10" x14ac:dyDescent="0.3">
      <c r="A800">
        <v>3793996</v>
      </c>
      <c r="B800">
        <v>753425</v>
      </c>
      <c r="C800">
        <v>1009</v>
      </c>
      <c r="D800" s="1">
        <v>44984</v>
      </c>
      <c r="E800" s="1">
        <v>45070</v>
      </c>
      <c r="F800" t="s">
        <v>3479</v>
      </c>
      <c r="G800" t="str">
        <f>IF(ISNA(_xlfn.XLOOKUP(subscriptions[[#This Row],[customer_id]], customers[customer_id], customers[customer_id])), "NO", "YES")</f>
        <v>YES</v>
      </c>
      <c r="H800">
        <f>IF(AND(subscriptions[[#This Row],[end_date]]&lt;&gt;"", subscriptions[[#This Row],[end_date]] &lt; subscriptions[[#This Row],[start_date]]), 1, 0)</f>
        <v>0</v>
      </c>
      <c r="I8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0">
        <f>IF(
  AND(subscriptions[[#This Row],[end_before_start]]=0, subscriptions[[#This Row],[status_end_mismatch]]=0),
  1,
  0
)</f>
        <v>1</v>
      </c>
    </row>
    <row r="801" spans="1:10" x14ac:dyDescent="0.3">
      <c r="A801">
        <v>6531182</v>
      </c>
      <c r="B801">
        <v>430876</v>
      </c>
      <c r="C801">
        <v>1005</v>
      </c>
      <c r="D801" s="1">
        <v>44826</v>
      </c>
      <c r="E801" s="1">
        <v>44866</v>
      </c>
      <c r="F801" t="s">
        <v>3479</v>
      </c>
      <c r="G801" t="str">
        <f>IF(ISNA(_xlfn.XLOOKUP(subscriptions[[#This Row],[customer_id]], customers[customer_id], customers[customer_id])), "NO", "YES")</f>
        <v>YES</v>
      </c>
      <c r="H801">
        <f>IF(AND(subscriptions[[#This Row],[end_date]]&lt;&gt;"", subscriptions[[#This Row],[end_date]] &lt; subscriptions[[#This Row],[start_date]]), 1, 0)</f>
        <v>0</v>
      </c>
      <c r="I8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1">
        <f>IF(
  AND(subscriptions[[#This Row],[end_before_start]]=0, subscriptions[[#This Row],[status_end_mismatch]]=0),
  1,
  0
)</f>
        <v>1</v>
      </c>
    </row>
    <row r="802" spans="1:10" x14ac:dyDescent="0.3">
      <c r="A802">
        <v>1354296</v>
      </c>
      <c r="B802">
        <v>896386</v>
      </c>
      <c r="C802">
        <v>1000</v>
      </c>
      <c r="D802" s="1">
        <v>45338</v>
      </c>
      <c r="E802" s="1"/>
      <c r="F802" t="s">
        <v>3480</v>
      </c>
      <c r="G802" t="str">
        <f>IF(ISNA(_xlfn.XLOOKUP(subscriptions[[#This Row],[customer_id]], customers[customer_id], customers[customer_id])), "NO", "YES")</f>
        <v>YES</v>
      </c>
      <c r="H802">
        <f>IF(AND(subscriptions[[#This Row],[end_date]]&lt;&gt;"", subscriptions[[#This Row],[end_date]] &lt; subscriptions[[#This Row],[start_date]]), 1, 0)</f>
        <v>0</v>
      </c>
      <c r="I8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2">
        <f>IF(
  AND(subscriptions[[#This Row],[end_before_start]]=0, subscriptions[[#This Row],[status_end_mismatch]]=0),
  1,
  0
)</f>
        <v>1</v>
      </c>
    </row>
    <row r="803" spans="1:10" x14ac:dyDescent="0.3">
      <c r="A803">
        <v>6591646</v>
      </c>
      <c r="B803">
        <v>902156</v>
      </c>
      <c r="C803">
        <v>1002</v>
      </c>
      <c r="D803" s="1">
        <v>45284</v>
      </c>
      <c r="E803" s="1">
        <v>45597</v>
      </c>
      <c r="F803" t="s">
        <v>3479</v>
      </c>
      <c r="G803" t="str">
        <f>IF(ISNA(_xlfn.XLOOKUP(subscriptions[[#This Row],[customer_id]], customers[customer_id], customers[customer_id])), "NO", "YES")</f>
        <v>YES</v>
      </c>
      <c r="H803">
        <f>IF(AND(subscriptions[[#This Row],[end_date]]&lt;&gt;"", subscriptions[[#This Row],[end_date]] &lt; subscriptions[[#This Row],[start_date]]), 1, 0)</f>
        <v>0</v>
      </c>
      <c r="I8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3">
        <f>IF(
  AND(subscriptions[[#This Row],[end_before_start]]=0, subscriptions[[#This Row],[status_end_mismatch]]=0),
  1,
  0
)</f>
        <v>1</v>
      </c>
    </row>
    <row r="804" spans="1:10" x14ac:dyDescent="0.3">
      <c r="A804">
        <v>2064762</v>
      </c>
      <c r="B804">
        <v>220465</v>
      </c>
      <c r="C804">
        <v>1006</v>
      </c>
      <c r="D804" s="1">
        <v>44662</v>
      </c>
      <c r="E804" s="1"/>
      <c r="F804" t="s">
        <v>3480</v>
      </c>
      <c r="G804" t="str">
        <f>IF(ISNA(_xlfn.XLOOKUP(subscriptions[[#This Row],[customer_id]], customers[customer_id], customers[customer_id])), "NO", "YES")</f>
        <v>YES</v>
      </c>
      <c r="H804">
        <f>IF(AND(subscriptions[[#This Row],[end_date]]&lt;&gt;"", subscriptions[[#This Row],[end_date]] &lt; subscriptions[[#This Row],[start_date]]), 1, 0)</f>
        <v>0</v>
      </c>
      <c r="I8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4">
        <f>IF(
  AND(subscriptions[[#This Row],[end_before_start]]=0, subscriptions[[#This Row],[status_end_mismatch]]=0),
  1,
  0
)</f>
        <v>1</v>
      </c>
    </row>
    <row r="805" spans="1:10" x14ac:dyDescent="0.3">
      <c r="A805">
        <v>7074992</v>
      </c>
      <c r="B805">
        <v>263573</v>
      </c>
      <c r="C805">
        <v>1004</v>
      </c>
      <c r="D805" s="1">
        <v>44968</v>
      </c>
      <c r="E805" s="1">
        <v>45272</v>
      </c>
      <c r="F805" t="s">
        <v>3479</v>
      </c>
      <c r="G805" t="str">
        <f>IF(ISNA(_xlfn.XLOOKUP(subscriptions[[#This Row],[customer_id]], customers[customer_id], customers[customer_id])), "NO", "YES")</f>
        <v>YES</v>
      </c>
      <c r="H805">
        <f>IF(AND(subscriptions[[#This Row],[end_date]]&lt;&gt;"", subscriptions[[#This Row],[end_date]] &lt; subscriptions[[#This Row],[start_date]]), 1, 0)</f>
        <v>0</v>
      </c>
      <c r="I8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5">
        <f>IF(
  AND(subscriptions[[#This Row],[end_before_start]]=0, subscriptions[[#This Row],[status_end_mismatch]]=0),
  1,
  0
)</f>
        <v>1</v>
      </c>
    </row>
    <row r="806" spans="1:10" x14ac:dyDescent="0.3">
      <c r="A806">
        <v>7635829</v>
      </c>
      <c r="B806">
        <v>604740</v>
      </c>
      <c r="C806">
        <v>1001</v>
      </c>
      <c r="D806" s="1">
        <v>45031</v>
      </c>
      <c r="E806" s="1"/>
      <c r="F806" t="s">
        <v>3480</v>
      </c>
      <c r="G806" t="str">
        <f>IF(ISNA(_xlfn.XLOOKUP(subscriptions[[#This Row],[customer_id]], customers[customer_id], customers[customer_id])), "NO", "YES")</f>
        <v>YES</v>
      </c>
      <c r="H806">
        <f>IF(AND(subscriptions[[#This Row],[end_date]]&lt;&gt;"", subscriptions[[#This Row],[end_date]] &lt; subscriptions[[#This Row],[start_date]]), 1, 0)</f>
        <v>0</v>
      </c>
      <c r="I8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6">
        <f>IF(
  AND(subscriptions[[#This Row],[end_before_start]]=0, subscriptions[[#This Row],[status_end_mismatch]]=0),
  1,
  0
)</f>
        <v>1</v>
      </c>
    </row>
    <row r="807" spans="1:10" x14ac:dyDescent="0.3">
      <c r="A807">
        <v>3707912</v>
      </c>
      <c r="B807">
        <v>810287</v>
      </c>
      <c r="C807">
        <v>1006</v>
      </c>
      <c r="D807" s="1">
        <v>45327</v>
      </c>
      <c r="E807" s="1"/>
      <c r="F807" t="s">
        <v>3480</v>
      </c>
      <c r="G807" t="str">
        <f>IF(ISNA(_xlfn.XLOOKUP(subscriptions[[#This Row],[customer_id]], customers[customer_id], customers[customer_id])), "NO", "YES")</f>
        <v>YES</v>
      </c>
      <c r="H807">
        <f>IF(AND(subscriptions[[#This Row],[end_date]]&lt;&gt;"", subscriptions[[#This Row],[end_date]] &lt; subscriptions[[#This Row],[start_date]]), 1, 0)</f>
        <v>0</v>
      </c>
      <c r="I8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7">
        <f>IF(
  AND(subscriptions[[#This Row],[end_before_start]]=0, subscriptions[[#This Row],[status_end_mismatch]]=0),
  1,
  0
)</f>
        <v>1</v>
      </c>
    </row>
    <row r="808" spans="1:10" x14ac:dyDescent="0.3">
      <c r="A808">
        <v>4617421</v>
      </c>
      <c r="B808">
        <v>904377</v>
      </c>
      <c r="C808">
        <v>1002</v>
      </c>
      <c r="D808" s="1">
        <v>45071</v>
      </c>
      <c r="E808" s="1">
        <v>45119</v>
      </c>
      <c r="F808" t="s">
        <v>3479</v>
      </c>
      <c r="G808" t="str">
        <f>IF(ISNA(_xlfn.XLOOKUP(subscriptions[[#This Row],[customer_id]], customers[customer_id], customers[customer_id])), "NO", "YES")</f>
        <v>YES</v>
      </c>
      <c r="H808">
        <f>IF(AND(subscriptions[[#This Row],[end_date]]&lt;&gt;"", subscriptions[[#This Row],[end_date]] &lt; subscriptions[[#This Row],[start_date]]), 1, 0)</f>
        <v>0</v>
      </c>
      <c r="I8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8">
        <f>IF(
  AND(subscriptions[[#This Row],[end_before_start]]=0, subscriptions[[#This Row],[status_end_mismatch]]=0),
  1,
  0
)</f>
        <v>1</v>
      </c>
    </row>
    <row r="809" spans="1:10" x14ac:dyDescent="0.3">
      <c r="A809">
        <v>1336020</v>
      </c>
      <c r="B809">
        <v>666366</v>
      </c>
      <c r="C809">
        <v>1008</v>
      </c>
      <c r="D809" s="1">
        <v>44771</v>
      </c>
      <c r="E809" s="1"/>
      <c r="F809" t="s">
        <v>3480</v>
      </c>
      <c r="G809" t="str">
        <f>IF(ISNA(_xlfn.XLOOKUP(subscriptions[[#This Row],[customer_id]], customers[customer_id], customers[customer_id])), "NO", "YES")</f>
        <v>YES</v>
      </c>
      <c r="H809">
        <f>IF(AND(subscriptions[[#This Row],[end_date]]&lt;&gt;"", subscriptions[[#This Row],[end_date]] &lt; subscriptions[[#This Row],[start_date]]), 1, 0)</f>
        <v>0</v>
      </c>
      <c r="I8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09">
        <f>IF(
  AND(subscriptions[[#This Row],[end_before_start]]=0, subscriptions[[#This Row],[status_end_mismatch]]=0),
  1,
  0
)</f>
        <v>1</v>
      </c>
    </row>
    <row r="810" spans="1:10" x14ac:dyDescent="0.3">
      <c r="A810">
        <v>9135271</v>
      </c>
      <c r="B810">
        <v>855917</v>
      </c>
      <c r="C810">
        <v>1002</v>
      </c>
      <c r="D810" s="1">
        <v>44648</v>
      </c>
      <c r="E810" s="1"/>
      <c r="F810" t="s">
        <v>3480</v>
      </c>
      <c r="G810" t="str">
        <f>IF(ISNA(_xlfn.XLOOKUP(subscriptions[[#This Row],[customer_id]], customers[customer_id], customers[customer_id])), "NO", "YES")</f>
        <v>YES</v>
      </c>
      <c r="H810">
        <f>IF(AND(subscriptions[[#This Row],[end_date]]&lt;&gt;"", subscriptions[[#This Row],[end_date]] &lt; subscriptions[[#This Row],[start_date]]), 1, 0)</f>
        <v>0</v>
      </c>
      <c r="I8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0">
        <f>IF(
  AND(subscriptions[[#This Row],[end_before_start]]=0, subscriptions[[#This Row],[status_end_mismatch]]=0),
  1,
  0
)</f>
        <v>1</v>
      </c>
    </row>
    <row r="811" spans="1:10" x14ac:dyDescent="0.3">
      <c r="A811">
        <v>6057767</v>
      </c>
      <c r="B811">
        <v>365271</v>
      </c>
      <c r="C811">
        <v>1003</v>
      </c>
      <c r="D811" s="1">
        <v>44611</v>
      </c>
      <c r="E811" s="1"/>
      <c r="F811" t="s">
        <v>3480</v>
      </c>
      <c r="G811" t="str">
        <f>IF(ISNA(_xlfn.XLOOKUP(subscriptions[[#This Row],[customer_id]], customers[customer_id], customers[customer_id])), "NO", "YES")</f>
        <v>YES</v>
      </c>
      <c r="H811">
        <f>IF(AND(subscriptions[[#This Row],[end_date]]&lt;&gt;"", subscriptions[[#This Row],[end_date]] &lt; subscriptions[[#This Row],[start_date]]), 1, 0)</f>
        <v>0</v>
      </c>
      <c r="I8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1">
        <f>IF(
  AND(subscriptions[[#This Row],[end_before_start]]=0, subscriptions[[#This Row],[status_end_mismatch]]=0),
  1,
  0
)</f>
        <v>1</v>
      </c>
    </row>
    <row r="812" spans="1:10" x14ac:dyDescent="0.3">
      <c r="A812">
        <v>5149152</v>
      </c>
      <c r="B812">
        <v>560767</v>
      </c>
      <c r="C812">
        <v>1000</v>
      </c>
      <c r="D812" s="1">
        <v>44631</v>
      </c>
      <c r="E812" s="1"/>
      <c r="F812" t="s">
        <v>3480</v>
      </c>
      <c r="G812" t="str">
        <f>IF(ISNA(_xlfn.XLOOKUP(subscriptions[[#This Row],[customer_id]], customers[customer_id], customers[customer_id])), "NO", "YES")</f>
        <v>YES</v>
      </c>
      <c r="H812">
        <f>IF(AND(subscriptions[[#This Row],[end_date]]&lt;&gt;"", subscriptions[[#This Row],[end_date]] &lt; subscriptions[[#This Row],[start_date]]), 1, 0)</f>
        <v>0</v>
      </c>
      <c r="I8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2">
        <f>IF(
  AND(subscriptions[[#This Row],[end_before_start]]=0, subscriptions[[#This Row],[status_end_mismatch]]=0),
  1,
  0
)</f>
        <v>1</v>
      </c>
    </row>
    <row r="813" spans="1:10" x14ac:dyDescent="0.3">
      <c r="A813">
        <v>3074382</v>
      </c>
      <c r="B813">
        <v>260155</v>
      </c>
      <c r="C813">
        <v>1002</v>
      </c>
      <c r="D813" s="1">
        <v>45335</v>
      </c>
      <c r="E813" s="1">
        <v>45432</v>
      </c>
      <c r="F813" t="s">
        <v>3479</v>
      </c>
      <c r="G813" t="str">
        <f>IF(ISNA(_xlfn.XLOOKUP(subscriptions[[#This Row],[customer_id]], customers[customer_id], customers[customer_id])), "NO", "YES")</f>
        <v>YES</v>
      </c>
      <c r="H813">
        <f>IF(AND(subscriptions[[#This Row],[end_date]]&lt;&gt;"", subscriptions[[#This Row],[end_date]] &lt; subscriptions[[#This Row],[start_date]]), 1, 0)</f>
        <v>0</v>
      </c>
      <c r="I8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3">
        <f>IF(
  AND(subscriptions[[#This Row],[end_before_start]]=0, subscriptions[[#This Row],[status_end_mismatch]]=0),
  1,
  0
)</f>
        <v>1</v>
      </c>
    </row>
    <row r="814" spans="1:10" x14ac:dyDescent="0.3">
      <c r="A814">
        <v>5529825</v>
      </c>
      <c r="B814">
        <v>612855</v>
      </c>
      <c r="C814">
        <v>1006</v>
      </c>
      <c r="D814" s="1">
        <v>44735</v>
      </c>
      <c r="E814" s="1"/>
      <c r="F814" t="s">
        <v>3480</v>
      </c>
      <c r="G814" t="str">
        <f>IF(ISNA(_xlfn.XLOOKUP(subscriptions[[#This Row],[customer_id]], customers[customer_id], customers[customer_id])), "NO", "YES")</f>
        <v>YES</v>
      </c>
      <c r="H814">
        <f>IF(AND(subscriptions[[#This Row],[end_date]]&lt;&gt;"", subscriptions[[#This Row],[end_date]] &lt; subscriptions[[#This Row],[start_date]]), 1, 0)</f>
        <v>0</v>
      </c>
      <c r="I8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4">
        <f>IF(
  AND(subscriptions[[#This Row],[end_before_start]]=0, subscriptions[[#This Row],[status_end_mismatch]]=0),
  1,
  0
)</f>
        <v>1</v>
      </c>
    </row>
    <row r="815" spans="1:10" x14ac:dyDescent="0.3">
      <c r="A815">
        <v>9464267</v>
      </c>
      <c r="B815">
        <v>895262</v>
      </c>
      <c r="C815">
        <v>1004</v>
      </c>
      <c r="D815" s="1">
        <v>45412</v>
      </c>
      <c r="E815" s="1"/>
      <c r="F815" t="s">
        <v>3480</v>
      </c>
      <c r="G815" t="str">
        <f>IF(ISNA(_xlfn.XLOOKUP(subscriptions[[#This Row],[customer_id]], customers[customer_id], customers[customer_id])), "NO", "YES")</f>
        <v>YES</v>
      </c>
      <c r="H815">
        <f>IF(AND(subscriptions[[#This Row],[end_date]]&lt;&gt;"", subscriptions[[#This Row],[end_date]] &lt; subscriptions[[#This Row],[start_date]]), 1, 0)</f>
        <v>0</v>
      </c>
      <c r="I8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5">
        <f>IF(
  AND(subscriptions[[#This Row],[end_before_start]]=0, subscriptions[[#This Row],[status_end_mismatch]]=0),
  1,
  0
)</f>
        <v>1</v>
      </c>
    </row>
    <row r="816" spans="1:10" x14ac:dyDescent="0.3">
      <c r="A816">
        <v>3547579</v>
      </c>
      <c r="B816">
        <v>813763</v>
      </c>
      <c r="C816">
        <v>1004</v>
      </c>
      <c r="D816" s="1">
        <v>44757</v>
      </c>
      <c r="E816" s="1">
        <v>44987</v>
      </c>
      <c r="F816" t="s">
        <v>3479</v>
      </c>
      <c r="G816" t="str">
        <f>IF(ISNA(_xlfn.XLOOKUP(subscriptions[[#This Row],[customer_id]], customers[customer_id], customers[customer_id])), "NO", "YES")</f>
        <v>YES</v>
      </c>
      <c r="H816">
        <f>IF(AND(subscriptions[[#This Row],[end_date]]&lt;&gt;"", subscriptions[[#This Row],[end_date]] &lt; subscriptions[[#This Row],[start_date]]), 1, 0)</f>
        <v>0</v>
      </c>
      <c r="I8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6">
        <f>IF(
  AND(subscriptions[[#This Row],[end_before_start]]=0, subscriptions[[#This Row],[status_end_mismatch]]=0),
  1,
  0
)</f>
        <v>1</v>
      </c>
    </row>
    <row r="817" spans="1:10" x14ac:dyDescent="0.3">
      <c r="A817">
        <v>4259545</v>
      </c>
      <c r="B817">
        <v>580067</v>
      </c>
      <c r="C817">
        <v>1003</v>
      </c>
      <c r="D817" s="1">
        <v>45201</v>
      </c>
      <c r="E817" s="1">
        <v>45448</v>
      </c>
      <c r="F817" t="s">
        <v>3479</v>
      </c>
      <c r="G817" t="str">
        <f>IF(ISNA(_xlfn.XLOOKUP(subscriptions[[#This Row],[customer_id]], customers[customer_id], customers[customer_id])), "NO", "YES")</f>
        <v>YES</v>
      </c>
      <c r="H817">
        <f>IF(AND(subscriptions[[#This Row],[end_date]]&lt;&gt;"", subscriptions[[#This Row],[end_date]] &lt; subscriptions[[#This Row],[start_date]]), 1, 0)</f>
        <v>0</v>
      </c>
      <c r="I8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7">
        <f>IF(
  AND(subscriptions[[#This Row],[end_before_start]]=0, subscriptions[[#This Row],[status_end_mismatch]]=0),
  1,
  0
)</f>
        <v>1</v>
      </c>
    </row>
    <row r="818" spans="1:10" x14ac:dyDescent="0.3">
      <c r="A818">
        <v>9595901</v>
      </c>
      <c r="B818">
        <v>104895</v>
      </c>
      <c r="C818">
        <v>1004</v>
      </c>
      <c r="D818" s="1">
        <v>44609</v>
      </c>
      <c r="E818" s="1"/>
      <c r="F818" t="s">
        <v>3480</v>
      </c>
      <c r="G818" t="str">
        <f>IF(ISNA(_xlfn.XLOOKUP(subscriptions[[#This Row],[customer_id]], customers[customer_id], customers[customer_id])), "NO", "YES")</f>
        <v>YES</v>
      </c>
      <c r="H818">
        <f>IF(AND(subscriptions[[#This Row],[end_date]]&lt;&gt;"", subscriptions[[#This Row],[end_date]] &lt; subscriptions[[#This Row],[start_date]]), 1, 0)</f>
        <v>0</v>
      </c>
      <c r="I8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8">
        <f>IF(
  AND(subscriptions[[#This Row],[end_before_start]]=0, subscriptions[[#This Row],[status_end_mismatch]]=0),
  1,
  0
)</f>
        <v>1</v>
      </c>
    </row>
    <row r="819" spans="1:10" x14ac:dyDescent="0.3">
      <c r="A819">
        <v>8699159</v>
      </c>
      <c r="B819">
        <v>208239</v>
      </c>
      <c r="C819">
        <v>1003</v>
      </c>
      <c r="D819" s="1">
        <v>44977</v>
      </c>
      <c r="E819" s="1"/>
      <c r="F819" t="s">
        <v>3480</v>
      </c>
      <c r="G819" t="str">
        <f>IF(ISNA(_xlfn.XLOOKUP(subscriptions[[#This Row],[customer_id]], customers[customer_id], customers[customer_id])), "NO", "YES")</f>
        <v>YES</v>
      </c>
      <c r="H819">
        <f>IF(AND(subscriptions[[#This Row],[end_date]]&lt;&gt;"", subscriptions[[#This Row],[end_date]] &lt; subscriptions[[#This Row],[start_date]]), 1, 0)</f>
        <v>0</v>
      </c>
      <c r="I8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19">
        <f>IF(
  AND(subscriptions[[#This Row],[end_before_start]]=0, subscriptions[[#This Row],[status_end_mismatch]]=0),
  1,
  0
)</f>
        <v>1</v>
      </c>
    </row>
    <row r="820" spans="1:10" x14ac:dyDescent="0.3">
      <c r="A820">
        <v>8908785</v>
      </c>
      <c r="B820">
        <v>403915</v>
      </c>
      <c r="C820">
        <v>1000</v>
      </c>
      <c r="D820" s="1">
        <v>45333</v>
      </c>
      <c r="E820" s="1"/>
      <c r="F820" t="s">
        <v>3480</v>
      </c>
      <c r="G820" t="str">
        <f>IF(ISNA(_xlfn.XLOOKUP(subscriptions[[#This Row],[customer_id]], customers[customer_id], customers[customer_id])), "NO", "YES")</f>
        <v>YES</v>
      </c>
      <c r="H820">
        <f>IF(AND(subscriptions[[#This Row],[end_date]]&lt;&gt;"", subscriptions[[#This Row],[end_date]] &lt; subscriptions[[#This Row],[start_date]]), 1, 0)</f>
        <v>0</v>
      </c>
      <c r="I8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0">
        <f>IF(
  AND(subscriptions[[#This Row],[end_before_start]]=0, subscriptions[[#This Row],[status_end_mismatch]]=0),
  1,
  0
)</f>
        <v>1</v>
      </c>
    </row>
    <row r="821" spans="1:10" x14ac:dyDescent="0.3">
      <c r="A821">
        <v>2561327</v>
      </c>
      <c r="B821">
        <v>553873</v>
      </c>
      <c r="C821">
        <v>1002</v>
      </c>
      <c r="D821" s="1">
        <v>45017</v>
      </c>
      <c r="E821" s="1">
        <v>45334</v>
      </c>
      <c r="F821" t="s">
        <v>3479</v>
      </c>
      <c r="G821" t="str">
        <f>IF(ISNA(_xlfn.XLOOKUP(subscriptions[[#This Row],[customer_id]], customers[customer_id], customers[customer_id])), "NO", "YES")</f>
        <v>YES</v>
      </c>
      <c r="H821">
        <f>IF(AND(subscriptions[[#This Row],[end_date]]&lt;&gt;"", subscriptions[[#This Row],[end_date]] &lt; subscriptions[[#This Row],[start_date]]), 1, 0)</f>
        <v>0</v>
      </c>
      <c r="I8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1">
        <f>IF(
  AND(subscriptions[[#This Row],[end_before_start]]=0, subscriptions[[#This Row],[status_end_mismatch]]=0),
  1,
  0
)</f>
        <v>1</v>
      </c>
    </row>
    <row r="822" spans="1:10" x14ac:dyDescent="0.3">
      <c r="A822">
        <v>5673426</v>
      </c>
      <c r="B822">
        <v>192296</v>
      </c>
      <c r="C822">
        <v>1003</v>
      </c>
      <c r="D822" s="1">
        <v>45551</v>
      </c>
      <c r="E822" s="1"/>
      <c r="F822" t="s">
        <v>3480</v>
      </c>
      <c r="G822" t="str">
        <f>IF(ISNA(_xlfn.XLOOKUP(subscriptions[[#This Row],[customer_id]], customers[customer_id], customers[customer_id])), "NO", "YES")</f>
        <v>YES</v>
      </c>
      <c r="H822">
        <f>IF(AND(subscriptions[[#This Row],[end_date]]&lt;&gt;"", subscriptions[[#This Row],[end_date]] &lt; subscriptions[[#This Row],[start_date]]), 1, 0)</f>
        <v>0</v>
      </c>
      <c r="I8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2">
        <f>IF(
  AND(subscriptions[[#This Row],[end_before_start]]=0, subscriptions[[#This Row],[status_end_mismatch]]=0),
  1,
  0
)</f>
        <v>1</v>
      </c>
    </row>
    <row r="823" spans="1:10" x14ac:dyDescent="0.3">
      <c r="A823">
        <v>9945677</v>
      </c>
      <c r="B823">
        <v>364039</v>
      </c>
      <c r="C823">
        <v>1006</v>
      </c>
      <c r="D823" s="1">
        <v>45062</v>
      </c>
      <c r="E823" s="1"/>
      <c r="F823" t="s">
        <v>3480</v>
      </c>
      <c r="G823" t="str">
        <f>IF(ISNA(_xlfn.XLOOKUP(subscriptions[[#This Row],[customer_id]], customers[customer_id], customers[customer_id])), "NO", "YES")</f>
        <v>YES</v>
      </c>
      <c r="H823">
        <f>IF(AND(subscriptions[[#This Row],[end_date]]&lt;&gt;"", subscriptions[[#This Row],[end_date]] &lt; subscriptions[[#This Row],[start_date]]), 1, 0)</f>
        <v>0</v>
      </c>
      <c r="I8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3">
        <f>IF(
  AND(subscriptions[[#This Row],[end_before_start]]=0, subscriptions[[#This Row],[status_end_mismatch]]=0),
  1,
  0
)</f>
        <v>1</v>
      </c>
    </row>
    <row r="824" spans="1:10" x14ac:dyDescent="0.3">
      <c r="A824">
        <v>9338861</v>
      </c>
      <c r="B824">
        <v>828449</v>
      </c>
      <c r="C824">
        <v>1004</v>
      </c>
      <c r="D824" s="1">
        <v>45368</v>
      </c>
      <c r="E824" s="1">
        <v>45635</v>
      </c>
      <c r="F824" t="s">
        <v>3479</v>
      </c>
      <c r="G824" t="str">
        <f>IF(ISNA(_xlfn.XLOOKUP(subscriptions[[#This Row],[customer_id]], customers[customer_id], customers[customer_id])), "NO", "YES")</f>
        <v>YES</v>
      </c>
      <c r="H824">
        <f>IF(AND(subscriptions[[#This Row],[end_date]]&lt;&gt;"", subscriptions[[#This Row],[end_date]] &lt; subscriptions[[#This Row],[start_date]]), 1, 0)</f>
        <v>0</v>
      </c>
      <c r="I8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4">
        <f>IF(
  AND(subscriptions[[#This Row],[end_before_start]]=0, subscriptions[[#This Row],[status_end_mismatch]]=0),
  1,
  0
)</f>
        <v>1</v>
      </c>
    </row>
    <row r="825" spans="1:10" x14ac:dyDescent="0.3">
      <c r="A825">
        <v>2817044</v>
      </c>
      <c r="B825">
        <v>178898</v>
      </c>
      <c r="C825">
        <v>1005</v>
      </c>
      <c r="D825" s="1">
        <v>45488</v>
      </c>
      <c r="E825" s="1"/>
      <c r="F825" t="s">
        <v>3480</v>
      </c>
      <c r="G825" t="str">
        <f>IF(ISNA(_xlfn.XLOOKUP(subscriptions[[#This Row],[customer_id]], customers[customer_id], customers[customer_id])), "NO", "YES")</f>
        <v>YES</v>
      </c>
      <c r="H825">
        <f>IF(AND(subscriptions[[#This Row],[end_date]]&lt;&gt;"", subscriptions[[#This Row],[end_date]] &lt; subscriptions[[#This Row],[start_date]]), 1, 0)</f>
        <v>0</v>
      </c>
      <c r="I8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5">
        <f>IF(
  AND(subscriptions[[#This Row],[end_before_start]]=0, subscriptions[[#This Row],[status_end_mismatch]]=0),
  1,
  0
)</f>
        <v>1</v>
      </c>
    </row>
    <row r="826" spans="1:10" x14ac:dyDescent="0.3">
      <c r="A826">
        <v>1417616</v>
      </c>
      <c r="B826">
        <v>955662</v>
      </c>
      <c r="C826">
        <v>1003</v>
      </c>
      <c r="D826" s="1">
        <v>45375</v>
      </c>
      <c r="E826" s="1">
        <v>45633</v>
      </c>
      <c r="F826" t="s">
        <v>3479</v>
      </c>
      <c r="G826" t="str">
        <f>IF(ISNA(_xlfn.XLOOKUP(subscriptions[[#This Row],[customer_id]], customers[customer_id], customers[customer_id])), "NO", "YES")</f>
        <v>YES</v>
      </c>
      <c r="H826">
        <f>IF(AND(subscriptions[[#This Row],[end_date]]&lt;&gt;"", subscriptions[[#This Row],[end_date]] &lt; subscriptions[[#This Row],[start_date]]), 1, 0)</f>
        <v>0</v>
      </c>
      <c r="I8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6">
        <f>IF(
  AND(subscriptions[[#This Row],[end_before_start]]=0, subscriptions[[#This Row],[status_end_mismatch]]=0),
  1,
  0
)</f>
        <v>1</v>
      </c>
    </row>
    <row r="827" spans="1:10" x14ac:dyDescent="0.3">
      <c r="A827">
        <v>7204577</v>
      </c>
      <c r="B827">
        <v>944986</v>
      </c>
      <c r="C827">
        <v>1009</v>
      </c>
      <c r="D827" s="1">
        <v>45538</v>
      </c>
      <c r="E827" s="1"/>
      <c r="F827" t="s">
        <v>3480</v>
      </c>
      <c r="G827" t="str">
        <f>IF(ISNA(_xlfn.XLOOKUP(subscriptions[[#This Row],[customer_id]], customers[customer_id], customers[customer_id])), "NO", "YES")</f>
        <v>YES</v>
      </c>
      <c r="H827">
        <f>IF(AND(subscriptions[[#This Row],[end_date]]&lt;&gt;"", subscriptions[[#This Row],[end_date]] &lt; subscriptions[[#This Row],[start_date]]), 1, 0)</f>
        <v>0</v>
      </c>
      <c r="I8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7">
        <f>IF(
  AND(subscriptions[[#This Row],[end_before_start]]=0, subscriptions[[#This Row],[status_end_mismatch]]=0),
  1,
  0
)</f>
        <v>1</v>
      </c>
    </row>
    <row r="828" spans="1:10" x14ac:dyDescent="0.3">
      <c r="A828">
        <v>6211168</v>
      </c>
      <c r="B828">
        <v>795186</v>
      </c>
      <c r="C828">
        <v>1004</v>
      </c>
      <c r="D828" s="1">
        <v>45242</v>
      </c>
      <c r="E828" s="1"/>
      <c r="F828" t="s">
        <v>3480</v>
      </c>
      <c r="G828" t="str">
        <f>IF(ISNA(_xlfn.XLOOKUP(subscriptions[[#This Row],[customer_id]], customers[customer_id], customers[customer_id])), "NO", "YES")</f>
        <v>YES</v>
      </c>
      <c r="H828">
        <f>IF(AND(subscriptions[[#This Row],[end_date]]&lt;&gt;"", subscriptions[[#This Row],[end_date]] &lt; subscriptions[[#This Row],[start_date]]), 1, 0)</f>
        <v>0</v>
      </c>
      <c r="I8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8">
        <f>IF(
  AND(subscriptions[[#This Row],[end_before_start]]=0, subscriptions[[#This Row],[status_end_mismatch]]=0),
  1,
  0
)</f>
        <v>1</v>
      </c>
    </row>
    <row r="829" spans="1:10" x14ac:dyDescent="0.3">
      <c r="A829">
        <v>2403154</v>
      </c>
      <c r="B829">
        <v>901968</v>
      </c>
      <c r="C829">
        <v>1002</v>
      </c>
      <c r="D829" s="1">
        <v>44757</v>
      </c>
      <c r="E829" s="1"/>
      <c r="F829" t="s">
        <v>3480</v>
      </c>
      <c r="G829" t="str">
        <f>IF(ISNA(_xlfn.XLOOKUP(subscriptions[[#This Row],[customer_id]], customers[customer_id], customers[customer_id])), "NO", "YES")</f>
        <v>YES</v>
      </c>
      <c r="H829">
        <f>IF(AND(subscriptions[[#This Row],[end_date]]&lt;&gt;"", subscriptions[[#This Row],[end_date]] &lt; subscriptions[[#This Row],[start_date]]), 1, 0)</f>
        <v>0</v>
      </c>
      <c r="I8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29">
        <f>IF(
  AND(subscriptions[[#This Row],[end_before_start]]=0, subscriptions[[#This Row],[status_end_mismatch]]=0),
  1,
  0
)</f>
        <v>1</v>
      </c>
    </row>
    <row r="830" spans="1:10" x14ac:dyDescent="0.3">
      <c r="A830">
        <v>4484322</v>
      </c>
      <c r="B830">
        <v>946313</v>
      </c>
      <c r="C830">
        <v>1004</v>
      </c>
      <c r="D830" s="1">
        <v>45565</v>
      </c>
      <c r="E830" s="1"/>
      <c r="F830" t="s">
        <v>3480</v>
      </c>
      <c r="G830" t="str">
        <f>IF(ISNA(_xlfn.XLOOKUP(subscriptions[[#This Row],[customer_id]], customers[customer_id], customers[customer_id])), "NO", "YES")</f>
        <v>YES</v>
      </c>
      <c r="H830">
        <f>IF(AND(subscriptions[[#This Row],[end_date]]&lt;&gt;"", subscriptions[[#This Row],[end_date]] &lt; subscriptions[[#This Row],[start_date]]), 1, 0)</f>
        <v>0</v>
      </c>
      <c r="I8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0">
        <f>IF(
  AND(subscriptions[[#This Row],[end_before_start]]=0, subscriptions[[#This Row],[status_end_mismatch]]=0),
  1,
  0
)</f>
        <v>1</v>
      </c>
    </row>
    <row r="831" spans="1:10" x14ac:dyDescent="0.3">
      <c r="A831">
        <v>2407420</v>
      </c>
      <c r="B831">
        <v>647341</v>
      </c>
      <c r="C831">
        <v>1000</v>
      </c>
      <c r="D831" s="1">
        <v>44851</v>
      </c>
      <c r="E831" s="1"/>
      <c r="F831" t="s">
        <v>3480</v>
      </c>
      <c r="G831" t="str">
        <f>IF(ISNA(_xlfn.XLOOKUP(subscriptions[[#This Row],[customer_id]], customers[customer_id], customers[customer_id])), "NO", "YES")</f>
        <v>YES</v>
      </c>
      <c r="H831">
        <f>IF(AND(subscriptions[[#This Row],[end_date]]&lt;&gt;"", subscriptions[[#This Row],[end_date]] &lt; subscriptions[[#This Row],[start_date]]), 1, 0)</f>
        <v>0</v>
      </c>
      <c r="I8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1">
        <f>IF(
  AND(subscriptions[[#This Row],[end_before_start]]=0, subscriptions[[#This Row],[status_end_mismatch]]=0),
  1,
  0
)</f>
        <v>1</v>
      </c>
    </row>
    <row r="832" spans="1:10" x14ac:dyDescent="0.3">
      <c r="A832">
        <v>8944257</v>
      </c>
      <c r="B832">
        <v>560767</v>
      </c>
      <c r="C832">
        <v>1002</v>
      </c>
      <c r="D832" s="1">
        <v>45038</v>
      </c>
      <c r="E832" s="1"/>
      <c r="F832" t="s">
        <v>3480</v>
      </c>
      <c r="G832" t="str">
        <f>IF(ISNA(_xlfn.XLOOKUP(subscriptions[[#This Row],[customer_id]], customers[customer_id], customers[customer_id])), "NO", "YES")</f>
        <v>YES</v>
      </c>
      <c r="H832">
        <f>IF(AND(subscriptions[[#This Row],[end_date]]&lt;&gt;"", subscriptions[[#This Row],[end_date]] &lt; subscriptions[[#This Row],[start_date]]), 1, 0)</f>
        <v>0</v>
      </c>
      <c r="I8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2">
        <f>IF(
  AND(subscriptions[[#This Row],[end_before_start]]=0, subscriptions[[#This Row],[status_end_mismatch]]=0),
  1,
  0
)</f>
        <v>1</v>
      </c>
    </row>
    <row r="833" spans="1:10" x14ac:dyDescent="0.3">
      <c r="A833">
        <v>9278176</v>
      </c>
      <c r="B833">
        <v>860413</v>
      </c>
      <c r="C833">
        <v>1000</v>
      </c>
      <c r="D833" s="1">
        <v>45078</v>
      </c>
      <c r="E833" s="1"/>
      <c r="F833" t="s">
        <v>3480</v>
      </c>
      <c r="G833" t="str">
        <f>IF(ISNA(_xlfn.XLOOKUP(subscriptions[[#This Row],[customer_id]], customers[customer_id], customers[customer_id])), "NO", "YES")</f>
        <v>YES</v>
      </c>
      <c r="H833">
        <f>IF(AND(subscriptions[[#This Row],[end_date]]&lt;&gt;"", subscriptions[[#This Row],[end_date]] &lt; subscriptions[[#This Row],[start_date]]), 1, 0)</f>
        <v>0</v>
      </c>
      <c r="I8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3">
        <f>IF(
  AND(subscriptions[[#This Row],[end_before_start]]=0, subscriptions[[#This Row],[status_end_mismatch]]=0),
  1,
  0
)</f>
        <v>1</v>
      </c>
    </row>
    <row r="834" spans="1:10" x14ac:dyDescent="0.3">
      <c r="A834">
        <v>6668492</v>
      </c>
      <c r="B834">
        <v>666390</v>
      </c>
      <c r="C834">
        <v>1001</v>
      </c>
      <c r="D834" s="1">
        <v>44870</v>
      </c>
      <c r="E834" s="1"/>
      <c r="F834" t="s">
        <v>3480</v>
      </c>
      <c r="G834" t="str">
        <f>IF(ISNA(_xlfn.XLOOKUP(subscriptions[[#This Row],[customer_id]], customers[customer_id], customers[customer_id])), "NO", "YES")</f>
        <v>YES</v>
      </c>
      <c r="H834">
        <f>IF(AND(subscriptions[[#This Row],[end_date]]&lt;&gt;"", subscriptions[[#This Row],[end_date]] &lt; subscriptions[[#This Row],[start_date]]), 1, 0)</f>
        <v>0</v>
      </c>
      <c r="I8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4">
        <f>IF(
  AND(subscriptions[[#This Row],[end_before_start]]=0, subscriptions[[#This Row],[status_end_mismatch]]=0),
  1,
  0
)</f>
        <v>1</v>
      </c>
    </row>
    <row r="835" spans="1:10" x14ac:dyDescent="0.3">
      <c r="A835">
        <v>7820513</v>
      </c>
      <c r="B835">
        <v>539486</v>
      </c>
      <c r="C835">
        <v>1001</v>
      </c>
      <c r="D835" s="1">
        <v>44573</v>
      </c>
      <c r="E835" s="1"/>
      <c r="F835" t="s">
        <v>3480</v>
      </c>
      <c r="G835" t="str">
        <f>IF(ISNA(_xlfn.XLOOKUP(subscriptions[[#This Row],[customer_id]], customers[customer_id], customers[customer_id])), "NO", "YES")</f>
        <v>YES</v>
      </c>
      <c r="H835">
        <f>IF(AND(subscriptions[[#This Row],[end_date]]&lt;&gt;"", subscriptions[[#This Row],[end_date]] &lt; subscriptions[[#This Row],[start_date]]), 1, 0)</f>
        <v>0</v>
      </c>
      <c r="I8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5">
        <f>IF(
  AND(subscriptions[[#This Row],[end_before_start]]=0, subscriptions[[#This Row],[status_end_mismatch]]=0),
  1,
  0
)</f>
        <v>1</v>
      </c>
    </row>
    <row r="836" spans="1:10" x14ac:dyDescent="0.3">
      <c r="A836">
        <v>4510199</v>
      </c>
      <c r="B836">
        <v>105919</v>
      </c>
      <c r="C836">
        <v>1001</v>
      </c>
      <c r="D836" s="1">
        <v>45562</v>
      </c>
      <c r="E836" s="1"/>
      <c r="F836" t="s">
        <v>3480</v>
      </c>
      <c r="G836" t="str">
        <f>IF(ISNA(_xlfn.XLOOKUP(subscriptions[[#This Row],[customer_id]], customers[customer_id], customers[customer_id])), "NO", "YES")</f>
        <v>YES</v>
      </c>
      <c r="H836">
        <f>IF(AND(subscriptions[[#This Row],[end_date]]&lt;&gt;"", subscriptions[[#This Row],[end_date]] &lt; subscriptions[[#This Row],[start_date]]), 1, 0)</f>
        <v>0</v>
      </c>
      <c r="I8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6">
        <f>IF(
  AND(subscriptions[[#This Row],[end_before_start]]=0, subscriptions[[#This Row],[status_end_mismatch]]=0),
  1,
  0
)</f>
        <v>1</v>
      </c>
    </row>
    <row r="837" spans="1:10" x14ac:dyDescent="0.3">
      <c r="A837">
        <v>6251539</v>
      </c>
      <c r="B837">
        <v>272655</v>
      </c>
      <c r="C837">
        <v>1003</v>
      </c>
      <c r="D837" s="1">
        <v>45044</v>
      </c>
      <c r="E837" s="1"/>
      <c r="F837" t="s">
        <v>3480</v>
      </c>
      <c r="G837" t="str">
        <f>IF(ISNA(_xlfn.XLOOKUP(subscriptions[[#This Row],[customer_id]], customers[customer_id], customers[customer_id])), "NO", "YES")</f>
        <v>YES</v>
      </c>
      <c r="H837">
        <f>IF(AND(subscriptions[[#This Row],[end_date]]&lt;&gt;"", subscriptions[[#This Row],[end_date]] &lt; subscriptions[[#This Row],[start_date]]), 1, 0)</f>
        <v>0</v>
      </c>
      <c r="I8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7">
        <f>IF(
  AND(subscriptions[[#This Row],[end_before_start]]=0, subscriptions[[#This Row],[status_end_mismatch]]=0),
  1,
  0
)</f>
        <v>1</v>
      </c>
    </row>
    <row r="838" spans="1:10" x14ac:dyDescent="0.3">
      <c r="A838">
        <v>9103333</v>
      </c>
      <c r="B838">
        <v>643623</v>
      </c>
      <c r="C838">
        <v>1006</v>
      </c>
      <c r="D838" s="1">
        <v>44728</v>
      </c>
      <c r="E838" s="1">
        <v>44975</v>
      </c>
      <c r="F838" t="s">
        <v>3479</v>
      </c>
      <c r="G838" t="str">
        <f>IF(ISNA(_xlfn.XLOOKUP(subscriptions[[#This Row],[customer_id]], customers[customer_id], customers[customer_id])), "NO", "YES")</f>
        <v>YES</v>
      </c>
      <c r="H838">
        <f>IF(AND(subscriptions[[#This Row],[end_date]]&lt;&gt;"", subscriptions[[#This Row],[end_date]] &lt; subscriptions[[#This Row],[start_date]]), 1, 0)</f>
        <v>0</v>
      </c>
      <c r="I8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8">
        <f>IF(
  AND(subscriptions[[#This Row],[end_before_start]]=0, subscriptions[[#This Row],[status_end_mismatch]]=0),
  1,
  0
)</f>
        <v>1</v>
      </c>
    </row>
    <row r="839" spans="1:10" x14ac:dyDescent="0.3">
      <c r="A839">
        <v>2300308</v>
      </c>
      <c r="B839">
        <v>255362</v>
      </c>
      <c r="C839">
        <v>1004</v>
      </c>
      <c r="D839" s="1">
        <v>45331</v>
      </c>
      <c r="E839" s="1"/>
      <c r="F839" t="s">
        <v>3480</v>
      </c>
      <c r="G839" t="str">
        <f>IF(ISNA(_xlfn.XLOOKUP(subscriptions[[#This Row],[customer_id]], customers[customer_id], customers[customer_id])), "NO", "YES")</f>
        <v>YES</v>
      </c>
      <c r="H839">
        <f>IF(AND(subscriptions[[#This Row],[end_date]]&lt;&gt;"", subscriptions[[#This Row],[end_date]] &lt; subscriptions[[#This Row],[start_date]]), 1, 0)</f>
        <v>0</v>
      </c>
      <c r="I8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39">
        <f>IF(
  AND(subscriptions[[#This Row],[end_before_start]]=0, subscriptions[[#This Row],[status_end_mismatch]]=0),
  1,
  0
)</f>
        <v>1</v>
      </c>
    </row>
    <row r="840" spans="1:10" x14ac:dyDescent="0.3">
      <c r="A840">
        <v>1228581</v>
      </c>
      <c r="B840">
        <v>720859</v>
      </c>
      <c r="C840">
        <v>1005</v>
      </c>
      <c r="D840" s="1">
        <v>44893</v>
      </c>
      <c r="E840" s="1"/>
      <c r="F840" t="s">
        <v>3480</v>
      </c>
      <c r="G840" t="str">
        <f>IF(ISNA(_xlfn.XLOOKUP(subscriptions[[#This Row],[customer_id]], customers[customer_id], customers[customer_id])), "NO", "YES")</f>
        <v>YES</v>
      </c>
      <c r="H840">
        <f>IF(AND(subscriptions[[#This Row],[end_date]]&lt;&gt;"", subscriptions[[#This Row],[end_date]] &lt; subscriptions[[#This Row],[start_date]]), 1, 0)</f>
        <v>0</v>
      </c>
      <c r="I8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0">
        <f>IF(
  AND(subscriptions[[#This Row],[end_before_start]]=0, subscriptions[[#This Row],[status_end_mismatch]]=0),
  1,
  0
)</f>
        <v>1</v>
      </c>
    </row>
    <row r="841" spans="1:10" x14ac:dyDescent="0.3">
      <c r="A841">
        <v>3038057</v>
      </c>
      <c r="B841">
        <v>820420</v>
      </c>
      <c r="C841">
        <v>1000</v>
      </c>
      <c r="D841" s="1">
        <v>44902</v>
      </c>
      <c r="E841" s="1"/>
      <c r="F841" t="s">
        <v>3480</v>
      </c>
      <c r="G841" t="str">
        <f>IF(ISNA(_xlfn.XLOOKUP(subscriptions[[#This Row],[customer_id]], customers[customer_id], customers[customer_id])), "NO", "YES")</f>
        <v>YES</v>
      </c>
      <c r="H841">
        <f>IF(AND(subscriptions[[#This Row],[end_date]]&lt;&gt;"", subscriptions[[#This Row],[end_date]] &lt; subscriptions[[#This Row],[start_date]]), 1, 0)</f>
        <v>0</v>
      </c>
      <c r="I8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1">
        <f>IF(
  AND(subscriptions[[#This Row],[end_before_start]]=0, subscriptions[[#This Row],[status_end_mismatch]]=0),
  1,
  0
)</f>
        <v>1</v>
      </c>
    </row>
    <row r="842" spans="1:10" x14ac:dyDescent="0.3">
      <c r="A842">
        <v>2906975</v>
      </c>
      <c r="B842">
        <v>575159</v>
      </c>
      <c r="C842">
        <v>1003</v>
      </c>
      <c r="D842" s="1">
        <v>44641</v>
      </c>
      <c r="E842" s="1">
        <v>44924</v>
      </c>
      <c r="F842" t="s">
        <v>3479</v>
      </c>
      <c r="G842" t="str">
        <f>IF(ISNA(_xlfn.XLOOKUP(subscriptions[[#This Row],[customer_id]], customers[customer_id], customers[customer_id])), "NO", "YES")</f>
        <v>YES</v>
      </c>
      <c r="H842">
        <f>IF(AND(subscriptions[[#This Row],[end_date]]&lt;&gt;"", subscriptions[[#This Row],[end_date]] &lt; subscriptions[[#This Row],[start_date]]), 1, 0)</f>
        <v>0</v>
      </c>
      <c r="I8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2">
        <f>IF(
  AND(subscriptions[[#This Row],[end_before_start]]=0, subscriptions[[#This Row],[status_end_mismatch]]=0),
  1,
  0
)</f>
        <v>1</v>
      </c>
    </row>
    <row r="843" spans="1:10" x14ac:dyDescent="0.3">
      <c r="A843">
        <v>3864241</v>
      </c>
      <c r="B843">
        <v>754688</v>
      </c>
      <c r="C843">
        <v>1009</v>
      </c>
      <c r="D843" s="1">
        <v>45559</v>
      </c>
      <c r="E843" s="1"/>
      <c r="F843" t="s">
        <v>3480</v>
      </c>
      <c r="G843" t="str">
        <f>IF(ISNA(_xlfn.XLOOKUP(subscriptions[[#This Row],[customer_id]], customers[customer_id], customers[customer_id])), "NO", "YES")</f>
        <v>YES</v>
      </c>
      <c r="H843">
        <f>IF(AND(subscriptions[[#This Row],[end_date]]&lt;&gt;"", subscriptions[[#This Row],[end_date]] &lt; subscriptions[[#This Row],[start_date]]), 1, 0)</f>
        <v>0</v>
      </c>
      <c r="I8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3">
        <f>IF(
  AND(subscriptions[[#This Row],[end_before_start]]=0, subscriptions[[#This Row],[status_end_mismatch]]=0),
  1,
  0
)</f>
        <v>1</v>
      </c>
    </row>
    <row r="844" spans="1:10" x14ac:dyDescent="0.3">
      <c r="A844">
        <v>8015348</v>
      </c>
      <c r="B844">
        <v>860413</v>
      </c>
      <c r="C844">
        <v>1009</v>
      </c>
      <c r="D844" s="1">
        <v>45379</v>
      </c>
      <c r="E844" s="1"/>
      <c r="F844" t="s">
        <v>3480</v>
      </c>
      <c r="G844" t="str">
        <f>IF(ISNA(_xlfn.XLOOKUP(subscriptions[[#This Row],[customer_id]], customers[customer_id], customers[customer_id])), "NO", "YES")</f>
        <v>YES</v>
      </c>
      <c r="H844">
        <f>IF(AND(subscriptions[[#This Row],[end_date]]&lt;&gt;"", subscriptions[[#This Row],[end_date]] &lt; subscriptions[[#This Row],[start_date]]), 1, 0)</f>
        <v>0</v>
      </c>
      <c r="I8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4">
        <f>IF(
  AND(subscriptions[[#This Row],[end_before_start]]=0, subscriptions[[#This Row],[status_end_mismatch]]=0),
  1,
  0
)</f>
        <v>1</v>
      </c>
    </row>
    <row r="845" spans="1:10" x14ac:dyDescent="0.3">
      <c r="A845">
        <v>2972720</v>
      </c>
      <c r="B845">
        <v>580854</v>
      </c>
      <c r="C845">
        <v>1007</v>
      </c>
      <c r="D845" s="1">
        <v>45453</v>
      </c>
      <c r="E845" s="1">
        <v>45628</v>
      </c>
      <c r="F845" t="s">
        <v>3479</v>
      </c>
      <c r="G845" t="str">
        <f>IF(ISNA(_xlfn.XLOOKUP(subscriptions[[#This Row],[customer_id]], customers[customer_id], customers[customer_id])), "NO", "YES")</f>
        <v>YES</v>
      </c>
      <c r="H845">
        <f>IF(AND(subscriptions[[#This Row],[end_date]]&lt;&gt;"", subscriptions[[#This Row],[end_date]] &lt; subscriptions[[#This Row],[start_date]]), 1, 0)</f>
        <v>0</v>
      </c>
      <c r="I8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5">
        <f>IF(
  AND(subscriptions[[#This Row],[end_before_start]]=0, subscriptions[[#This Row],[status_end_mismatch]]=0),
  1,
  0
)</f>
        <v>1</v>
      </c>
    </row>
    <row r="846" spans="1:10" x14ac:dyDescent="0.3">
      <c r="A846">
        <v>5548431</v>
      </c>
      <c r="B846">
        <v>905077</v>
      </c>
      <c r="C846">
        <v>1001</v>
      </c>
      <c r="D846" s="1">
        <v>45222</v>
      </c>
      <c r="E846" s="1">
        <v>45442</v>
      </c>
      <c r="F846" t="s">
        <v>3479</v>
      </c>
      <c r="G846" t="str">
        <f>IF(ISNA(_xlfn.XLOOKUP(subscriptions[[#This Row],[customer_id]], customers[customer_id], customers[customer_id])), "NO", "YES")</f>
        <v>YES</v>
      </c>
      <c r="H846">
        <f>IF(AND(subscriptions[[#This Row],[end_date]]&lt;&gt;"", subscriptions[[#This Row],[end_date]] &lt; subscriptions[[#This Row],[start_date]]), 1, 0)</f>
        <v>0</v>
      </c>
      <c r="I8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6">
        <f>IF(
  AND(subscriptions[[#This Row],[end_before_start]]=0, subscriptions[[#This Row],[status_end_mismatch]]=0),
  1,
  0
)</f>
        <v>1</v>
      </c>
    </row>
    <row r="847" spans="1:10" x14ac:dyDescent="0.3">
      <c r="A847">
        <v>3784106</v>
      </c>
      <c r="B847">
        <v>506045</v>
      </c>
      <c r="C847">
        <v>1009</v>
      </c>
      <c r="D847" s="1">
        <v>44851</v>
      </c>
      <c r="E847" s="1"/>
      <c r="F847" t="s">
        <v>3480</v>
      </c>
      <c r="G847" t="str">
        <f>IF(ISNA(_xlfn.XLOOKUP(subscriptions[[#This Row],[customer_id]], customers[customer_id], customers[customer_id])), "NO", "YES")</f>
        <v>YES</v>
      </c>
      <c r="H847">
        <f>IF(AND(subscriptions[[#This Row],[end_date]]&lt;&gt;"", subscriptions[[#This Row],[end_date]] &lt; subscriptions[[#This Row],[start_date]]), 1, 0)</f>
        <v>0</v>
      </c>
      <c r="I8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7">
        <f>IF(
  AND(subscriptions[[#This Row],[end_before_start]]=0, subscriptions[[#This Row],[status_end_mismatch]]=0),
  1,
  0
)</f>
        <v>1</v>
      </c>
    </row>
    <row r="848" spans="1:10" x14ac:dyDescent="0.3">
      <c r="A848">
        <v>4430300</v>
      </c>
      <c r="B848">
        <v>105919</v>
      </c>
      <c r="C848">
        <v>1005</v>
      </c>
      <c r="D848" s="1">
        <v>45322</v>
      </c>
      <c r="E848" s="1"/>
      <c r="F848" t="s">
        <v>3480</v>
      </c>
      <c r="G848" t="str">
        <f>IF(ISNA(_xlfn.XLOOKUP(subscriptions[[#This Row],[customer_id]], customers[customer_id], customers[customer_id])), "NO", "YES")</f>
        <v>YES</v>
      </c>
      <c r="H848">
        <f>IF(AND(subscriptions[[#This Row],[end_date]]&lt;&gt;"", subscriptions[[#This Row],[end_date]] &lt; subscriptions[[#This Row],[start_date]]), 1, 0)</f>
        <v>0</v>
      </c>
      <c r="I8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8">
        <f>IF(
  AND(subscriptions[[#This Row],[end_before_start]]=0, subscriptions[[#This Row],[status_end_mismatch]]=0),
  1,
  0
)</f>
        <v>1</v>
      </c>
    </row>
    <row r="849" spans="1:10" x14ac:dyDescent="0.3">
      <c r="A849">
        <v>5215097</v>
      </c>
      <c r="B849">
        <v>711680</v>
      </c>
      <c r="C849">
        <v>1000</v>
      </c>
      <c r="D849" s="1">
        <v>45528</v>
      </c>
      <c r="E849" s="1"/>
      <c r="F849" t="s">
        <v>3480</v>
      </c>
      <c r="G849" t="str">
        <f>IF(ISNA(_xlfn.XLOOKUP(subscriptions[[#This Row],[customer_id]], customers[customer_id], customers[customer_id])), "NO", "YES")</f>
        <v>YES</v>
      </c>
      <c r="H849">
        <f>IF(AND(subscriptions[[#This Row],[end_date]]&lt;&gt;"", subscriptions[[#This Row],[end_date]] &lt; subscriptions[[#This Row],[start_date]]), 1, 0)</f>
        <v>0</v>
      </c>
      <c r="I8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49">
        <f>IF(
  AND(subscriptions[[#This Row],[end_before_start]]=0, subscriptions[[#This Row],[status_end_mismatch]]=0),
  1,
  0
)</f>
        <v>1</v>
      </c>
    </row>
    <row r="850" spans="1:10" x14ac:dyDescent="0.3">
      <c r="A850">
        <v>6539453</v>
      </c>
      <c r="B850">
        <v>962813</v>
      </c>
      <c r="C850">
        <v>1008</v>
      </c>
      <c r="D850" s="1">
        <v>44839</v>
      </c>
      <c r="E850" s="1"/>
      <c r="F850" t="s">
        <v>3480</v>
      </c>
      <c r="G850" t="str">
        <f>IF(ISNA(_xlfn.XLOOKUP(subscriptions[[#This Row],[customer_id]], customers[customer_id], customers[customer_id])), "NO", "YES")</f>
        <v>YES</v>
      </c>
      <c r="H850">
        <f>IF(AND(subscriptions[[#This Row],[end_date]]&lt;&gt;"", subscriptions[[#This Row],[end_date]] &lt; subscriptions[[#This Row],[start_date]]), 1, 0)</f>
        <v>0</v>
      </c>
      <c r="I8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0">
        <f>IF(
  AND(subscriptions[[#This Row],[end_before_start]]=0, subscriptions[[#This Row],[status_end_mismatch]]=0),
  1,
  0
)</f>
        <v>1</v>
      </c>
    </row>
    <row r="851" spans="1:10" x14ac:dyDescent="0.3">
      <c r="A851">
        <v>8950226</v>
      </c>
      <c r="B851">
        <v>442645</v>
      </c>
      <c r="C851">
        <v>1005</v>
      </c>
      <c r="D851" s="1">
        <v>44582</v>
      </c>
      <c r="E851" s="1"/>
      <c r="F851" t="s">
        <v>3480</v>
      </c>
      <c r="G851" t="str">
        <f>IF(ISNA(_xlfn.XLOOKUP(subscriptions[[#This Row],[customer_id]], customers[customer_id], customers[customer_id])), "NO", "YES")</f>
        <v>YES</v>
      </c>
      <c r="H851">
        <f>IF(AND(subscriptions[[#This Row],[end_date]]&lt;&gt;"", subscriptions[[#This Row],[end_date]] &lt; subscriptions[[#This Row],[start_date]]), 1, 0)</f>
        <v>0</v>
      </c>
      <c r="I8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1">
        <f>IF(
  AND(subscriptions[[#This Row],[end_before_start]]=0, subscriptions[[#This Row],[status_end_mismatch]]=0),
  1,
  0
)</f>
        <v>1</v>
      </c>
    </row>
    <row r="852" spans="1:10" x14ac:dyDescent="0.3">
      <c r="A852">
        <v>4006909</v>
      </c>
      <c r="B852">
        <v>380028</v>
      </c>
      <c r="C852">
        <v>1005</v>
      </c>
      <c r="D852" s="1">
        <v>44869</v>
      </c>
      <c r="E852" s="1"/>
      <c r="F852" t="s">
        <v>3480</v>
      </c>
      <c r="G852" t="str">
        <f>IF(ISNA(_xlfn.XLOOKUP(subscriptions[[#This Row],[customer_id]], customers[customer_id], customers[customer_id])), "NO", "YES")</f>
        <v>YES</v>
      </c>
      <c r="H852">
        <f>IF(AND(subscriptions[[#This Row],[end_date]]&lt;&gt;"", subscriptions[[#This Row],[end_date]] &lt; subscriptions[[#This Row],[start_date]]), 1, 0)</f>
        <v>0</v>
      </c>
      <c r="I8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2">
        <f>IF(
  AND(subscriptions[[#This Row],[end_before_start]]=0, subscriptions[[#This Row],[status_end_mismatch]]=0),
  1,
  0
)</f>
        <v>1</v>
      </c>
    </row>
    <row r="853" spans="1:10" x14ac:dyDescent="0.3">
      <c r="A853">
        <v>1093993</v>
      </c>
      <c r="B853">
        <v>962050</v>
      </c>
      <c r="C853">
        <v>1006</v>
      </c>
      <c r="D853" s="1">
        <v>45200</v>
      </c>
      <c r="E853" s="1">
        <v>45332</v>
      </c>
      <c r="F853" t="s">
        <v>3479</v>
      </c>
      <c r="G853" t="str">
        <f>IF(ISNA(_xlfn.XLOOKUP(subscriptions[[#This Row],[customer_id]], customers[customer_id], customers[customer_id])), "NO", "YES")</f>
        <v>YES</v>
      </c>
      <c r="H853">
        <f>IF(AND(subscriptions[[#This Row],[end_date]]&lt;&gt;"", subscriptions[[#This Row],[end_date]] &lt; subscriptions[[#This Row],[start_date]]), 1, 0)</f>
        <v>0</v>
      </c>
      <c r="I8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3">
        <f>IF(
  AND(subscriptions[[#This Row],[end_before_start]]=0, subscriptions[[#This Row],[status_end_mismatch]]=0),
  1,
  0
)</f>
        <v>1</v>
      </c>
    </row>
    <row r="854" spans="1:10" x14ac:dyDescent="0.3">
      <c r="A854">
        <v>2574505</v>
      </c>
      <c r="B854">
        <v>744674</v>
      </c>
      <c r="C854">
        <v>1005</v>
      </c>
      <c r="D854" s="1">
        <v>45501</v>
      </c>
      <c r="E854" s="1"/>
      <c r="F854" t="s">
        <v>3480</v>
      </c>
      <c r="G854" t="str">
        <f>IF(ISNA(_xlfn.XLOOKUP(subscriptions[[#This Row],[customer_id]], customers[customer_id], customers[customer_id])), "NO", "YES")</f>
        <v>YES</v>
      </c>
      <c r="H854">
        <f>IF(AND(subscriptions[[#This Row],[end_date]]&lt;&gt;"", subscriptions[[#This Row],[end_date]] &lt; subscriptions[[#This Row],[start_date]]), 1, 0)</f>
        <v>0</v>
      </c>
      <c r="I8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4">
        <f>IF(
  AND(subscriptions[[#This Row],[end_before_start]]=0, subscriptions[[#This Row],[status_end_mismatch]]=0),
  1,
  0
)</f>
        <v>1</v>
      </c>
    </row>
    <row r="855" spans="1:10" x14ac:dyDescent="0.3">
      <c r="A855">
        <v>2025218</v>
      </c>
      <c r="B855">
        <v>861253</v>
      </c>
      <c r="C855">
        <v>1008</v>
      </c>
      <c r="D855" s="1">
        <v>45521</v>
      </c>
      <c r="E855" s="1"/>
      <c r="F855" t="s">
        <v>3480</v>
      </c>
      <c r="G855" t="str">
        <f>IF(ISNA(_xlfn.XLOOKUP(subscriptions[[#This Row],[customer_id]], customers[customer_id], customers[customer_id])), "NO", "YES")</f>
        <v>YES</v>
      </c>
      <c r="H855">
        <f>IF(AND(subscriptions[[#This Row],[end_date]]&lt;&gt;"", subscriptions[[#This Row],[end_date]] &lt; subscriptions[[#This Row],[start_date]]), 1, 0)</f>
        <v>0</v>
      </c>
      <c r="I8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5">
        <f>IF(
  AND(subscriptions[[#This Row],[end_before_start]]=0, subscriptions[[#This Row],[status_end_mismatch]]=0),
  1,
  0
)</f>
        <v>1</v>
      </c>
    </row>
    <row r="856" spans="1:10" x14ac:dyDescent="0.3">
      <c r="A856">
        <v>2120248</v>
      </c>
      <c r="B856">
        <v>243167</v>
      </c>
      <c r="C856">
        <v>1006</v>
      </c>
      <c r="D856" s="1">
        <v>45279</v>
      </c>
      <c r="E856" s="1">
        <v>45424</v>
      </c>
      <c r="F856" t="s">
        <v>3479</v>
      </c>
      <c r="G856" t="str">
        <f>IF(ISNA(_xlfn.XLOOKUP(subscriptions[[#This Row],[customer_id]], customers[customer_id], customers[customer_id])), "NO", "YES")</f>
        <v>YES</v>
      </c>
      <c r="H856">
        <f>IF(AND(subscriptions[[#This Row],[end_date]]&lt;&gt;"", subscriptions[[#This Row],[end_date]] &lt; subscriptions[[#This Row],[start_date]]), 1, 0)</f>
        <v>0</v>
      </c>
      <c r="I8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6">
        <f>IF(
  AND(subscriptions[[#This Row],[end_before_start]]=0, subscriptions[[#This Row],[status_end_mismatch]]=0),
  1,
  0
)</f>
        <v>1</v>
      </c>
    </row>
    <row r="857" spans="1:10" x14ac:dyDescent="0.3">
      <c r="A857">
        <v>6787425</v>
      </c>
      <c r="B857">
        <v>437145</v>
      </c>
      <c r="C857">
        <v>1002</v>
      </c>
      <c r="D857" s="1">
        <v>44590</v>
      </c>
      <c r="E857" s="1">
        <v>44760</v>
      </c>
      <c r="F857" t="s">
        <v>3479</v>
      </c>
      <c r="G857" t="str">
        <f>IF(ISNA(_xlfn.XLOOKUP(subscriptions[[#This Row],[customer_id]], customers[customer_id], customers[customer_id])), "NO", "YES")</f>
        <v>YES</v>
      </c>
      <c r="H857">
        <f>IF(AND(subscriptions[[#This Row],[end_date]]&lt;&gt;"", subscriptions[[#This Row],[end_date]] &lt; subscriptions[[#This Row],[start_date]]), 1, 0)</f>
        <v>0</v>
      </c>
      <c r="I8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7">
        <f>IF(
  AND(subscriptions[[#This Row],[end_before_start]]=0, subscriptions[[#This Row],[status_end_mismatch]]=0),
  1,
  0
)</f>
        <v>1</v>
      </c>
    </row>
    <row r="858" spans="1:10" x14ac:dyDescent="0.3">
      <c r="A858">
        <v>5767876</v>
      </c>
      <c r="B858">
        <v>522866</v>
      </c>
      <c r="C858">
        <v>1001</v>
      </c>
      <c r="D858" s="1">
        <v>45434</v>
      </c>
      <c r="E858" s="1"/>
      <c r="F858" t="s">
        <v>3480</v>
      </c>
      <c r="G858" t="str">
        <f>IF(ISNA(_xlfn.XLOOKUP(subscriptions[[#This Row],[customer_id]], customers[customer_id], customers[customer_id])), "NO", "YES")</f>
        <v>YES</v>
      </c>
      <c r="H858">
        <f>IF(AND(subscriptions[[#This Row],[end_date]]&lt;&gt;"", subscriptions[[#This Row],[end_date]] &lt; subscriptions[[#This Row],[start_date]]), 1, 0)</f>
        <v>0</v>
      </c>
      <c r="I8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8">
        <f>IF(
  AND(subscriptions[[#This Row],[end_before_start]]=0, subscriptions[[#This Row],[status_end_mismatch]]=0),
  1,
  0
)</f>
        <v>1</v>
      </c>
    </row>
    <row r="859" spans="1:10" x14ac:dyDescent="0.3">
      <c r="A859">
        <v>6129639</v>
      </c>
      <c r="B859">
        <v>906066</v>
      </c>
      <c r="C859">
        <v>1004</v>
      </c>
      <c r="D859" s="1">
        <v>45314</v>
      </c>
      <c r="E859" s="1">
        <v>45550</v>
      </c>
      <c r="F859" t="s">
        <v>3479</v>
      </c>
      <c r="G859" t="str">
        <f>IF(ISNA(_xlfn.XLOOKUP(subscriptions[[#This Row],[customer_id]], customers[customer_id], customers[customer_id])), "NO", "YES")</f>
        <v>YES</v>
      </c>
      <c r="H859">
        <f>IF(AND(subscriptions[[#This Row],[end_date]]&lt;&gt;"", subscriptions[[#This Row],[end_date]] &lt; subscriptions[[#This Row],[start_date]]), 1, 0)</f>
        <v>0</v>
      </c>
      <c r="I8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59">
        <f>IF(
  AND(subscriptions[[#This Row],[end_before_start]]=0, subscriptions[[#This Row],[status_end_mismatch]]=0),
  1,
  0
)</f>
        <v>1</v>
      </c>
    </row>
    <row r="860" spans="1:10" x14ac:dyDescent="0.3">
      <c r="A860">
        <v>5273985</v>
      </c>
      <c r="B860">
        <v>589251</v>
      </c>
      <c r="C860">
        <v>1000</v>
      </c>
      <c r="D860" s="1">
        <v>44976</v>
      </c>
      <c r="E860" s="1"/>
      <c r="F860" t="s">
        <v>3480</v>
      </c>
      <c r="G860" t="str">
        <f>IF(ISNA(_xlfn.XLOOKUP(subscriptions[[#This Row],[customer_id]], customers[customer_id], customers[customer_id])), "NO", "YES")</f>
        <v>YES</v>
      </c>
      <c r="H860">
        <f>IF(AND(subscriptions[[#This Row],[end_date]]&lt;&gt;"", subscriptions[[#This Row],[end_date]] &lt; subscriptions[[#This Row],[start_date]]), 1, 0)</f>
        <v>0</v>
      </c>
      <c r="I8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0">
        <f>IF(
  AND(subscriptions[[#This Row],[end_before_start]]=0, subscriptions[[#This Row],[status_end_mismatch]]=0),
  1,
  0
)</f>
        <v>1</v>
      </c>
    </row>
    <row r="861" spans="1:10" x14ac:dyDescent="0.3">
      <c r="A861">
        <v>3557213</v>
      </c>
      <c r="B861">
        <v>299834</v>
      </c>
      <c r="C861">
        <v>1002</v>
      </c>
      <c r="D861" s="1">
        <v>44772</v>
      </c>
      <c r="E861" s="1">
        <v>44945</v>
      </c>
      <c r="F861" t="s">
        <v>3479</v>
      </c>
      <c r="G861" t="str">
        <f>IF(ISNA(_xlfn.XLOOKUP(subscriptions[[#This Row],[customer_id]], customers[customer_id], customers[customer_id])), "NO", "YES")</f>
        <v>YES</v>
      </c>
      <c r="H861">
        <f>IF(AND(subscriptions[[#This Row],[end_date]]&lt;&gt;"", subscriptions[[#This Row],[end_date]] &lt; subscriptions[[#This Row],[start_date]]), 1, 0)</f>
        <v>0</v>
      </c>
      <c r="I8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1">
        <f>IF(
  AND(subscriptions[[#This Row],[end_before_start]]=0, subscriptions[[#This Row],[status_end_mismatch]]=0),
  1,
  0
)</f>
        <v>1</v>
      </c>
    </row>
    <row r="862" spans="1:10" x14ac:dyDescent="0.3">
      <c r="A862">
        <v>3991801</v>
      </c>
      <c r="B862">
        <v>694223</v>
      </c>
      <c r="C862">
        <v>1005</v>
      </c>
      <c r="D862" s="1">
        <v>45100</v>
      </c>
      <c r="E862" s="1"/>
      <c r="F862" t="s">
        <v>3480</v>
      </c>
      <c r="G862" t="str">
        <f>IF(ISNA(_xlfn.XLOOKUP(subscriptions[[#This Row],[customer_id]], customers[customer_id], customers[customer_id])), "NO", "YES")</f>
        <v>YES</v>
      </c>
      <c r="H862">
        <f>IF(AND(subscriptions[[#This Row],[end_date]]&lt;&gt;"", subscriptions[[#This Row],[end_date]] &lt; subscriptions[[#This Row],[start_date]]), 1, 0)</f>
        <v>0</v>
      </c>
      <c r="I8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2">
        <f>IF(
  AND(subscriptions[[#This Row],[end_before_start]]=0, subscriptions[[#This Row],[status_end_mismatch]]=0),
  1,
  0
)</f>
        <v>1</v>
      </c>
    </row>
    <row r="863" spans="1:10" x14ac:dyDescent="0.3">
      <c r="A863">
        <v>3125741</v>
      </c>
      <c r="B863">
        <v>220465</v>
      </c>
      <c r="C863">
        <v>1009</v>
      </c>
      <c r="D863" s="1">
        <v>45346</v>
      </c>
      <c r="E863" s="1"/>
      <c r="F863" t="s">
        <v>3480</v>
      </c>
      <c r="G863" t="str">
        <f>IF(ISNA(_xlfn.XLOOKUP(subscriptions[[#This Row],[customer_id]], customers[customer_id], customers[customer_id])), "NO", "YES")</f>
        <v>YES</v>
      </c>
      <c r="H863">
        <f>IF(AND(subscriptions[[#This Row],[end_date]]&lt;&gt;"", subscriptions[[#This Row],[end_date]] &lt; subscriptions[[#This Row],[start_date]]), 1, 0)</f>
        <v>0</v>
      </c>
      <c r="I8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3">
        <f>IF(
  AND(subscriptions[[#This Row],[end_before_start]]=0, subscriptions[[#This Row],[status_end_mismatch]]=0),
  1,
  0
)</f>
        <v>1</v>
      </c>
    </row>
    <row r="864" spans="1:10" x14ac:dyDescent="0.3">
      <c r="A864">
        <v>5651273</v>
      </c>
      <c r="B864">
        <v>339030</v>
      </c>
      <c r="C864">
        <v>1000</v>
      </c>
      <c r="D864" s="1">
        <v>45531</v>
      </c>
      <c r="E864" s="1"/>
      <c r="F864" t="s">
        <v>3480</v>
      </c>
      <c r="G864" t="str">
        <f>IF(ISNA(_xlfn.XLOOKUP(subscriptions[[#This Row],[customer_id]], customers[customer_id], customers[customer_id])), "NO", "YES")</f>
        <v>YES</v>
      </c>
      <c r="H864">
        <f>IF(AND(subscriptions[[#This Row],[end_date]]&lt;&gt;"", subscriptions[[#This Row],[end_date]] &lt; subscriptions[[#This Row],[start_date]]), 1, 0)</f>
        <v>0</v>
      </c>
      <c r="I8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4">
        <f>IF(
  AND(subscriptions[[#This Row],[end_before_start]]=0, subscriptions[[#This Row],[status_end_mismatch]]=0),
  1,
  0
)</f>
        <v>1</v>
      </c>
    </row>
    <row r="865" spans="1:10" x14ac:dyDescent="0.3">
      <c r="A865">
        <v>1044808</v>
      </c>
      <c r="B865">
        <v>319869</v>
      </c>
      <c r="C865">
        <v>1009</v>
      </c>
      <c r="D865" s="1">
        <v>45036</v>
      </c>
      <c r="E865" s="1">
        <v>45112</v>
      </c>
      <c r="F865" t="s">
        <v>3479</v>
      </c>
      <c r="G865" t="str">
        <f>IF(ISNA(_xlfn.XLOOKUP(subscriptions[[#This Row],[customer_id]], customers[customer_id], customers[customer_id])), "NO", "YES")</f>
        <v>YES</v>
      </c>
      <c r="H865">
        <f>IF(AND(subscriptions[[#This Row],[end_date]]&lt;&gt;"", subscriptions[[#This Row],[end_date]] &lt; subscriptions[[#This Row],[start_date]]), 1, 0)</f>
        <v>0</v>
      </c>
      <c r="I8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5">
        <f>IF(
  AND(subscriptions[[#This Row],[end_before_start]]=0, subscriptions[[#This Row],[status_end_mismatch]]=0),
  1,
  0
)</f>
        <v>1</v>
      </c>
    </row>
    <row r="866" spans="1:10" x14ac:dyDescent="0.3">
      <c r="A866">
        <v>3457722</v>
      </c>
      <c r="B866">
        <v>638857</v>
      </c>
      <c r="C866">
        <v>1006</v>
      </c>
      <c r="D866" s="1">
        <v>44855</v>
      </c>
      <c r="E866" s="1"/>
      <c r="F866" t="s">
        <v>3480</v>
      </c>
      <c r="G866" t="str">
        <f>IF(ISNA(_xlfn.XLOOKUP(subscriptions[[#This Row],[customer_id]], customers[customer_id], customers[customer_id])), "NO", "YES")</f>
        <v>YES</v>
      </c>
      <c r="H866">
        <f>IF(AND(subscriptions[[#This Row],[end_date]]&lt;&gt;"", subscriptions[[#This Row],[end_date]] &lt; subscriptions[[#This Row],[start_date]]), 1, 0)</f>
        <v>0</v>
      </c>
      <c r="I8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6">
        <f>IF(
  AND(subscriptions[[#This Row],[end_before_start]]=0, subscriptions[[#This Row],[status_end_mismatch]]=0),
  1,
  0
)</f>
        <v>1</v>
      </c>
    </row>
    <row r="867" spans="1:10" x14ac:dyDescent="0.3">
      <c r="A867">
        <v>1004141</v>
      </c>
      <c r="B867">
        <v>139286</v>
      </c>
      <c r="C867">
        <v>1006</v>
      </c>
      <c r="D867" s="1">
        <v>45224</v>
      </c>
      <c r="E867" s="1"/>
      <c r="F867" t="s">
        <v>3480</v>
      </c>
      <c r="G867" t="str">
        <f>IF(ISNA(_xlfn.XLOOKUP(subscriptions[[#This Row],[customer_id]], customers[customer_id], customers[customer_id])), "NO", "YES")</f>
        <v>YES</v>
      </c>
      <c r="H867">
        <f>IF(AND(subscriptions[[#This Row],[end_date]]&lt;&gt;"", subscriptions[[#This Row],[end_date]] &lt; subscriptions[[#This Row],[start_date]]), 1, 0)</f>
        <v>0</v>
      </c>
      <c r="I8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7">
        <f>IF(
  AND(subscriptions[[#This Row],[end_before_start]]=0, subscriptions[[#This Row],[status_end_mismatch]]=0),
  1,
  0
)</f>
        <v>1</v>
      </c>
    </row>
    <row r="868" spans="1:10" x14ac:dyDescent="0.3">
      <c r="A868">
        <v>1875589</v>
      </c>
      <c r="B868">
        <v>934883</v>
      </c>
      <c r="C868">
        <v>1005</v>
      </c>
      <c r="D868" s="1">
        <v>44842</v>
      </c>
      <c r="E868" s="1"/>
      <c r="F868" t="s">
        <v>3480</v>
      </c>
      <c r="G868" t="str">
        <f>IF(ISNA(_xlfn.XLOOKUP(subscriptions[[#This Row],[customer_id]], customers[customer_id], customers[customer_id])), "NO", "YES")</f>
        <v>YES</v>
      </c>
      <c r="H868">
        <f>IF(AND(subscriptions[[#This Row],[end_date]]&lt;&gt;"", subscriptions[[#This Row],[end_date]] &lt; subscriptions[[#This Row],[start_date]]), 1, 0)</f>
        <v>0</v>
      </c>
      <c r="I8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8">
        <f>IF(
  AND(subscriptions[[#This Row],[end_before_start]]=0, subscriptions[[#This Row],[status_end_mismatch]]=0),
  1,
  0
)</f>
        <v>1</v>
      </c>
    </row>
    <row r="869" spans="1:10" x14ac:dyDescent="0.3">
      <c r="A869">
        <v>8376757</v>
      </c>
      <c r="B869">
        <v>152512</v>
      </c>
      <c r="C869">
        <v>1007</v>
      </c>
      <c r="D869" s="1">
        <v>45433</v>
      </c>
      <c r="E869" s="1">
        <v>45630</v>
      </c>
      <c r="F869" t="s">
        <v>3479</v>
      </c>
      <c r="G869" t="str">
        <f>IF(ISNA(_xlfn.XLOOKUP(subscriptions[[#This Row],[customer_id]], customers[customer_id], customers[customer_id])), "NO", "YES")</f>
        <v>YES</v>
      </c>
      <c r="H869">
        <f>IF(AND(subscriptions[[#This Row],[end_date]]&lt;&gt;"", subscriptions[[#This Row],[end_date]] &lt; subscriptions[[#This Row],[start_date]]), 1, 0)</f>
        <v>0</v>
      </c>
      <c r="I8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69">
        <f>IF(
  AND(subscriptions[[#This Row],[end_before_start]]=0, subscriptions[[#This Row],[status_end_mismatch]]=0),
  1,
  0
)</f>
        <v>1</v>
      </c>
    </row>
    <row r="870" spans="1:10" x14ac:dyDescent="0.3">
      <c r="A870">
        <v>6076086</v>
      </c>
      <c r="B870">
        <v>299742</v>
      </c>
      <c r="C870">
        <v>1008</v>
      </c>
      <c r="D870" s="1">
        <v>45586</v>
      </c>
      <c r="E870" s="1">
        <v>45640</v>
      </c>
      <c r="F870" t="s">
        <v>3479</v>
      </c>
      <c r="G870" t="str">
        <f>IF(ISNA(_xlfn.XLOOKUP(subscriptions[[#This Row],[customer_id]], customers[customer_id], customers[customer_id])), "NO", "YES")</f>
        <v>YES</v>
      </c>
      <c r="H870">
        <f>IF(AND(subscriptions[[#This Row],[end_date]]&lt;&gt;"", subscriptions[[#This Row],[end_date]] &lt; subscriptions[[#This Row],[start_date]]), 1, 0)</f>
        <v>0</v>
      </c>
      <c r="I8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0">
        <f>IF(
  AND(subscriptions[[#This Row],[end_before_start]]=0, subscriptions[[#This Row],[status_end_mismatch]]=0),
  1,
  0
)</f>
        <v>1</v>
      </c>
    </row>
    <row r="871" spans="1:10" x14ac:dyDescent="0.3">
      <c r="A871">
        <v>7597584</v>
      </c>
      <c r="B871">
        <v>629663</v>
      </c>
      <c r="C871">
        <v>1004</v>
      </c>
      <c r="D871" s="1">
        <v>45334</v>
      </c>
      <c r="E871" s="1">
        <v>45642</v>
      </c>
      <c r="F871" t="s">
        <v>3479</v>
      </c>
      <c r="G871" t="str">
        <f>IF(ISNA(_xlfn.XLOOKUP(subscriptions[[#This Row],[customer_id]], customers[customer_id], customers[customer_id])), "NO", "YES")</f>
        <v>YES</v>
      </c>
      <c r="H871">
        <f>IF(AND(subscriptions[[#This Row],[end_date]]&lt;&gt;"", subscriptions[[#This Row],[end_date]] &lt; subscriptions[[#This Row],[start_date]]), 1, 0)</f>
        <v>0</v>
      </c>
      <c r="I8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1">
        <f>IF(
  AND(subscriptions[[#This Row],[end_before_start]]=0, subscriptions[[#This Row],[status_end_mismatch]]=0),
  1,
  0
)</f>
        <v>1</v>
      </c>
    </row>
    <row r="872" spans="1:10" x14ac:dyDescent="0.3">
      <c r="A872">
        <v>6955771</v>
      </c>
      <c r="B872">
        <v>194834</v>
      </c>
      <c r="C872">
        <v>1009</v>
      </c>
      <c r="D872" s="1">
        <v>45200</v>
      </c>
      <c r="E872" s="1">
        <v>45392</v>
      </c>
      <c r="F872" t="s">
        <v>3479</v>
      </c>
      <c r="G872" t="str">
        <f>IF(ISNA(_xlfn.XLOOKUP(subscriptions[[#This Row],[customer_id]], customers[customer_id], customers[customer_id])), "NO", "YES")</f>
        <v>YES</v>
      </c>
      <c r="H872">
        <f>IF(AND(subscriptions[[#This Row],[end_date]]&lt;&gt;"", subscriptions[[#This Row],[end_date]] &lt; subscriptions[[#This Row],[start_date]]), 1, 0)</f>
        <v>0</v>
      </c>
      <c r="I8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2">
        <f>IF(
  AND(subscriptions[[#This Row],[end_before_start]]=0, subscriptions[[#This Row],[status_end_mismatch]]=0),
  1,
  0
)</f>
        <v>1</v>
      </c>
    </row>
    <row r="873" spans="1:10" x14ac:dyDescent="0.3">
      <c r="A873">
        <v>9903425</v>
      </c>
      <c r="B873">
        <v>321791</v>
      </c>
      <c r="C873">
        <v>1005</v>
      </c>
      <c r="D873" s="1">
        <v>44722</v>
      </c>
      <c r="E873" s="1">
        <v>44861</v>
      </c>
      <c r="F873" t="s">
        <v>3479</v>
      </c>
      <c r="G873" t="str">
        <f>IF(ISNA(_xlfn.XLOOKUP(subscriptions[[#This Row],[customer_id]], customers[customer_id], customers[customer_id])), "NO", "YES")</f>
        <v>YES</v>
      </c>
      <c r="H873">
        <f>IF(AND(subscriptions[[#This Row],[end_date]]&lt;&gt;"", subscriptions[[#This Row],[end_date]] &lt; subscriptions[[#This Row],[start_date]]), 1, 0)</f>
        <v>0</v>
      </c>
      <c r="I8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3">
        <f>IF(
  AND(subscriptions[[#This Row],[end_before_start]]=0, subscriptions[[#This Row],[status_end_mismatch]]=0),
  1,
  0
)</f>
        <v>1</v>
      </c>
    </row>
    <row r="874" spans="1:10" x14ac:dyDescent="0.3">
      <c r="A874">
        <v>3786969</v>
      </c>
      <c r="B874">
        <v>403257</v>
      </c>
      <c r="C874">
        <v>1001</v>
      </c>
      <c r="D874" s="1">
        <v>45130</v>
      </c>
      <c r="E874" s="1">
        <v>45383</v>
      </c>
      <c r="F874" t="s">
        <v>3479</v>
      </c>
      <c r="G874" t="str">
        <f>IF(ISNA(_xlfn.XLOOKUP(subscriptions[[#This Row],[customer_id]], customers[customer_id], customers[customer_id])), "NO", "YES")</f>
        <v>YES</v>
      </c>
      <c r="H874">
        <f>IF(AND(subscriptions[[#This Row],[end_date]]&lt;&gt;"", subscriptions[[#This Row],[end_date]] &lt; subscriptions[[#This Row],[start_date]]), 1, 0)</f>
        <v>0</v>
      </c>
      <c r="I8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4">
        <f>IF(
  AND(subscriptions[[#This Row],[end_before_start]]=0, subscriptions[[#This Row],[status_end_mismatch]]=0),
  1,
  0
)</f>
        <v>1</v>
      </c>
    </row>
    <row r="875" spans="1:10" x14ac:dyDescent="0.3">
      <c r="A875">
        <v>8409604</v>
      </c>
      <c r="B875">
        <v>796212</v>
      </c>
      <c r="C875">
        <v>1000</v>
      </c>
      <c r="D875" s="1">
        <v>45565</v>
      </c>
      <c r="E875" s="1">
        <v>45636</v>
      </c>
      <c r="F875" t="s">
        <v>3479</v>
      </c>
      <c r="G875" t="str">
        <f>IF(ISNA(_xlfn.XLOOKUP(subscriptions[[#This Row],[customer_id]], customers[customer_id], customers[customer_id])), "NO", "YES")</f>
        <v>YES</v>
      </c>
      <c r="H875">
        <f>IF(AND(subscriptions[[#This Row],[end_date]]&lt;&gt;"", subscriptions[[#This Row],[end_date]] &lt; subscriptions[[#This Row],[start_date]]), 1, 0)</f>
        <v>0</v>
      </c>
      <c r="I8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5">
        <f>IF(
  AND(subscriptions[[#This Row],[end_before_start]]=0, subscriptions[[#This Row],[status_end_mismatch]]=0),
  1,
  0
)</f>
        <v>1</v>
      </c>
    </row>
    <row r="876" spans="1:10" x14ac:dyDescent="0.3">
      <c r="A876">
        <v>3017289</v>
      </c>
      <c r="B876">
        <v>899502</v>
      </c>
      <c r="C876">
        <v>1008</v>
      </c>
      <c r="D876" s="1">
        <v>45453</v>
      </c>
      <c r="E876" s="1">
        <v>45574</v>
      </c>
      <c r="F876" t="s">
        <v>3479</v>
      </c>
      <c r="G876" t="str">
        <f>IF(ISNA(_xlfn.XLOOKUP(subscriptions[[#This Row],[customer_id]], customers[customer_id], customers[customer_id])), "NO", "YES")</f>
        <v>YES</v>
      </c>
      <c r="H876">
        <f>IF(AND(subscriptions[[#This Row],[end_date]]&lt;&gt;"", subscriptions[[#This Row],[end_date]] &lt; subscriptions[[#This Row],[start_date]]), 1, 0)</f>
        <v>0</v>
      </c>
      <c r="I8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6">
        <f>IF(
  AND(subscriptions[[#This Row],[end_before_start]]=0, subscriptions[[#This Row],[status_end_mismatch]]=0),
  1,
  0
)</f>
        <v>1</v>
      </c>
    </row>
    <row r="877" spans="1:10" x14ac:dyDescent="0.3">
      <c r="A877">
        <v>1424388</v>
      </c>
      <c r="B877">
        <v>288274</v>
      </c>
      <c r="C877">
        <v>1001</v>
      </c>
      <c r="D877" s="1">
        <v>45310</v>
      </c>
      <c r="E877" s="1">
        <v>45646</v>
      </c>
      <c r="F877" t="s">
        <v>3479</v>
      </c>
      <c r="G877" t="str">
        <f>IF(ISNA(_xlfn.XLOOKUP(subscriptions[[#This Row],[customer_id]], customers[customer_id], customers[customer_id])), "NO", "YES")</f>
        <v>YES</v>
      </c>
      <c r="H877">
        <f>IF(AND(subscriptions[[#This Row],[end_date]]&lt;&gt;"", subscriptions[[#This Row],[end_date]] &lt; subscriptions[[#This Row],[start_date]]), 1, 0)</f>
        <v>0</v>
      </c>
      <c r="I8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7">
        <f>IF(
  AND(subscriptions[[#This Row],[end_before_start]]=0, subscriptions[[#This Row],[status_end_mismatch]]=0),
  1,
  0
)</f>
        <v>1</v>
      </c>
    </row>
    <row r="878" spans="1:10" x14ac:dyDescent="0.3">
      <c r="A878">
        <v>8114847</v>
      </c>
      <c r="B878">
        <v>265603</v>
      </c>
      <c r="C878">
        <v>1002</v>
      </c>
      <c r="D878" s="1">
        <v>44999</v>
      </c>
      <c r="E878" s="1">
        <v>45126</v>
      </c>
      <c r="F878" t="s">
        <v>3479</v>
      </c>
      <c r="G878" t="str">
        <f>IF(ISNA(_xlfn.XLOOKUP(subscriptions[[#This Row],[customer_id]], customers[customer_id], customers[customer_id])), "NO", "YES")</f>
        <v>YES</v>
      </c>
      <c r="H878">
        <f>IF(AND(subscriptions[[#This Row],[end_date]]&lt;&gt;"", subscriptions[[#This Row],[end_date]] &lt; subscriptions[[#This Row],[start_date]]), 1, 0)</f>
        <v>0</v>
      </c>
      <c r="I8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8">
        <f>IF(
  AND(subscriptions[[#This Row],[end_before_start]]=0, subscriptions[[#This Row],[status_end_mismatch]]=0),
  1,
  0
)</f>
        <v>1</v>
      </c>
    </row>
    <row r="879" spans="1:10" x14ac:dyDescent="0.3">
      <c r="A879">
        <v>7416570</v>
      </c>
      <c r="B879">
        <v>224249</v>
      </c>
      <c r="C879">
        <v>1007</v>
      </c>
      <c r="D879" s="1">
        <v>45328</v>
      </c>
      <c r="E879" s="1"/>
      <c r="F879" t="s">
        <v>3480</v>
      </c>
      <c r="G879" t="str">
        <f>IF(ISNA(_xlfn.XLOOKUP(subscriptions[[#This Row],[customer_id]], customers[customer_id], customers[customer_id])), "NO", "YES")</f>
        <v>YES</v>
      </c>
      <c r="H879">
        <f>IF(AND(subscriptions[[#This Row],[end_date]]&lt;&gt;"", subscriptions[[#This Row],[end_date]] &lt; subscriptions[[#This Row],[start_date]]), 1, 0)</f>
        <v>0</v>
      </c>
      <c r="I8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79">
        <f>IF(
  AND(subscriptions[[#This Row],[end_before_start]]=0, subscriptions[[#This Row],[status_end_mismatch]]=0),
  1,
  0
)</f>
        <v>1</v>
      </c>
    </row>
    <row r="880" spans="1:10" x14ac:dyDescent="0.3">
      <c r="A880">
        <v>1179053</v>
      </c>
      <c r="B880">
        <v>693343</v>
      </c>
      <c r="C880">
        <v>1004</v>
      </c>
      <c r="D880" s="1">
        <v>44963</v>
      </c>
      <c r="E880" s="1"/>
      <c r="F880" t="s">
        <v>3480</v>
      </c>
      <c r="G880" t="str">
        <f>IF(ISNA(_xlfn.XLOOKUP(subscriptions[[#This Row],[customer_id]], customers[customer_id], customers[customer_id])), "NO", "YES")</f>
        <v>YES</v>
      </c>
      <c r="H880">
        <f>IF(AND(subscriptions[[#This Row],[end_date]]&lt;&gt;"", subscriptions[[#This Row],[end_date]] &lt; subscriptions[[#This Row],[start_date]]), 1, 0)</f>
        <v>0</v>
      </c>
      <c r="I8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0">
        <f>IF(
  AND(subscriptions[[#This Row],[end_before_start]]=0, subscriptions[[#This Row],[status_end_mismatch]]=0),
  1,
  0
)</f>
        <v>1</v>
      </c>
    </row>
    <row r="881" spans="1:10" x14ac:dyDescent="0.3">
      <c r="A881">
        <v>9824859</v>
      </c>
      <c r="B881">
        <v>417824</v>
      </c>
      <c r="C881">
        <v>1004</v>
      </c>
      <c r="D881" s="1">
        <v>44961</v>
      </c>
      <c r="E881" s="1"/>
      <c r="F881" t="s">
        <v>3480</v>
      </c>
      <c r="G881" t="str">
        <f>IF(ISNA(_xlfn.XLOOKUP(subscriptions[[#This Row],[customer_id]], customers[customer_id], customers[customer_id])), "NO", "YES")</f>
        <v>YES</v>
      </c>
      <c r="H881">
        <f>IF(AND(subscriptions[[#This Row],[end_date]]&lt;&gt;"", subscriptions[[#This Row],[end_date]] &lt; subscriptions[[#This Row],[start_date]]), 1, 0)</f>
        <v>0</v>
      </c>
      <c r="I8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1">
        <f>IF(
  AND(subscriptions[[#This Row],[end_before_start]]=0, subscriptions[[#This Row],[status_end_mismatch]]=0),
  1,
  0
)</f>
        <v>1</v>
      </c>
    </row>
    <row r="882" spans="1:10" x14ac:dyDescent="0.3">
      <c r="A882">
        <v>6207491</v>
      </c>
      <c r="B882">
        <v>128276</v>
      </c>
      <c r="C882">
        <v>1004</v>
      </c>
      <c r="D882" s="1">
        <v>45234</v>
      </c>
      <c r="E882" s="1"/>
      <c r="F882" t="s">
        <v>3480</v>
      </c>
      <c r="G882" t="str">
        <f>IF(ISNA(_xlfn.XLOOKUP(subscriptions[[#This Row],[customer_id]], customers[customer_id], customers[customer_id])), "NO", "YES")</f>
        <v>YES</v>
      </c>
      <c r="H882">
        <f>IF(AND(subscriptions[[#This Row],[end_date]]&lt;&gt;"", subscriptions[[#This Row],[end_date]] &lt; subscriptions[[#This Row],[start_date]]), 1, 0)</f>
        <v>0</v>
      </c>
      <c r="I8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2">
        <f>IF(
  AND(subscriptions[[#This Row],[end_before_start]]=0, subscriptions[[#This Row],[status_end_mismatch]]=0),
  1,
  0
)</f>
        <v>1</v>
      </c>
    </row>
    <row r="883" spans="1:10" x14ac:dyDescent="0.3">
      <c r="A883">
        <v>7188568</v>
      </c>
      <c r="B883">
        <v>980103</v>
      </c>
      <c r="C883">
        <v>1009</v>
      </c>
      <c r="D883" s="1">
        <v>45081</v>
      </c>
      <c r="E883" s="1"/>
      <c r="F883" t="s">
        <v>3480</v>
      </c>
      <c r="G883" t="str">
        <f>IF(ISNA(_xlfn.XLOOKUP(subscriptions[[#This Row],[customer_id]], customers[customer_id], customers[customer_id])), "NO", "YES")</f>
        <v>YES</v>
      </c>
      <c r="H883">
        <f>IF(AND(subscriptions[[#This Row],[end_date]]&lt;&gt;"", subscriptions[[#This Row],[end_date]] &lt; subscriptions[[#This Row],[start_date]]), 1, 0)</f>
        <v>0</v>
      </c>
      <c r="I8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3">
        <f>IF(
  AND(subscriptions[[#This Row],[end_before_start]]=0, subscriptions[[#This Row],[status_end_mismatch]]=0),
  1,
  0
)</f>
        <v>1</v>
      </c>
    </row>
    <row r="884" spans="1:10" x14ac:dyDescent="0.3">
      <c r="A884">
        <v>1218011</v>
      </c>
      <c r="B884">
        <v>627054</v>
      </c>
      <c r="C884">
        <v>1006</v>
      </c>
      <c r="D884" s="1">
        <v>45121</v>
      </c>
      <c r="E884" s="1"/>
      <c r="F884" t="s">
        <v>3480</v>
      </c>
      <c r="G884" t="str">
        <f>IF(ISNA(_xlfn.XLOOKUP(subscriptions[[#This Row],[customer_id]], customers[customer_id], customers[customer_id])), "NO", "YES")</f>
        <v>YES</v>
      </c>
      <c r="H884">
        <f>IF(AND(subscriptions[[#This Row],[end_date]]&lt;&gt;"", subscriptions[[#This Row],[end_date]] &lt; subscriptions[[#This Row],[start_date]]), 1, 0)</f>
        <v>0</v>
      </c>
      <c r="I8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4">
        <f>IF(
  AND(subscriptions[[#This Row],[end_before_start]]=0, subscriptions[[#This Row],[status_end_mismatch]]=0),
  1,
  0
)</f>
        <v>1</v>
      </c>
    </row>
    <row r="885" spans="1:10" x14ac:dyDescent="0.3">
      <c r="A885">
        <v>5612919</v>
      </c>
      <c r="B885">
        <v>820767</v>
      </c>
      <c r="C885">
        <v>1004</v>
      </c>
      <c r="D885" s="1">
        <v>45542</v>
      </c>
      <c r="E885" s="1"/>
      <c r="F885" t="s">
        <v>3480</v>
      </c>
      <c r="G885" t="str">
        <f>IF(ISNA(_xlfn.XLOOKUP(subscriptions[[#This Row],[customer_id]], customers[customer_id], customers[customer_id])), "NO", "YES")</f>
        <v>YES</v>
      </c>
      <c r="H885">
        <f>IF(AND(subscriptions[[#This Row],[end_date]]&lt;&gt;"", subscriptions[[#This Row],[end_date]] &lt; subscriptions[[#This Row],[start_date]]), 1, 0)</f>
        <v>0</v>
      </c>
      <c r="I8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5">
        <f>IF(
  AND(subscriptions[[#This Row],[end_before_start]]=0, subscriptions[[#This Row],[status_end_mismatch]]=0),
  1,
  0
)</f>
        <v>1</v>
      </c>
    </row>
    <row r="886" spans="1:10" x14ac:dyDescent="0.3">
      <c r="A886">
        <v>5245272</v>
      </c>
      <c r="B886">
        <v>299742</v>
      </c>
      <c r="C886">
        <v>1005</v>
      </c>
      <c r="D886" s="1">
        <v>45123</v>
      </c>
      <c r="E886" s="1">
        <v>45445</v>
      </c>
      <c r="F886" t="s">
        <v>3479</v>
      </c>
      <c r="G886" t="str">
        <f>IF(ISNA(_xlfn.XLOOKUP(subscriptions[[#This Row],[customer_id]], customers[customer_id], customers[customer_id])), "NO", "YES")</f>
        <v>YES</v>
      </c>
      <c r="H886">
        <f>IF(AND(subscriptions[[#This Row],[end_date]]&lt;&gt;"", subscriptions[[#This Row],[end_date]] &lt; subscriptions[[#This Row],[start_date]]), 1, 0)</f>
        <v>0</v>
      </c>
      <c r="I8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6">
        <f>IF(
  AND(subscriptions[[#This Row],[end_before_start]]=0, subscriptions[[#This Row],[status_end_mismatch]]=0),
  1,
  0
)</f>
        <v>1</v>
      </c>
    </row>
    <row r="887" spans="1:10" x14ac:dyDescent="0.3">
      <c r="A887">
        <v>1510471</v>
      </c>
      <c r="B887">
        <v>232981</v>
      </c>
      <c r="C887">
        <v>1000</v>
      </c>
      <c r="D887" s="1">
        <v>45526</v>
      </c>
      <c r="E887" s="1">
        <v>45643</v>
      </c>
      <c r="F887" t="s">
        <v>3479</v>
      </c>
      <c r="G887" t="str">
        <f>IF(ISNA(_xlfn.XLOOKUP(subscriptions[[#This Row],[customer_id]], customers[customer_id], customers[customer_id])), "NO", "YES")</f>
        <v>YES</v>
      </c>
      <c r="H887">
        <f>IF(AND(subscriptions[[#This Row],[end_date]]&lt;&gt;"", subscriptions[[#This Row],[end_date]] &lt; subscriptions[[#This Row],[start_date]]), 1, 0)</f>
        <v>0</v>
      </c>
      <c r="I8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7">
        <f>IF(
  AND(subscriptions[[#This Row],[end_before_start]]=0, subscriptions[[#This Row],[status_end_mismatch]]=0),
  1,
  0
)</f>
        <v>1</v>
      </c>
    </row>
    <row r="888" spans="1:10" x14ac:dyDescent="0.3">
      <c r="A888">
        <v>9225877</v>
      </c>
      <c r="B888">
        <v>365271</v>
      </c>
      <c r="C888">
        <v>1001</v>
      </c>
      <c r="D888" s="1">
        <v>44917</v>
      </c>
      <c r="E888" s="1"/>
      <c r="F888" t="s">
        <v>3480</v>
      </c>
      <c r="G888" t="str">
        <f>IF(ISNA(_xlfn.XLOOKUP(subscriptions[[#This Row],[customer_id]], customers[customer_id], customers[customer_id])), "NO", "YES")</f>
        <v>YES</v>
      </c>
      <c r="H888">
        <f>IF(AND(subscriptions[[#This Row],[end_date]]&lt;&gt;"", subscriptions[[#This Row],[end_date]] &lt; subscriptions[[#This Row],[start_date]]), 1, 0)</f>
        <v>0</v>
      </c>
      <c r="I8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8">
        <f>IF(
  AND(subscriptions[[#This Row],[end_before_start]]=0, subscriptions[[#This Row],[status_end_mismatch]]=0),
  1,
  0
)</f>
        <v>1</v>
      </c>
    </row>
    <row r="889" spans="1:10" x14ac:dyDescent="0.3">
      <c r="A889">
        <v>2742939</v>
      </c>
      <c r="B889">
        <v>617488</v>
      </c>
      <c r="C889">
        <v>1006</v>
      </c>
      <c r="D889" s="1">
        <v>44640</v>
      </c>
      <c r="E889" s="1"/>
      <c r="F889" t="s">
        <v>3480</v>
      </c>
      <c r="G889" t="str">
        <f>IF(ISNA(_xlfn.XLOOKUP(subscriptions[[#This Row],[customer_id]], customers[customer_id], customers[customer_id])), "NO", "YES")</f>
        <v>YES</v>
      </c>
      <c r="H889">
        <f>IF(AND(subscriptions[[#This Row],[end_date]]&lt;&gt;"", subscriptions[[#This Row],[end_date]] &lt; subscriptions[[#This Row],[start_date]]), 1, 0)</f>
        <v>0</v>
      </c>
      <c r="I8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89">
        <f>IF(
  AND(subscriptions[[#This Row],[end_before_start]]=0, subscriptions[[#This Row],[status_end_mismatch]]=0),
  1,
  0
)</f>
        <v>1</v>
      </c>
    </row>
    <row r="890" spans="1:10" x14ac:dyDescent="0.3">
      <c r="A890">
        <v>3570131</v>
      </c>
      <c r="B890">
        <v>412071</v>
      </c>
      <c r="C890">
        <v>1005</v>
      </c>
      <c r="D890" s="1">
        <v>44924</v>
      </c>
      <c r="E890" s="1">
        <v>45021</v>
      </c>
      <c r="F890" t="s">
        <v>3479</v>
      </c>
      <c r="G890" t="str">
        <f>IF(ISNA(_xlfn.XLOOKUP(subscriptions[[#This Row],[customer_id]], customers[customer_id], customers[customer_id])), "NO", "YES")</f>
        <v>YES</v>
      </c>
      <c r="H890">
        <f>IF(AND(subscriptions[[#This Row],[end_date]]&lt;&gt;"", subscriptions[[#This Row],[end_date]] &lt; subscriptions[[#This Row],[start_date]]), 1, 0)</f>
        <v>0</v>
      </c>
      <c r="I8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0">
        <f>IF(
  AND(subscriptions[[#This Row],[end_before_start]]=0, subscriptions[[#This Row],[status_end_mismatch]]=0),
  1,
  0
)</f>
        <v>1</v>
      </c>
    </row>
    <row r="891" spans="1:10" x14ac:dyDescent="0.3">
      <c r="A891">
        <v>2389566</v>
      </c>
      <c r="B891">
        <v>764873</v>
      </c>
      <c r="C891">
        <v>1001</v>
      </c>
      <c r="D891" s="1">
        <v>45421</v>
      </c>
      <c r="E891" s="1">
        <v>45512</v>
      </c>
      <c r="F891" t="s">
        <v>3479</v>
      </c>
      <c r="G891" t="str">
        <f>IF(ISNA(_xlfn.XLOOKUP(subscriptions[[#This Row],[customer_id]], customers[customer_id], customers[customer_id])), "NO", "YES")</f>
        <v>YES</v>
      </c>
      <c r="H891">
        <f>IF(AND(subscriptions[[#This Row],[end_date]]&lt;&gt;"", subscriptions[[#This Row],[end_date]] &lt; subscriptions[[#This Row],[start_date]]), 1, 0)</f>
        <v>0</v>
      </c>
      <c r="I8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1">
        <f>IF(
  AND(subscriptions[[#This Row],[end_before_start]]=0, subscriptions[[#This Row],[status_end_mismatch]]=0),
  1,
  0
)</f>
        <v>1</v>
      </c>
    </row>
    <row r="892" spans="1:10" x14ac:dyDescent="0.3">
      <c r="A892">
        <v>1940329</v>
      </c>
      <c r="B892">
        <v>578975</v>
      </c>
      <c r="C892">
        <v>1006</v>
      </c>
      <c r="D892" s="1">
        <v>45470</v>
      </c>
      <c r="E892" s="1">
        <v>45531</v>
      </c>
      <c r="F892" t="s">
        <v>3479</v>
      </c>
      <c r="G892" t="str">
        <f>IF(ISNA(_xlfn.XLOOKUP(subscriptions[[#This Row],[customer_id]], customers[customer_id], customers[customer_id])), "NO", "YES")</f>
        <v>YES</v>
      </c>
      <c r="H892">
        <f>IF(AND(subscriptions[[#This Row],[end_date]]&lt;&gt;"", subscriptions[[#This Row],[end_date]] &lt; subscriptions[[#This Row],[start_date]]), 1, 0)</f>
        <v>0</v>
      </c>
      <c r="I8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2">
        <f>IF(
  AND(subscriptions[[#This Row],[end_before_start]]=0, subscriptions[[#This Row],[status_end_mismatch]]=0),
  1,
  0
)</f>
        <v>1</v>
      </c>
    </row>
    <row r="893" spans="1:10" x14ac:dyDescent="0.3">
      <c r="A893">
        <v>6272014</v>
      </c>
      <c r="B893">
        <v>138815</v>
      </c>
      <c r="C893">
        <v>1001</v>
      </c>
      <c r="D893" s="1">
        <v>44761</v>
      </c>
      <c r="E893" s="1">
        <v>44933</v>
      </c>
      <c r="F893" t="s">
        <v>3479</v>
      </c>
      <c r="G893" t="str">
        <f>IF(ISNA(_xlfn.XLOOKUP(subscriptions[[#This Row],[customer_id]], customers[customer_id], customers[customer_id])), "NO", "YES")</f>
        <v>YES</v>
      </c>
      <c r="H893">
        <f>IF(AND(subscriptions[[#This Row],[end_date]]&lt;&gt;"", subscriptions[[#This Row],[end_date]] &lt; subscriptions[[#This Row],[start_date]]), 1, 0)</f>
        <v>0</v>
      </c>
      <c r="I8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3">
        <f>IF(
  AND(subscriptions[[#This Row],[end_before_start]]=0, subscriptions[[#This Row],[status_end_mismatch]]=0),
  1,
  0
)</f>
        <v>1</v>
      </c>
    </row>
    <row r="894" spans="1:10" x14ac:dyDescent="0.3">
      <c r="A894">
        <v>4257839</v>
      </c>
      <c r="B894">
        <v>399817</v>
      </c>
      <c r="C894">
        <v>1003</v>
      </c>
      <c r="D894" s="1">
        <v>44596</v>
      </c>
      <c r="E894" s="1"/>
      <c r="F894" t="s">
        <v>3480</v>
      </c>
      <c r="G894" t="str">
        <f>IF(ISNA(_xlfn.XLOOKUP(subscriptions[[#This Row],[customer_id]], customers[customer_id], customers[customer_id])), "NO", "YES")</f>
        <v>YES</v>
      </c>
      <c r="H894">
        <f>IF(AND(subscriptions[[#This Row],[end_date]]&lt;&gt;"", subscriptions[[#This Row],[end_date]] &lt; subscriptions[[#This Row],[start_date]]), 1, 0)</f>
        <v>0</v>
      </c>
      <c r="I8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4">
        <f>IF(
  AND(subscriptions[[#This Row],[end_before_start]]=0, subscriptions[[#This Row],[status_end_mismatch]]=0),
  1,
  0
)</f>
        <v>1</v>
      </c>
    </row>
    <row r="895" spans="1:10" x14ac:dyDescent="0.3">
      <c r="A895">
        <v>6309658</v>
      </c>
      <c r="B895">
        <v>559469</v>
      </c>
      <c r="C895">
        <v>1002</v>
      </c>
      <c r="D895" s="1">
        <v>44908</v>
      </c>
      <c r="E895" s="1">
        <v>45238</v>
      </c>
      <c r="F895" t="s">
        <v>3479</v>
      </c>
      <c r="G895" t="str">
        <f>IF(ISNA(_xlfn.XLOOKUP(subscriptions[[#This Row],[customer_id]], customers[customer_id], customers[customer_id])), "NO", "YES")</f>
        <v>YES</v>
      </c>
      <c r="H895">
        <f>IF(AND(subscriptions[[#This Row],[end_date]]&lt;&gt;"", subscriptions[[#This Row],[end_date]] &lt; subscriptions[[#This Row],[start_date]]), 1, 0)</f>
        <v>0</v>
      </c>
      <c r="I8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5">
        <f>IF(
  AND(subscriptions[[#This Row],[end_before_start]]=0, subscriptions[[#This Row],[status_end_mismatch]]=0),
  1,
  0
)</f>
        <v>1</v>
      </c>
    </row>
    <row r="896" spans="1:10" x14ac:dyDescent="0.3">
      <c r="A896">
        <v>7144765</v>
      </c>
      <c r="B896">
        <v>982023</v>
      </c>
      <c r="C896">
        <v>1004</v>
      </c>
      <c r="D896" s="1">
        <v>44591</v>
      </c>
      <c r="E896" s="1">
        <v>44827</v>
      </c>
      <c r="F896" t="s">
        <v>3479</v>
      </c>
      <c r="G896" t="str">
        <f>IF(ISNA(_xlfn.XLOOKUP(subscriptions[[#This Row],[customer_id]], customers[customer_id], customers[customer_id])), "NO", "YES")</f>
        <v>YES</v>
      </c>
      <c r="H896">
        <f>IF(AND(subscriptions[[#This Row],[end_date]]&lt;&gt;"", subscriptions[[#This Row],[end_date]] &lt; subscriptions[[#This Row],[start_date]]), 1, 0)</f>
        <v>0</v>
      </c>
      <c r="I8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6">
        <f>IF(
  AND(subscriptions[[#This Row],[end_before_start]]=0, subscriptions[[#This Row],[status_end_mismatch]]=0),
  1,
  0
)</f>
        <v>1</v>
      </c>
    </row>
    <row r="897" spans="1:10" x14ac:dyDescent="0.3">
      <c r="A897">
        <v>7985675</v>
      </c>
      <c r="B897">
        <v>983456</v>
      </c>
      <c r="C897">
        <v>1008</v>
      </c>
      <c r="D897" s="1">
        <v>44687</v>
      </c>
      <c r="E897" s="1"/>
      <c r="F897" t="s">
        <v>3480</v>
      </c>
      <c r="G897" t="str">
        <f>IF(ISNA(_xlfn.XLOOKUP(subscriptions[[#This Row],[customer_id]], customers[customer_id], customers[customer_id])), "NO", "YES")</f>
        <v>YES</v>
      </c>
      <c r="H897">
        <f>IF(AND(subscriptions[[#This Row],[end_date]]&lt;&gt;"", subscriptions[[#This Row],[end_date]] &lt; subscriptions[[#This Row],[start_date]]), 1, 0)</f>
        <v>0</v>
      </c>
      <c r="I8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7">
        <f>IF(
  AND(subscriptions[[#This Row],[end_before_start]]=0, subscriptions[[#This Row],[status_end_mismatch]]=0),
  1,
  0
)</f>
        <v>1</v>
      </c>
    </row>
    <row r="898" spans="1:10" x14ac:dyDescent="0.3">
      <c r="A898">
        <v>9414204</v>
      </c>
      <c r="B898">
        <v>369670</v>
      </c>
      <c r="C898">
        <v>1002</v>
      </c>
      <c r="D898" s="1">
        <v>44864</v>
      </c>
      <c r="E898" s="1">
        <v>44936</v>
      </c>
      <c r="F898" t="s">
        <v>3479</v>
      </c>
      <c r="G898" t="str">
        <f>IF(ISNA(_xlfn.XLOOKUP(subscriptions[[#This Row],[customer_id]], customers[customer_id], customers[customer_id])), "NO", "YES")</f>
        <v>YES</v>
      </c>
      <c r="H898">
        <f>IF(AND(subscriptions[[#This Row],[end_date]]&lt;&gt;"", subscriptions[[#This Row],[end_date]] &lt; subscriptions[[#This Row],[start_date]]), 1, 0)</f>
        <v>0</v>
      </c>
      <c r="I8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8">
        <f>IF(
  AND(subscriptions[[#This Row],[end_before_start]]=0, subscriptions[[#This Row],[status_end_mismatch]]=0),
  1,
  0
)</f>
        <v>1</v>
      </c>
    </row>
    <row r="899" spans="1:10" x14ac:dyDescent="0.3">
      <c r="A899">
        <v>3895499</v>
      </c>
      <c r="B899">
        <v>354235</v>
      </c>
      <c r="C899">
        <v>1003</v>
      </c>
      <c r="D899" s="1">
        <v>45470</v>
      </c>
      <c r="E899" s="1"/>
      <c r="F899" t="s">
        <v>3480</v>
      </c>
      <c r="G899" t="str">
        <f>IF(ISNA(_xlfn.XLOOKUP(subscriptions[[#This Row],[customer_id]], customers[customer_id], customers[customer_id])), "NO", "YES")</f>
        <v>YES</v>
      </c>
      <c r="H899">
        <f>IF(AND(subscriptions[[#This Row],[end_date]]&lt;&gt;"", subscriptions[[#This Row],[end_date]] &lt; subscriptions[[#This Row],[start_date]]), 1, 0)</f>
        <v>0</v>
      </c>
      <c r="I8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899">
        <f>IF(
  AND(subscriptions[[#This Row],[end_before_start]]=0, subscriptions[[#This Row],[status_end_mismatch]]=0),
  1,
  0
)</f>
        <v>1</v>
      </c>
    </row>
    <row r="900" spans="1:10" x14ac:dyDescent="0.3">
      <c r="A900">
        <v>4333354</v>
      </c>
      <c r="B900">
        <v>844037</v>
      </c>
      <c r="C900">
        <v>1006</v>
      </c>
      <c r="D900" s="1">
        <v>45597</v>
      </c>
      <c r="E900" s="1"/>
      <c r="F900" t="s">
        <v>3480</v>
      </c>
      <c r="G900" t="str">
        <f>IF(ISNA(_xlfn.XLOOKUP(subscriptions[[#This Row],[customer_id]], customers[customer_id], customers[customer_id])), "NO", "YES")</f>
        <v>YES</v>
      </c>
      <c r="H900">
        <f>IF(AND(subscriptions[[#This Row],[end_date]]&lt;&gt;"", subscriptions[[#This Row],[end_date]] &lt; subscriptions[[#This Row],[start_date]]), 1, 0)</f>
        <v>0</v>
      </c>
      <c r="I9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0">
        <f>IF(
  AND(subscriptions[[#This Row],[end_before_start]]=0, subscriptions[[#This Row],[status_end_mismatch]]=0),
  1,
  0
)</f>
        <v>1</v>
      </c>
    </row>
    <row r="901" spans="1:10" x14ac:dyDescent="0.3">
      <c r="A901">
        <v>1054096</v>
      </c>
      <c r="B901">
        <v>870214</v>
      </c>
      <c r="C901">
        <v>1008</v>
      </c>
      <c r="D901" s="1">
        <v>45199</v>
      </c>
      <c r="E901" s="1"/>
      <c r="F901" t="s">
        <v>3480</v>
      </c>
      <c r="G901" t="str">
        <f>IF(ISNA(_xlfn.XLOOKUP(subscriptions[[#This Row],[customer_id]], customers[customer_id], customers[customer_id])), "NO", "YES")</f>
        <v>YES</v>
      </c>
      <c r="H901">
        <f>IF(AND(subscriptions[[#This Row],[end_date]]&lt;&gt;"", subscriptions[[#This Row],[end_date]] &lt; subscriptions[[#This Row],[start_date]]), 1, 0)</f>
        <v>0</v>
      </c>
      <c r="I9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1">
        <f>IF(
  AND(subscriptions[[#This Row],[end_before_start]]=0, subscriptions[[#This Row],[status_end_mismatch]]=0),
  1,
  0
)</f>
        <v>1</v>
      </c>
    </row>
    <row r="902" spans="1:10" x14ac:dyDescent="0.3">
      <c r="A902">
        <v>6883514</v>
      </c>
      <c r="B902">
        <v>645209</v>
      </c>
      <c r="C902">
        <v>1004</v>
      </c>
      <c r="D902" s="1">
        <v>44803</v>
      </c>
      <c r="E902" s="1"/>
      <c r="F902" t="s">
        <v>3480</v>
      </c>
      <c r="G902" t="str">
        <f>IF(ISNA(_xlfn.XLOOKUP(subscriptions[[#This Row],[customer_id]], customers[customer_id], customers[customer_id])), "NO", "YES")</f>
        <v>YES</v>
      </c>
      <c r="H902">
        <f>IF(AND(subscriptions[[#This Row],[end_date]]&lt;&gt;"", subscriptions[[#This Row],[end_date]] &lt; subscriptions[[#This Row],[start_date]]), 1, 0)</f>
        <v>0</v>
      </c>
      <c r="I9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2">
        <f>IF(
  AND(subscriptions[[#This Row],[end_before_start]]=0, subscriptions[[#This Row],[status_end_mismatch]]=0),
  1,
  0
)</f>
        <v>1</v>
      </c>
    </row>
    <row r="903" spans="1:10" x14ac:dyDescent="0.3">
      <c r="A903">
        <v>2444438</v>
      </c>
      <c r="B903">
        <v>810219</v>
      </c>
      <c r="C903">
        <v>1002</v>
      </c>
      <c r="D903" s="1">
        <v>45510</v>
      </c>
      <c r="E903" s="1"/>
      <c r="F903" t="s">
        <v>3480</v>
      </c>
      <c r="G903" t="str">
        <f>IF(ISNA(_xlfn.XLOOKUP(subscriptions[[#This Row],[customer_id]], customers[customer_id], customers[customer_id])), "NO", "YES")</f>
        <v>YES</v>
      </c>
      <c r="H903">
        <f>IF(AND(subscriptions[[#This Row],[end_date]]&lt;&gt;"", subscriptions[[#This Row],[end_date]] &lt; subscriptions[[#This Row],[start_date]]), 1, 0)</f>
        <v>0</v>
      </c>
      <c r="I9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3">
        <f>IF(
  AND(subscriptions[[#This Row],[end_before_start]]=0, subscriptions[[#This Row],[status_end_mismatch]]=0),
  1,
  0
)</f>
        <v>1</v>
      </c>
    </row>
    <row r="904" spans="1:10" x14ac:dyDescent="0.3">
      <c r="A904">
        <v>2519373</v>
      </c>
      <c r="B904">
        <v>853489</v>
      </c>
      <c r="C904">
        <v>1007</v>
      </c>
      <c r="D904" s="1">
        <v>44935</v>
      </c>
      <c r="E904" s="1">
        <v>45060</v>
      </c>
      <c r="F904" t="s">
        <v>3479</v>
      </c>
      <c r="G904" t="str">
        <f>IF(ISNA(_xlfn.XLOOKUP(subscriptions[[#This Row],[customer_id]], customers[customer_id], customers[customer_id])), "NO", "YES")</f>
        <v>YES</v>
      </c>
      <c r="H904">
        <f>IF(AND(subscriptions[[#This Row],[end_date]]&lt;&gt;"", subscriptions[[#This Row],[end_date]] &lt; subscriptions[[#This Row],[start_date]]), 1, 0)</f>
        <v>0</v>
      </c>
      <c r="I9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4">
        <f>IF(
  AND(subscriptions[[#This Row],[end_before_start]]=0, subscriptions[[#This Row],[status_end_mismatch]]=0),
  1,
  0
)</f>
        <v>1</v>
      </c>
    </row>
    <row r="905" spans="1:10" x14ac:dyDescent="0.3">
      <c r="A905">
        <v>6326787</v>
      </c>
      <c r="B905">
        <v>612977</v>
      </c>
      <c r="C905">
        <v>1001</v>
      </c>
      <c r="D905" s="1">
        <v>44603</v>
      </c>
      <c r="E905" s="1">
        <v>44638</v>
      </c>
      <c r="F905" t="s">
        <v>3479</v>
      </c>
      <c r="G905" t="str">
        <f>IF(ISNA(_xlfn.XLOOKUP(subscriptions[[#This Row],[customer_id]], customers[customer_id], customers[customer_id])), "NO", "YES")</f>
        <v>YES</v>
      </c>
      <c r="H905">
        <f>IF(AND(subscriptions[[#This Row],[end_date]]&lt;&gt;"", subscriptions[[#This Row],[end_date]] &lt; subscriptions[[#This Row],[start_date]]), 1, 0)</f>
        <v>0</v>
      </c>
      <c r="I9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5">
        <f>IF(
  AND(subscriptions[[#This Row],[end_before_start]]=0, subscriptions[[#This Row],[status_end_mismatch]]=0),
  1,
  0
)</f>
        <v>1</v>
      </c>
    </row>
    <row r="906" spans="1:10" x14ac:dyDescent="0.3">
      <c r="A906">
        <v>4649478</v>
      </c>
      <c r="B906">
        <v>709303</v>
      </c>
      <c r="C906">
        <v>1000</v>
      </c>
      <c r="D906" s="1">
        <v>45329</v>
      </c>
      <c r="E906" s="1"/>
      <c r="F906" t="s">
        <v>3480</v>
      </c>
      <c r="G906" t="str">
        <f>IF(ISNA(_xlfn.XLOOKUP(subscriptions[[#This Row],[customer_id]], customers[customer_id], customers[customer_id])), "NO", "YES")</f>
        <v>YES</v>
      </c>
      <c r="H906">
        <f>IF(AND(subscriptions[[#This Row],[end_date]]&lt;&gt;"", subscriptions[[#This Row],[end_date]] &lt; subscriptions[[#This Row],[start_date]]), 1, 0)</f>
        <v>0</v>
      </c>
      <c r="I9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6">
        <f>IF(
  AND(subscriptions[[#This Row],[end_before_start]]=0, subscriptions[[#This Row],[status_end_mismatch]]=0),
  1,
  0
)</f>
        <v>1</v>
      </c>
    </row>
    <row r="907" spans="1:10" x14ac:dyDescent="0.3">
      <c r="A907">
        <v>5139478</v>
      </c>
      <c r="B907">
        <v>969993</v>
      </c>
      <c r="C907">
        <v>1002</v>
      </c>
      <c r="D907" s="1">
        <v>45192</v>
      </c>
      <c r="E907" s="1">
        <v>45550</v>
      </c>
      <c r="F907" t="s">
        <v>3479</v>
      </c>
      <c r="G907" t="str">
        <f>IF(ISNA(_xlfn.XLOOKUP(subscriptions[[#This Row],[customer_id]], customers[customer_id], customers[customer_id])), "NO", "YES")</f>
        <v>YES</v>
      </c>
      <c r="H907">
        <f>IF(AND(subscriptions[[#This Row],[end_date]]&lt;&gt;"", subscriptions[[#This Row],[end_date]] &lt; subscriptions[[#This Row],[start_date]]), 1, 0)</f>
        <v>0</v>
      </c>
      <c r="I9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7">
        <f>IF(
  AND(subscriptions[[#This Row],[end_before_start]]=0, subscriptions[[#This Row],[status_end_mismatch]]=0),
  1,
  0
)</f>
        <v>1</v>
      </c>
    </row>
    <row r="908" spans="1:10" x14ac:dyDescent="0.3">
      <c r="A908">
        <v>4205892</v>
      </c>
      <c r="B908">
        <v>468154</v>
      </c>
      <c r="C908">
        <v>1006</v>
      </c>
      <c r="D908" s="1">
        <v>44833</v>
      </c>
      <c r="E908" s="1"/>
      <c r="F908" t="s">
        <v>3480</v>
      </c>
      <c r="G908" t="str">
        <f>IF(ISNA(_xlfn.XLOOKUP(subscriptions[[#This Row],[customer_id]], customers[customer_id], customers[customer_id])), "NO", "YES")</f>
        <v>YES</v>
      </c>
      <c r="H908">
        <f>IF(AND(subscriptions[[#This Row],[end_date]]&lt;&gt;"", subscriptions[[#This Row],[end_date]] &lt; subscriptions[[#This Row],[start_date]]), 1, 0)</f>
        <v>0</v>
      </c>
      <c r="I9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8">
        <f>IF(
  AND(subscriptions[[#This Row],[end_before_start]]=0, subscriptions[[#This Row],[status_end_mismatch]]=0),
  1,
  0
)</f>
        <v>1</v>
      </c>
    </row>
    <row r="909" spans="1:10" x14ac:dyDescent="0.3">
      <c r="A909">
        <v>7363773</v>
      </c>
      <c r="B909">
        <v>819656</v>
      </c>
      <c r="C909">
        <v>1006</v>
      </c>
      <c r="D909" s="1">
        <v>45149</v>
      </c>
      <c r="E909" s="1"/>
      <c r="F909" t="s">
        <v>3480</v>
      </c>
      <c r="G909" t="str">
        <f>IF(ISNA(_xlfn.XLOOKUP(subscriptions[[#This Row],[customer_id]], customers[customer_id], customers[customer_id])), "NO", "YES")</f>
        <v>YES</v>
      </c>
      <c r="H909">
        <f>IF(AND(subscriptions[[#This Row],[end_date]]&lt;&gt;"", subscriptions[[#This Row],[end_date]] &lt; subscriptions[[#This Row],[start_date]]), 1, 0)</f>
        <v>0</v>
      </c>
      <c r="I9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09">
        <f>IF(
  AND(subscriptions[[#This Row],[end_before_start]]=0, subscriptions[[#This Row],[status_end_mismatch]]=0),
  1,
  0
)</f>
        <v>1</v>
      </c>
    </row>
    <row r="910" spans="1:10" x14ac:dyDescent="0.3">
      <c r="A910">
        <v>3355958</v>
      </c>
      <c r="B910">
        <v>581061</v>
      </c>
      <c r="C910">
        <v>1008</v>
      </c>
      <c r="D910" s="1">
        <v>45208</v>
      </c>
      <c r="E910" s="1"/>
      <c r="F910" t="s">
        <v>3480</v>
      </c>
      <c r="G910" t="str">
        <f>IF(ISNA(_xlfn.XLOOKUP(subscriptions[[#This Row],[customer_id]], customers[customer_id], customers[customer_id])), "NO", "YES")</f>
        <v>YES</v>
      </c>
      <c r="H910">
        <f>IF(AND(subscriptions[[#This Row],[end_date]]&lt;&gt;"", subscriptions[[#This Row],[end_date]] &lt; subscriptions[[#This Row],[start_date]]), 1, 0)</f>
        <v>0</v>
      </c>
      <c r="I9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0">
        <f>IF(
  AND(subscriptions[[#This Row],[end_before_start]]=0, subscriptions[[#This Row],[status_end_mismatch]]=0),
  1,
  0
)</f>
        <v>1</v>
      </c>
    </row>
    <row r="911" spans="1:10" x14ac:dyDescent="0.3">
      <c r="A911">
        <v>4158231</v>
      </c>
      <c r="B911">
        <v>530816</v>
      </c>
      <c r="C911">
        <v>1008</v>
      </c>
      <c r="D911" s="1">
        <v>45120</v>
      </c>
      <c r="E911" s="1">
        <v>45240</v>
      </c>
      <c r="F911" t="s">
        <v>3479</v>
      </c>
      <c r="G911" t="str">
        <f>IF(ISNA(_xlfn.XLOOKUP(subscriptions[[#This Row],[customer_id]], customers[customer_id], customers[customer_id])), "NO", "YES")</f>
        <v>YES</v>
      </c>
      <c r="H911">
        <f>IF(AND(subscriptions[[#This Row],[end_date]]&lt;&gt;"", subscriptions[[#This Row],[end_date]] &lt; subscriptions[[#This Row],[start_date]]), 1, 0)</f>
        <v>0</v>
      </c>
      <c r="I9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1">
        <f>IF(
  AND(subscriptions[[#This Row],[end_before_start]]=0, subscriptions[[#This Row],[status_end_mismatch]]=0),
  1,
  0
)</f>
        <v>1</v>
      </c>
    </row>
    <row r="912" spans="1:10" x14ac:dyDescent="0.3">
      <c r="A912">
        <v>5948143</v>
      </c>
      <c r="B912">
        <v>984293</v>
      </c>
      <c r="C912">
        <v>1004</v>
      </c>
      <c r="D912" s="1">
        <v>45093</v>
      </c>
      <c r="E912" s="1">
        <v>45258</v>
      </c>
      <c r="F912" t="s">
        <v>3479</v>
      </c>
      <c r="G912" t="str">
        <f>IF(ISNA(_xlfn.XLOOKUP(subscriptions[[#This Row],[customer_id]], customers[customer_id], customers[customer_id])), "NO", "YES")</f>
        <v>YES</v>
      </c>
      <c r="H912">
        <f>IF(AND(subscriptions[[#This Row],[end_date]]&lt;&gt;"", subscriptions[[#This Row],[end_date]] &lt; subscriptions[[#This Row],[start_date]]), 1, 0)</f>
        <v>0</v>
      </c>
      <c r="I9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2">
        <f>IF(
  AND(subscriptions[[#This Row],[end_before_start]]=0, subscriptions[[#This Row],[status_end_mismatch]]=0),
  1,
  0
)</f>
        <v>1</v>
      </c>
    </row>
    <row r="913" spans="1:10" x14ac:dyDescent="0.3">
      <c r="A913">
        <v>2550417</v>
      </c>
      <c r="B913">
        <v>336444</v>
      </c>
      <c r="C913">
        <v>1001</v>
      </c>
      <c r="D913" s="1">
        <v>45565</v>
      </c>
      <c r="E913" s="1"/>
      <c r="F913" t="s">
        <v>3480</v>
      </c>
      <c r="G913" t="str">
        <f>IF(ISNA(_xlfn.XLOOKUP(subscriptions[[#This Row],[customer_id]], customers[customer_id], customers[customer_id])), "NO", "YES")</f>
        <v>YES</v>
      </c>
      <c r="H913">
        <f>IF(AND(subscriptions[[#This Row],[end_date]]&lt;&gt;"", subscriptions[[#This Row],[end_date]] &lt; subscriptions[[#This Row],[start_date]]), 1, 0)</f>
        <v>0</v>
      </c>
      <c r="I9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3">
        <f>IF(
  AND(subscriptions[[#This Row],[end_before_start]]=0, subscriptions[[#This Row],[status_end_mismatch]]=0),
  1,
  0
)</f>
        <v>1</v>
      </c>
    </row>
    <row r="914" spans="1:10" x14ac:dyDescent="0.3">
      <c r="A914">
        <v>7100417</v>
      </c>
      <c r="B914">
        <v>817611</v>
      </c>
      <c r="C914">
        <v>1003</v>
      </c>
      <c r="D914" s="1">
        <v>45276</v>
      </c>
      <c r="E914" s="1">
        <v>45573</v>
      </c>
      <c r="F914" t="s">
        <v>3479</v>
      </c>
      <c r="G914" t="str">
        <f>IF(ISNA(_xlfn.XLOOKUP(subscriptions[[#This Row],[customer_id]], customers[customer_id], customers[customer_id])), "NO", "YES")</f>
        <v>YES</v>
      </c>
      <c r="H914">
        <f>IF(AND(subscriptions[[#This Row],[end_date]]&lt;&gt;"", subscriptions[[#This Row],[end_date]] &lt; subscriptions[[#This Row],[start_date]]), 1, 0)</f>
        <v>0</v>
      </c>
      <c r="I9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4">
        <f>IF(
  AND(subscriptions[[#This Row],[end_before_start]]=0, subscriptions[[#This Row],[status_end_mismatch]]=0),
  1,
  0
)</f>
        <v>1</v>
      </c>
    </row>
    <row r="915" spans="1:10" x14ac:dyDescent="0.3">
      <c r="A915">
        <v>8544263</v>
      </c>
      <c r="B915">
        <v>931420</v>
      </c>
      <c r="C915">
        <v>1002</v>
      </c>
      <c r="D915" s="1">
        <v>44911</v>
      </c>
      <c r="E915" s="1"/>
      <c r="F915" t="s">
        <v>3480</v>
      </c>
      <c r="G915" t="str">
        <f>IF(ISNA(_xlfn.XLOOKUP(subscriptions[[#This Row],[customer_id]], customers[customer_id], customers[customer_id])), "NO", "YES")</f>
        <v>YES</v>
      </c>
      <c r="H915">
        <f>IF(AND(subscriptions[[#This Row],[end_date]]&lt;&gt;"", subscriptions[[#This Row],[end_date]] &lt; subscriptions[[#This Row],[start_date]]), 1, 0)</f>
        <v>0</v>
      </c>
      <c r="I9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5">
        <f>IF(
  AND(subscriptions[[#This Row],[end_before_start]]=0, subscriptions[[#This Row],[status_end_mismatch]]=0),
  1,
  0
)</f>
        <v>1</v>
      </c>
    </row>
    <row r="916" spans="1:10" x14ac:dyDescent="0.3">
      <c r="A916">
        <v>7470648</v>
      </c>
      <c r="B916">
        <v>769883</v>
      </c>
      <c r="C916">
        <v>1002</v>
      </c>
      <c r="D916" s="1">
        <v>44880</v>
      </c>
      <c r="E916" s="1"/>
      <c r="F916" t="s">
        <v>3480</v>
      </c>
      <c r="G916" t="str">
        <f>IF(ISNA(_xlfn.XLOOKUP(subscriptions[[#This Row],[customer_id]], customers[customer_id], customers[customer_id])), "NO", "YES")</f>
        <v>YES</v>
      </c>
      <c r="H916">
        <f>IF(AND(subscriptions[[#This Row],[end_date]]&lt;&gt;"", subscriptions[[#This Row],[end_date]] &lt; subscriptions[[#This Row],[start_date]]), 1, 0)</f>
        <v>0</v>
      </c>
      <c r="I9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6">
        <f>IF(
  AND(subscriptions[[#This Row],[end_before_start]]=0, subscriptions[[#This Row],[status_end_mismatch]]=0),
  1,
  0
)</f>
        <v>1</v>
      </c>
    </row>
    <row r="917" spans="1:10" x14ac:dyDescent="0.3">
      <c r="A917">
        <v>4534335</v>
      </c>
      <c r="B917">
        <v>568288</v>
      </c>
      <c r="C917">
        <v>1007</v>
      </c>
      <c r="D917" s="1">
        <v>45450</v>
      </c>
      <c r="E917" s="1"/>
      <c r="F917" t="s">
        <v>3480</v>
      </c>
      <c r="G917" t="str">
        <f>IF(ISNA(_xlfn.XLOOKUP(subscriptions[[#This Row],[customer_id]], customers[customer_id], customers[customer_id])), "NO", "YES")</f>
        <v>YES</v>
      </c>
      <c r="H917">
        <f>IF(AND(subscriptions[[#This Row],[end_date]]&lt;&gt;"", subscriptions[[#This Row],[end_date]] &lt; subscriptions[[#This Row],[start_date]]), 1, 0)</f>
        <v>0</v>
      </c>
      <c r="I9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7">
        <f>IF(
  AND(subscriptions[[#This Row],[end_before_start]]=0, subscriptions[[#This Row],[status_end_mismatch]]=0),
  1,
  0
)</f>
        <v>1</v>
      </c>
    </row>
    <row r="918" spans="1:10" x14ac:dyDescent="0.3">
      <c r="A918">
        <v>5843397</v>
      </c>
      <c r="B918">
        <v>275939</v>
      </c>
      <c r="C918">
        <v>1004</v>
      </c>
      <c r="D918" s="1">
        <v>44986</v>
      </c>
      <c r="E918" s="1"/>
      <c r="F918" t="s">
        <v>3480</v>
      </c>
      <c r="G918" t="str">
        <f>IF(ISNA(_xlfn.XLOOKUP(subscriptions[[#This Row],[customer_id]], customers[customer_id], customers[customer_id])), "NO", "YES")</f>
        <v>YES</v>
      </c>
      <c r="H918">
        <f>IF(AND(subscriptions[[#This Row],[end_date]]&lt;&gt;"", subscriptions[[#This Row],[end_date]] &lt; subscriptions[[#This Row],[start_date]]), 1, 0)</f>
        <v>0</v>
      </c>
      <c r="I9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8">
        <f>IF(
  AND(subscriptions[[#This Row],[end_before_start]]=0, subscriptions[[#This Row],[status_end_mismatch]]=0),
  1,
  0
)</f>
        <v>1</v>
      </c>
    </row>
    <row r="919" spans="1:10" x14ac:dyDescent="0.3">
      <c r="A919">
        <v>9451778</v>
      </c>
      <c r="B919">
        <v>457356</v>
      </c>
      <c r="C919">
        <v>1001</v>
      </c>
      <c r="D919" s="1">
        <v>45112</v>
      </c>
      <c r="E919" s="1"/>
      <c r="F919" t="s">
        <v>3480</v>
      </c>
      <c r="G919" t="str">
        <f>IF(ISNA(_xlfn.XLOOKUP(subscriptions[[#This Row],[customer_id]], customers[customer_id], customers[customer_id])), "NO", "YES")</f>
        <v>YES</v>
      </c>
      <c r="H919">
        <f>IF(AND(subscriptions[[#This Row],[end_date]]&lt;&gt;"", subscriptions[[#This Row],[end_date]] &lt; subscriptions[[#This Row],[start_date]]), 1, 0)</f>
        <v>0</v>
      </c>
      <c r="I9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19">
        <f>IF(
  AND(subscriptions[[#This Row],[end_before_start]]=0, subscriptions[[#This Row],[status_end_mismatch]]=0),
  1,
  0
)</f>
        <v>1</v>
      </c>
    </row>
    <row r="920" spans="1:10" x14ac:dyDescent="0.3">
      <c r="A920">
        <v>4535328</v>
      </c>
      <c r="B920">
        <v>289592</v>
      </c>
      <c r="C920">
        <v>1002</v>
      </c>
      <c r="D920" s="1">
        <v>45090</v>
      </c>
      <c r="E920" s="1"/>
      <c r="F920" t="s">
        <v>3480</v>
      </c>
      <c r="G920" t="str">
        <f>IF(ISNA(_xlfn.XLOOKUP(subscriptions[[#This Row],[customer_id]], customers[customer_id], customers[customer_id])), "NO", "YES")</f>
        <v>YES</v>
      </c>
      <c r="H920">
        <f>IF(AND(subscriptions[[#This Row],[end_date]]&lt;&gt;"", subscriptions[[#This Row],[end_date]] &lt; subscriptions[[#This Row],[start_date]]), 1, 0)</f>
        <v>0</v>
      </c>
      <c r="I9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0">
        <f>IF(
  AND(subscriptions[[#This Row],[end_before_start]]=0, subscriptions[[#This Row],[status_end_mismatch]]=0),
  1,
  0
)</f>
        <v>1</v>
      </c>
    </row>
    <row r="921" spans="1:10" x14ac:dyDescent="0.3">
      <c r="A921">
        <v>5376268</v>
      </c>
      <c r="B921">
        <v>235193</v>
      </c>
      <c r="C921">
        <v>1004</v>
      </c>
      <c r="D921" s="1">
        <v>44626</v>
      </c>
      <c r="E921" s="1">
        <v>44920</v>
      </c>
      <c r="F921" t="s">
        <v>3479</v>
      </c>
      <c r="G921" t="str">
        <f>IF(ISNA(_xlfn.XLOOKUP(subscriptions[[#This Row],[customer_id]], customers[customer_id], customers[customer_id])), "NO", "YES")</f>
        <v>YES</v>
      </c>
      <c r="H921">
        <f>IF(AND(subscriptions[[#This Row],[end_date]]&lt;&gt;"", subscriptions[[#This Row],[end_date]] &lt; subscriptions[[#This Row],[start_date]]), 1, 0)</f>
        <v>0</v>
      </c>
      <c r="I9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1">
        <f>IF(
  AND(subscriptions[[#This Row],[end_before_start]]=0, subscriptions[[#This Row],[status_end_mismatch]]=0),
  1,
  0
)</f>
        <v>1</v>
      </c>
    </row>
    <row r="922" spans="1:10" x14ac:dyDescent="0.3">
      <c r="A922">
        <v>4127701</v>
      </c>
      <c r="B922">
        <v>502233</v>
      </c>
      <c r="C922">
        <v>1009</v>
      </c>
      <c r="D922" s="1">
        <v>45535</v>
      </c>
      <c r="E922" s="1"/>
      <c r="F922" t="s">
        <v>3480</v>
      </c>
      <c r="G922" t="str">
        <f>IF(ISNA(_xlfn.XLOOKUP(subscriptions[[#This Row],[customer_id]], customers[customer_id], customers[customer_id])), "NO", "YES")</f>
        <v>YES</v>
      </c>
      <c r="H922">
        <f>IF(AND(subscriptions[[#This Row],[end_date]]&lt;&gt;"", subscriptions[[#This Row],[end_date]] &lt; subscriptions[[#This Row],[start_date]]), 1, 0)</f>
        <v>0</v>
      </c>
      <c r="I9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2">
        <f>IF(
  AND(subscriptions[[#This Row],[end_before_start]]=0, subscriptions[[#This Row],[status_end_mismatch]]=0),
  1,
  0
)</f>
        <v>1</v>
      </c>
    </row>
    <row r="923" spans="1:10" x14ac:dyDescent="0.3">
      <c r="A923">
        <v>6418889</v>
      </c>
      <c r="B923">
        <v>688730</v>
      </c>
      <c r="C923">
        <v>1008</v>
      </c>
      <c r="D923" s="1">
        <v>45324</v>
      </c>
      <c r="E923" s="1"/>
      <c r="F923" t="s">
        <v>3480</v>
      </c>
      <c r="G923" t="str">
        <f>IF(ISNA(_xlfn.XLOOKUP(subscriptions[[#This Row],[customer_id]], customers[customer_id], customers[customer_id])), "NO", "YES")</f>
        <v>YES</v>
      </c>
      <c r="H923">
        <f>IF(AND(subscriptions[[#This Row],[end_date]]&lt;&gt;"", subscriptions[[#This Row],[end_date]] &lt; subscriptions[[#This Row],[start_date]]), 1, 0)</f>
        <v>0</v>
      </c>
      <c r="I9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3">
        <f>IF(
  AND(subscriptions[[#This Row],[end_before_start]]=0, subscriptions[[#This Row],[status_end_mismatch]]=0),
  1,
  0
)</f>
        <v>1</v>
      </c>
    </row>
    <row r="924" spans="1:10" x14ac:dyDescent="0.3">
      <c r="A924">
        <v>1567905</v>
      </c>
      <c r="B924">
        <v>515623</v>
      </c>
      <c r="C924">
        <v>1007</v>
      </c>
      <c r="D924" s="1">
        <v>45222</v>
      </c>
      <c r="E924" s="1">
        <v>45574</v>
      </c>
      <c r="F924" t="s">
        <v>3479</v>
      </c>
      <c r="G924" t="str">
        <f>IF(ISNA(_xlfn.XLOOKUP(subscriptions[[#This Row],[customer_id]], customers[customer_id], customers[customer_id])), "NO", "YES")</f>
        <v>YES</v>
      </c>
      <c r="H924">
        <f>IF(AND(subscriptions[[#This Row],[end_date]]&lt;&gt;"", subscriptions[[#This Row],[end_date]] &lt; subscriptions[[#This Row],[start_date]]), 1, 0)</f>
        <v>0</v>
      </c>
      <c r="I9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4">
        <f>IF(
  AND(subscriptions[[#This Row],[end_before_start]]=0, subscriptions[[#This Row],[status_end_mismatch]]=0),
  1,
  0
)</f>
        <v>1</v>
      </c>
    </row>
    <row r="925" spans="1:10" x14ac:dyDescent="0.3">
      <c r="A925">
        <v>7021076</v>
      </c>
      <c r="B925">
        <v>978157</v>
      </c>
      <c r="C925">
        <v>1008</v>
      </c>
      <c r="D925" s="1">
        <v>44578</v>
      </c>
      <c r="E925" s="1"/>
      <c r="F925" t="s">
        <v>3480</v>
      </c>
      <c r="G925" t="str">
        <f>IF(ISNA(_xlfn.XLOOKUP(subscriptions[[#This Row],[customer_id]], customers[customer_id], customers[customer_id])), "NO", "YES")</f>
        <v>YES</v>
      </c>
      <c r="H925">
        <f>IF(AND(subscriptions[[#This Row],[end_date]]&lt;&gt;"", subscriptions[[#This Row],[end_date]] &lt; subscriptions[[#This Row],[start_date]]), 1, 0)</f>
        <v>0</v>
      </c>
      <c r="I9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5">
        <f>IF(
  AND(subscriptions[[#This Row],[end_before_start]]=0, subscriptions[[#This Row],[status_end_mismatch]]=0),
  1,
  0
)</f>
        <v>1</v>
      </c>
    </row>
    <row r="926" spans="1:10" x14ac:dyDescent="0.3">
      <c r="A926">
        <v>8977497</v>
      </c>
      <c r="B926">
        <v>979940</v>
      </c>
      <c r="C926">
        <v>1006</v>
      </c>
      <c r="D926" s="1">
        <v>45247</v>
      </c>
      <c r="E926" s="1"/>
      <c r="F926" t="s">
        <v>3480</v>
      </c>
      <c r="G926" t="str">
        <f>IF(ISNA(_xlfn.XLOOKUP(subscriptions[[#This Row],[customer_id]], customers[customer_id], customers[customer_id])), "NO", "YES")</f>
        <v>YES</v>
      </c>
      <c r="H926">
        <f>IF(AND(subscriptions[[#This Row],[end_date]]&lt;&gt;"", subscriptions[[#This Row],[end_date]] &lt; subscriptions[[#This Row],[start_date]]), 1, 0)</f>
        <v>0</v>
      </c>
      <c r="I9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6">
        <f>IF(
  AND(subscriptions[[#This Row],[end_before_start]]=0, subscriptions[[#This Row],[status_end_mismatch]]=0),
  1,
  0
)</f>
        <v>1</v>
      </c>
    </row>
    <row r="927" spans="1:10" x14ac:dyDescent="0.3">
      <c r="A927">
        <v>2681206</v>
      </c>
      <c r="B927">
        <v>468154</v>
      </c>
      <c r="C927">
        <v>1000</v>
      </c>
      <c r="D927" s="1">
        <v>44945</v>
      </c>
      <c r="E927" s="1">
        <v>45131</v>
      </c>
      <c r="F927" t="s">
        <v>3479</v>
      </c>
      <c r="G927" t="str">
        <f>IF(ISNA(_xlfn.XLOOKUP(subscriptions[[#This Row],[customer_id]], customers[customer_id], customers[customer_id])), "NO", "YES")</f>
        <v>YES</v>
      </c>
      <c r="H927">
        <f>IF(AND(subscriptions[[#This Row],[end_date]]&lt;&gt;"", subscriptions[[#This Row],[end_date]] &lt; subscriptions[[#This Row],[start_date]]), 1, 0)</f>
        <v>0</v>
      </c>
      <c r="I9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7">
        <f>IF(
  AND(subscriptions[[#This Row],[end_before_start]]=0, subscriptions[[#This Row],[status_end_mismatch]]=0),
  1,
  0
)</f>
        <v>1</v>
      </c>
    </row>
    <row r="928" spans="1:10" x14ac:dyDescent="0.3">
      <c r="A928">
        <v>3730418</v>
      </c>
      <c r="B928">
        <v>826894</v>
      </c>
      <c r="C928">
        <v>1002</v>
      </c>
      <c r="D928" s="1">
        <v>45518</v>
      </c>
      <c r="E928" s="1"/>
      <c r="F928" t="s">
        <v>3480</v>
      </c>
      <c r="G928" t="str">
        <f>IF(ISNA(_xlfn.XLOOKUP(subscriptions[[#This Row],[customer_id]], customers[customer_id], customers[customer_id])), "NO", "YES")</f>
        <v>YES</v>
      </c>
      <c r="H928">
        <f>IF(AND(subscriptions[[#This Row],[end_date]]&lt;&gt;"", subscriptions[[#This Row],[end_date]] &lt; subscriptions[[#This Row],[start_date]]), 1, 0)</f>
        <v>0</v>
      </c>
      <c r="I9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8">
        <f>IF(
  AND(subscriptions[[#This Row],[end_before_start]]=0, subscriptions[[#This Row],[status_end_mismatch]]=0),
  1,
  0
)</f>
        <v>1</v>
      </c>
    </row>
    <row r="929" spans="1:10" x14ac:dyDescent="0.3">
      <c r="A929">
        <v>1364903</v>
      </c>
      <c r="B929">
        <v>194930</v>
      </c>
      <c r="C929">
        <v>1003</v>
      </c>
      <c r="D929" s="1">
        <v>45461</v>
      </c>
      <c r="E929" s="1">
        <v>45639</v>
      </c>
      <c r="F929" t="s">
        <v>3479</v>
      </c>
      <c r="G929" t="str">
        <f>IF(ISNA(_xlfn.XLOOKUP(subscriptions[[#This Row],[customer_id]], customers[customer_id], customers[customer_id])), "NO", "YES")</f>
        <v>YES</v>
      </c>
      <c r="H929">
        <f>IF(AND(subscriptions[[#This Row],[end_date]]&lt;&gt;"", subscriptions[[#This Row],[end_date]] &lt; subscriptions[[#This Row],[start_date]]), 1, 0)</f>
        <v>0</v>
      </c>
      <c r="I9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29">
        <f>IF(
  AND(subscriptions[[#This Row],[end_before_start]]=0, subscriptions[[#This Row],[status_end_mismatch]]=0),
  1,
  0
)</f>
        <v>1</v>
      </c>
    </row>
    <row r="930" spans="1:10" x14ac:dyDescent="0.3">
      <c r="A930">
        <v>8297560</v>
      </c>
      <c r="B930">
        <v>299800</v>
      </c>
      <c r="C930">
        <v>1002</v>
      </c>
      <c r="D930" s="1">
        <v>45379</v>
      </c>
      <c r="E930" s="1"/>
      <c r="F930" t="s">
        <v>3480</v>
      </c>
      <c r="G930" t="str">
        <f>IF(ISNA(_xlfn.XLOOKUP(subscriptions[[#This Row],[customer_id]], customers[customer_id], customers[customer_id])), "NO", "YES")</f>
        <v>YES</v>
      </c>
      <c r="H930">
        <f>IF(AND(subscriptions[[#This Row],[end_date]]&lt;&gt;"", subscriptions[[#This Row],[end_date]] &lt; subscriptions[[#This Row],[start_date]]), 1, 0)</f>
        <v>0</v>
      </c>
      <c r="I9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0">
        <f>IF(
  AND(subscriptions[[#This Row],[end_before_start]]=0, subscriptions[[#This Row],[status_end_mismatch]]=0),
  1,
  0
)</f>
        <v>1</v>
      </c>
    </row>
    <row r="931" spans="1:10" x14ac:dyDescent="0.3">
      <c r="A931">
        <v>5086740</v>
      </c>
      <c r="B931">
        <v>875165</v>
      </c>
      <c r="C931">
        <v>1002</v>
      </c>
      <c r="D931" s="1">
        <v>45079</v>
      </c>
      <c r="E931" s="1">
        <v>45416</v>
      </c>
      <c r="F931" t="s">
        <v>3479</v>
      </c>
      <c r="G931" t="str">
        <f>IF(ISNA(_xlfn.XLOOKUP(subscriptions[[#This Row],[customer_id]], customers[customer_id], customers[customer_id])), "NO", "YES")</f>
        <v>YES</v>
      </c>
      <c r="H931">
        <f>IF(AND(subscriptions[[#This Row],[end_date]]&lt;&gt;"", subscriptions[[#This Row],[end_date]] &lt; subscriptions[[#This Row],[start_date]]), 1, 0)</f>
        <v>0</v>
      </c>
      <c r="I9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1">
        <f>IF(
  AND(subscriptions[[#This Row],[end_before_start]]=0, subscriptions[[#This Row],[status_end_mismatch]]=0),
  1,
  0
)</f>
        <v>1</v>
      </c>
    </row>
    <row r="932" spans="1:10" x14ac:dyDescent="0.3">
      <c r="A932">
        <v>6668656</v>
      </c>
      <c r="B932">
        <v>345369</v>
      </c>
      <c r="C932">
        <v>1001</v>
      </c>
      <c r="D932" s="1">
        <v>45550</v>
      </c>
      <c r="E932" s="1">
        <v>45656</v>
      </c>
      <c r="F932" t="s">
        <v>3479</v>
      </c>
      <c r="G932" t="str">
        <f>IF(ISNA(_xlfn.XLOOKUP(subscriptions[[#This Row],[customer_id]], customers[customer_id], customers[customer_id])), "NO", "YES")</f>
        <v>YES</v>
      </c>
      <c r="H932">
        <f>IF(AND(subscriptions[[#This Row],[end_date]]&lt;&gt;"", subscriptions[[#This Row],[end_date]] &lt; subscriptions[[#This Row],[start_date]]), 1, 0)</f>
        <v>0</v>
      </c>
      <c r="I9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2">
        <f>IF(
  AND(subscriptions[[#This Row],[end_before_start]]=0, subscriptions[[#This Row],[status_end_mismatch]]=0),
  1,
  0
)</f>
        <v>1</v>
      </c>
    </row>
    <row r="933" spans="1:10" x14ac:dyDescent="0.3">
      <c r="A933">
        <v>4930952</v>
      </c>
      <c r="B933">
        <v>828799</v>
      </c>
      <c r="C933">
        <v>1006</v>
      </c>
      <c r="D933" s="1">
        <v>44782</v>
      </c>
      <c r="E933" s="1"/>
      <c r="F933" t="s">
        <v>3480</v>
      </c>
      <c r="G933" t="str">
        <f>IF(ISNA(_xlfn.XLOOKUP(subscriptions[[#This Row],[customer_id]], customers[customer_id], customers[customer_id])), "NO", "YES")</f>
        <v>YES</v>
      </c>
      <c r="H933">
        <f>IF(AND(subscriptions[[#This Row],[end_date]]&lt;&gt;"", subscriptions[[#This Row],[end_date]] &lt; subscriptions[[#This Row],[start_date]]), 1, 0)</f>
        <v>0</v>
      </c>
      <c r="I9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3">
        <f>IF(
  AND(subscriptions[[#This Row],[end_before_start]]=0, subscriptions[[#This Row],[status_end_mismatch]]=0),
  1,
  0
)</f>
        <v>1</v>
      </c>
    </row>
    <row r="934" spans="1:10" x14ac:dyDescent="0.3">
      <c r="A934">
        <v>5519127</v>
      </c>
      <c r="B934">
        <v>779885</v>
      </c>
      <c r="C934">
        <v>1003</v>
      </c>
      <c r="D934" s="1">
        <v>45382</v>
      </c>
      <c r="E934" s="1"/>
      <c r="F934" t="s">
        <v>3480</v>
      </c>
      <c r="G934" t="str">
        <f>IF(ISNA(_xlfn.XLOOKUP(subscriptions[[#This Row],[customer_id]], customers[customer_id], customers[customer_id])), "NO", "YES")</f>
        <v>YES</v>
      </c>
      <c r="H934">
        <f>IF(AND(subscriptions[[#This Row],[end_date]]&lt;&gt;"", subscriptions[[#This Row],[end_date]] &lt; subscriptions[[#This Row],[start_date]]), 1, 0)</f>
        <v>0</v>
      </c>
      <c r="I9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4">
        <f>IF(
  AND(subscriptions[[#This Row],[end_before_start]]=0, subscriptions[[#This Row],[status_end_mismatch]]=0),
  1,
  0
)</f>
        <v>1</v>
      </c>
    </row>
    <row r="935" spans="1:10" x14ac:dyDescent="0.3">
      <c r="A935">
        <v>3751899</v>
      </c>
      <c r="B935">
        <v>975804</v>
      </c>
      <c r="C935">
        <v>1004</v>
      </c>
      <c r="D935" s="1">
        <v>44902</v>
      </c>
      <c r="E935" s="1">
        <v>45237</v>
      </c>
      <c r="F935" t="s">
        <v>3479</v>
      </c>
      <c r="G935" t="str">
        <f>IF(ISNA(_xlfn.XLOOKUP(subscriptions[[#This Row],[customer_id]], customers[customer_id], customers[customer_id])), "NO", "YES")</f>
        <v>YES</v>
      </c>
      <c r="H935">
        <f>IF(AND(subscriptions[[#This Row],[end_date]]&lt;&gt;"", subscriptions[[#This Row],[end_date]] &lt; subscriptions[[#This Row],[start_date]]), 1, 0)</f>
        <v>0</v>
      </c>
      <c r="I9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5">
        <f>IF(
  AND(subscriptions[[#This Row],[end_before_start]]=0, subscriptions[[#This Row],[status_end_mismatch]]=0),
  1,
  0
)</f>
        <v>1</v>
      </c>
    </row>
    <row r="936" spans="1:10" x14ac:dyDescent="0.3">
      <c r="A936">
        <v>9792694</v>
      </c>
      <c r="B936">
        <v>883997</v>
      </c>
      <c r="C936">
        <v>1001</v>
      </c>
      <c r="D936" s="1">
        <v>44968</v>
      </c>
      <c r="E936" s="1">
        <v>45288</v>
      </c>
      <c r="F936" t="s">
        <v>3479</v>
      </c>
      <c r="G936" t="str">
        <f>IF(ISNA(_xlfn.XLOOKUP(subscriptions[[#This Row],[customer_id]], customers[customer_id], customers[customer_id])), "NO", "YES")</f>
        <v>YES</v>
      </c>
      <c r="H936">
        <f>IF(AND(subscriptions[[#This Row],[end_date]]&lt;&gt;"", subscriptions[[#This Row],[end_date]] &lt; subscriptions[[#This Row],[start_date]]), 1, 0)</f>
        <v>0</v>
      </c>
      <c r="I9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6">
        <f>IF(
  AND(subscriptions[[#This Row],[end_before_start]]=0, subscriptions[[#This Row],[status_end_mismatch]]=0),
  1,
  0
)</f>
        <v>1</v>
      </c>
    </row>
    <row r="937" spans="1:10" x14ac:dyDescent="0.3">
      <c r="A937">
        <v>3341247</v>
      </c>
      <c r="B937">
        <v>208239</v>
      </c>
      <c r="C937">
        <v>1007</v>
      </c>
      <c r="D937" s="1">
        <v>44828</v>
      </c>
      <c r="E937" s="1">
        <v>44885</v>
      </c>
      <c r="F937" t="s">
        <v>3479</v>
      </c>
      <c r="G937" t="str">
        <f>IF(ISNA(_xlfn.XLOOKUP(subscriptions[[#This Row],[customer_id]], customers[customer_id], customers[customer_id])), "NO", "YES")</f>
        <v>YES</v>
      </c>
      <c r="H937">
        <f>IF(AND(subscriptions[[#This Row],[end_date]]&lt;&gt;"", subscriptions[[#This Row],[end_date]] &lt; subscriptions[[#This Row],[start_date]]), 1, 0)</f>
        <v>0</v>
      </c>
      <c r="I9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7">
        <f>IF(
  AND(subscriptions[[#This Row],[end_before_start]]=0, subscriptions[[#This Row],[status_end_mismatch]]=0),
  1,
  0
)</f>
        <v>1</v>
      </c>
    </row>
    <row r="938" spans="1:10" x14ac:dyDescent="0.3">
      <c r="A938">
        <v>2516637</v>
      </c>
      <c r="B938">
        <v>399817</v>
      </c>
      <c r="C938">
        <v>1005</v>
      </c>
      <c r="D938" s="1">
        <v>45195</v>
      </c>
      <c r="E938" s="1">
        <v>45297</v>
      </c>
      <c r="F938" t="s">
        <v>3479</v>
      </c>
      <c r="G938" t="str">
        <f>IF(ISNA(_xlfn.XLOOKUP(subscriptions[[#This Row],[customer_id]], customers[customer_id], customers[customer_id])), "NO", "YES")</f>
        <v>YES</v>
      </c>
      <c r="H938">
        <f>IF(AND(subscriptions[[#This Row],[end_date]]&lt;&gt;"", subscriptions[[#This Row],[end_date]] &lt; subscriptions[[#This Row],[start_date]]), 1, 0)</f>
        <v>0</v>
      </c>
      <c r="I9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8">
        <f>IF(
  AND(subscriptions[[#This Row],[end_before_start]]=0, subscriptions[[#This Row],[status_end_mismatch]]=0),
  1,
  0
)</f>
        <v>1</v>
      </c>
    </row>
    <row r="939" spans="1:10" x14ac:dyDescent="0.3">
      <c r="A939">
        <v>6806635</v>
      </c>
      <c r="B939">
        <v>572623</v>
      </c>
      <c r="C939">
        <v>1003</v>
      </c>
      <c r="D939" s="1">
        <v>45501</v>
      </c>
      <c r="E939" s="1"/>
      <c r="F939" t="s">
        <v>3480</v>
      </c>
      <c r="G939" t="str">
        <f>IF(ISNA(_xlfn.XLOOKUP(subscriptions[[#This Row],[customer_id]], customers[customer_id], customers[customer_id])), "NO", "YES")</f>
        <v>YES</v>
      </c>
      <c r="H939">
        <f>IF(AND(subscriptions[[#This Row],[end_date]]&lt;&gt;"", subscriptions[[#This Row],[end_date]] &lt; subscriptions[[#This Row],[start_date]]), 1, 0)</f>
        <v>0</v>
      </c>
      <c r="I9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39">
        <f>IF(
  AND(subscriptions[[#This Row],[end_before_start]]=0, subscriptions[[#This Row],[status_end_mismatch]]=0),
  1,
  0
)</f>
        <v>1</v>
      </c>
    </row>
    <row r="940" spans="1:10" x14ac:dyDescent="0.3">
      <c r="A940">
        <v>8727379</v>
      </c>
      <c r="B940">
        <v>425434</v>
      </c>
      <c r="C940">
        <v>1000</v>
      </c>
      <c r="D940" s="1">
        <v>44563</v>
      </c>
      <c r="E940" s="1">
        <v>44695</v>
      </c>
      <c r="F940" t="s">
        <v>3479</v>
      </c>
      <c r="G940" t="str">
        <f>IF(ISNA(_xlfn.XLOOKUP(subscriptions[[#This Row],[customer_id]], customers[customer_id], customers[customer_id])), "NO", "YES")</f>
        <v>YES</v>
      </c>
      <c r="H940">
        <f>IF(AND(subscriptions[[#This Row],[end_date]]&lt;&gt;"", subscriptions[[#This Row],[end_date]] &lt; subscriptions[[#This Row],[start_date]]), 1, 0)</f>
        <v>0</v>
      </c>
      <c r="I9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0">
        <f>IF(
  AND(subscriptions[[#This Row],[end_before_start]]=0, subscriptions[[#This Row],[status_end_mismatch]]=0),
  1,
  0
)</f>
        <v>1</v>
      </c>
    </row>
    <row r="941" spans="1:10" x14ac:dyDescent="0.3">
      <c r="A941">
        <v>3886829</v>
      </c>
      <c r="B941">
        <v>235691</v>
      </c>
      <c r="C941">
        <v>1008</v>
      </c>
      <c r="D941" s="1">
        <v>45179</v>
      </c>
      <c r="E941" s="1"/>
      <c r="F941" t="s">
        <v>3480</v>
      </c>
      <c r="G941" t="str">
        <f>IF(ISNA(_xlfn.XLOOKUP(subscriptions[[#This Row],[customer_id]], customers[customer_id], customers[customer_id])), "NO", "YES")</f>
        <v>YES</v>
      </c>
      <c r="H941">
        <f>IF(AND(subscriptions[[#This Row],[end_date]]&lt;&gt;"", subscriptions[[#This Row],[end_date]] &lt; subscriptions[[#This Row],[start_date]]), 1, 0)</f>
        <v>0</v>
      </c>
      <c r="I9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1">
        <f>IF(
  AND(subscriptions[[#This Row],[end_before_start]]=0, subscriptions[[#This Row],[status_end_mismatch]]=0),
  1,
  0
)</f>
        <v>1</v>
      </c>
    </row>
    <row r="942" spans="1:10" x14ac:dyDescent="0.3">
      <c r="A942">
        <v>4096967</v>
      </c>
      <c r="B942">
        <v>989079</v>
      </c>
      <c r="C942">
        <v>1006</v>
      </c>
      <c r="D942" s="1">
        <v>45045</v>
      </c>
      <c r="E942" s="1">
        <v>45298</v>
      </c>
      <c r="F942" t="s">
        <v>3479</v>
      </c>
      <c r="G942" t="str">
        <f>IF(ISNA(_xlfn.XLOOKUP(subscriptions[[#This Row],[customer_id]], customers[customer_id], customers[customer_id])), "NO", "YES")</f>
        <v>YES</v>
      </c>
      <c r="H942">
        <f>IF(AND(subscriptions[[#This Row],[end_date]]&lt;&gt;"", subscriptions[[#This Row],[end_date]] &lt; subscriptions[[#This Row],[start_date]]), 1, 0)</f>
        <v>0</v>
      </c>
      <c r="I9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2">
        <f>IF(
  AND(subscriptions[[#This Row],[end_before_start]]=0, subscriptions[[#This Row],[status_end_mismatch]]=0),
  1,
  0
)</f>
        <v>1</v>
      </c>
    </row>
    <row r="943" spans="1:10" x14ac:dyDescent="0.3">
      <c r="A943">
        <v>2512749</v>
      </c>
      <c r="B943">
        <v>388820</v>
      </c>
      <c r="C943">
        <v>1000</v>
      </c>
      <c r="D943" s="1">
        <v>45063</v>
      </c>
      <c r="E943" s="1"/>
      <c r="F943" t="s">
        <v>3480</v>
      </c>
      <c r="G943" t="str">
        <f>IF(ISNA(_xlfn.XLOOKUP(subscriptions[[#This Row],[customer_id]], customers[customer_id], customers[customer_id])), "NO", "YES")</f>
        <v>YES</v>
      </c>
      <c r="H943">
        <f>IF(AND(subscriptions[[#This Row],[end_date]]&lt;&gt;"", subscriptions[[#This Row],[end_date]] &lt; subscriptions[[#This Row],[start_date]]), 1, 0)</f>
        <v>0</v>
      </c>
      <c r="I9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3">
        <f>IF(
  AND(subscriptions[[#This Row],[end_before_start]]=0, subscriptions[[#This Row],[status_end_mismatch]]=0),
  1,
  0
)</f>
        <v>1</v>
      </c>
    </row>
    <row r="944" spans="1:10" x14ac:dyDescent="0.3">
      <c r="A944">
        <v>7279004</v>
      </c>
      <c r="B944">
        <v>442027</v>
      </c>
      <c r="C944">
        <v>1006</v>
      </c>
      <c r="D944" s="1">
        <v>44572</v>
      </c>
      <c r="E944" s="1"/>
      <c r="F944" t="s">
        <v>3480</v>
      </c>
      <c r="G944" t="str">
        <f>IF(ISNA(_xlfn.XLOOKUP(subscriptions[[#This Row],[customer_id]], customers[customer_id], customers[customer_id])), "NO", "YES")</f>
        <v>YES</v>
      </c>
      <c r="H944">
        <f>IF(AND(subscriptions[[#This Row],[end_date]]&lt;&gt;"", subscriptions[[#This Row],[end_date]] &lt; subscriptions[[#This Row],[start_date]]), 1, 0)</f>
        <v>0</v>
      </c>
      <c r="I9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4">
        <f>IF(
  AND(subscriptions[[#This Row],[end_before_start]]=0, subscriptions[[#This Row],[status_end_mismatch]]=0),
  1,
  0
)</f>
        <v>1</v>
      </c>
    </row>
    <row r="945" spans="1:10" x14ac:dyDescent="0.3">
      <c r="A945">
        <v>6783305</v>
      </c>
      <c r="B945">
        <v>491435</v>
      </c>
      <c r="C945">
        <v>1004</v>
      </c>
      <c r="D945" s="1">
        <v>44766</v>
      </c>
      <c r="E945" s="1"/>
      <c r="F945" t="s">
        <v>3480</v>
      </c>
      <c r="G945" t="str">
        <f>IF(ISNA(_xlfn.XLOOKUP(subscriptions[[#This Row],[customer_id]], customers[customer_id], customers[customer_id])), "NO", "YES")</f>
        <v>YES</v>
      </c>
      <c r="H945">
        <f>IF(AND(subscriptions[[#This Row],[end_date]]&lt;&gt;"", subscriptions[[#This Row],[end_date]] &lt; subscriptions[[#This Row],[start_date]]), 1, 0)</f>
        <v>0</v>
      </c>
      <c r="I9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5">
        <f>IF(
  AND(subscriptions[[#This Row],[end_before_start]]=0, subscriptions[[#This Row],[status_end_mismatch]]=0),
  1,
  0
)</f>
        <v>1</v>
      </c>
    </row>
    <row r="946" spans="1:10" x14ac:dyDescent="0.3">
      <c r="A946">
        <v>7611016</v>
      </c>
      <c r="B946">
        <v>356622</v>
      </c>
      <c r="C946">
        <v>1009</v>
      </c>
      <c r="D946" s="1">
        <v>44997</v>
      </c>
      <c r="E946" s="1">
        <v>45369</v>
      </c>
      <c r="F946" t="s">
        <v>3479</v>
      </c>
      <c r="G946" t="str">
        <f>IF(ISNA(_xlfn.XLOOKUP(subscriptions[[#This Row],[customer_id]], customers[customer_id], customers[customer_id])), "NO", "YES")</f>
        <v>YES</v>
      </c>
      <c r="H946">
        <f>IF(AND(subscriptions[[#This Row],[end_date]]&lt;&gt;"", subscriptions[[#This Row],[end_date]] &lt; subscriptions[[#This Row],[start_date]]), 1, 0)</f>
        <v>0</v>
      </c>
      <c r="I9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6">
        <f>IF(
  AND(subscriptions[[#This Row],[end_before_start]]=0, subscriptions[[#This Row],[status_end_mismatch]]=0),
  1,
  0
)</f>
        <v>1</v>
      </c>
    </row>
    <row r="947" spans="1:10" x14ac:dyDescent="0.3">
      <c r="A947">
        <v>7313125</v>
      </c>
      <c r="B947">
        <v>232981</v>
      </c>
      <c r="C947">
        <v>1009</v>
      </c>
      <c r="D947" s="1">
        <v>45511</v>
      </c>
      <c r="E947" s="1">
        <v>45590</v>
      </c>
      <c r="F947" t="s">
        <v>3479</v>
      </c>
      <c r="G947" t="str">
        <f>IF(ISNA(_xlfn.XLOOKUP(subscriptions[[#This Row],[customer_id]], customers[customer_id], customers[customer_id])), "NO", "YES")</f>
        <v>YES</v>
      </c>
      <c r="H947">
        <f>IF(AND(subscriptions[[#This Row],[end_date]]&lt;&gt;"", subscriptions[[#This Row],[end_date]] &lt; subscriptions[[#This Row],[start_date]]), 1, 0)</f>
        <v>0</v>
      </c>
      <c r="I9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7">
        <f>IF(
  AND(subscriptions[[#This Row],[end_before_start]]=0, subscriptions[[#This Row],[status_end_mismatch]]=0),
  1,
  0
)</f>
        <v>1</v>
      </c>
    </row>
    <row r="948" spans="1:10" x14ac:dyDescent="0.3">
      <c r="A948">
        <v>7502411</v>
      </c>
      <c r="B948">
        <v>532373</v>
      </c>
      <c r="C948">
        <v>1000</v>
      </c>
      <c r="D948" s="1">
        <v>44825</v>
      </c>
      <c r="E948" s="1"/>
      <c r="F948" t="s">
        <v>3480</v>
      </c>
      <c r="G948" t="str">
        <f>IF(ISNA(_xlfn.XLOOKUP(subscriptions[[#This Row],[customer_id]], customers[customer_id], customers[customer_id])), "NO", "YES")</f>
        <v>YES</v>
      </c>
      <c r="H948">
        <f>IF(AND(subscriptions[[#This Row],[end_date]]&lt;&gt;"", subscriptions[[#This Row],[end_date]] &lt; subscriptions[[#This Row],[start_date]]), 1, 0)</f>
        <v>0</v>
      </c>
      <c r="I9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8">
        <f>IF(
  AND(subscriptions[[#This Row],[end_before_start]]=0, subscriptions[[#This Row],[status_end_mismatch]]=0),
  1,
  0
)</f>
        <v>1</v>
      </c>
    </row>
    <row r="949" spans="1:10" x14ac:dyDescent="0.3">
      <c r="A949">
        <v>3240199</v>
      </c>
      <c r="B949">
        <v>375504</v>
      </c>
      <c r="C949">
        <v>1001</v>
      </c>
      <c r="D949" s="1">
        <v>45380</v>
      </c>
      <c r="E949" s="1">
        <v>45554</v>
      </c>
      <c r="F949" t="s">
        <v>3479</v>
      </c>
      <c r="G949" t="str">
        <f>IF(ISNA(_xlfn.XLOOKUP(subscriptions[[#This Row],[customer_id]], customers[customer_id], customers[customer_id])), "NO", "YES")</f>
        <v>YES</v>
      </c>
      <c r="H949">
        <f>IF(AND(subscriptions[[#This Row],[end_date]]&lt;&gt;"", subscriptions[[#This Row],[end_date]] &lt; subscriptions[[#This Row],[start_date]]), 1, 0)</f>
        <v>0</v>
      </c>
      <c r="I9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49">
        <f>IF(
  AND(subscriptions[[#This Row],[end_before_start]]=0, subscriptions[[#This Row],[status_end_mismatch]]=0),
  1,
  0
)</f>
        <v>1</v>
      </c>
    </row>
    <row r="950" spans="1:10" x14ac:dyDescent="0.3">
      <c r="A950">
        <v>8123479</v>
      </c>
      <c r="B950">
        <v>367382</v>
      </c>
      <c r="C950">
        <v>1001</v>
      </c>
      <c r="D950" s="1">
        <v>45368</v>
      </c>
      <c r="E950" s="1"/>
      <c r="F950" t="s">
        <v>3480</v>
      </c>
      <c r="G950" t="str">
        <f>IF(ISNA(_xlfn.XLOOKUP(subscriptions[[#This Row],[customer_id]], customers[customer_id], customers[customer_id])), "NO", "YES")</f>
        <v>YES</v>
      </c>
      <c r="H950">
        <f>IF(AND(subscriptions[[#This Row],[end_date]]&lt;&gt;"", subscriptions[[#This Row],[end_date]] &lt; subscriptions[[#This Row],[start_date]]), 1, 0)</f>
        <v>0</v>
      </c>
      <c r="I9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0">
        <f>IF(
  AND(subscriptions[[#This Row],[end_before_start]]=0, subscriptions[[#This Row],[status_end_mismatch]]=0),
  1,
  0
)</f>
        <v>1</v>
      </c>
    </row>
    <row r="951" spans="1:10" x14ac:dyDescent="0.3">
      <c r="A951">
        <v>6819465</v>
      </c>
      <c r="B951">
        <v>140115</v>
      </c>
      <c r="C951">
        <v>1008</v>
      </c>
      <c r="D951" s="1">
        <v>45562</v>
      </c>
      <c r="E951" s="1">
        <v>45657</v>
      </c>
      <c r="F951" t="s">
        <v>3479</v>
      </c>
      <c r="G951" t="str">
        <f>IF(ISNA(_xlfn.XLOOKUP(subscriptions[[#This Row],[customer_id]], customers[customer_id], customers[customer_id])), "NO", "YES")</f>
        <v>YES</v>
      </c>
      <c r="H951">
        <f>IF(AND(subscriptions[[#This Row],[end_date]]&lt;&gt;"", subscriptions[[#This Row],[end_date]] &lt; subscriptions[[#This Row],[start_date]]), 1, 0)</f>
        <v>0</v>
      </c>
      <c r="I9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1">
        <f>IF(
  AND(subscriptions[[#This Row],[end_before_start]]=0, subscriptions[[#This Row],[status_end_mismatch]]=0),
  1,
  0
)</f>
        <v>1</v>
      </c>
    </row>
    <row r="952" spans="1:10" x14ac:dyDescent="0.3">
      <c r="A952">
        <v>4719408</v>
      </c>
      <c r="B952">
        <v>661023</v>
      </c>
      <c r="C952">
        <v>1009</v>
      </c>
      <c r="D952" s="1">
        <v>44926</v>
      </c>
      <c r="E952" s="1">
        <v>45144</v>
      </c>
      <c r="F952" t="s">
        <v>3479</v>
      </c>
      <c r="G952" t="str">
        <f>IF(ISNA(_xlfn.XLOOKUP(subscriptions[[#This Row],[customer_id]], customers[customer_id], customers[customer_id])), "NO", "YES")</f>
        <v>YES</v>
      </c>
      <c r="H952">
        <f>IF(AND(subscriptions[[#This Row],[end_date]]&lt;&gt;"", subscriptions[[#This Row],[end_date]] &lt; subscriptions[[#This Row],[start_date]]), 1, 0)</f>
        <v>0</v>
      </c>
      <c r="I9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2">
        <f>IF(
  AND(subscriptions[[#This Row],[end_before_start]]=0, subscriptions[[#This Row],[status_end_mismatch]]=0),
  1,
  0
)</f>
        <v>1</v>
      </c>
    </row>
    <row r="953" spans="1:10" x14ac:dyDescent="0.3">
      <c r="A953">
        <v>7078057</v>
      </c>
      <c r="B953">
        <v>685126</v>
      </c>
      <c r="C953">
        <v>1002</v>
      </c>
      <c r="D953" s="1">
        <v>45258</v>
      </c>
      <c r="E953" s="1"/>
      <c r="F953" t="s">
        <v>3480</v>
      </c>
      <c r="G953" t="str">
        <f>IF(ISNA(_xlfn.XLOOKUP(subscriptions[[#This Row],[customer_id]], customers[customer_id], customers[customer_id])), "NO", "YES")</f>
        <v>YES</v>
      </c>
      <c r="H953">
        <f>IF(AND(subscriptions[[#This Row],[end_date]]&lt;&gt;"", subscriptions[[#This Row],[end_date]] &lt; subscriptions[[#This Row],[start_date]]), 1, 0)</f>
        <v>0</v>
      </c>
      <c r="I9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3">
        <f>IF(
  AND(subscriptions[[#This Row],[end_before_start]]=0, subscriptions[[#This Row],[status_end_mismatch]]=0),
  1,
  0
)</f>
        <v>1</v>
      </c>
    </row>
    <row r="954" spans="1:10" x14ac:dyDescent="0.3">
      <c r="A954">
        <v>1026701</v>
      </c>
      <c r="B954">
        <v>580854</v>
      </c>
      <c r="C954">
        <v>1000</v>
      </c>
      <c r="D954" s="1">
        <v>45377</v>
      </c>
      <c r="E954" s="1">
        <v>45650</v>
      </c>
      <c r="F954" t="s">
        <v>3479</v>
      </c>
      <c r="G954" t="str">
        <f>IF(ISNA(_xlfn.XLOOKUP(subscriptions[[#This Row],[customer_id]], customers[customer_id], customers[customer_id])), "NO", "YES")</f>
        <v>YES</v>
      </c>
      <c r="H954">
        <f>IF(AND(subscriptions[[#This Row],[end_date]]&lt;&gt;"", subscriptions[[#This Row],[end_date]] &lt; subscriptions[[#This Row],[start_date]]), 1, 0)</f>
        <v>0</v>
      </c>
      <c r="I9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4">
        <f>IF(
  AND(subscriptions[[#This Row],[end_before_start]]=0, subscriptions[[#This Row],[status_end_mismatch]]=0),
  1,
  0
)</f>
        <v>1</v>
      </c>
    </row>
    <row r="955" spans="1:10" x14ac:dyDescent="0.3">
      <c r="A955">
        <v>3316596</v>
      </c>
      <c r="B955">
        <v>214176</v>
      </c>
      <c r="C955">
        <v>1000</v>
      </c>
      <c r="D955" s="1">
        <v>45585</v>
      </c>
      <c r="E955" s="1"/>
      <c r="F955" t="s">
        <v>3480</v>
      </c>
      <c r="G955" t="str">
        <f>IF(ISNA(_xlfn.XLOOKUP(subscriptions[[#This Row],[customer_id]], customers[customer_id], customers[customer_id])), "NO", "YES")</f>
        <v>YES</v>
      </c>
      <c r="H955">
        <f>IF(AND(subscriptions[[#This Row],[end_date]]&lt;&gt;"", subscriptions[[#This Row],[end_date]] &lt; subscriptions[[#This Row],[start_date]]), 1, 0)</f>
        <v>0</v>
      </c>
      <c r="I9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5">
        <f>IF(
  AND(subscriptions[[#This Row],[end_before_start]]=0, subscriptions[[#This Row],[status_end_mismatch]]=0),
  1,
  0
)</f>
        <v>1</v>
      </c>
    </row>
    <row r="956" spans="1:10" x14ac:dyDescent="0.3">
      <c r="A956">
        <v>4543890</v>
      </c>
      <c r="B956">
        <v>948095</v>
      </c>
      <c r="C956">
        <v>1001</v>
      </c>
      <c r="D956" s="1">
        <v>45180</v>
      </c>
      <c r="E956" s="1"/>
      <c r="F956" t="s">
        <v>3480</v>
      </c>
      <c r="G956" t="str">
        <f>IF(ISNA(_xlfn.XLOOKUP(subscriptions[[#This Row],[customer_id]], customers[customer_id], customers[customer_id])), "NO", "YES")</f>
        <v>YES</v>
      </c>
      <c r="H956">
        <f>IF(AND(subscriptions[[#This Row],[end_date]]&lt;&gt;"", subscriptions[[#This Row],[end_date]] &lt; subscriptions[[#This Row],[start_date]]), 1, 0)</f>
        <v>0</v>
      </c>
      <c r="I9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6">
        <f>IF(
  AND(subscriptions[[#This Row],[end_before_start]]=0, subscriptions[[#This Row],[status_end_mismatch]]=0),
  1,
  0
)</f>
        <v>1</v>
      </c>
    </row>
    <row r="957" spans="1:10" x14ac:dyDescent="0.3">
      <c r="A957">
        <v>6697318</v>
      </c>
      <c r="B957">
        <v>929090</v>
      </c>
      <c r="C957">
        <v>1006</v>
      </c>
      <c r="D957" s="1">
        <v>45348</v>
      </c>
      <c r="E957" s="1">
        <v>45595</v>
      </c>
      <c r="F957" t="s">
        <v>3479</v>
      </c>
      <c r="G957" t="str">
        <f>IF(ISNA(_xlfn.XLOOKUP(subscriptions[[#This Row],[customer_id]], customers[customer_id], customers[customer_id])), "NO", "YES")</f>
        <v>YES</v>
      </c>
      <c r="H957">
        <f>IF(AND(subscriptions[[#This Row],[end_date]]&lt;&gt;"", subscriptions[[#This Row],[end_date]] &lt; subscriptions[[#This Row],[start_date]]), 1, 0)</f>
        <v>0</v>
      </c>
      <c r="I9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7">
        <f>IF(
  AND(subscriptions[[#This Row],[end_before_start]]=0, subscriptions[[#This Row],[status_end_mismatch]]=0),
  1,
  0
)</f>
        <v>1</v>
      </c>
    </row>
    <row r="958" spans="1:10" x14ac:dyDescent="0.3">
      <c r="A958">
        <v>3529124</v>
      </c>
      <c r="B958">
        <v>904373</v>
      </c>
      <c r="C958">
        <v>1008</v>
      </c>
      <c r="D958" s="1">
        <v>45145</v>
      </c>
      <c r="E958" s="1"/>
      <c r="F958" t="s">
        <v>3480</v>
      </c>
      <c r="G958" t="str">
        <f>IF(ISNA(_xlfn.XLOOKUP(subscriptions[[#This Row],[customer_id]], customers[customer_id], customers[customer_id])), "NO", "YES")</f>
        <v>YES</v>
      </c>
      <c r="H958">
        <f>IF(AND(subscriptions[[#This Row],[end_date]]&lt;&gt;"", subscriptions[[#This Row],[end_date]] &lt; subscriptions[[#This Row],[start_date]]), 1, 0)</f>
        <v>0</v>
      </c>
      <c r="I9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8">
        <f>IF(
  AND(subscriptions[[#This Row],[end_before_start]]=0, subscriptions[[#This Row],[status_end_mismatch]]=0),
  1,
  0
)</f>
        <v>1</v>
      </c>
    </row>
    <row r="959" spans="1:10" x14ac:dyDescent="0.3">
      <c r="A959">
        <v>9064003</v>
      </c>
      <c r="B959">
        <v>356736</v>
      </c>
      <c r="C959">
        <v>1000</v>
      </c>
      <c r="D959" s="1">
        <v>44633</v>
      </c>
      <c r="E959" s="1"/>
      <c r="F959" t="s">
        <v>3480</v>
      </c>
      <c r="G959" t="str">
        <f>IF(ISNA(_xlfn.XLOOKUP(subscriptions[[#This Row],[customer_id]], customers[customer_id], customers[customer_id])), "NO", "YES")</f>
        <v>YES</v>
      </c>
      <c r="H959">
        <f>IF(AND(subscriptions[[#This Row],[end_date]]&lt;&gt;"", subscriptions[[#This Row],[end_date]] &lt; subscriptions[[#This Row],[start_date]]), 1, 0)</f>
        <v>0</v>
      </c>
      <c r="I9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59">
        <f>IF(
  AND(subscriptions[[#This Row],[end_before_start]]=0, subscriptions[[#This Row],[status_end_mismatch]]=0),
  1,
  0
)</f>
        <v>1</v>
      </c>
    </row>
    <row r="960" spans="1:10" x14ac:dyDescent="0.3">
      <c r="A960">
        <v>8075570</v>
      </c>
      <c r="B960">
        <v>995940</v>
      </c>
      <c r="C960">
        <v>1001</v>
      </c>
      <c r="D960" s="1">
        <v>44929</v>
      </c>
      <c r="E960" s="1"/>
      <c r="F960" t="s">
        <v>3480</v>
      </c>
      <c r="G960" t="str">
        <f>IF(ISNA(_xlfn.XLOOKUP(subscriptions[[#This Row],[customer_id]], customers[customer_id], customers[customer_id])), "NO", "YES")</f>
        <v>YES</v>
      </c>
      <c r="H960">
        <f>IF(AND(subscriptions[[#This Row],[end_date]]&lt;&gt;"", subscriptions[[#This Row],[end_date]] &lt; subscriptions[[#This Row],[start_date]]), 1, 0)</f>
        <v>0</v>
      </c>
      <c r="I9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0">
        <f>IF(
  AND(subscriptions[[#This Row],[end_before_start]]=0, subscriptions[[#This Row],[status_end_mismatch]]=0),
  1,
  0
)</f>
        <v>1</v>
      </c>
    </row>
    <row r="961" spans="1:10" x14ac:dyDescent="0.3">
      <c r="A961">
        <v>9679668</v>
      </c>
      <c r="B961">
        <v>358771</v>
      </c>
      <c r="C961">
        <v>1003</v>
      </c>
      <c r="D961" s="1">
        <v>44779</v>
      </c>
      <c r="E961" s="1"/>
      <c r="F961" t="s">
        <v>3480</v>
      </c>
      <c r="G961" t="str">
        <f>IF(ISNA(_xlfn.XLOOKUP(subscriptions[[#This Row],[customer_id]], customers[customer_id], customers[customer_id])), "NO", "YES")</f>
        <v>YES</v>
      </c>
      <c r="H961">
        <f>IF(AND(subscriptions[[#This Row],[end_date]]&lt;&gt;"", subscriptions[[#This Row],[end_date]] &lt; subscriptions[[#This Row],[start_date]]), 1, 0)</f>
        <v>0</v>
      </c>
      <c r="I9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1">
        <f>IF(
  AND(subscriptions[[#This Row],[end_before_start]]=0, subscriptions[[#This Row],[status_end_mismatch]]=0),
  1,
  0
)</f>
        <v>1</v>
      </c>
    </row>
    <row r="962" spans="1:10" x14ac:dyDescent="0.3">
      <c r="A962">
        <v>2386477</v>
      </c>
      <c r="B962">
        <v>904373</v>
      </c>
      <c r="C962">
        <v>1004</v>
      </c>
      <c r="D962" s="1">
        <v>45271</v>
      </c>
      <c r="E962" s="1">
        <v>45352</v>
      </c>
      <c r="F962" t="s">
        <v>3479</v>
      </c>
      <c r="G962" t="str">
        <f>IF(ISNA(_xlfn.XLOOKUP(subscriptions[[#This Row],[customer_id]], customers[customer_id], customers[customer_id])), "NO", "YES")</f>
        <v>YES</v>
      </c>
      <c r="H962">
        <f>IF(AND(subscriptions[[#This Row],[end_date]]&lt;&gt;"", subscriptions[[#This Row],[end_date]] &lt; subscriptions[[#This Row],[start_date]]), 1, 0)</f>
        <v>0</v>
      </c>
      <c r="I9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2">
        <f>IF(
  AND(subscriptions[[#This Row],[end_before_start]]=0, subscriptions[[#This Row],[status_end_mismatch]]=0),
  1,
  0
)</f>
        <v>1</v>
      </c>
    </row>
    <row r="963" spans="1:10" x14ac:dyDescent="0.3">
      <c r="A963">
        <v>7785940</v>
      </c>
      <c r="B963">
        <v>999138</v>
      </c>
      <c r="C963">
        <v>1002</v>
      </c>
      <c r="D963" s="1">
        <v>44587</v>
      </c>
      <c r="E963" s="1"/>
      <c r="F963" t="s">
        <v>3480</v>
      </c>
      <c r="G963" t="str">
        <f>IF(ISNA(_xlfn.XLOOKUP(subscriptions[[#This Row],[customer_id]], customers[customer_id], customers[customer_id])), "NO", "YES")</f>
        <v>YES</v>
      </c>
      <c r="H963">
        <f>IF(AND(subscriptions[[#This Row],[end_date]]&lt;&gt;"", subscriptions[[#This Row],[end_date]] &lt; subscriptions[[#This Row],[start_date]]), 1, 0)</f>
        <v>0</v>
      </c>
      <c r="I9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3">
        <f>IF(
  AND(subscriptions[[#This Row],[end_before_start]]=0, subscriptions[[#This Row],[status_end_mismatch]]=0),
  1,
  0
)</f>
        <v>1</v>
      </c>
    </row>
    <row r="964" spans="1:10" x14ac:dyDescent="0.3">
      <c r="A964">
        <v>3159890</v>
      </c>
      <c r="B964">
        <v>441183</v>
      </c>
      <c r="C964">
        <v>1001</v>
      </c>
      <c r="D964" s="1">
        <v>45348</v>
      </c>
      <c r="E964" s="1">
        <v>45383</v>
      </c>
      <c r="F964" t="s">
        <v>3479</v>
      </c>
      <c r="G964" t="str">
        <f>IF(ISNA(_xlfn.XLOOKUP(subscriptions[[#This Row],[customer_id]], customers[customer_id], customers[customer_id])), "NO", "YES")</f>
        <v>YES</v>
      </c>
      <c r="H964">
        <f>IF(AND(subscriptions[[#This Row],[end_date]]&lt;&gt;"", subscriptions[[#This Row],[end_date]] &lt; subscriptions[[#This Row],[start_date]]), 1, 0)</f>
        <v>0</v>
      </c>
      <c r="I9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4">
        <f>IF(
  AND(subscriptions[[#This Row],[end_before_start]]=0, subscriptions[[#This Row],[status_end_mismatch]]=0),
  1,
  0
)</f>
        <v>1</v>
      </c>
    </row>
    <row r="965" spans="1:10" x14ac:dyDescent="0.3">
      <c r="A965">
        <v>9156065</v>
      </c>
      <c r="B965">
        <v>587957</v>
      </c>
      <c r="C965">
        <v>1009</v>
      </c>
      <c r="D965" s="1">
        <v>45384</v>
      </c>
      <c r="E965" s="1"/>
      <c r="F965" t="s">
        <v>3480</v>
      </c>
      <c r="G965" t="str">
        <f>IF(ISNA(_xlfn.XLOOKUP(subscriptions[[#This Row],[customer_id]], customers[customer_id], customers[customer_id])), "NO", "YES")</f>
        <v>YES</v>
      </c>
      <c r="H965">
        <f>IF(AND(subscriptions[[#This Row],[end_date]]&lt;&gt;"", subscriptions[[#This Row],[end_date]] &lt; subscriptions[[#This Row],[start_date]]), 1, 0)</f>
        <v>0</v>
      </c>
      <c r="I9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5">
        <f>IF(
  AND(subscriptions[[#This Row],[end_before_start]]=0, subscriptions[[#This Row],[status_end_mismatch]]=0),
  1,
  0
)</f>
        <v>1</v>
      </c>
    </row>
    <row r="966" spans="1:10" x14ac:dyDescent="0.3">
      <c r="A966">
        <v>1914547</v>
      </c>
      <c r="B966">
        <v>361250</v>
      </c>
      <c r="C966">
        <v>1005</v>
      </c>
      <c r="D966" s="1">
        <v>45182</v>
      </c>
      <c r="E966" s="1"/>
      <c r="F966" t="s">
        <v>3480</v>
      </c>
      <c r="G966" t="str">
        <f>IF(ISNA(_xlfn.XLOOKUP(subscriptions[[#This Row],[customer_id]], customers[customer_id], customers[customer_id])), "NO", "YES")</f>
        <v>YES</v>
      </c>
      <c r="H966">
        <f>IF(AND(subscriptions[[#This Row],[end_date]]&lt;&gt;"", subscriptions[[#This Row],[end_date]] &lt; subscriptions[[#This Row],[start_date]]), 1, 0)</f>
        <v>0</v>
      </c>
      <c r="I9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6">
        <f>IF(
  AND(subscriptions[[#This Row],[end_before_start]]=0, subscriptions[[#This Row],[status_end_mismatch]]=0),
  1,
  0
)</f>
        <v>1</v>
      </c>
    </row>
    <row r="967" spans="1:10" x14ac:dyDescent="0.3">
      <c r="A967">
        <v>2945459</v>
      </c>
      <c r="B967">
        <v>339030</v>
      </c>
      <c r="C967">
        <v>1007</v>
      </c>
      <c r="D967" s="1">
        <v>45484</v>
      </c>
      <c r="E967" s="1"/>
      <c r="F967" t="s">
        <v>3480</v>
      </c>
      <c r="G967" t="str">
        <f>IF(ISNA(_xlfn.XLOOKUP(subscriptions[[#This Row],[customer_id]], customers[customer_id], customers[customer_id])), "NO", "YES")</f>
        <v>YES</v>
      </c>
      <c r="H967">
        <f>IF(AND(subscriptions[[#This Row],[end_date]]&lt;&gt;"", subscriptions[[#This Row],[end_date]] &lt; subscriptions[[#This Row],[start_date]]), 1, 0)</f>
        <v>0</v>
      </c>
      <c r="I9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7">
        <f>IF(
  AND(subscriptions[[#This Row],[end_before_start]]=0, subscriptions[[#This Row],[status_end_mismatch]]=0),
  1,
  0
)</f>
        <v>1</v>
      </c>
    </row>
    <row r="968" spans="1:10" x14ac:dyDescent="0.3">
      <c r="A968">
        <v>8944805</v>
      </c>
      <c r="B968">
        <v>203396</v>
      </c>
      <c r="C968">
        <v>1009</v>
      </c>
      <c r="D968" s="1">
        <v>45248</v>
      </c>
      <c r="E968" s="1">
        <v>45464</v>
      </c>
      <c r="F968" t="s">
        <v>3479</v>
      </c>
      <c r="G968" t="str">
        <f>IF(ISNA(_xlfn.XLOOKUP(subscriptions[[#This Row],[customer_id]], customers[customer_id], customers[customer_id])), "NO", "YES")</f>
        <v>YES</v>
      </c>
      <c r="H968">
        <f>IF(AND(subscriptions[[#This Row],[end_date]]&lt;&gt;"", subscriptions[[#This Row],[end_date]] &lt; subscriptions[[#This Row],[start_date]]), 1, 0)</f>
        <v>0</v>
      </c>
      <c r="I9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8">
        <f>IF(
  AND(subscriptions[[#This Row],[end_before_start]]=0, subscriptions[[#This Row],[status_end_mismatch]]=0),
  1,
  0
)</f>
        <v>1</v>
      </c>
    </row>
    <row r="969" spans="1:10" x14ac:dyDescent="0.3">
      <c r="A969">
        <v>2873547</v>
      </c>
      <c r="B969">
        <v>981473</v>
      </c>
      <c r="C969">
        <v>1004</v>
      </c>
      <c r="D969" s="1">
        <v>44928</v>
      </c>
      <c r="E969" s="1">
        <v>45230</v>
      </c>
      <c r="F969" t="s">
        <v>3479</v>
      </c>
      <c r="G969" t="str">
        <f>IF(ISNA(_xlfn.XLOOKUP(subscriptions[[#This Row],[customer_id]], customers[customer_id], customers[customer_id])), "NO", "YES")</f>
        <v>YES</v>
      </c>
      <c r="H969">
        <f>IF(AND(subscriptions[[#This Row],[end_date]]&lt;&gt;"", subscriptions[[#This Row],[end_date]] &lt; subscriptions[[#This Row],[start_date]]), 1, 0)</f>
        <v>0</v>
      </c>
      <c r="I9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69">
        <f>IF(
  AND(subscriptions[[#This Row],[end_before_start]]=0, subscriptions[[#This Row],[status_end_mismatch]]=0),
  1,
  0
)</f>
        <v>1</v>
      </c>
    </row>
    <row r="970" spans="1:10" x14ac:dyDescent="0.3">
      <c r="A970">
        <v>7433589</v>
      </c>
      <c r="B970">
        <v>671598</v>
      </c>
      <c r="C970">
        <v>1005</v>
      </c>
      <c r="D970" s="1">
        <v>44725</v>
      </c>
      <c r="E970" s="1"/>
      <c r="F970" t="s">
        <v>3480</v>
      </c>
      <c r="G970" t="str">
        <f>IF(ISNA(_xlfn.XLOOKUP(subscriptions[[#This Row],[customer_id]], customers[customer_id], customers[customer_id])), "NO", "YES")</f>
        <v>YES</v>
      </c>
      <c r="H970">
        <f>IF(AND(subscriptions[[#This Row],[end_date]]&lt;&gt;"", subscriptions[[#This Row],[end_date]] &lt; subscriptions[[#This Row],[start_date]]), 1, 0)</f>
        <v>0</v>
      </c>
      <c r="I9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0">
        <f>IF(
  AND(subscriptions[[#This Row],[end_before_start]]=0, subscriptions[[#This Row],[status_end_mismatch]]=0),
  1,
  0
)</f>
        <v>1</v>
      </c>
    </row>
    <row r="971" spans="1:10" x14ac:dyDescent="0.3">
      <c r="A971">
        <v>6655862</v>
      </c>
      <c r="B971">
        <v>202972</v>
      </c>
      <c r="C971">
        <v>1000</v>
      </c>
      <c r="D971" s="1">
        <v>45090</v>
      </c>
      <c r="E971" s="1"/>
      <c r="F971" t="s">
        <v>3480</v>
      </c>
      <c r="G971" t="str">
        <f>IF(ISNA(_xlfn.XLOOKUP(subscriptions[[#This Row],[customer_id]], customers[customer_id], customers[customer_id])), "NO", "YES")</f>
        <v>YES</v>
      </c>
      <c r="H971">
        <f>IF(AND(subscriptions[[#This Row],[end_date]]&lt;&gt;"", subscriptions[[#This Row],[end_date]] &lt; subscriptions[[#This Row],[start_date]]), 1, 0)</f>
        <v>0</v>
      </c>
      <c r="I9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1">
        <f>IF(
  AND(subscriptions[[#This Row],[end_before_start]]=0, subscriptions[[#This Row],[status_end_mismatch]]=0),
  1,
  0
)</f>
        <v>1</v>
      </c>
    </row>
    <row r="972" spans="1:10" x14ac:dyDescent="0.3">
      <c r="A972">
        <v>8633454</v>
      </c>
      <c r="B972">
        <v>139286</v>
      </c>
      <c r="C972">
        <v>1009</v>
      </c>
      <c r="D972" s="1">
        <v>45452</v>
      </c>
      <c r="E972" s="1"/>
      <c r="F972" t="s">
        <v>3480</v>
      </c>
      <c r="G972" t="str">
        <f>IF(ISNA(_xlfn.XLOOKUP(subscriptions[[#This Row],[customer_id]], customers[customer_id], customers[customer_id])), "NO", "YES")</f>
        <v>YES</v>
      </c>
      <c r="H972">
        <f>IF(AND(subscriptions[[#This Row],[end_date]]&lt;&gt;"", subscriptions[[#This Row],[end_date]] &lt; subscriptions[[#This Row],[start_date]]), 1, 0)</f>
        <v>0</v>
      </c>
      <c r="I9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2">
        <f>IF(
  AND(subscriptions[[#This Row],[end_before_start]]=0, subscriptions[[#This Row],[status_end_mismatch]]=0),
  1,
  0
)</f>
        <v>1</v>
      </c>
    </row>
    <row r="973" spans="1:10" x14ac:dyDescent="0.3">
      <c r="A973">
        <v>5726375</v>
      </c>
      <c r="B973">
        <v>829765</v>
      </c>
      <c r="C973">
        <v>1004</v>
      </c>
      <c r="D973" s="1">
        <v>44643</v>
      </c>
      <c r="E973" s="1"/>
      <c r="F973" t="s">
        <v>3480</v>
      </c>
      <c r="G973" t="str">
        <f>IF(ISNA(_xlfn.XLOOKUP(subscriptions[[#This Row],[customer_id]], customers[customer_id], customers[customer_id])), "NO", "YES")</f>
        <v>YES</v>
      </c>
      <c r="H973">
        <f>IF(AND(subscriptions[[#This Row],[end_date]]&lt;&gt;"", subscriptions[[#This Row],[end_date]] &lt; subscriptions[[#This Row],[start_date]]), 1, 0)</f>
        <v>0</v>
      </c>
      <c r="I9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3">
        <f>IF(
  AND(subscriptions[[#This Row],[end_before_start]]=0, subscriptions[[#This Row],[status_end_mismatch]]=0),
  1,
  0
)</f>
        <v>1</v>
      </c>
    </row>
    <row r="974" spans="1:10" x14ac:dyDescent="0.3">
      <c r="A974">
        <v>9214484</v>
      </c>
      <c r="B974">
        <v>425903</v>
      </c>
      <c r="C974">
        <v>1009</v>
      </c>
      <c r="D974" s="1">
        <v>45504</v>
      </c>
      <c r="E974" s="1"/>
      <c r="F974" t="s">
        <v>3480</v>
      </c>
      <c r="G974" t="str">
        <f>IF(ISNA(_xlfn.XLOOKUP(subscriptions[[#This Row],[customer_id]], customers[customer_id], customers[customer_id])), "NO", "YES")</f>
        <v>YES</v>
      </c>
      <c r="H974">
        <f>IF(AND(subscriptions[[#This Row],[end_date]]&lt;&gt;"", subscriptions[[#This Row],[end_date]] &lt; subscriptions[[#This Row],[start_date]]), 1, 0)</f>
        <v>0</v>
      </c>
      <c r="I9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4">
        <f>IF(
  AND(subscriptions[[#This Row],[end_before_start]]=0, subscriptions[[#This Row],[status_end_mismatch]]=0),
  1,
  0
)</f>
        <v>1</v>
      </c>
    </row>
    <row r="975" spans="1:10" x14ac:dyDescent="0.3">
      <c r="A975">
        <v>7195765</v>
      </c>
      <c r="B975">
        <v>402218</v>
      </c>
      <c r="C975">
        <v>1007</v>
      </c>
      <c r="D975" s="1">
        <v>45078</v>
      </c>
      <c r="E975" s="1"/>
      <c r="F975" t="s">
        <v>3480</v>
      </c>
      <c r="G975" t="str">
        <f>IF(ISNA(_xlfn.XLOOKUP(subscriptions[[#This Row],[customer_id]], customers[customer_id], customers[customer_id])), "NO", "YES")</f>
        <v>YES</v>
      </c>
      <c r="H975">
        <f>IF(AND(subscriptions[[#This Row],[end_date]]&lt;&gt;"", subscriptions[[#This Row],[end_date]] &lt; subscriptions[[#This Row],[start_date]]), 1, 0)</f>
        <v>0</v>
      </c>
      <c r="I9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5">
        <f>IF(
  AND(subscriptions[[#This Row],[end_before_start]]=0, subscriptions[[#This Row],[status_end_mismatch]]=0),
  1,
  0
)</f>
        <v>1</v>
      </c>
    </row>
    <row r="976" spans="1:10" x14ac:dyDescent="0.3">
      <c r="A976">
        <v>5968479</v>
      </c>
      <c r="B976">
        <v>964607</v>
      </c>
      <c r="C976">
        <v>1007</v>
      </c>
      <c r="D976" s="1">
        <v>44610</v>
      </c>
      <c r="E976" s="1"/>
      <c r="F976" t="s">
        <v>3480</v>
      </c>
      <c r="G976" t="str">
        <f>IF(ISNA(_xlfn.XLOOKUP(subscriptions[[#This Row],[customer_id]], customers[customer_id], customers[customer_id])), "NO", "YES")</f>
        <v>YES</v>
      </c>
      <c r="H976">
        <f>IF(AND(subscriptions[[#This Row],[end_date]]&lt;&gt;"", subscriptions[[#This Row],[end_date]] &lt; subscriptions[[#This Row],[start_date]]), 1, 0)</f>
        <v>0</v>
      </c>
      <c r="I9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6">
        <f>IF(
  AND(subscriptions[[#This Row],[end_before_start]]=0, subscriptions[[#This Row],[status_end_mismatch]]=0),
  1,
  0
)</f>
        <v>1</v>
      </c>
    </row>
    <row r="977" spans="1:10" x14ac:dyDescent="0.3">
      <c r="A977">
        <v>3998561</v>
      </c>
      <c r="B977">
        <v>948095</v>
      </c>
      <c r="C977">
        <v>1000</v>
      </c>
      <c r="D977" s="1">
        <v>45162</v>
      </c>
      <c r="E977" s="1"/>
      <c r="F977" t="s">
        <v>3480</v>
      </c>
      <c r="G977" t="str">
        <f>IF(ISNA(_xlfn.XLOOKUP(subscriptions[[#This Row],[customer_id]], customers[customer_id], customers[customer_id])), "NO", "YES")</f>
        <v>YES</v>
      </c>
      <c r="H977">
        <f>IF(AND(subscriptions[[#This Row],[end_date]]&lt;&gt;"", subscriptions[[#This Row],[end_date]] &lt; subscriptions[[#This Row],[start_date]]), 1, 0)</f>
        <v>0</v>
      </c>
      <c r="I9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7">
        <f>IF(
  AND(subscriptions[[#This Row],[end_before_start]]=0, subscriptions[[#This Row],[status_end_mismatch]]=0),
  1,
  0
)</f>
        <v>1</v>
      </c>
    </row>
    <row r="978" spans="1:10" x14ac:dyDescent="0.3">
      <c r="A978">
        <v>1293919</v>
      </c>
      <c r="B978">
        <v>417824</v>
      </c>
      <c r="C978">
        <v>1001</v>
      </c>
      <c r="D978" s="1">
        <v>45476</v>
      </c>
      <c r="E978" s="1"/>
      <c r="F978" t="s">
        <v>3480</v>
      </c>
      <c r="G978" t="str">
        <f>IF(ISNA(_xlfn.XLOOKUP(subscriptions[[#This Row],[customer_id]], customers[customer_id], customers[customer_id])), "NO", "YES")</f>
        <v>YES</v>
      </c>
      <c r="H978">
        <f>IF(AND(subscriptions[[#This Row],[end_date]]&lt;&gt;"", subscriptions[[#This Row],[end_date]] &lt; subscriptions[[#This Row],[start_date]]), 1, 0)</f>
        <v>0</v>
      </c>
      <c r="I9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8">
        <f>IF(
  AND(subscriptions[[#This Row],[end_before_start]]=0, subscriptions[[#This Row],[status_end_mismatch]]=0),
  1,
  0
)</f>
        <v>1</v>
      </c>
    </row>
    <row r="979" spans="1:10" x14ac:dyDescent="0.3">
      <c r="A979">
        <v>1597521</v>
      </c>
      <c r="B979">
        <v>126122</v>
      </c>
      <c r="C979">
        <v>1009</v>
      </c>
      <c r="D979" s="1">
        <v>44790</v>
      </c>
      <c r="E979" s="1"/>
      <c r="F979" t="s">
        <v>3480</v>
      </c>
      <c r="G979" t="str">
        <f>IF(ISNA(_xlfn.XLOOKUP(subscriptions[[#This Row],[customer_id]], customers[customer_id], customers[customer_id])), "NO", "YES")</f>
        <v>YES</v>
      </c>
      <c r="H979">
        <f>IF(AND(subscriptions[[#This Row],[end_date]]&lt;&gt;"", subscriptions[[#This Row],[end_date]] &lt; subscriptions[[#This Row],[start_date]]), 1, 0)</f>
        <v>0</v>
      </c>
      <c r="I9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79">
        <f>IF(
  AND(subscriptions[[#This Row],[end_before_start]]=0, subscriptions[[#This Row],[status_end_mismatch]]=0),
  1,
  0
)</f>
        <v>1</v>
      </c>
    </row>
    <row r="980" spans="1:10" x14ac:dyDescent="0.3">
      <c r="A980">
        <v>1614253</v>
      </c>
      <c r="B980">
        <v>408467</v>
      </c>
      <c r="C980">
        <v>1001</v>
      </c>
      <c r="D980" s="1">
        <v>45373</v>
      </c>
      <c r="E980" s="1"/>
      <c r="F980" t="s">
        <v>3480</v>
      </c>
      <c r="G980" t="str">
        <f>IF(ISNA(_xlfn.XLOOKUP(subscriptions[[#This Row],[customer_id]], customers[customer_id], customers[customer_id])), "NO", "YES")</f>
        <v>YES</v>
      </c>
      <c r="H980">
        <f>IF(AND(subscriptions[[#This Row],[end_date]]&lt;&gt;"", subscriptions[[#This Row],[end_date]] &lt; subscriptions[[#This Row],[start_date]]), 1, 0)</f>
        <v>0</v>
      </c>
      <c r="I9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0">
        <f>IF(
  AND(subscriptions[[#This Row],[end_before_start]]=0, subscriptions[[#This Row],[status_end_mismatch]]=0),
  1,
  0
)</f>
        <v>1</v>
      </c>
    </row>
    <row r="981" spans="1:10" x14ac:dyDescent="0.3">
      <c r="A981">
        <v>2410072</v>
      </c>
      <c r="B981">
        <v>879241</v>
      </c>
      <c r="C981">
        <v>1000</v>
      </c>
      <c r="D981" s="1">
        <v>44755</v>
      </c>
      <c r="E981" s="1"/>
      <c r="F981" t="s">
        <v>3480</v>
      </c>
      <c r="G981" t="str">
        <f>IF(ISNA(_xlfn.XLOOKUP(subscriptions[[#This Row],[customer_id]], customers[customer_id], customers[customer_id])), "NO", "YES")</f>
        <v>YES</v>
      </c>
      <c r="H981">
        <f>IF(AND(subscriptions[[#This Row],[end_date]]&lt;&gt;"", subscriptions[[#This Row],[end_date]] &lt; subscriptions[[#This Row],[start_date]]), 1, 0)</f>
        <v>0</v>
      </c>
      <c r="I9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1">
        <f>IF(
  AND(subscriptions[[#This Row],[end_before_start]]=0, subscriptions[[#This Row],[status_end_mismatch]]=0),
  1,
  0
)</f>
        <v>1</v>
      </c>
    </row>
    <row r="982" spans="1:10" x14ac:dyDescent="0.3">
      <c r="A982">
        <v>3426728</v>
      </c>
      <c r="B982">
        <v>437960</v>
      </c>
      <c r="C982">
        <v>1004</v>
      </c>
      <c r="D982" s="1">
        <v>45572</v>
      </c>
      <c r="E982" s="1"/>
      <c r="F982" t="s">
        <v>3480</v>
      </c>
      <c r="G982" t="str">
        <f>IF(ISNA(_xlfn.XLOOKUP(subscriptions[[#This Row],[customer_id]], customers[customer_id], customers[customer_id])), "NO", "YES")</f>
        <v>YES</v>
      </c>
      <c r="H982">
        <f>IF(AND(subscriptions[[#This Row],[end_date]]&lt;&gt;"", subscriptions[[#This Row],[end_date]] &lt; subscriptions[[#This Row],[start_date]]), 1, 0)</f>
        <v>0</v>
      </c>
      <c r="I9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2">
        <f>IF(
  AND(subscriptions[[#This Row],[end_before_start]]=0, subscriptions[[#This Row],[status_end_mismatch]]=0),
  1,
  0
)</f>
        <v>1</v>
      </c>
    </row>
    <row r="983" spans="1:10" x14ac:dyDescent="0.3">
      <c r="A983">
        <v>5608638</v>
      </c>
      <c r="B983">
        <v>265358</v>
      </c>
      <c r="C983">
        <v>1001</v>
      </c>
      <c r="D983" s="1">
        <v>45269</v>
      </c>
      <c r="E983" s="1">
        <v>45651</v>
      </c>
      <c r="F983" t="s">
        <v>3479</v>
      </c>
      <c r="G983" t="str">
        <f>IF(ISNA(_xlfn.XLOOKUP(subscriptions[[#This Row],[customer_id]], customers[customer_id], customers[customer_id])), "NO", "YES")</f>
        <v>YES</v>
      </c>
      <c r="H983">
        <f>IF(AND(subscriptions[[#This Row],[end_date]]&lt;&gt;"", subscriptions[[#This Row],[end_date]] &lt; subscriptions[[#This Row],[start_date]]), 1, 0)</f>
        <v>0</v>
      </c>
      <c r="I9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3">
        <f>IF(
  AND(subscriptions[[#This Row],[end_before_start]]=0, subscriptions[[#This Row],[status_end_mismatch]]=0),
  1,
  0
)</f>
        <v>1</v>
      </c>
    </row>
    <row r="984" spans="1:10" x14ac:dyDescent="0.3">
      <c r="A984">
        <v>5095330</v>
      </c>
      <c r="B984">
        <v>844858</v>
      </c>
      <c r="C984">
        <v>1005</v>
      </c>
      <c r="D984" s="1">
        <v>45500</v>
      </c>
      <c r="E984" s="1"/>
      <c r="F984" t="s">
        <v>3480</v>
      </c>
      <c r="G984" t="str">
        <f>IF(ISNA(_xlfn.XLOOKUP(subscriptions[[#This Row],[customer_id]], customers[customer_id], customers[customer_id])), "NO", "YES")</f>
        <v>YES</v>
      </c>
      <c r="H984">
        <f>IF(AND(subscriptions[[#This Row],[end_date]]&lt;&gt;"", subscriptions[[#This Row],[end_date]] &lt; subscriptions[[#This Row],[start_date]]), 1, 0)</f>
        <v>0</v>
      </c>
      <c r="I9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4">
        <f>IF(
  AND(subscriptions[[#This Row],[end_before_start]]=0, subscriptions[[#This Row],[status_end_mismatch]]=0),
  1,
  0
)</f>
        <v>1</v>
      </c>
    </row>
    <row r="985" spans="1:10" x14ac:dyDescent="0.3">
      <c r="A985">
        <v>6479245</v>
      </c>
      <c r="B985">
        <v>780776</v>
      </c>
      <c r="C985">
        <v>1004</v>
      </c>
      <c r="D985" s="1">
        <v>45325</v>
      </c>
      <c r="E985" s="1"/>
      <c r="F985" t="s">
        <v>3480</v>
      </c>
      <c r="G985" t="str">
        <f>IF(ISNA(_xlfn.XLOOKUP(subscriptions[[#This Row],[customer_id]], customers[customer_id], customers[customer_id])), "NO", "YES")</f>
        <v>YES</v>
      </c>
      <c r="H985">
        <f>IF(AND(subscriptions[[#This Row],[end_date]]&lt;&gt;"", subscriptions[[#This Row],[end_date]] &lt; subscriptions[[#This Row],[start_date]]), 1, 0)</f>
        <v>0</v>
      </c>
      <c r="I9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5">
        <f>IF(
  AND(subscriptions[[#This Row],[end_before_start]]=0, subscriptions[[#This Row],[status_end_mismatch]]=0),
  1,
  0
)</f>
        <v>1</v>
      </c>
    </row>
    <row r="986" spans="1:10" x14ac:dyDescent="0.3">
      <c r="A986">
        <v>2696557</v>
      </c>
      <c r="B986">
        <v>844756</v>
      </c>
      <c r="C986">
        <v>1005</v>
      </c>
      <c r="D986" s="1">
        <v>45344</v>
      </c>
      <c r="E986" s="1"/>
      <c r="F986" t="s">
        <v>3480</v>
      </c>
      <c r="G986" t="str">
        <f>IF(ISNA(_xlfn.XLOOKUP(subscriptions[[#This Row],[customer_id]], customers[customer_id], customers[customer_id])), "NO", "YES")</f>
        <v>YES</v>
      </c>
      <c r="H986">
        <f>IF(AND(subscriptions[[#This Row],[end_date]]&lt;&gt;"", subscriptions[[#This Row],[end_date]] &lt; subscriptions[[#This Row],[start_date]]), 1, 0)</f>
        <v>0</v>
      </c>
      <c r="I9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6">
        <f>IF(
  AND(subscriptions[[#This Row],[end_before_start]]=0, subscriptions[[#This Row],[status_end_mismatch]]=0),
  1,
  0
)</f>
        <v>1</v>
      </c>
    </row>
    <row r="987" spans="1:10" x14ac:dyDescent="0.3">
      <c r="A987">
        <v>2321455</v>
      </c>
      <c r="B987">
        <v>983456</v>
      </c>
      <c r="C987">
        <v>1001</v>
      </c>
      <c r="D987" s="1">
        <v>45253</v>
      </c>
      <c r="E987" s="1">
        <v>45437</v>
      </c>
      <c r="F987" t="s">
        <v>3479</v>
      </c>
      <c r="G987" t="str">
        <f>IF(ISNA(_xlfn.XLOOKUP(subscriptions[[#This Row],[customer_id]], customers[customer_id], customers[customer_id])), "NO", "YES")</f>
        <v>YES</v>
      </c>
      <c r="H987">
        <f>IF(AND(subscriptions[[#This Row],[end_date]]&lt;&gt;"", subscriptions[[#This Row],[end_date]] &lt; subscriptions[[#This Row],[start_date]]), 1, 0)</f>
        <v>0</v>
      </c>
      <c r="I9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7">
        <f>IF(
  AND(subscriptions[[#This Row],[end_before_start]]=0, subscriptions[[#This Row],[status_end_mismatch]]=0),
  1,
  0
)</f>
        <v>1</v>
      </c>
    </row>
    <row r="988" spans="1:10" x14ac:dyDescent="0.3">
      <c r="A988">
        <v>8088875</v>
      </c>
      <c r="B988">
        <v>335426</v>
      </c>
      <c r="C988">
        <v>1006</v>
      </c>
      <c r="D988" s="1">
        <v>45382</v>
      </c>
      <c r="E988" s="1"/>
      <c r="F988" t="s">
        <v>3480</v>
      </c>
      <c r="G988" t="str">
        <f>IF(ISNA(_xlfn.XLOOKUP(subscriptions[[#This Row],[customer_id]], customers[customer_id], customers[customer_id])), "NO", "YES")</f>
        <v>YES</v>
      </c>
      <c r="H988">
        <f>IF(AND(subscriptions[[#This Row],[end_date]]&lt;&gt;"", subscriptions[[#This Row],[end_date]] &lt; subscriptions[[#This Row],[start_date]]), 1, 0)</f>
        <v>0</v>
      </c>
      <c r="I9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8">
        <f>IF(
  AND(subscriptions[[#This Row],[end_before_start]]=0, subscriptions[[#This Row],[status_end_mismatch]]=0),
  1,
  0
)</f>
        <v>1</v>
      </c>
    </row>
    <row r="989" spans="1:10" x14ac:dyDescent="0.3">
      <c r="A989">
        <v>5309362</v>
      </c>
      <c r="B989">
        <v>560295</v>
      </c>
      <c r="C989">
        <v>1006</v>
      </c>
      <c r="D989" s="1">
        <v>44724</v>
      </c>
      <c r="E989" s="1">
        <v>44975</v>
      </c>
      <c r="F989" t="s">
        <v>3479</v>
      </c>
      <c r="G989" t="str">
        <f>IF(ISNA(_xlfn.XLOOKUP(subscriptions[[#This Row],[customer_id]], customers[customer_id], customers[customer_id])), "NO", "YES")</f>
        <v>YES</v>
      </c>
      <c r="H989">
        <f>IF(AND(subscriptions[[#This Row],[end_date]]&lt;&gt;"", subscriptions[[#This Row],[end_date]] &lt; subscriptions[[#This Row],[start_date]]), 1, 0)</f>
        <v>0</v>
      </c>
      <c r="I9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89">
        <f>IF(
  AND(subscriptions[[#This Row],[end_before_start]]=0, subscriptions[[#This Row],[status_end_mismatch]]=0),
  1,
  0
)</f>
        <v>1</v>
      </c>
    </row>
    <row r="990" spans="1:10" x14ac:dyDescent="0.3">
      <c r="A990">
        <v>2953294</v>
      </c>
      <c r="B990">
        <v>522866</v>
      </c>
      <c r="C990">
        <v>1008</v>
      </c>
      <c r="D990" s="1">
        <v>44954</v>
      </c>
      <c r="E990" s="1"/>
      <c r="F990" t="s">
        <v>3480</v>
      </c>
      <c r="G990" t="str">
        <f>IF(ISNA(_xlfn.XLOOKUP(subscriptions[[#This Row],[customer_id]], customers[customer_id], customers[customer_id])), "NO", "YES")</f>
        <v>YES</v>
      </c>
      <c r="H990">
        <f>IF(AND(subscriptions[[#This Row],[end_date]]&lt;&gt;"", subscriptions[[#This Row],[end_date]] &lt; subscriptions[[#This Row],[start_date]]), 1, 0)</f>
        <v>0</v>
      </c>
      <c r="I9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0">
        <f>IF(
  AND(subscriptions[[#This Row],[end_before_start]]=0, subscriptions[[#This Row],[status_end_mismatch]]=0),
  1,
  0
)</f>
        <v>1</v>
      </c>
    </row>
    <row r="991" spans="1:10" x14ac:dyDescent="0.3">
      <c r="A991">
        <v>6086875</v>
      </c>
      <c r="B991">
        <v>532373</v>
      </c>
      <c r="C991">
        <v>1001</v>
      </c>
      <c r="D991" s="1">
        <v>45061</v>
      </c>
      <c r="E991" s="1">
        <v>45116</v>
      </c>
      <c r="F991" t="s">
        <v>3479</v>
      </c>
      <c r="G991" t="str">
        <f>IF(ISNA(_xlfn.XLOOKUP(subscriptions[[#This Row],[customer_id]], customers[customer_id], customers[customer_id])), "NO", "YES")</f>
        <v>YES</v>
      </c>
      <c r="H991">
        <f>IF(AND(subscriptions[[#This Row],[end_date]]&lt;&gt;"", subscriptions[[#This Row],[end_date]] &lt; subscriptions[[#This Row],[start_date]]), 1, 0)</f>
        <v>0</v>
      </c>
      <c r="I9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1">
        <f>IF(
  AND(subscriptions[[#This Row],[end_before_start]]=0, subscriptions[[#This Row],[status_end_mismatch]]=0),
  1,
  0
)</f>
        <v>1</v>
      </c>
    </row>
    <row r="992" spans="1:10" x14ac:dyDescent="0.3">
      <c r="A992">
        <v>7278644</v>
      </c>
      <c r="B992">
        <v>706012</v>
      </c>
      <c r="C992">
        <v>1000</v>
      </c>
      <c r="D992" s="1">
        <v>45530</v>
      </c>
      <c r="E992" s="1"/>
      <c r="F992" t="s">
        <v>3480</v>
      </c>
      <c r="G992" t="str">
        <f>IF(ISNA(_xlfn.XLOOKUP(subscriptions[[#This Row],[customer_id]], customers[customer_id], customers[customer_id])), "NO", "YES")</f>
        <v>YES</v>
      </c>
      <c r="H992">
        <f>IF(AND(subscriptions[[#This Row],[end_date]]&lt;&gt;"", subscriptions[[#This Row],[end_date]] &lt; subscriptions[[#This Row],[start_date]]), 1, 0)</f>
        <v>0</v>
      </c>
      <c r="I9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2">
        <f>IF(
  AND(subscriptions[[#This Row],[end_before_start]]=0, subscriptions[[#This Row],[status_end_mismatch]]=0),
  1,
  0
)</f>
        <v>1</v>
      </c>
    </row>
    <row r="993" spans="1:10" x14ac:dyDescent="0.3">
      <c r="A993">
        <v>8330731</v>
      </c>
      <c r="B993">
        <v>641737</v>
      </c>
      <c r="C993">
        <v>1003</v>
      </c>
      <c r="D993" s="1">
        <v>45124</v>
      </c>
      <c r="E993" s="1">
        <v>45249</v>
      </c>
      <c r="F993" t="s">
        <v>3479</v>
      </c>
      <c r="G993" t="str">
        <f>IF(ISNA(_xlfn.XLOOKUP(subscriptions[[#This Row],[customer_id]], customers[customer_id], customers[customer_id])), "NO", "YES")</f>
        <v>YES</v>
      </c>
      <c r="H993">
        <f>IF(AND(subscriptions[[#This Row],[end_date]]&lt;&gt;"", subscriptions[[#This Row],[end_date]] &lt; subscriptions[[#This Row],[start_date]]), 1, 0)</f>
        <v>0</v>
      </c>
      <c r="I9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3">
        <f>IF(
  AND(subscriptions[[#This Row],[end_before_start]]=0, subscriptions[[#This Row],[status_end_mismatch]]=0),
  1,
  0
)</f>
        <v>1</v>
      </c>
    </row>
    <row r="994" spans="1:10" x14ac:dyDescent="0.3">
      <c r="A994">
        <v>5644836</v>
      </c>
      <c r="B994">
        <v>917012</v>
      </c>
      <c r="C994">
        <v>1008</v>
      </c>
      <c r="D994" s="1">
        <v>45589</v>
      </c>
      <c r="E994" s="1">
        <v>45645</v>
      </c>
      <c r="F994" t="s">
        <v>3479</v>
      </c>
      <c r="G994" t="str">
        <f>IF(ISNA(_xlfn.XLOOKUP(subscriptions[[#This Row],[customer_id]], customers[customer_id], customers[customer_id])), "NO", "YES")</f>
        <v>YES</v>
      </c>
      <c r="H994">
        <f>IF(AND(subscriptions[[#This Row],[end_date]]&lt;&gt;"", subscriptions[[#This Row],[end_date]] &lt; subscriptions[[#This Row],[start_date]]), 1, 0)</f>
        <v>0</v>
      </c>
      <c r="I9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4">
        <f>IF(
  AND(subscriptions[[#This Row],[end_before_start]]=0, subscriptions[[#This Row],[status_end_mismatch]]=0),
  1,
  0
)</f>
        <v>1</v>
      </c>
    </row>
    <row r="995" spans="1:10" x14ac:dyDescent="0.3">
      <c r="A995">
        <v>4041045</v>
      </c>
      <c r="B995">
        <v>197992</v>
      </c>
      <c r="C995">
        <v>1008</v>
      </c>
      <c r="D995" s="1">
        <v>45145</v>
      </c>
      <c r="E995" s="1"/>
      <c r="F995" t="s">
        <v>3480</v>
      </c>
      <c r="G995" t="str">
        <f>IF(ISNA(_xlfn.XLOOKUP(subscriptions[[#This Row],[customer_id]], customers[customer_id], customers[customer_id])), "NO", "YES")</f>
        <v>YES</v>
      </c>
      <c r="H995">
        <f>IF(AND(subscriptions[[#This Row],[end_date]]&lt;&gt;"", subscriptions[[#This Row],[end_date]] &lt; subscriptions[[#This Row],[start_date]]), 1, 0)</f>
        <v>0</v>
      </c>
      <c r="I9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5">
        <f>IF(
  AND(subscriptions[[#This Row],[end_before_start]]=0, subscriptions[[#This Row],[status_end_mismatch]]=0),
  1,
  0
)</f>
        <v>1</v>
      </c>
    </row>
    <row r="996" spans="1:10" x14ac:dyDescent="0.3">
      <c r="A996">
        <v>7831393</v>
      </c>
      <c r="B996">
        <v>970813</v>
      </c>
      <c r="C996">
        <v>1005</v>
      </c>
      <c r="D996" s="1">
        <v>44986</v>
      </c>
      <c r="E996" s="1"/>
      <c r="F996" t="s">
        <v>3480</v>
      </c>
      <c r="G996" t="str">
        <f>IF(ISNA(_xlfn.XLOOKUP(subscriptions[[#This Row],[customer_id]], customers[customer_id], customers[customer_id])), "NO", "YES")</f>
        <v>YES</v>
      </c>
      <c r="H996">
        <f>IF(AND(subscriptions[[#This Row],[end_date]]&lt;&gt;"", subscriptions[[#This Row],[end_date]] &lt; subscriptions[[#This Row],[start_date]]), 1, 0)</f>
        <v>0</v>
      </c>
      <c r="I9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6">
        <f>IF(
  AND(subscriptions[[#This Row],[end_before_start]]=0, subscriptions[[#This Row],[status_end_mismatch]]=0),
  1,
  0
)</f>
        <v>1</v>
      </c>
    </row>
    <row r="997" spans="1:10" x14ac:dyDescent="0.3">
      <c r="A997">
        <v>7951217</v>
      </c>
      <c r="B997">
        <v>424314</v>
      </c>
      <c r="C997">
        <v>1003</v>
      </c>
      <c r="D997" s="1">
        <v>44827</v>
      </c>
      <c r="E997" s="1"/>
      <c r="F997" t="s">
        <v>3480</v>
      </c>
      <c r="G997" t="str">
        <f>IF(ISNA(_xlfn.XLOOKUP(subscriptions[[#This Row],[customer_id]], customers[customer_id], customers[customer_id])), "NO", "YES")</f>
        <v>YES</v>
      </c>
      <c r="H997">
        <f>IF(AND(subscriptions[[#This Row],[end_date]]&lt;&gt;"", subscriptions[[#This Row],[end_date]] &lt; subscriptions[[#This Row],[start_date]]), 1, 0)</f>
        <v>0</v>
      </c>
      <c r="I9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7">
        <f>IF(
  AND(subscriptions[[#This Row],[end_before_start]]=0, subscriptions[[#This Row],[status_end_mismatch]]=0),
  1,
  0
)</f>
        <v>1</v>
      </c>
    </row>
    <row r="998" spans="1:10" x14ac:dyDescent="0.3">
      <c r="A998">
        <v>8758476</v>
      </c>
      <c r="B998">
        <v>255362</v>
      </c>
      <c r="C998">
        <v>1007</v>
      </c>
      <c r="D998" s="1">
        <v>45213</v>
      </c>
      <c r="E998" s="1"/>
      <c r="F998" t="s">
        <v>3480</v>
      </c>
      <c r="G998" t="str">
        <f>IF(ISNA(_xlfn.XLOOKUP(subscriptions[[#This Row],[customer_id]], customers[customer_id], customers[customer_id])), "NO", "YES")</f>
        <v>YES</v>
      </c>
      <c r="H998">
        <f>IF(AND(subscriptions[[#This Row],[end_date]]&lt;&gt;"", subscriptions[[#This Row],[end_date]] &lt; subscriptions[[#This Row],[start_date]]), 1, 0)</f>
        <v>0</v>
      </c>
      <c r="I9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8">
        <f>IF(
  AND(subscriptions[[#This Row],[end_before_start]]=0, subscriptions[[#This Row],[status_end_mismatch]]=0),
  1,
  0
)</f>
        <v>1</v>
      </c>
    </row>
    <row r="999" spans="1:10" x14ac:dyDescent="0.3">
      <c r="A999">
        <v>4771933</v>
      </c>
      <c r="B999">
        <v>399628</v>
      </c>
      <c r="C999">
        <v>1007</v>
      </c>
      <c r="D999" s="1">
        <v>44599</v>
      </c>
      <c r="E999" s="1">
        <v>44742</v>
      </c>
      <c r="F999" t="s">
        <v>3479</v>
      </c>
      <c r="G999" t="str">
        <f>IF(ISNA(_xlfn.XLOOKUP(subscriptions[[#This Row],[customer_id]], customers[customer_id], customers[customer_id])), "NO", "YES")</f>
        <v>YES</v>
      </c>
      <c r="H999">
        <f>IF(AND(subscriptions[[#This Row],[end_date]]&lt;&gt;"", subscriptions[[#This Row],[end_date]] &lt; subscriptions[[#This Row],[start_date]]), 1, 0)</f>
        <v>0</v>
      </c>
      <c r="I9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999">
        <f>IF(
  AND(subscriptions[[#This Row],[end_before_start]]=0, subscriptions[[#This Row],[status_end_mismatch]]=0),
  1,
  0
)</f>
        <v>1</v>
      </c>
    </row>
    <row r="1000" spans="1:10" x14ac:dyDescent="0.3">
      <c r="A1000">
        <v>2069085</v>
      </c>
      <c r="B1000">
        <v>186424</v>
      </c>
      <c r="C1000">
        <v>1006</v>
      </c>
      <c r="D1000" s="1">
        <v>45151</v>
      </c>
      <c r="E1000" s="1">
        <v>45492</v>
      </c>
      <c r="F1000" t="s">
        <v>3479</v>
      </c>
      <c r="G1000" t="str">
        <f>IF(ISNA(_xlfn.XLOOKUP(subscriptions[[#This Row],[customer_id]], customers[customer_id], customers[customer_id])), "NO", "YES")</f>
        <v>YES</v>
      </c>
      <c r="H1000">
        <f>IF(AND(subscriptions[[#This Row],[end_date]]&lt;&gt;"", subscriptions[[#This Row],[end_date]] &lt; subscriptions[[#This Row],[start_date]]), 1, 0)</f>
        <v>0</v>
      </c>
      <c r="I10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0">
        <f>IF(
  AND(subscriptions[[#This Row],[end_before_start]]=0, subscriptions[[#This Row],[status_end_mismatch]]=0),
  1,
  0
)</f>
        <v>1</v>
      </c>
    </row>
    <row r="1001" spans="1:10" x14ac:dyDescent="0.3">
      <c r="A1001">
        <v>8728326</v>
      </c>
      <c r="B1001">
        <v>621429</v>
      </c>
      <c r="C1001">
        <v>1001</v>
      </c>
      <c r="D1001" s="1">
        <v>45423</v>
      </c>
      <c r="E1001" s="1">
        <v>45621</v>
      </c>
      <c r="F1001" t="s">
        <v>3479</v>
      </c>
      <c r="G1001" t="str">
        <f>IF(ISNA(_xlfn.XLOOKUP(subscriptions[[#This Row],[customer_id]], customers[customer_id], customers[customer_id])), "NO", "YES")</f>
        <v>YES</v>
      </c>
      <c r="H1001">
        <f>IF(AND(subscriptions[[#This Row],[end_date]]&lt;&gt;"", subscriptions[[#This Row],[end_date]] &lt; subscriptions[[#This Row],[start_date]]), 1, 0)</f>
        <v>0</v>
      </c>
      <c r="I10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1">
        <f>IF(
  AND(subscriptions[[#This Row],[end_before_start]]=0, subscriptions[[#This Row],[status_end_mismatch]]=0),
  1,
  0
)</f>
        <v>1</v>
      </c>
    </row>
    <row r="1002" spans="1:10" x14ac:dyDescent="0.3">
      <c r="A1002">
        <v>7526999</v>
      </c>
      <c r="B1002">
        <v>500945</v>
      </c>
      <c r="C1002">
        <v>1009</v>
      </c>
      <c r="D1002" s="1">
        <v>45536</v>
      </c>
      <c r="E1002" s="1">
        <v>45572</v>
      </c>
      <c r="F1002" t="s">
        <v>3479</v>
      </c>
      <c r="G1002" t="str">
        <f>IF(ISNA(_xlfn.XLOOKUP(subscriptions[[#This Row],[customer_id]], customers[customer_id], customers[customer_id])), "NO", "YES")</f>
        <v>YES</v>
      </c>
      <c r="H1002">
        <f>IF(AND(subscriptions[[#This Row],[end_date]]&lt;&gt;"", subscriptions[[#This Row],[end_date]] &lt; subscriptions[[#This Row],[start_date]]), 1, 0)</f>
        <v>0</v>
      </c>
      <c r="I10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2">
        <f>IF(
  AND(subscriptions[[#This Row],[end_before_start]]=0, subscriptions[[#This Row],[status_end_mismatch]]=0),
  1,
  0
)</f>
        <v>1</v>
      </c>
    </row>
    <row r="1003" spans="1:10" x14ac:dyDescent="0.3">
      <c r="A1003">
        <v>6753758</v>
      </c>
      <c r="B1003">
        <v>121026</v>
      </c>
      <c r="C1003">
        <v>1008</v>
      </c>
      <c r="D1003" s="1">
        <v>45259</v>
      </c>
      <c r="E1003" s="1"/>
      <c r="F1003" t="s">
        <v>3480</v>
      </c>
      <c r="G1003" t="str">
        <f>IF(ISNA(_xlfn.XLOOKUP(subscriptions[[#This Row],[customer_id]], customers[customer_id], customers[customer_id])), "NO", "YES")</f>
        <v>YES</v>
      </c>
      <c r="H1003">
        <f>IF(AND(subscriptions[[#This Row],[end_date]]&lt;&gt;"", subscriptions[[#This Row],[end_date]] &lt; subscriptions[[#This Row],[start_date]]), 1, 0)</f>
        <v>0</v>
      </c>
      <c r="I10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3">
        <f>IF(
  AND(subscriptions[[#This Row],[end_before_start]]=0, subscriptions[[#This Row],[status_end_mismatch]]=0),
  1,
  0
)</f>
        <v>1</v>
      </c>
    </row>
    <row r="1004" spans="1:10" x14ac:dyDescent="0.3">
      <c r="A1004">
        <v>8455510</v>
      </c>
      <c r="B1004">
        <v>261790</v>
      </c>
      <c r="C1004">
        <v>1008</v>
      </c>
      <c r="D1004" s="1">
        <v>44872</v>
      </c>
      <c r="E1004" s="1"/>
      <c r="F1004" t="s">
        <v>3480</v>
      </c>
      <c r="G1004" t="str">
        <f>IF(ISNA(_xlfn.XLOOKUP(subscriptions[[#This Row],[customer_id]], customers[customer_id], customers[customer_id])), "NO", "YES")</f>
        <v>YES</v>
      </c>
      <c r="H1004">
        <f>IF(AND(subscriptions[[#This Row],[end_date]]&lt;&gt;"", subscriptions[[#This Row],[end_date]] &lt; subscriptions[[#This Row],[start_date]]), 1, 0)</f>
        <v>0</v>
      </c>
      <c r="I10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4">
        <f>IF(
  AND(subscriptions[[#This Row],[end_before_start]]=0, subscriptions[[#This Row],[status_end_mismatch]]=0),
  1,
  0
)</f>
        <v>1</v>
      </c>
    </row>
    <row r="1005" spans="1:10" x14ac:dyDescent="0.3">
      <c r="A1005">
        <v>9371405</v>
      </c>
      <c r="B1005">
        <v>638051</v>
      </c>
      <c r="C1005">
        <v>1000</v>
      </c>
      <c r="D1005" s="1">
        <v>44993</v>
      </c>
      <c r="E1005" s="1"/>
      <c r="F1005" t="s">
        <v>3480</v>
      </c>
      <c r="G1005" t="str">
        <f>IF(ISNA(_xlfn.XLOOKUP(subscriptions[[#This Row],[customer_id]], customers[customer_id], customers[customer_id])), "NO", "YES")</f>
        <v>YES</v>
      </c>
      <c r="H1005">
        <f>IF(AND(subscriptions[[#This Row],[end_date]]&lt;&gt;"", subscriptions[[#This Row],[end_date]] &lt; subscriptions[[#This Row],[start_date]]), 1, 0)</f>
        <v>0</v>
      </c>
      <c r="I10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5">
        <f>IF(
  AND(subscriptions[[#This Row],[end_before_start]]=0, subscriptions[[#This Row],[status_end_mismatch]]=0),
  1,
  0
)</f>
        <v>1</v>
      </c>
    </row>
    <row r="1006" spans="1:10" x14ac:dyDescent="0.3">
      <c r="A1006">
        <v>3852351</v>
      </c>
      <c r="B1006">
        <v>176421</v>
      </c>
      <c r="C1006">
        <v>1000</v>
      </c>
      <c r="D1006" s="1">
        <v>45360</v>
      </c>
      <c r="E1006" s="1"/>
      <c r="F1006" t="s">
        <v>3480</v>
      </c>
      <c r="G1006" t="str">
        <f>IF(ISNA(_xlfn.XLOOKUP(subscriptions[[#This Row],[customer_id]], customers[customer_id], customers[customer_id])), "NO", "YES")</f>
        <v>YES</v>
      </c>
      <c r="H1006">
        <f>IF(AND(subscriptions[[#This Row],[end_date]]&lt;&gt;"", subscriptions[[#This Row],[end_date]] &lt; subscriptions[[#This Row],[start_date]]), 1, 0)</f>
        <v>0</v>
      </c>
      <c r="I10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6">
        <f>IF(
  AND(subscriptions[[#This Row],[end_before_start]]=0, subscriptions[[#This Row],[status_end_mismatch]]=0),
  1,
  0
)</f>
        <v>1</v>
      </c>
    </row>
    <row r="1007" spans="1:10" x14ac:dyDescent="0.3">
      <c r="A1007">
        <v>1541342</v>
      </c>
      <c r="B1007">
        <v>924758</v>
      </c>
      <c r="C1007">
        <v>1002</v>
      </c>
      <c r="D1007" s="1">
        <v>44722</v>
      </c>
      <c r="E1007" s="1">
        <v>45039</v>
      </c>
      <c r="F1007" t="s">
        <v>3479</v>
      </c>
      <c r="G1007" t="str">
        <f>IF(ISNA(_xlfn.XLOOKUP(subscriptions[[#This Row],[customer_id]], customers[customer_id], customers[customer_id])), "NO", "YES")</f>
        <v>YES</v>
      </c>
      <c r="H1007">
        <f>IF(AND(subscriptions[[#This Row],[end_date]]&lt;&gt;"", subscriptions[[#This Row],[end_date]] &lt; subscriptions[[#This Row],[start_date]]), 1, 0)</f>
        <v>0</v>
      </c>
      <c r="I10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7">
        <f>IF(
  AND(subscriptions[[#This Row],[end_before_start]]=0, subscriptions[[#This Row],[status_end_mismatch]]=0),
  1,
  0
)</f>
        <v>1</v>
      </c>
    </row>
    <row r="1008" spans="1:10" x14ac:dyDescent="0.3">
      <c r="A1008">
        <v>6793159</v>
      </c>
      <c r="B1008">
        <v>423528</v>
      </c>
      <c r="C1008">
        <v>1005</v>
      </c>
      <c r="D1008" s="1">
        <v>44732</v>
      </c>
      <c r="E1008" s="1"/>
      <c r="F1008" t="s">
        <v>3480</v>
      </c>
      <c r="G1008" t="str">
        <f>IF(ISNA(_xlfn.XLOOKUP(subscriptions[[#This Row],[customer_id]], customers[customer_id], customers[customer_id])), "NO", "YES")</f>
        <v>YES</v>
      </c>
      <c r="H1008">
        <f>IF(AND(subscriptions[[#This Row],[end_date]]&lt;&gt;"", subscriptions[[#This Row],[end_date]] &lt; subscriptions[[#This Row],[start_date]]), 1, 0)</f>
        <v>0</v>
      </c>
      <c r="I10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8">
        <f>IF(
  AND(subscriptions[[#This Row],[end_before_start]]=0, subscriptions[[#This Row],[status_end_mismatch]]=0),
  1,
  0
)</f>
        <v>1</v>
      </c>
    </row>
    <row r="1009" spans="1:10" x14ac:dyDescent="0.3">
      <c r="A1009">
        <v>9885075</v>
      </c>
      <c r="B1009">
        <v>735863</v>
      </c>
      <c r="C1009">
        <v>1004</v>
      </c>
      <c r="D1009" s="1">
        <v>45318</v>
      </c>
      <c r="E1009" s="1"/>
      <c r="F1009" t="s">
        <v>3480</v>
      </c>
      <c r="G1009" t="str">
        <f>IF(ISNA(_xlfn.XLOOKUP(subscriptions[[#This Row],[customer_id]], customers[customer_id], customers[customer_id])), "NO", "YES")</f>
        <v>YES</v>
      </c>
      <c r="H1009">
        <f>IF(AND(subscriptions[[#This Row],[end_date]]&lt;&gt;"", subscriptions[[#This Row],[end_date]] &lt; subscriptions[[#This Row],[start_date]]), 1, 0)</f>
        <v>0</v>
      </c>
      <c r="I10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09">
        <f>IF(
  AND(subscriptions[[#This Row],[end_before_start]]=0, subscriptions[[#This Row],[status_end_mismatch]]=0),
  1,
  0
)</f>
        <v>1</v>
      </c>
    </row>
    <row r="1010" spans="1:10" x14ac:dyDescent="0.3">
      <c r="A1010">
        <v>6290495</v>
      </c>
      <c r="B1010">
        <v>520106</v>
      </c>
      <c r="C1010">
        <v>1001</v>
      </c>
      <c r="D1010" s="1">
        <v>45486</v>
      </c>
      <c r="E1010" s="1">
        <v>45531</v>
      </c>
      <c r="F1010" t="s">
        <v>3479</v>
      </c>
      <c r="G1010" t="str">
        <f>IF(ISNA(_xlfn.XLOOKUP(subscriptions[[#This Row],[customer_id]], customers[customer_id], customers[customer_id])), "NO", "YES")</f>
        <v>YES</v>
      </c>
      <c r="H1010">
        <f>IF(AND(subscriptions[[#This Row],[end_date]]&lt;&gt;"", subscriptions[[#This Row],[end_date]] &lt; subscriptions[[#This Row],[start_date]]), 1, 0)</f>
        <v>0</v>
      </c>
      <c r="I10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0">
        <f>IF(
  AND(subscriptions[[#This Row],[end_before_start]]=0, subscriptions[[#This Row],[status_end_mismatch]]=0),
  1,
  0
)</f>
        <v>1</v>
      </c>
    </row>
    <row r="1011" spans="1:10" x14ac:dyDescent="0.3">
      <c r="A1011">
        <v>3615576</v>
      </c>
      <c r="B1011">
        <v>995420</v>
      </c>
      <c r="C1011">
        <v>1009</v>
      </c>
      <c r="D1011" s="1">
        <v>44903</v>
      </c>
      <c r="E1011" s="1">
        <v>45222</v>
      </c>
      <c r="F1011" t="s">
        <v>3479</v>
      </c>
      <c r="G1011" t="str">
        <f>IF(ISNA(_xlfn.XLOOKUP(subscriptions[[#This Row],[customer_id]], customers[customer_id], customers[customer_id])), "NO", "YES")</f>
        <v>YES</v>
      </c>
      <c r="H1011">
        <f>IF(AND(subscriptions[[#This Row],[end_date]]&lt;&gt;"", subscriptions[[#This Row],[end_date]] &lt; subscriptions[[#This Row],[start_date]]), 1, 0)</f>
        <v>0</v>
      </c>
      <c r="I10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1">
        <f>IF(
  AND(subscriptions[[#This Row],[end_before_start]]=0, subscriptions[[#This Row],[status_end_mismatch]]=0),
  1,
  0
)</f>
        <v>1</v>
      </c>
    </row>
    <row r="1012" spans="1:10" x14ac:dyDescent="0.3">
      <c r="A1012">
        <v>8239885</v>
      </c>
      <c r="B1012">
        <v>398910</v>
      </c>
      <c r="C1012">
        <v>1001</v>
      </c>
      <c r="D1012" s="1">
        <v>45412</v>
      </c>
      <c r="E1012" s="1">
        <v>45453</v>
      </c>
      <c r="F1012" t="s">
        <v>3479</v>
      </c>
      <c r="G1012" t="str">
        <f>IF(ISNA(_xlfn.XLOOKUP(subscriptions[[#This Row],[customer_id]], customers[customer_id], customers[customer_id])), "NO", "YES")</f>
        <v>YES</v>
      </c>
      <c r="H1012">
        <f>IF(AND(subscriptions[[#This Row],[end_date]]&lt;&gt;"", subscriptions[[#This Row],[end_date]] &lt; subscriptions[[#This Row],[start_date]]), 1, 0)</f>
        <v>0</v>
      </c>
      <c r="I10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2">
        <f>IF(
  AND(subscriptions[[#This Row],[end_before_start]]=0, subscriptions[[#This Row],[status_end_mismatch]]=0),
  1,
  0
)</f>
        <v>1</v>
      </c>
    </row>
    <row r="1013" spans="1:10" x14ac:dyDescent="0.3">
      <c r="A1013">
        <v>5762844</v>
      </c>
      <c r="B1013">
        <v>575755</v>
      </c>
      <c r="C1013">
        <v>1009</v>
      </c>
      <c r="D1013" s="1">
        <v>45567</v>
      </c>
      <c r="E1013" s="1">
        <v>45628</v>
      </c>
      <c r="F1013" t="s">
        <v>3479</v>
      </c>
      <c r="G1013" t="str">
        <f>IF(ISNA(_xlfn.XLOOKUP(subscriptions[[#This Row],[customer_id]], customers[customer_id], customers[customer_id])), "NO", "YES")</f>
        <v>YES</v>
      </c>
      <c r="H1013">
        <f>IF(AND(subscriptions[[#This Row],[end_date]]&lt;&gt;"", subscriptions[[#This Row],[end_date]] &lt; subscriptions[[#This Row],[start_date]]), 1, 0)</f>
        <v>0</v>
      </c>
      <c r="I10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3">
        <f>IF(
  AND(subscriptions[[#This Row],[end_before_start]]=0, subscriptions[[#This Row],[status_end_mismatch]]=0),
  1,
  0
)</f>
        <v>1</v>
      </c>
    </row>
    <row r="1014" spans="1:10" x14ac:dyDescent="0.3">
      <c r="A1014">
        <v>3209515</v>
      </c>
      <c r="B1014">
        <v>801978</v>
      </c>
      <c r="C1014">
        <v>1008</v>
      </c>
      <c r="D1014" s="1">
        <v>45337</v>
      </c>
      <c r="E1014" s="1">
        <v>45430</v>
      </c>
      <c r="F1014" t="s">
        <v>3479</v>
      </c>
      <c r="G1014" t="str">
        <f>IF(ISNA(_xlfn.XLOOKUP(subscriptions[[#This Row],[customer_id]], customers[customer_id], customers[customer_id])), "NO", "YES")</f>
        <v>YES</v>
      </c>
      <c r="H1014">
        <f>IF(AND(subscriptions[[#This Row],[end_date]]&lt;&gt;"", subscriptions[[#This Row],[end_date]] &lt; subscriptions[[#This Row],[start_date]]), 1, 0)</f>
        <v>0</v>
      </c>
      <c r="I10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4">
        <f>IF(
  AND(subscriptions[[#This Row],[end_before_start]]=0, subscriptions[[#This Row],[status_end_mismatch]]=0),
  1,
  0
)</f>
        <v>1</v>
      </c>
    </row>
    <row r="1015" spans="1:10" x14ac:dyDescent="0.3">
      <c r="A1015">
        <v>2627051</v>
      </c>
      <c r="B1015">
        <v>189318</v>
      </c>
      <c r="C1015">
        <v>1003</v>
      </c>
      <c r="D1015" s="1">
        <v>45372</v>
      </c>
      <c r="E1015" s="1"/>
      <c r="F1015" t="s">
        <v>3480</v>
      </c>
      <c r="G1015" t="str">
        <f>IF(ISNA(_xlfn.XLOOKUP(subscriptions[[#This Row],[customer_id]], customers[customer_id], customers[customer_id])), "NO", "YES")</f>
        <v>YES</v>
      </c>
      <c r="H1015">
        <f>IF(AND(subscriptions[[#This Row],[end_date]]&lt;&gt;"", subscriptions[[#This Row],[end_date]] &lt; subscriptions[[#This Row],[start_date]]), 1, 0)</f>
        <v>0</v>
      </c>
      <c r="I10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5">
        <f>IF(
  AND(subscriptions[[#This Row],[end_before_start]]=0, subscriptions[[#This Row],[status_end_mismatch]]=0),
  1,
  0
)</f>
        <v>1</v>
      </c>
    </row>
    <row r="1016" spans="1:10" x14ac:dyDescent="0.3">
      <c r="A1016">
        <v>2856109</v>
      </c>
      <c r="B1016">
        <v>814220</v>
      </c>
      <c r="C1016">
        <v>1009</v>
      </c>
      <c r="D1016" s="1">
        <v>45154</v>
      </c>
      <c r="E1016" s="1"/>
      <c r="F1016" t="s">
        <v>3480</v>
      </c>
      <c r="G1016" t="str">
        <f>IF(ISNA(_xlfn.XLOOKUP(subscriptions[[#This Row],[customer_id]], customers[customer_id], customers[customer_id])), "NO", "YES")</f>
        <v>YES</v>
      </c>
      <c r="H1016">
        <f>IF(AND(subscriptions[[#This Row],[end_date]]&lt;&gt;"", subscriptions[[#This Row],[end_date]] &lt; subscriptions[[#This Row],[start_date]]), 1, 0)</f>
        <v>0</v>
      </c>
      <c r="I10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6">
        <f>IF(
  AND(subscriptions[[#This Row],[end_before_start]]=0, subscriptions[[#This Row],[status_end_mismatch]]=0),
  1,
  0
)</f>
        <v>1</v>
      </c>
    </row>
    <row r="1017" spans="1:10" x14ac:dyDescent="0.3">
      <c r="A1017">
        <v>3669548</v>
      </c>
      <c r="B1017">
        <v>807835</v>
      </c>
      <c r="C1017">
        <v>1002</v>
      </c>
      <c r="D1017" s="1">
        <v>45383</v>
      </c>
      <c r="E1017" s="1"/>
      <c r="F1017" t="s">
        <v>3480</v>
      </c>
      <c r="G1017" t="str">
        <f>IF(ISNA(_xlfn.XLOOKUP(subscriptions[[#This Row],[customer_id]], customers[customer_id], customers[customer_id])), "NO", "YES")</f>
        <v>YES</v>
      </c>
      <c r="H1017">
        <f>IF(AND(subscriptions[[#This Row],[end_date]]&lt;&gt;"", subscriptions[[#This Row],[end_date]] &lt; subscriptions[[#This Row],[start_date]]), 1, 0)</f>
        <v>0</v>
      </c>
      <c r="I10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7">
        <f>IF(
  AND(subscriptions[[#This Row],[end_before_start]]=0, subscriptions[[#This Row],[status_end_mismatch]]=0),
  1,
  0
)</f>
        <v>1</v>
      </c>
    </row>
    <row r="1018" spans="1:10" x14ac:dyDescent="0.3">
      <c r="A1018">
        <v>6905993</v>
      </c>
      <c r="B1018">
        <v>620248</v>
      </c>
      <c r="C1018">
        <v>1006</v>
      </c>
      <c r="D1018" s="1">
        <v>45007</v>
      </c>
      <c r="E1018" s="1"/>
      <c r="F1018" t="s">
        <v>3480</v>
      </c>
      <c r="G1018" t="str">
        <f>IF(ISNA(_xlfn.XLOOKUP(subscriptions[[#This Row],[customer_id]], customers[customer_id], customers[customer_id])), "NO", "YES")</f>
        <v>YES</v>
      </c>
      <c r="H1018">
        <f>IF(AND(subscriptions[[#This Row],[end_date]]&lt;&gt;"", subscriptions[[#This Row],[end_date]] &lt; subscriptions[[#This Row],[start_date]]), 1, 0)</f>
        <v>0</v>
      </c>
      <c r="I10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8">
        <f>IF(
  AND(subscriptions[[#This Row],[end_before_start]]=0, subscriptions[[#This Row],[status_end_mismatch]]=0),
  1,
  0
)</f>
        <v>1</v>
      </c>
    </row>
    <row r="1019" spans="1:10" x14ac:dyDescent="0.3">
      <c r="A1019">
        <v>5678825</v>
      </c>
      <c r="B1019">
        <v>613989</v>
      </c>
      <c r="C1019">
        <v>1001</v>
      </c>
      <c r="D1019" s="1">
        <v>45216</v>
      </c>
      <c r="E1019" s="1">
        <v>45568</v>
      </c>
      <c r="F1019" t="s">
        <v>3479</v>
      </c>
      <c r="G1019" t="str">
        <f>IF(ISNA(_xlfn.XLOOKUP(subscriptions[[#This Row],[customer_id]], customers[customer_id], customers[customer_id])), "NO", "YES")</f>
        <v>YES</v>
      </c>
      <c r="H1019">
        <f>IF(AND(subscriptions[[#This Row],[end_date]]&lt;&gt;"", subscriptions[[#This Row],[end_date]] &lt; subscriptions[[#This Row],[start_date]]), 1, 0)</f>
        <v>0</v>
      </c>
      <c r="I10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19">
        <f>IF(
  AND(subscriptions[[#This Row],[end_before_start]]=0, subscriptions[[#This Row],[status_end_mismatch]]=0),
  1,
  0
)</f>
        <v>1</v>
      </c>
    </row>
    <row r="1020" spans="1:10" x14ac:dyDescent="0.3">
      <c r="A1020">
        <v>2772324</v>
      </c>
      <c r="B1020">
        <v>770043</v>
      </c>
      <c r="C1020">
        <v>1009</v>
      </c>
      <c r="D1020" s="1">
        <v>45212</v>
      </c>
      <c r="E1020" s="1"/>
      <c r="F1020" t="s">
        <v>3480</v>
      </c>
      <c r="G1020" t="str">
        <f>IF(ISNA(_xlfn.XLOOKUP(subscriptions[[#This Row],[customer_id]], customers[customer_id], customers[customer_id])), "NO", "YES")</f>
        <v>YES</v>
      </c>
      <c r="H1020">
        <f>IF(AND(subscriptions[[#This Row],[end_date]]&lt;&gt;"", subscriptions[[#This Row],[end_date]] &lt; subscriptions[[#This Row],[start_date]]), 1, 0)</f>
        <v>0</v>
      </c>
      <c r="I10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0">
        <f>IF(
  AND(subscriptions[[#This Row],[end_before_start]]=0, subscriptions[[#This Row],[status_end_mismatch]]=0),
  1,
  0
)</f>
        <v>1</v>
      </c>
    </row>
    <row r="1021" spans="1:10" x14ac:dyDescent="0.3">
      <c r="A1021">
        <v>9934008</v>
      </c>
      <c r="B1021">
        <v>170846</v>
      </c>
      <c r="C1021">
        <v>1007</v>
      </c>
      <c r="D1021" s="1">
        <v>45365</v>
      </c>
      <c r="E1021" s="1"/>
      <c r="F1021" t="s">
        <v>3480</v>
      </c>
      <c r="G1021" t="str">
        <f>IF(ISNA(_xlfn.XLOOKUP(subscriptions[[#This Row],[customer_id]], customers[customer_id], customers[customer_id])), "NO", "YES")</f>
        <v>YES</v>
      </c>
      <c r="H1021">
        <f>IF(AND(subscriptions[[#This Row],[end_date]]&lt;&gt;"", subscriptions[[#This Row],[end_date]] &lt; subscriptions[[#This Row],[start_date]]), 1, 0)</f>
        <v>0</v>
      </c>
      <c r="I10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1">
        <f>IF(
  AND(subscriptions[[#This Row],[end_before_start]]=0, subscriptions[[#This Row],[status_end_mismatch]]=0),
  1,
  0
)</f>
        <v>1</v>
      </c>
    </row>
    <row r="1022" spans="1:10" x14ac:dyDescent="0.3">
      <c r="A1022">
        <v>7777424</v>
      </c>
      <c r="B1022">
        <v>665579</v>
      </c>
      <c r="C1022">
        <v>1001</v>
      </c>
      <c r="D1022" s="1">
        <v>45575</v>
      </c>
      <c r="E1022" s="1">
        <v>45631</v>
      </c>
      <c r="F1022" t="s">
        <v>3479</v>
      </c>
      <c r="G1022" t="str">
        <f>IF(ISNA(_xlfn.XLOOKUP(subscriptions[[#This Row],[customer_id]], customers[customer_id], customers[customer_id])), "NO", "YES")</f>
        <v>YES</v>
      </c>
      <c r="H1022">
        <f>IF(AND(subscriptions[[#This Row],[end_date]]&lt;&gt;"", subscriptions[[#This Row],[end_date]] &lt; subscriptions[[#This Row],[start_date]]), 1, 0)</f>
        <v>0</v>
      </c>
      <c r="I10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2">
        <f>IF(
  AND(subscriptions[[#This Row],[end_before_start]]=0, subscriptions[[#This Row],[status_end_mismatch]]=0),
  1,
  0
)</f>
        <v>1</v>
      </c>
    </row>
    <row r="1023" spans="1:10" x14ac:dyDescent="0.3">
      <c r="A1023">
        <v>8540619</v>
      </c>
      <c r="B1023">
        <v>457356</v>
      </c>
      <c r="C1023">
        <v>1006</v>
      </c>
      <c r="D1023" s="1">
        <v>44883</v>
      </c>
      <c r="E1023" s="1">
        <v>45003</v>
      </c>
      <c r="F1023" t="s">
        <v>3479</v>
      </c>
      <c r="G1023" t="str">
        <f>IF(ISNA(_xlfn.XLOOKUP(subscriptions[[#This Row],[customer_id]], customers[customer_id], customers[customer_id])), "NO", "YES")</f>
        <v>YES</v>
      </c>
      <c r="H1023">
        <f>IF(AND(subscriptions[[#This Row],[end_date]]&lt;&gt;"", subscriptions[[#This Row],[end_date]] &lt; subscriptions[[#This Row],[start_date]]), 1, 0)</f>
        <v>0</v>
      </c>
      <c r="I10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3">
        <f>IF(
  AND(subscriptions[[#This Row],[end_before_start]]=0, subscriptions[[#This Row],[status_end_mismatch]]=0),
  1,
  0
)</f>
        <v>1</v>
      </c>
    </row>
    <row r="1024" spans="1:10" x14ac:dyDescent="0.3">
      <c r="A1024">
        <v>7711798</v>
      </c>
      <c r="B1024">
        <v>831531</v>
      </c>
      <c r="C1024">
        <v>1008</v>
      </c>
      <c r="D1024" s="1">
        <v>45152</v>
      </c>
      <c r="E1024" s="1"/>
      <c r="F1024" t="s">
        <v>3480</v>
      </c>
      <c r="G1024" t="str">
        <f>IF(ISNA(_xlfn.XLOOKUP(subscriptions[[#This Row],[customer_id]], customers[customer_id], customers[customer_id])), "NO", "YES")</f>
        <v>YES</v>
      </c>
      <c r="H1024">
        <f>IF(AND(subscriptions[[#This Row],[end_date]]&lt;&gt;"", subscriptions[[#This Row],[end_date]] &lt; subscriptions[[#This Row],[start_date]]), 1, 0)</f>
        <v>0</v>
      </c>
      <c r="I10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4">
        <f>IF(
  AND(subscriptions[[#This Row],[end_before_start]]=0, subscriptions[[#This Row],[status_end_mismatch]]=0),
  1,
  0
)</f>
        <v>1</v>
      </c>
    </row>
    <row r="1025" spans="1:10" x14ac:dyDescent="0.3">
      <c r="A1025">
        <v>6604510</v>
      </c>
      <c r="B1025">
        <v>305222</v>
      </c>
      <c r="C1025">
        <v>1009</v>
      </c>
      <c r="D1025" s="1">
        <v>45512</v>
      </c>
      <c r="E1025" s="1">
        <v>45628</v>
      </c>
      <c r="F1025" t="s">
        <v>3479</v>
      </c>
      <c r="G1025" t="str">
        <f>IF(ISNA(_xlfn.XLOOKUP(subscriptions[[#This Row],[customer_id]], customers[customer_id], customers[customer_id])), "NO", "YES")</f>
        <v>YES</v>
      </c>
      <c r="H1025">
        <f>IF(AND(subscriptions[[#This Row],[end_date]]&lt;&gt;"", subscriptions[[#This Row],[end_date]] &lt; subscriptions[[#This Row],[start_date]]), 1, 0)</f>
        <v>0</v>
      </c>
      <c r="I10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5">
        <f>IF(
  AND(subscriptions[[#This Row],[end_before_start]]=0, subscriptions[[#This Row],[status_end_mismatch]]=0),
  1,
  0
)</f>
        <v>1</v>
      </c>
    </row>
    <row r="1026" spans="1:10" x14ac:dyDescent="0.3">
      <c r="A1026">
        <v>2649587</v>
      </c>
      <c r="B1026">
        <v>561457</v>
      </c>
      <c r="C1026">
        <v>1006</v>
      </c>
      <c r="D1026" s="1">
        <v>45347</v>
      </c>
      <c r="E1026" s="1"/>
      <c r="F1026" t="s">
        <v>3480</v>
      </c>
      <c r="G1026" t="str">
        <f>IF(ISNA(_xlfn.XLOOKUP(subscriptions[[#This Row],[customer_id]], customers[customer_id], customers[customer_id])), "NO", "YES")</f>
        <v>YES</v>
      </c>
      <c r="H1026">
        <f>IF(AND(subscriptions[[#This Row],[end_date]]&lt;&gt;"", subscriptions[[#This Row],[end_date]] &lt; subscriptions[[#This Row],[start_date]]), 1, 0)</f>
        <v>0</v>
      </c>
      <c r="I10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6">
        <f>IF(
  AND(subscriptions[[#This Row],[end_before_start]]=0, subscriptions[[#This Row],[status_end_mismatch]]=0),
  1,
  0
)</f>
        <v>1</v>
      </c>
    </row>
    <row r="1027" spans="1:10" x14ac:dyDescent="0.3">
      <c r="A1027">
        <v>8014552</v>
      </c>
      <c r="B1027">
        <v>861253</v>
      </c>
      <c r="C1027">
        <v>1005</v>
      </c>
      <c r="D1027" s="1">
        <v>45418</v>
      </c>
      <c r="E1027" s="1"/>
      <c r="F1027" t="s">
        <v>3480</v>
      </c>
      <c r="G1027" t="str">
        <f>IF(ISNA(_xlfn.XLOOKUP(subscriptions[[#This Row],[customer_id]], customers[customer_id], customers[customer_id])), "NO", "YES")</f>
        <v>YES</v>
      </c>
      <c r="H1027">
        <f>IF(AND(subscriptions[[#This Row],[end_date]]&lt;&gt;"", subscriptions[[#This Row],[end_date]] &lt; subscriptions[[#This Row],[start_date]]), 1, 0)</f>
        <v>0</v>
      </c>
      <c r="I10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7">
        <f>IF(
  AND(subscriptions[[#This Row],[end_before_start]]=0, subscriptions[[#This Row],[status_end_mismatch]]=0),
  1,
  0
)</f>
        <v>1</v>
      </c>
    </row>
    <row r="1028" spans="1:10" x14ac:dyDescent="0.3">
      <c r="A1028">
        <v>1487227</v>
      </c>
      <c r="B1028">
        <v>629435</v>
      </c>
      <c r="C1028">
        <v>1005</v>
      </c>
      <c r="D1028" s="1">
        <v>45021</v>
      </c>
      <c r="E1028" s="1"/>
      <c r="F1028" t="s">
        <v>3480</v>
      </c>
      <c r="G1028" t="str">
        <f>IF(ISNA(_xlfn.XLOOKUP(subscriptions[[#This Row],[customer_id]], customers[customer_id], customers[customer_id])), "NO", "YES")</f>
        <v>YES</v>
      </c>
      <c r="H1028">
        <f>IF(AND(subscriptions[[#This Row],[end_date]]&lt;&gt;"", subscriptions[[#This Row],[end_date]] &lt; subscriptions[[#This Row],[start_date]]), 1, 0)</f>
        <v>0</v>
      </c>
      <c r="I10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8">
        <f>IF(
  AND(subscriptions[[#This Row],[end_before_start]]=0, subscriptions[[#This Row],[status_end_mismatch]]=0),
  1,
  0
)</f>
        <v>1</v>
      </c>
    </row>
    <row r="1029" spans="1:10" x14ac:dyDescent="0.3">
      <c r="A1029">
        <v>9445000</v>
      </c>
      <c r="B1029">
        <v>938016</v>
      </c>
      <c r="C1029">
        <v>1000</v>
      </c>
      <c r="D1029" s="1">
        <v>44726</v>
      </c>
      <c r="E1029" s="1"/>
      <c r="F1029" t="s">
        <v>3480</v>
      </c>
      <c r="G1029" t="str">
        <f>IF(ISNA(_xlfn.XLOOKUP(subscriptions[[#This Row],[customer_id]], customers[customer_id], customers[customer_id])), "NO", "YES")</f>
        <v>YES</v>
      </c>
      <c r="H1029">
        <f>IF(AND(subscriptions[[#This Row],[end_date]]&lt;&gt;"", subscriptions[[#This Row],[end_date]] &lt; subscriptions[[#This Row],[start_date]]), 1, 0)</f>
        <v>0</v>
      </c>
      <c r="I10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29">
        <f>IF(
  AND(subscriptions[[#This Row],[end_before_start]]=0, subscriptions[[#This Row],[status_end_mismatch]]=0),
  1,
  0
)</f>
        <v>1</v>
      </c>
    </row>
    <row r="1030" spans="1:10" x14ac:dyDescent="0.3">
      <c r="A1030">
        <v>7858110</v>
      </c>
      <c r="B1030">
        <v>235691</v>
      </c>
      <c r="C1030">
        <v>1005</v>
      </c>
      <c r="D1030" s="1">
        <v>44608</v>
      </c>
      <c r="E1030" s="1"/>
      <c r="F1030" t="s">
        <v>3480</v>
      </c>
      <c r="G1030" t="str">
        <f>IF(ISNA(_xlfn.XLOOKUP(subscriptions[[#This Row],[customer_id]], customers[customer_id], customers[customer_id])), "NO", "YES")</f>
        <v>YES</v>
      </c>
      <c r="H1030">
        <f>IF(AND(subscriptions[[#This Row],[end_date]]&lt;&gt;"", subscriptions[[#This Row],[end_date]] &lt; subscriptions[[#This Row],[start_date]]), 1, 0)</f>
        <v>0</v>
      </c>
      <c r="I10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0">
        <f>IF(
  AND(subscriptions[[#This Row],[end_before_start]]=0, subscriptions[[#This Row],[status_end_mismatch]]=0),
  1,
  0
)</f>
        <v>1</v>
      </c>
    </row>
    <row r="1031" spans="1:10" x14ac:dyDescent="0.3">
      <c r="A1031">
        <v>5193310</v>
      </c>
      <c r="B1031">
        <v>257782</v>
      </c>
      <c r="C1031">
        <v>1005</v>
      </c>
      <c r="D1031" s="1">
        <v>44902</v>
      </c>
      <c r="E1031" s="1"/>
      <c r="F1031" t="s">
        <v>3480</v>
      </c>
      <c r="G1031" t="str">
        <f>IF(ISNA(_xlfn.XLOOKUP(subscriptions[[#This Row],[customer_id]], customers[customer_id], customers[customer_id])), "NO", "YES")</f>
        <v>YES</v>
      </c>
      <c r="H1031">
        <f>IF(AND(subscriptions[[#This Row],[end_date]]&lt;&gt;"", subscriptions[[#This Row],[end_date]] &lt; subscriptions[[#This Row],[start_date]]), 1, 0)</f>
        <v>0</v>
      </c>
      <c r="I10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1">
        <f>IF(
  AND(subscriptions[[#This Row],[end_before_start]]=0, subscriptions[[#This Row],[status_end_mismatch]]=0),
  1,
  0
)</f>
        <v>1</v>
      </c>
    </row>
    <row r="1032" spans="1:10" x14ac:dyDescent="0.3">
      <c r="A1032">
        <v>8917395</v>
      </c>
      <c r="B1032">
        <v>341026</v>
      </c>
      <c r="C1032">
        <v>1008</v>
      </c>
      <c r="D1032" s="1">
        <v>44748</v>
      </c>
      <c r="E1032" s="1">
        <v>44789</v>
      </c>
      <c r="F1032" t="s">
        <v>3479</v>
      </c>
      <c r="G1032" t="str">
        <f>IF(ISNA(_xlfn.XLOOKUP(subscriptions[[#This Row],[customer_id]], customers[customer_id], customers[customer_id])), "NO", "YES")</f>
        <v>YES</v>
      </c>
      <c r="H1032">
        <f>IF(AND(subscriptions[[#This Row],[end_date]]&lt;&gt;"", subscriptions[[#This Row],[end_date]] &lt; subscriptions[[#This Row],[start_date]]), 1, 0)</f>
        <v>0</v>
      </c>
      <c r="I10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2">
        <f>IF(
  AND(subscriptions[[#This Row],[end_before_start]]=0, subscriptions[[#This Row],[status_end_mismatch]]=0),
  1,
  0
)</f>
        <v>1</v>
      </c>
    </row>
    <row r="1033" spans="1:10" x14ac:dyDescent="0.3">
      <c r="A1033">
        <v>7532030</v>
      </c>
      <c r="B1033">
        <v>301774</v>
      </c>
      <c r="C1033">
        <v>1003</v>
      </c>
      <c r="D1033" s="1">
        <v>44957</v>
      </c>
      <c r="E1033" s="1">
        <v>45069</v>
      </c>
      <c r="F1033" t="s">
        <v>3479</v>
      </c>
      <c r="G1033" t="str">
        <f>IF(ISNA(_xlfn.XLOOKUP(subscriptions[[#This Row],[customer_id]], customers[customer_id], customers[customer_id])), "NO", "YES")</f>
        <v>YES</v>
      </c>
      <c r="H1033">
        <f>IF(AND(subscriptions[[#This Row],[end_date]]&lt;&gt;"", subscriptions[[#This Row],[end_date]] &lt; subscriptions[[#This Row],[start_date]]), 1, 0)</f>
        <v>0</v>
      </c>
      <c r="I10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3">
        <f>IF(
  AND(subscriptions[[#This Row],[end_before_start]]=0, subscriptions[[#This Row],[status_end_mismatch]]=0),
  1,
  0
)</f>
        <v>1</v>
      </c>
    </row>
    <row r="1034" spans="1:10" x14ac:dyDescent="0.3">
      <c r="A1034">
        <v>8680087</v>
      </c>
      <c r="B1034">
        <v>495129</v>
      </c>
      <c r="C1034">
        <v>1000</v>
      </c>
      <c r="D1034" s="1">
        <v>45317</v>
      </c>
      <c r="E1034" s="1">
        <v>45469</v>
      </c>
      <c r="F1034" t="s">
        <v>3479</v>
      </c>
      <c r="G1034" t="str">
        <f>IF(ISNA(_xlfn.XLOOKUP(subscriptions[[#This Row],[customer_id]], customers[customer_id], customers[customer_id])), "NO", "YES")</f>
        <v>YES</v>
      </c>
      <c r="H1034">
        <f>IF(AND(subscriptions[[#This Row],[end_date]]&lt;&gt;"", subscriptions[[#This Row],[end_date]] &lt; subscriptions[[#This Row],[start_date]]), 1, 0)</f>
        <v>0</v>
      </c>
      <c r="I10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4">
        <f>IF(
  AND(subscriptions[[#This Row],[end_before_start]]=0, subscriptions[[#This Row],[status_end_mismatch]]=0),
  1,
  0
)</f>
        <v>1</v>
      </c>
    </row>
    <row r="1035" spans="1:10" x14ac:dyDescent="0.3">
      <c r="A1035">
        <v>3939552</v>
      </c>
      <c r="B1035">
        <v>478411</v>
      </c>
      <c r="C1035">
        <v>1006</v>
      </c>
      <c r="D1035" s="1">
        <v>45529</v>
      </c>
      <c r="E1035" s="1">
        <v>45647</v>
      </c>
      <c r="F1035" t="s">
        <v>3479</v>
      </c>
      <c r="G1035" t="str">
        <f>IF(ISNA(_xlfn.XLOOKUP(subscriptions[[#This Row],[customer_id]], customers[customer_id], customers[customer_id])), "NO", "YES")</f>
        <v>YES</v>
      </c>
      <c r="H1035">
        <f>IF(AND(subscriptions[[#This Row],[end_date]]&lt;&gt;"", subscriptions[[#This Row],[end_date]] &lt; subscriptions[[#This Row],[start_date]]), 1, 0)</f>
        <v>0</v>
      </c>
      <c r="I10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5">
        <f>IF(
  AND(subscriptions[[#This Row],[end_before_start]]=0, subscriptions[[#This Row],[status_end_mismatch]]=0),
  1,
  0
)</f>
        <v>1</v>
      </c>
    </row>
    <row r="1036" spans="1:10" x14ac:dyDescent="0.3">
      <c r="A1036">
        <v>3225498</v>
      </c>
      <c r="B1036">
        <v>946335</v>
      </c>
      <c r="C1036">
        <v>1008</v>
      </c>
      <c r="D1036" s="1">
        <v>45162</v>
      </c>
      <c r="E1036" s="1"/>
      <c r="F1036" t="s">
        <v>3480</v>
      </c>
      <c r="G1036" t="str">
        <f>IF(ISNA(_xlfn.XLOOKUP(subscriptions[[#This Row],[customer_id]], customers[customer_id], customers[customer_id])), "NO", "YES")</f>
        <v>YES</v>
      </c>
      <c r="H1036">
        <f>IF(AND(subscriptions[[#This Row],[end_date]]&lt;&gt;"", subscriptions[[#This Row],[end_date]] &lt; subscriptions[[#This Row],[start_date]]), 1, 0)</f>
        <v>0</v>
      </c>
      <c r="I10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6">
        <f>IF(
  AND(subscriptions[[#This Row],[end_before_start]]=0, subscriptions[[#This Row],[status_end_mismatch]]=0),
  1,
  0
)</f>
        <v>1</v>
      </c>
    </row>
    <row r="1037" spans="1:10" x14ac:dyDescent="0.3">
      <c r="A1037">
        <v>1518244</v>
      </c>
      <c r="B1037">
        <v>671598</v>
      </c>
      <c r="C1037">
        <v>1005</v>
      </c>
      <c r="D1037" s="1">
        <v>44985</v>
      </c>
      <c r="E1037" s="1"/>
      <c r="F1037" t="s">
        <v>3480</v>
      </c>
      <c r="G1037" t="str">
        <f>IF(ISNA(_xlfn.XLOOKUP(subscriptions[[#This Row],[customer_id]], customers[customer_id], customers[customer_id])), "NO", "YES")</f>
        <v>YES</v>
      </c>
      <c r="H1037">
        <f>IF(AND(subscriptions[[#This Row],[end_date]]&lt;&gt;"", subscriptions[[#This Row],[end_date]] &lt; subscriptions[[#This Row],[start_date]]), 1, 0)</f>
        <v>0</v>
      </c>
      <c r="I10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7">
        <f>IF(
  AND(subscriptions[[#This Row],[end_before_start]]=0, subscriptions[[#This Row],[status_end_mismatch]]=0),
  1,
  0
)</f>
        <v>1</v>
      </c>
    </row>
    <row r="1038" spans="1:10" x14ac:dyDescent="0.3">
      <c r="A1038">
        <v>8703978</v>
      </c>
      <c r="B1038">
        <v>725726</v>
      </c>
      <c r="C1038">
        <v>1008</v>
      </c>
      <c r="D1038" s="1">
        <v>45063</v>
      </c>
      <c r="E1038" s="1">
        <v>45320</v>
      </c>
      <c r="F1038" t="s">
        <v>3479</v>
      </c>
      <c r="G1038" t="str">
        <f>IF(ISNA(_xlfn.XLOOKUP(subscriptions[[#This Row],[customer_id]], customers[customer_id], customers[customer_id])), "NO", "YES")</f>
        <v>YES</v>
      </c>
      <c r="H1038">
        <f>IF(AND(subscriptions[[#This Row],[end_date]]&lt;&gt;"", subscriptions[[#This Row],[end_date]] &lt; subscriptions[[#This Row],[start_date]]), 1, 0)</f>
        <v>0</v>
      </c>
      <c r="I10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8">
        <f>IF(
  AND(subscriptions[[#This Row],[end_before_start]]=0, subscriptions[[#This Row],[status_end_mismatch]]=0),
  1,
  0
)</f>
        <v>1</v>
      </c>
    </row>
    <row r="1039" spans="1:10" x14ac:dyDescent="0.3">
      <c r="A1039">
        <v>5058134</v>
      </c>
      <c r="B1039">
        <v>599365</v>
      </c>
      <c r="C1039">
        <v>1006</v>
      </c>
      <c r="D1039" s="1">
        <v>44924</v>
      </c>
      <c r="E1039" s="1">
        <v>45210</v>
      </c>
      <c r="F1039" t="s">
        <v>3479</v>
      </c>
      <c r="G1039" t="str">
        <f>IF(ISNA(_xlfn.XLOOKUP(subscriptions[[#This Row],[customer_id]], customers[customer_id], customers[customer_id])), "NO", "YES")</f>
        <v>YES</v>
      </c>
      <c r="H1039">
        <f>IF(AND(subscriptions[[#This Row],[end_date]]&lt;&gt;"", subscriptions[[#This Row],[end_date]] &lt; subscriptions[[#This Row],[start_date]]), 1, 0)</f>
        <v>0</v>
      </c>
      <c r="I10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39">
        <f>IF(
  AND(subscriptions[[#This Row],[end_before_start]]=0, subscriptions[[#This Row],[status_end_mismatch]]=0),
  1,
  0
)</f>
        <v>1</v>
      </c>
    </row>
    <row r="1040" spans="1:10" x14ac:dyDescent="0.3">
      <c r="A1040">
        <v>2864909</v>
      </c>
      <c r="B1040">
        <v>947684</v>
      </c>
      <c r="C1040">
        <v>1004</v>
      </c>
      <c r="D1040" s="1">
        <v>45240</v>
      </c>
      <c r="E1040" s="1">
        <v>45351</v>
      </c>
      <c r="F1040" t="s">
        <v>3479</v>
      </c>
      <c r="G1040" t="str">
        <f>IF(ISNA(_xlfn.XLOOKUP(subscriptions[[#This Row],[customer_id]], customers[customer_id], customers[customer_id])), "NO", "YES")</f>
        <v>YES</v>
      </c>
      <c r="H1040">
        <f>IF(AND(subscriptions[[#This Row],[end_date]]&lt;&gt;"", subscriptions[[#This Row],[end_date]] &lt; subscriptions[[#This Row],[start_date]]), 1, 0)</f>
        <v>0</v>
      </c>
      <c r="I10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0">
        <f>IF(
  AND(subscriptions[[#This Row],[end_before_start]]=0, subscriptions[[#This Row],[status_end_mismatch]]=0),
  1,
  0
)</f>
        <v>1</v>
      </c>
    </row>
    <row r="1041" spans="1:10" x14ac:dyDescent="0.3">
      <c r="A1041">
        <v>5108127</v>
      </c>
      <c r="B1041">
        <v>651231</v>
      </c>
      <c r="C1041">
        <v>1004</v>
      </c>
      <c r="D1041" s="1">
        <v>45508</v>
      </c>
      <c r="E1041" s="1">
        <v>45573</v>
      </c>
      <c r="F1041" t="s">
        <v>3479</v>
      </c>
      <c r="G1041" t="str">
        <f>IF(ISNA(_xlfn.XLOOKUP(subscriptions[[#This Row],[customer_id]], customers[customer_id], customers[customer_id])), "NO", "YES")</f>
        <v>YES</v>
      </c>
      <c r="H1041">
        <f>IF(AND(subscriptions[[#This Row],[end_date]]&lt;&gt;"", subscriptions[[#This Row],[end_date]] &lt; subscriptions[[#This Row],[start_date]]), 1, 0)</f>
        <v>0</v>
      </c>
      <c r="I10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1">
        <f>IF(
  AND(subscriptions[[#This Row],[end_before_start]]=0, subscriptions[[#This Row],[status_end_mismatch]]=0),
  1,
  0
)</f>
        <v>1</v>
      </c>
    </row>
    <row r="1042" spans="1:10" x14ac:dyDescent="0.3">
      <c r="A1042">
        <v>1115482</v>
      </c>
      <c r="B1042">
        <v>974991</v>
      </c>
      <c r="C1042">
        <v>1008</v>
      </c>
      <c r="D1042" s="1">
        <v>44628</v>
      </c>
      <c r="E1042" s="1">
        <v>44866</v>
      </c>
      <c r="F1042" t="s">
        <v>3479</v>
      </c>
      <c r="G1042" t="str">
        <f>IF(ISNA(_xlfn.XLOOKUP(subscriptions[[#This Row],[customer_id]], customers[customer_id], customers[customer_id])), "NO", "YES")</f>
        <v>YES</v>
      </c>
      <c r="H1042">
        <f>IF(AND(subscriptions[[#This Row],[end_date]]&lt;&gt;"", subscriptions[[#This Row],[end_date]] &lt; subscriptions[[#This Row],[start_date]]), 1, 0)</f>
        <v>0</v>
      </c>
      <c r="I10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2">
        <f>IF(
  AND(subscriptions[[#This Row],[end_before_start]]=0, subscriptions[[#This Row],[status_end_mismatch]]=0),
  1,
  0
)</f>
        <v>1</v>
      </c>
    </row>
    <row r="1043" spans="1:10" x14ac:dyDescent="0.3">
      <c r="A1043">
        <v>9720251</v>
      </c>
      <c r="B1043">
        <v>648887</v>
      </c>
      <c r="C1043">
        <v>1002</v>
      </c>
      <c r="D1043" s="1">
        <v>45524</v>
      </c>
      <c r="E1043" s="1">
        <v>45590</v>
      </c>
      <c r="F1043" t="s">
        <v>3479</v>
      </c>
      <c r="G1043" t="str">
        <f>IF(ISNA(_xlfn.XLOOKUP(subscriptions[[#This Row],[customer_id]], customers[customer_id], customers[customer_id])), "NO", "YES")</f>
        <v>YES</v>
      </c>
      <c r="H1043">
        <f>IF(AND(subscriptions[[#This Row],[end_date]]&lt;&gt;"", subscriptions[[#This Row],[end_date]] &lt; subscriptions[[#This Row],[start_date]]), 1, 0)</f>
        <v>0</v>
      </c>
      <c r="I10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3">
        <f>IF(
  AND(subscriptions[[#This Row],[end_before_start]]=0, subscriptions[[#This Row],[status_end_mismatch]]=0),
  1,
  0
)</f>
        <v>1</v>
      </c>
    </row>
    <row r="1044" spans="1:10" x14ac:dyDescent="0.3">
      <c r="A1044">
        <v>7997602</v>
      </c>
      <c r="B1044">
        <v>732789</v>
      </c>
      <c r="C1044">
        <v>1009</v>
      </c>
      <c r="D1044" s="1">
        <v>45094</v>
      </c>
      <c r="E1044" s="1">
        <v>45399</v>
      </c>
      <c r="F1044" t="s">
        <v>3479</v>
      </c>
      <c r="G1044" t="str">
        <f>IF(ISNA(_xlfn.XLOOKUP(subscriptions[[#This Row],[customer_id]], customers[customer_id], customers[customer_id])), "NO", "YES")</f>
        <v>YES</v>
      </c>
      <c r="H1044">
        <f>IF(AND(subscriptions[[#This Row],[end_date]]&lt;&gt;"", subscriptions[[#This Row],[end_date]] &lt; subscriptions[[#This Row],[start_date]]), 1, 0)</f>
        <v>0</v>
      </c>
      <c r="I10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4">
        <f>IF(
  AND(subscriptions[[#This Row],[end_before_start]]=0, subscriptions[[#This Row],[status_end_mismatch]]=0),
  1,
  0
)</f>
        <v>1</v>
      </c>
    </row>
    <row r="1045" spans="1:10" x14ac:dyDescent="0.3">
      <c r="A1045">
        <v>3029740</v>
      </c>
      <c r="B1045">
        <v>658272</v>
      </c>
      <c r="C1045">
        <v>1000</v>
      </c>
      <c r="D1045" s="1">
        <v>44610</v>
      </c>
      <c r="E1045" s="1"/>
      <c r="F1045" t="s">
        <v>3480</v>
      </c>
      <c r="G1045" t="str">
        <f>IF(ISNA(_xlfn.XLOOKUP(subscriptions[[#This Row],[customer_id]], customers[customer_id], customers[customer_id])), "NO", "YES")</f>
        <v>YES</v>
      </c>
      <c r="H1045">
        <f>IF(AND(subscriptions[[#This Row],[end_date]]&lt;&gt;"", subscriptions[[#This Row],[end_date]] &lt; subscriptions[[#This Row],[start_date]]), 1, 0)</f>
        <v>0</v>
      </c>
      <c r="I10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5">
        <f>IF(
  AND(subscriptions[[#This Row],[end_before_start]]=0, subscriptions[[#This Row],[status_end_mismatch]]=0),
  1,
  0
)</f>
        <v>1</v>
      </c>
    </row>
    <row r="1046" spans="1:10" x14ac:dyDescent="0.3">
      <c r="A1046">
        <v>2003047</v>
      </c>
      <c r="B1046">
        <v>295600</v>
      </c>
      <c r="C1046">
        <v>1003</v>
      </c>
      <c r="D1046" s="1">
        <v>45161</v>
      </c>
      <c r="E1046" s="1">
        <v>45211</v>
      </c>
      <c r="F1046" t="s">
        <v>3479</v>
      </c>
      <c r="G1046" t="str">
        <f>IF(ISNA(_xlfn.XLOOKUP(subscriptions[[#This Row],[customer_id]], customers[customer_id], customers[customer_id])), "NO", "YES")</f>
        <v>YES</v>
      </c>
      <c r="H1046">
        <f>IF(AND(subscriptions[[#This Row],[end_date]]&lt;&gt;"", subscriptions[[#This Row],[end_date]] &lt; subscriptions[[#This Row],[start_date]]), 1, 0)</f>
        <v>0</v>
      </c>
      <c r="I10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6">
        <f>IF(
  AND(subscriptions[[#This Row],[end_before_start]]=0, subscriptions[[#This Row],[status_end_mismatch]]=0),
  1,
  0
)</f>
        <v>1</v>
      </c>
    </row>
    <row r="1047" spans="1:10" x14ac:dyDescent="0.3">
      <c r="A1047">
        <v>7096391</v>
      </c>
      <c r="B1047">
        <v>204904</v>
      </c>
      <c r="C1047">
        <v>1004</v>
      </c>
      <c r="D1047" s="1">
        <v>45380</v>
      </c>
      <c r="E1047" s="1">
        <v>45637</v>
      </c>
      <c r="F1047" t="s">
        <v>3479</v>
      </c>
      <c r="G1047" t="str">
        <f>IF(ISNA(_xlfn.XLOOKUP(subscriptions[[#This Row],[customer_id]], customers[customer_id], customers[customer_id])), "NO", "YES")</f>
        <v>YES</v>
      </c>
      <c r="H1047">
        <f>IF(AND(subscriptions[[#This Row],[end_date]]&lt;&gt;"", subscriptions[[#This Row],[end_date]] &lt; subscriptions[[#This Row],[start_date]]), 1, 0)</f>
        <v>0</v>
      </c>
      <c r="I10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7">
        <f>IF(
  AND(subscriptions[[#This Row],[end_before_start]]=0, subscriptions[[#This Row],[status_end_mismatch]]=0),
  1,
  0
)</f>
        <v>1</v>
      </c>
    </row>
    <row r="1048" spans="1:10" x14ac:dyDescent="0.3">
      <c r="A1048">
        <v>8382743</v>
      </c>
      <c r="B1048">
        <v>907503</v>
      </c>
      <c r="C1048">
        <v>1005</v>
      </c>
      <c r="D1048" s="1">
        <v>45439</v>
      </c>
      <c r="E1048" s="1">
        <v>45522</v>
      </c>
      <c r="F1048" t="s">
        <v>3479</v>
      </c>
      <c r="G1048" t="str">
        <f>IF(ISNA(_xlfn.XLOOKUP(subscriptions[[#This Row],[customer_id]], customers[customer_id], customers[customer_id])), "NO", "YES")</f>
        <v>YES</v>
      </c>
      <c r="H1048">
        <f>IF(AND(subscriptions[[#This Row],[end_date]]&lt;&gt;"", subscriptions[[#This Row],[end_date]] &lt; subscriptions[[#This Row],[start_date]]), 1, 0)</f>
        <v>0</v>
      </c>
      <c r="I10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8">
        <f>IF(
  AND(subscriptions[[#This Row],[end_before_start]]=0, subscriptions[[#This Row],[status_end_mismatch]]=0),
  1,
  0
)</f>
        <v>1</v>
      </c>
    </row>
    <row r="1049" spans="1:10" x14ac:dyDescent="0.3">
      <c r="A1049">
        <v>3449200</v>
      </c>
      <c r="B1049">
        <v>813328</v>
      </c>
      <c r="C1049">
        <v>1000</v>
      </c>
      <c r="D1049" s="1">
        <v>45099</v>
      </c>
      <c r="E1049" s="1">
        <v>45425</v>
      </c>
      <c r="F1049" t="s">
        <v>3479</v>
      </c>
      <c r="G1049" t="str">
        <f>IF(ISNA(_xlfn.XLOOKUP(subscriptions[[#This Row],[customer_id]], customers[customer_id], customers[customer_id])), "NO", "YES")</f>
        <v>YES</v>
      </c>
      <c r="H1049">
        <f>IF(AND(subscriptions[[#This Row],[end_date]]&lt;&gt;"", subscriptions[[#This Row],[end_date]] &lt; subscriptions[[#This Row],[start_date]]), 1, 0)</f>
        <v>0</v>
      </c>
      <c r="I10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49">
        <f>IF(
  AND(subscriptions[[#This Row],[end_before_start]]=0, subscriptions[[#This Row],[status_end_mismatch]]=0),
  1,
  0
)</f>
        <v>1</v>
      </c>
    </row>
    <row r="1050" spans="1:10" x14ac:dyDescent="0.3">
      <c r="A1050">
        <v>2875419</v>
      </c>
      <c r="B1050">
        <v>134283</v>
      </c>
      <c r="C1050">
        <v>1009</v>
      </c>
      <c r="D1050" s="1">
        <v>44908</v>
      </c>
      <c r="E1050" s="1"/>
      <c r="F1050" t="s">
        <v>3480</v>
      </c>
      <c r="G1050" t="str">
        <f>IF(ISNA(_xlfn.XLOOKUP(subscriptions[[#This Row],[customer_id]], customers[customer_id], customers[customer_id])), "NO", "YES")</f>
        <v>YES</v>
      </c>
      <c r="H1050">
        <f>IF(AND(subscriptions[[#This Row],[end_date]]&lt;&gt;"", subscriptions[[#This Row],[end_date]] &lt; subscriptions[[#This Row],[start_date]]), 1, 0)</f>
        <v>0</v>
      </c>
      <c r="I10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0">
        <f>IF(
  AND(subscriptions[[#This Row],[end_before_start]]=0, subscriptions[[#This Row],[status_end_mismatch]]=0),
  1,
  0
)</f>
        <v>1</v>
      </c>
    </row>
    <row r="1051" spans="1:10" x14ac:dyDescent="0.3">
      <c r="A1051">
        <v>6701478</v>
      </c>
      <c r="B1051">
        <v>480133</v>
      </c>
      <c r="C1051">
        <v>1006</v>
      </c>
      <c r="D1051" s="1">
        <v>44852</v>
      </c>
      <c r="E1051" s="1">
        <v>45129</v>
      </c>
      <c r="F1051" t="s">
        <v>3479</v>
      </c>
      <c r="G1051" t="str">
        <f>IF(ISNA(_xlfn.XLOOKUP(subscriptions[[#This Row],[customer_id]], customers[customer_id], customers[customer_id])), "NO", "YES")</f>
        <v>YES</v>
      </c>
      <c r="H1051">
        <f>IF(AND(subscriptions[[#This Row],[end_date]]&lt;&gt;"", subscriptions[[#This Row],[end_date]] &lt; subscriptions[[#This Row],[start_date]]), 1, 0)</f>
        <v>0</v>
      </c>
      <c r="I10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1">
        <f>IF(
  AND(subscriptions[[#This Row],[end_before_start]]=0, subscriptions[[#This Row],[status_end_mismatch]]=0),
  1,
  0
)</f>
        <v>1</v>
      </c>
    </row>
    <row r="1052" spans="1:10" x14ac:dyDescent="0.3">
      <c r="A1052">
        <v>4524641</v>
      </c>
      <c r="B1052">
        <v>126122</v>
      </c>
      <c r="C1052">
        <v>1006</v>
      </c>
      <c r="D1052" s="1">
        <v>45103</v>
      </c>
      <c r="E1052" s="1"/>
      <c r="F1052" t="s">
        <v>3480</v>
      </c>
      <c r="G1052" t="str">
        <f>IF(ISNA(_xlfn.XLOOKUP(subscriptions[[#This Row],[customer_id]], customers[customer_id], customers[customer_id])), "NO", "YES")</f>
        <v>YES</v>
      </c>
      <c r="H1052">
        <f>IF(AND(subscriptions[[#This Row],[end_date]]&lt;&gt;"", subscriptions[[#This Row],[end_date]] &lt; subscriptions[[#This Row],[start_date]]), 1, 0)</f>
        <v>0</v>
      </c>
      <c r="I10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2">
        <f>IF(
  AND(subscriptions[[#This Row],[end_before_start]]=0, subscriptions[[#This Row],[status_end_mismatch]]=0),
  1,
  0
)</f>
        <v>1</v>
      </c>
    </row>
    <row r="1053" spans="1:10" x14ac:dyDescent="0.3">
      <c r="A1053">
        <v>2242680</v>
      </c>
      <c r="B1053">
        <v>128142</v>
      </c>
      <c r="C1053">
        <v>1000</v>
      </c>
      <c r="D1053" s="1">
        <v>45500</v>
      </c>
      <c r="E1053" s="1">
        <v>45633</v>
      </c>
      <c r="F1053" t="s">
        <v>3479</v>
      </c>
      <c r="G1053" t="str">
        <f>IF(ISNA(_xlfn.XLOOKUP(subscriptions[[#This Row],[customer_id]], customers[customer_id], customers[customer_id])), "NO", "YES")</f>
        <v>YES</v>
      </c>
      <c r="H1053">
        <f>IF(AND(subscriptions[[#This Row],[end_date]]&lt;&gt;"", subscriptions[[#This Row],[end_date]] &lt; subscriptions[[#This Row],[start_date]]), 1, 0)</f>
        <v>0</v>
      </c>
      <c r="I10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3">
        <f>IF(
  AND(subscriptions[[#This Row],[end_before_start]]=0, subscriptions[[#This Row],[status_end_mismatch]]=0),
  1,
  0
)</f>
        <v>1</v>
      </c>
    </row>
    <row r="1054" spans="1:10" x14ac:dyDescent="0.3">
      <c r="A1054">
        <v>5105861</v>
      </c>
      <c r="B1054">
        <v>846606</v>
      </c>
      <c r="C1054">
        <v>1004</v>
      </c>
      <c r="D1054" s="1">
        <v>45094</v>
      </c>
      <c r="E1054" s="1"/>
      <c r="F1054" t="s">
        <v>3480</v>
      </c>
      <c r="G1054" t="str">
        <f>IF(ISNA(_xlfn.XLOOKUP(subscriptions[[#This Row],[customer_id]], customers[customer_id], customers[customer_id])), "NO", "YES")</f>
        <v>YES</v>
      </c>
      <c r="H1054">
        <f>IF(AND(subscriptions[[#This Row],[end_date]]&lt;&gt;"", subscriptions[[#This Row],[end_date]] &lt; subscriptions[[#This Row],[start_date]]), 1, 0)</f>
        <v>0</v>
      </c>
      <c r="I10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4">
        <f>IF(
  AND(subscriptions[[#This Row],[end_before_start]]=0, subscriptions[[#This Row],[status_end_mismatch]]=0),
  1,
  0
)</f>
        <v>1</v>
      </c>
    </row>
    <row r="1055" spans="1:10" x14ac:dyDescent="0.3">
      <c r="A1055">
        <v>8460359</v>
      </c>
      <c r="B1055">
        <v>292847</v>
      </c>
      <c r="C1055">
        <v>1009</v>
      </c>
      <c r="D1055" s="1">
        <v>45239</v>
      </c>
      <c r="E1055" s="1">
        <v>45627</v>
      </c>
      <c r="F1055" t="s">
        <v>3479</v>
      </c>
      <c r="G1055" t="str">
        <f>IF(ISNA(_xlfn.XLOOKUP(subscriptions[[#This Row],[customer_id]], customers[customer_id], customers[customer_id])), "NO", "YES")</f>
        <v>YES</v>
      </c>
      <c r="H1055">
        <f>IF(AND(subscriptions[[#This Row],[end_date]]&lt;&gt;"", subscriptions[[#This Row],[end_date]] &lt; subscriptions[[#This Row],[start_date]]), 1, 0)</f>
        <v>0</v>
      </c>
      <c r="I10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5">
        <f>IF(
  AND(subscriptions[[#This Row],[end_before_start]]=0, subscriptions[[#This Row],[status_end_mismatch]]=0),
  1,
  0
)</f>
        <v>1</v>
      </c>
    </row>
    <row r="1056" spans="1:10" x14ac:dyDescent="0.3">
      <c r="A1056">
        <v>5327209</v>
      </c>
      <c r="B1056">
        <v>965401</v>
      </c>
      <c r="C1056">
        <v>1002</v>
      </c>
      <c r="D1056" s="1">
        <v>45125</v>
      </c>
      <c r="E1056" s="1"/>
      <c r="F1056" t="s">
        <v>3480</v>
      </c>
      <c r="G1056" t="str">
        <f>IF(ISNA(_xlfn.XLOOKUP(subscriptions[[#This Row],[customer_id]], customers[customer_id], customers[customer_id])), "NO", "YES")</f>
        <v>YES</v>
      </c>
      <c r="H1056">
        <f>IF(AND(subscriptions[[#This Row],[end_date]]&lt;&gt;"", subscriptions[[#This Row],[end_date]] &lt; subscriptions[[#This Row],[start_date]]), 1, 0)</f>
        <v>0</v>
      </c>
      <c r="I10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6">
        <f>IF(
  AND(subscriptions[[#This Row],[end_before_start]]=0, subscriptions[[#This Row],[status_end_mismatch]]=0),
  1,
  0
)</f>
        <v>1</v>
      </c>
    </row>
    <row r="1057" spans="1:10" x14ac:dyDescent="0.3">
      <c r="A1057">
        <v>3349162</v>
      </c>
      <c r="B1057">
        <v>388586</v>
      </c>
      <c r="C1057">
        <v>1007</v>
      </c>
      <c r="D1057" s="1">
        <v>44865</v>
      </c>
      <c r="E1057" s="1"/>
      <c r="F1057" t="s">
        <v>3480</v>
      </c>
      <c r="G1057" t="str">
        <f>IF(ISNA(_xlfn.XLOOKUP(subscriptions[[#This Row],[customer_id]], customers[customer_id], customers[customer_id])), "NO", "YES")</f>
        <v>YES</v>
      </c>
      <c r="H1057">
        <f>IF(AND(subscriptions[[#This Row],[end_date]]&lt;&gt;"", subscriptions[[#This Row],[end_date]] &lt; subscriptions[[#This Row],[start_date]]), 1, 0)</f>
        <v>0</v>
      </c>
      <c r="I10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7">
        <f>IF(
  AND(subscriptions[[#This Row],[end_before_start]]=0, subscriptions[[#This Row],[status_end_mismatch]]=0),
  1,
  0
)</f>
        <v>1</v>
      </c>
    </row>
    <row r="1058" spans="1:10" x14ac:dyDescent="0.3">
      <c r="A1058">
        <v>1435209</v>
      </c>
      <c r="B1058">
        <v>706012</v>
      </c>
      <c r="C1058">
        <v>1002</v>
      </c>
      <c r="D1058" s="1">
        <v>45014</v>
      </c>
      <c r="E1058" s="1">
        <v>45332</v>
      </c>
      <c r="F1058" t="s">
        <v>3479</v>
      </c>
      <c r="G1058" t="str">
        <f>IF(ISNA(_xlfn.XLOOKUP(subscriptions[[#This Row],[customer_id]], customers[customer_id], customers[customer_id])), "NO", "YES")</f>
        <v>YES</v>
      </c>
      <c r="H1058">
        <f>IF(AND(subscriptions[[#This Row],[end_date]]&lt;&gt;"", subscriptions[[#This Row],[end_date]] &lt; subscriptions[[#This Row],[start_date]]), 1, 0)</f>
        <v>0</v>
      </c>
      <c r="I10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8">
        <f>IF(
  AND(subscriptions[[#This Row],[end_before_start]]=0, subscriptions[[#This Row],[status_end_mismatch]]=0),
  1,
  0
)</f>
        <v>1</v>
      </c>
    </row>
    <row r="1059" spans="1:10" x14ac:dyDescent="0.3">
      <c r="A1059">
        <v>7085502</v>
      </c>
      <c r="B1059">
        <v>240384</v>
      </c>
      <c r="C1059">
        <v>1000</v>
      </c>
      <c r="D1059" s="1">
        <v>45158</v>
      </c>
      <c r="E1059" s="1"/>
      <c r="F1059" t="s">
        <v>3480</v>
      </c>
      <c r="G1059" t="str">
        <f>IF(ISNA(_xlfn.XLOOKUP(subscriptions[[#This Row],[customer_id]], customers[customer_id], customers[customer_id])), "NO", "YES")</f>
        <v>YES</v>
      </c>
      <c r="H1059">
        <f>IF(AND(subscriptions[[#This Row],[end_date]]&lt;&gt;"", subscriptions[[#This Row],[end_date]] &lt; subscriptions[[#This Row],[start_date]]), 1, 0)</f>
        <v>0</v>
      </c>
      <c r="I10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59">
        <f>IF(
  AND(subscriptions[[#This Row],[end_before_start]]=0, subscriptions[[#This Row],[status_end_mismatch]]=0),
  1,
  0
)</f>
        <v>1</v>
      </c>
    </row>
    <row r="1060" spans="1:10" x14ac:dyDescent="0.3">
      <c r="A1060">
        <v>3655874</v>
      </c>
      <c r="B1060">
        <v>675191</v>
      </c>
      <c r="C1060">
        <v>1009</v>
      </c>
      <c r="D1060" s="1">
        <v>45186</v>
      </c>
      <c r="E1060" s="1"/>
      <c r="F1060" t="s">
        <v>3480</v>
      </c>
      <c r="G1060" t="str">
        <f>IF(ISNA(_xlfn.XLOOKUP(subscriptions[[#This Row],[customer_id]], customers[customer_id], customers[customer_id])), "NO", "YES")</f>
        <v>YES</v>
      </c>
      <c r="H1060">
        <f>IF(AND(subscriptions[[#This Row],[end_date]]&lt;&gt;"", subscriptions[[#This Row],[end_date]] &lt; subscriptions[[#This Row],[start_date]]), 1, 0)</f>
        <v>0</v>
      </c>
      <c r="I10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0">
        <f>IF(
  AND(subscriptions[[#This Row],[end_before_start]]=0, subscriptions[[#This Row],[status_end_mismatch]]=0),
  1,
  0
)</f>
        <v>1</v>
      </c>
    </row>
    <row r="1061" spans="1:10" x14ac:dyDescent="0.3">
      <c r="A1061">
        <v>8379665</v>
      </c>
      <c r="B1061">
        <v>682667</v>
      </c>
      <c r="C1061">
        <v>1008</v>
      </c>
      <c r="D1061" s="1">
        <v>45165</v>
      </c>
      <c r="E1061" s="1"/>
      <c r="F1061" t="s">
        <v>3480</v>
      </c>
      <c r="G1061" t="str">
        <f>IF(ISNA(_xlfn.XLOOKUP(subscriptions[[#This Row],[customer_id]], customers[customer_id], customers[customer_id])), "NO", "YES")</f>
        <v>YES</v>
      </c>
      <c r="H1061">
        <f>IF(AND(subscriptions[[#This Row],[end_date]]&lt;&gt;"", subscriptions[[#This Row],[end_date]] &lt; subscriptions[[#This Row],[start_date]]), 1, 0)</f>
        <v>0</v>
      </c>
      <c r="I10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1">
        <f>IF(
  AND(subscriptions[[#This Row],[end_before_start]]=0, subscriptions[[#This Row],[status_end_mismatch]]=0),
  1,
  0
)</f>
        <v>1</v>
      </c>
    </row>
    <row r="1062" spans="1:10" x14ac:dyDescent="0.3">
      <c r="A1062">
        <v>3156762</v>
      </c>
      <c r="B1062">
        <v>189318</v>
      </c>
      <c r="C1062">
        <v>1009</v>
      </c>
      <c r="D1062" s="1">
        <v>44862</v>
      </c>
      <c r="E1062" s="1">
        <v>45088</v>
      </c>
      <c r="F1062" t="s">
        <v>3479</v>
      </c>
      <c r="G1062" t="str">
        <f>IF(ISNA(_xlfn.XLOOKUP(subscriptions[[#This Row],[customer_id]], customers[customer_id], customers[customer_id])), "NO", "YES")</f>
        <v>YES</v>
      </c>
      <c r="H1062">
        <f>IF(AND(subscriptions[[#This Row],[end_date]]&lt;&gt;"", subscriptions[[#This Row],[end_date]] &lt; subscriptions[[#This Row],[start_date]]), 1, 0)</f>
        <v>0</v>
      </c>
      <c r="I10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2">
        <f>IF(
  AND(subscriptions[[#This Row],[end_before_start]]=0, subscriptions[[#This Row],[status_end_mismatch]]=0),
  1,
  0
)</f>
        <v>1</v>
      </c>
    </row>
    <row r="1063" spans="1:10" x14ac:dyDescent="0.3">
      <c r="A1063">
        <v>5316874</v>
      </c>
      <c r="B1063">
        <v>879241</v>
      </c>
      <c r="C1063">
        <v>1008</v>
      </c>
      <c r="D1063" s="1">
        <v>45028</v>
      </c>
      <c r="E1063" s="1"/>
      <c r="F1063" t="s">
        <v>3480</v>
      </c>
      <c r="G1063" t="str">
        <f>IF(ISNA(_xlfn.XLOOKUP(subscriptions[[#This Row],[customer_id]], customers[customer_id], customers[customer_id])), "NO", "YES")</f>
        <v>YES</v>
      </c>
      <c r="H1063">
        <f>IF(AND(subscriptions[[#This Row],[end_date]]&lt;&gt;"", subscriptions[[#This Row],[end_date]] &lt; subscriptions[[#This Row],[start_date]]), 1, 0)</f>
        <v>0</v>
      </c>
      <c r="I10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3">
        <f>IF(
  AND(subscriptions[[#This Row],[end_before_start]]=0, subscriptions[[#This Row],[status_end_mismatch]]=0),
  1,
  0
)</f>
        <v>1</v>
      </c>
    </row>
    <row r="1064" spans="1:10" x14ac:dyDescent="0.3">
      <c r="A1064">
        <v>4551099</v>
      </c>
      <c r="B1064">
        <v>262959</v>
      </c>
      <c r="C1064">
        <v>1000</v>
      </c>
      <c r="D1064" s="1">
        <v>45182</v>
      </c>
      <c r="E1064" s="1"/>
      <c r="F1064" t="s">
        <v>3480</v>
      </c>
      <c r="G1064" t="str">
        <f>IF(ISNA(_xlfn.XLOOKUP(subscriptions[[#This Row],[customer_id]], customers[customer_id], customers[customer_id])), "NO", "YES")</f>
        <v>YES</v>
      </c>
      <c r="H1064">
        <f>IF(AND(subscriptions[[#This Row],[end_date]]&lt;&gt;"", subscriptions[[#This Row],[end_date]] &lt; subscriptions[[#This Row],[start_date]]), 1, 0)</f>
        <v>0</v>
      </c>
      <c r="I10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4">
        <f>IF(
  AND(subscriptions[[#This Row],[end_before_start]]=0, subscriptions[[#This Row],[status_end_mismatch]]=0),
  1,
  0
)</f>
        <v>1</v>
      </c>
    </row>
    <row r="1065" spans="1:10" x14ac:dyDescent="0.3">
      <c r="A1065">
        <v>1202445</v>
      </c>
      <c r="B1065">
        <v>813824</v>
      </c>
      <c r="C1065">
        <v>1009</v>
      </c>
      <c r="D1065" s="1">
        <v>45093</v>
      </c>
      <c r="E1065" s="1"/>
      <c r="F1065" t="s">
        <v>3480</v>
      </c>
      <c r="G1065" t="str">
        <f>IF(ISNA(_xlfn.XLOOKUP(subscriptions[[#This Row],[customer_id]], customers[customer_id], customers[customer_id])), "NO", "YES")</f>
        <v>YES</v>
      </c>
      <c r="H1065">
        <f>IF(AND(subscriptions[[#This Row],[end_date]]&lt;&gt;"", subscriptions[[#This Row],[end_date]] &lt; subscriptions[[#This Row],[start_date]]), 1, 0)</f>
        <v>0</v>
      </c>
      <c r="I10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5">
        <f>IF(
  AND(subscriptions[[#This Row],[end_before_start]]=0, subscriptions[[#This Row],[status_end_mismatch]]=0),
  1,
  0
)</f>
        <v>1</v>
      </c>
    </row>
    <row r="1066" spans="1:10" x14ac:dyDescent="0.3">
      <c r="A1066">
        <v>9532750</v>
      </c>
      <c r="B1066">
        <v>661023</v>
      </c>
      <c r="C1066">
        <v>1006</v>
      </c>
      <c r="D1066" s="1">
        <v>45393</v>
      </c>
      <c r="E1066" s="1"/>
      <c r="F1066" t="s">
        <v>3480</v>
      </c>
      <c r="G1066" t="str">
        <f>IF(ISNA(_xlfn.XLOOKUP(subscriptions[[#This Row],[customer_id]], customers[customer_id], customers[customer_id])), "NO", "YES")</f>
        <v>YES</v>
      </c>
      <c r="H1066">
        <f>IF(AND(subscriptions[[#This Row],[end_date]]&lt;&gt;"", subscriptions[[#This Row],[end_date]] &lt; subscriptions[[#This Row],[start_date]]), 1, 0)</f>
        <v>0</v>
      </c>
      <c r="I10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6">
        <f>IF(
  AND(subscriptions[[#This Row],[end_before_start]]=0, subscriptions[[#This Row],[status_end_mismatch]]=0),
  1,
  0
)</f>
        <v>1</v>
      </c>
    </row>
    <row r="1067" spans="1:10" x14ac:dyDescent="0.3">
      <c r="A1067">
        <v>3859007</v>
      </c>
      <c r="B1067">
        <v>972064</v>
      </c>
      <c r="C1067">
        <v>1007</v>
      </c>
      <c r="D1067" s="1">
        <v>45266</v>
      </c>
      <c r="E1067" s="1">
        <v>45596</v>
      </c>
      <c r="F1067" t="s">
        <v>3479</v>
      </c>
      <c r="G1067" t="str">
        <f>IF(ISNA(_xlfn.XLOOKUP(subscriptions[[#This Row],[customer_id]], customers[customer_id], customers[customer_id])), "NO", "YES")</f>
        <v>YES</v>
      </c>
      <c r="H1067">
        <f>IF(AND(subscriptions[[#This Row],[end_date]]&lt;&gt;"", subscriptions[[#This Row],[end_date]] &lt; subscriptions[[#This Row],[start_date]]), 1, 0)</f>
        <v>0</v>
      </c>
      <c r="I10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7">
        <f>IF(
  AND(subscriptions[[#This Row],[end_before_start]]=0, subscriptions[[#This Row],[status_end_mismatch]]=0),
  1,
  0
)</f>
        <v>1</v>
      </c>
    </row>
    <row r="1068" spans="1:10" x14ac:dyDescent="0.3">
      <c r="A1068">
        <v>9406983</v>
      </c>
      <c r="B1068">
        <v>735863</v>
      </c>
      <c r="C1068">
        <v>1009</v>
      </c>
      <c r="D1068" s="1">
        <v>45205</v>
      </c>
      <c r="E1068" s="1"/>
      <c r="F1068" t="s">
        <v>3480</v>
      </c>
      <c r="G1068" t="str">
        <f>IF(ISNA(_xlfn.XLOOKUP(subscriptions[[#This Row],[customer_id]], customers[customer_id], customers[customer_id])), "NO", "YES")</f>
        <v>YES</v>
      </c>
      <c r="H1068">
        <f>IF(AND(subscriptions[[#This Row],[end_date]]&lt;&gt;"", subscriptions[[#This Row],[end_date]] &lt; subscriptions[[#This Row],[start_date]]), 1, 0)</f>
        <v>0</v>
      </c>
      <c r="I10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8">
        <f>IF(
  AND(subscriptions[[#This Row],[end_before_start]]=0, subscriptions[[#This Row],[status_end_mismatch]]=0),
  1,
  0
)</f>
        <v>1</v>
      </c>
    </row>
    <row r="1069" spans="1:10" x14ac:dyDescent="0.3">
      <c r="A1069">
        <v>7341430</v>
      </c>
      <c r="B1069">
        <v>339030</v>
      </c>
      <c r="C1069">
        <v>1003</v>
      </c>
      <c r="D1069" s="1">
        <v>45555</v>
      </c>
      <c r="E1069" s="1">
        <v>45642</v>
      </c>
      <c r="F1069" t="s">
        <v>3479</v>
      </c>
      <c r="G1069" t="str">
        <f>IF(ISNA(_xlfn.XLOOKUP(subscriptions[[#This Row],[customer_id]], customers[customer_id], customers[customer_id])), "NO", "YES")</f>
        <v>YES</v>
      </c>
      <c r="H1069">
        <f>IF(AND(subscriptions[[#This Row],[end_date]]&lt;&gt;"", subscriptions[[#This Row],[end_date]] &lt; subscriptions[[#This Row],[start_date]]), 1, 0)</f>
        <v>0</v>
      </c>
      <c r="I10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69">
        <f>IF(
  AND(subscriptions[[#This Row],[end_before_start]]=0, subscriptions[[#This Row],[status_end_mismatch]]=0),
  1,
  0
)</f>
        <v>1</v>
      </c>
    </row>
    <row r="1070" spans="1:10" x14ac:dyDescent="0.3">
      <c r="A1070">
        <v>3942511</v>
      </c>
      <c r="B1070">
        <v>608608</v>
      </c>
      <c r="C1070">
        <v>1007</v>
      </c>
      <c r="D1070" s="1">
        <v>45553</v>
      </c>
      <c r="E1070" s="1">
        <v>45590</v>
      </c>
      <c r="F1070" t="s">
        <v>3479</v>
      </c>
      <c r="G1070" t="str">
        <f>IF(ISNA(_xlfn.XLOOKUP(subscriptions[[#This Row],[customer_id]], customers[customer_id], customers[customer_id])), "NO", "YES")</f>
        <v>YES</v>
      </c>
      <c r="H1070">
        <f>IF(AND(subscriptions[[#This Row],[end_date]]&lt;&gt;"", subscriptions[[#This Row],[end_date]] &lt; subscriptions[[#This Row],[start_date]]), 1, 0)</f>
        <v>0</v>
      </c>
      <c r="I10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0">
        <f>IF(
  AND(subscriptions[[#This Row],[end_before_start]]=0, subscriptions[[#This Row],[status_end_mismatch]]=0),
  1,
  0
)</f>
        <v>1</v>
      </c>
    </row>
    <row r="1071" spans="1:10" x14ac:dyDescent="0.3">
      <c r="A1071">
        <v>2086368</v>
      </c>
      <c r="B1071">
        <v>457264</v>
      </c>
      <c r="C1071">
        <v>1006</v>
      </c>
      <c r="D1071" s="1">
        <v>45263</v>
      </c>
      <c r="E1071" s="1"/>
      <c r="F1071" t="s">
        <v>3480</v>
      </c>
      <c r="G1071" t="str">
        <f>IF(ISNA(_xlfn.XLOOKUP(subscriptions[[#This Row],[customer_id]], customers[customer_id], customers[customer_id])), "NO", "YES")</f>
        <v>YES</v>
      </c>
      <c r="H1071">
        <f>IF(AND(subscriptions[[#This Row],[end_date]]&lt;&gt;"", subscriptions[[#This Row],[end_date]] &lt; subscriptions[[#This Row],[start_date]]), 1, 0)</f>
        <v>0</v>
      </c>
      <c r="I10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1">
        <f>IF(
  AND(subscriptions[[#This Row],[end_before_start]]=0, subscriptions[[#This Row],[status_end_mismatch]]=0),
  1,
  0
)</f>
        <v>1</v>
      </c>
    </row>
    <row r="1072" spans="1:10" x14ac:dyDescent="0.3">
      <c r="A1072">
        <v>4463308</v>
      </c>
      <c r="B1072">
        <v>514798</v>
      </c>
      <c r="C1072">
        <v>1005</v>
      </c>
      <c r="D1072" s="1">
        <v>45021</v>
      </c>
      <c r="E1072" s="1"/>
      <c r="F1072" t="s">
        <v>3480</v>
      </c>
      <c r="G1072" t="str">
        <f>IF(ISNA(_xlfn.XLOOKUP(subscriptions[[#This Row],[customer_id]], customers[customer_id], customers[customer_id])), "NO", "YES")</f>
        <v>YES</v>
      </c>
      <c r="H1072">
        <f>IF(AND(subscriptions[[#This Row],[end_date]]&lt;&gt;"", subscriptions[[#This Row],[end_date]] &lt; subscriptions[[#This Row],[start_date]]), 1, 0)</f>
        <v>0</v>
      </c>
      <c r="I10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2">
        <f>IF(
  AND(subscriptions[[#This Row],[end_before_start]]=0, subscriptions[[#This Row],[status_end_mismatch]]=0),
  1,
  0
)</f>
        <v>1</v>
      </c>
    </row>
    <row r="1073" spans="1:10" x14ac:dyDescent="0.3">
      <c r="A1073">
        <v>3006411</v>
      </c>
      <c r="B1073">
        <v>882351</v>
      </c>
      <c r="C1073">
        <v>1008</v>
      </c>
      <c r="D1073" s="1">
        <v>44965</v>
      </c>
      <c r="E1073" s="1"/>
      <c r="F1073" t="s">
        <v>3480</v>
      </c>
      <c r="G1073" t="str">
        <f>IF(ISNA(_xlfn.XLOOKUP(subscriptions[[#This Row],[customer_id]], customers[customer_id], customers[customer_id])), "NO", "YES")</f>
        <v>YES</v>
      </c>
      <c r="H1073">
        <f>IF(AND(subscriptions[[#This Row],[end_date]]&lt;&gt;"", subscriptions[[#This Row],[end_date]] &lt; subscriptions[[#This Row],[start_date]]), 1, 0)</f>
        <v>0</v>
      </c>
      <c r="I10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3">
        <f>IF(
  AND(subscriptions[[#This Row],[end_before_start]]=0, subscriptions[[#This Row],[status_end_mismatch]]=0),
  1,
  0
)</f>
        <v>1</v>
      </c>
    </row>
    <row r="1074" spans="1:10" x14ac:dyDescent="0.3">
      <c r="A1074">
        <v>8706139</v>
      </c>
      <c r="B1074">
        <v>432043</v>
      </c>
      <c r="C1074">
        <v>1007</v>
      </c>
      <c r="D1074" s="1">
        <v>44586</v>
      </c>
      <c r="E1074" s="1">
        <v>44884</v>
      </c>
      <c r="F1074" t="s">
        <v>3479</v>
      </c>
      <c r="G1074" t="str">
        <f>IF(ISNA(_xlfn.XLOOKUP(subscriptions[[#This Row],[customer_id]], customers[customer_id], customers[customer_id])), "NO", "YES")</f>
        <v>YES</v>
      </c>
      <c r="H1074">
        <f>IF(AND(subscriptions[[#This Row],[end_date]]&lt;&gt;"", subscriptions[[#This Row],[end_date]] &lt; subscriptions[[#This Row],[start_date]]), 1, 0)</f>
        <v>0</v>
      </c>
      <c r="I10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4">
        <f>IF(
  AND(subscriptions[[#This Row],[end_before_start]]=0, subscriptions[[#This Row],[status_end_mismatch]]=0),
  1,
  0
)</f>
        <v>1</v>
      </c>
    </row>
    <row r="1075" spans="1:10" x14ac:dyDescent="0.3">
      <c r="A1075">
        <v>4831434</v>
      </c>
      <c r="B1075">
        <v>166175</v>
      </c>
      <c r="C1075">
        <v>1001</v>
      </c>
      <c r="D1075" s="1">
        <v>44976</v>
      </c>
      <c r="E1075" s="1"/>
      <c r="F1075" t="s">
        <v>3480</v>
      </c>
      <c r="G1075" t="str">
        <f>IF(ISNA(_xlfn.XLOOKUP(subscriptions[[#This Row],[customer_id]], customers[customer_id], customers[customer_id])), "NO", "YES")</f>
        <v>YES</v>
      </c>
      <c r="H1075">
        <f>IF(AND(subscriptions[[#This Row],[end_date]]&lt;&gt;"", subscriptions[[#This Row],[end_date]] &lt; subscriptions[[#This Row],[start_date]]), 1, 0)</f>
        <v>0</v>
      </c>
      <c r="I10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5">
        <f>IF(
  AND(subscriptions[[#This Row],[end_before_start]]=0, subscriptions[[#This Row],[status_end_mismatch]]=0),
  1,
  0
)</f>
        <v>1</v>
      </c>
    </row>
    <row r="1076" spans="1:10" x14ac:dyDescent="0.3">
      <c r="A1076">
        <v>1550972</v>
      </c>
      <c r="B1076">
        <v>403257</v>
      </c>
      <c r="C1076">
        <v>1003</v>
      </c>
      <c r="D1076" s="1">
        <v>45378</v>
      </c>
      <c r="E1076" s="1">
        <v>45576</v>
      </c>
      <c r="F1076" t="s">
        <v>3479</v>
      </c>
      <c r="G1076" t="str">
        <f>IF(ISNA(_xlfn.XLOOKUP(subscriptions[[#This Row],[customer_id]], customers[customer_id], customers[customer_id])), "NO", "YES")</f>
        <v>YES</v>
      </c>
      <c r="H1076">
        <f>IF(AND(subscriptions[[#This Row],[end_date]]&lt;&gt;"", subscriptions[[#This Row],[end_date]] &lt; subscriptions[[#This Row],[start_date]]), 1, 0)</f>
        <v>0</v>
      </c>
      <c r="I10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6">
        <f>IF(
  AND(subscriptions[[#This Row],[end_before_start]]=0, subscriptions[[#This Row],[status_end_mismatch]]=0),
  1,
  0
)</f>
        <v>1</v>
      </c>
    </row>
    <row r="1077" spans="1:10" x14ac:dyDescent="0.3">
      <c r="A1077">
        <v>9513036</v>
      </c>
      <c r="B1077">
        <v>775987</v>
      </c>
      <c r="C1077">
        <v>1004</v>
      </c>
      <c r="D1077" s="1">
        <v>44699</v>
      </c>
      <c r="E1077" s="1"/>
      <c r="F1077" t="s">
        <v>3480</v>
      </c>
      <c r="G1077" t="str">
        <f>IF(ISNA(_xlfn.XLOOKUP(subscriptions[[#This Row],[customer_id]], customers[customer_id], customers[customer_id])), "NO", "YES")</f>
        <v>YES</v>
      </c>
      <c r="H1077">
        <f>IF(AND(subscriptions[[#This Row],[end_date]]&lt;&gt;"", subscriptions[[#This Row],[end_date]] &lt; subscriptions[[#This Row],[start_date]]), 1, 0)</f>
        <v>0</v>
      </c>
      <c r="I10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7">
        <f>IF(
  AND(subscriptions[[#This Row],[end_before_start]]=0, subscriptions[[#This Row],[status_end_mismatch]]=0),
  1,
  0
)</f>
        <v>1</v>
      </c>
    </row>
    <row r="1078" spans="1:10" x14ac:dyDescent="0.3">
      <c r="A1078">
        <v>9971681</v>
      </c>
      <c r="B1078">
        <v>648913</v>
      </c>
      <c r="C1078">
        <v>1003</v>
      </c>
      <c r="D1078" s="1">
        <v>44724</v>
      </c>
      <c r="E1078" s="1">
        <v>44782</v>
      </c>
      <c r="F1078" t="s">
        <v>3479</v>
      </c>
      <c r="G1078" t="str">
        <f>IF(ISNA(_xlfn.XLOOKUP(subscriptions[[#This Row],[customer_id]], customers[customer_id], customers[customer_id])), "NO", "YES")</f>
        <v>YES</v>
      </c>
      <c r="H1078">
        <f>IF(AND(subscriptions[[#This Row],[end_date]]&lt;&gt;"", subscriptions[[#This Row],[end_date]] &lt; subscriptions[[#This Row],[start_date]]), 1, 0)</f>
        <v>0</v>
      </c>
      <c r="I10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8">
        <f>IF(
  AND(subscriptions[[#This Row],[end_before_start]]=0, subscriptions[[#This Row],[status_end_mismatch]]=0),
  1,
  0
)</f>
        <v>1</v>
      </c>
    </row>
    <row r="1079" spans="1:10" x14ac:dyDescent="0.3">
      <c r="A1079">
        <v>8493255</v>
      </c>
      <c r="B1079">
        <v>546688</v>
      </c>
      <c r="C1079">
        <v>1000</v>
      </c>
      <c r="D1079" s="1">
        <v>45069</v>
      </c>
      <c r="E1079" s="1"/>
      <c r="F1079" t="s">
        <v>3480</v>
      </c>
      <c r="G1079" t="str">
        <f>IF(ISNA(_xlfn.XLOOKUP(subscriptions[[#This Row],[customer_id]], customers[customer_id], customers[customer_id])), "NO", "YES")</f>
        <v>YES</v>
      </c>
      <c r="H1079">
        <f>IF(AND(subscriptions[[#This Row],[end_date]]&lt;&gt;"", subscriptions[[#This Row],[end_date]] &lt; subscriptions[[#This Row],[start_date]]), 1, 0)</f>
        <v>0</v>
      </c>
      <c r="I10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79">
        <f>IF(
  AND(subscriptions[[#This Row],[end_before_start]]=0, subscriptions[[#This Row],[status_end_mismatch]]=0),
  1,
  0
)</f>
        <v>1</v>
      </c>
    </row>
    <row r="1080" spans="1:10" x14ac:dyDescent="0.3">
      <c r="A1080">
        <v>4064939</v>
      </c>
      <c r="B1080">
        <v>840356</v>
      </c>
      <c r="C1080">
        <v>1001</v>
      </c>
      <c r="D1080" s="1">
        <v>45063</v>
      </c>
      <c r="E1080" s="1"/>
      <c r="F1080" t="s">
        <v>3480</v>
      </c>
      <c r="G1080" t="str">
        <f>IF(ISNA(_xlfn.XLOOKUP(subscriptions[[#This Row],[customer_id]], customers[customer_id], customers[customer_id])), "NO", "YES")</f>
        <v>YES</v>
      </c>
      <c r="H1080">
        <f>IF(AND(subscriptions[[#This Row],[end_date]]&lt;&gt;"", subscriptions[[#This Row],[end_date]] &lt; subscriptions[[#This Row],[start_date]]), 1, 0)</f>
        <v>0</v>
      </c>
      <c r="I10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0">
        <f>IF(
  AND(subscriptions[[#This Row],[end_before_start]]=0, subscriptions[[#This Row],[status_end_mismatch]]=0),
  1,
  0
)</f>
        <v>1</v>
      </c>
    </row>
    <row r="1081" spans="1:10" x14ac:dyDescent="0.3">
      <c r="A1081">
        <v>8651518</v>
      </c>
      <c r="B1081">
        <v>624563</v>
      </c>
      <c r="C1081">
        <v>1008</v>
      </c>
      <c r="D1081" s="1">
        <v>44925</v>
      </c>
      <c r="E1081" s="1"/>
      <c r="F1081" t="s">
        <v>3480</v>
      </c>
      <c r="G1081" t="str">
        <f>IF(ISNA(_xlfn.XLOOKUP(subscriptions[[#This Row],[customer_id]], customers[customer_id], customers[customer_id])), "NO", "YES")</f>
        <v>YES</v>
      </c>
      <c r="H1081">
        <f>IF(AND(subscriptions[[#This Row],[end_date]]&lt;&gt;"", subscriptions[[#This Row],[end_date]] &lt; subscriptions[[#This Row],[start_date]]), 1, 0)</f>
        <v>0</v>
      </c>
      <c r="I10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1">
        <f>IF(
  AND(subscriptions[[#This Row],[end_before_start]]=0, subscriptions[[#This Row],[status_end_mismatch]]=0),
  1,
  0
)</f>
        <v>1</v>
      </c>
    </row>
    <row r="1082" spans="1:10" x14ac:dyDescent="0.3">
      <c r="A1082">
        <v>5458768</v>
      </c>
      <c r="B1082">
        <v>988843</v>
      </c>
      <c r="C1082">
        <v>1007</v>
      </c>
      <c r="D1082" s="1">
        <v>45130</v>
      </c>
      <c r="E1082" s="1"/>
      <c r="F1082" t="s">
        <v>3480</v>
      </c>
      <c r="G1082" t="str">
        <f>IF(ISNA(_xlfn.XLOOKUP(subscriptions[[#This Row],[customer_id]], customers[customer_id], customers[customer_id])), "NO", "YES")</f>
        <v>YES</v>
      </c>
      <c r="H1082">
        <f>IF(AND(subscriptions[[#This Row],[end_date]]&lt;&gt;"", subscriptions[[#This Row],[end_date]] &lt; subscriptions[[#This Row],[start_date]]), 1, 0)</f>
        <v>0</v>
      </c>
      <c r="I10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2">
        <f>IF(
  AND(subscriptions[[#This Row],[end_before_start]]=0, subscriptions[[#This Row],[status_end_mismatch]]=0),
  1,
  0
)</f>
        <v>1</v>
      </c>
    </row>
    <row r="1083" spans="1:10" x14ac:dyDescent="0.3">
      <c r="A1083">
        <v>4187908</v>
      </c>
      <c r="B1083">
        <v>598969</v>
      </c>
      <c r="C1083">
        <v>1000</v>
      </c>
      <c r="D1083" s="1">
        <v>44692</v>
      </c>
      <c r="E1083" s="1">
        <v>44789</v>
      </c>
      <c r="F1083" t="s">
        <v>3479</v>
      </c>
      <c r="G1083" t="str">
        <f>IF(ISNA(_xlfn.XLOOKUP(subscriptions[[#This Row],[customer_id]], customers[customer_id], customers[customer_id])), "NO", "YES")</f>
        <v>YES</v>
      </c>
      <c r="H1083">
        <f>IF(AND(subscriptions[[#This Row],[end_date]]&lt;&gt;"", subscriptions[[#This Row],[end_date]] &lt; subscriptions[[#This Row],[start_date]]), 1, 0)</f>
        <v>0</v>
      </c>
      <c r="I10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3">
        <f>IF(
  AND(subscriptions[[#This Row],[end_before_start]]=0, subscriptions[[#This Row],[status_end_mismatch]]=0),
  1,
  0
)</f>
        <v>1</v>
      </c>
    </row>
    <row r="1084" spans="1:10" x14ac:dyDescent="0.3">
      <c r="A1084">
        <v>9767063</v>
      </c>
      <c r="B1084">
        <v>299742</v>
      </c>
      <c r="C1084">
        <v>1000</v>
      </c>
      <c r="D1084" s="1">
        <v>45182</v>
      </c>
      <c r="E1084" s="1"/>
      <c r="F1084" t="s">
        <v>3480</v>
      </c>
      <c r="G1084" t="str">
        <f>IF(ISNA(_xlfn.XLOOKUP(subscriptions[[#This Row],[customer_id]], customers[customer_id], customers[customer_id])), "NO", "YES")</f>
        <v>YES</v>
      </c>
      <c r="H1084">
        <f>IF(AND(subscriptions[[#This Row],[end_date]]&lt;&gt;"", subscriptions[[#This Row],[end_date]] &lt; subscriptions[[#This Row],[start_date]]), 1, 0)</f>
        <v>0</v>
      </c>
      <c r="I10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4">
        <f>IF(
  AND(subscriptions[[#This Row],[end_before_start]]=0, subscriptions[[#This Row],[status_end_mismatch]]=0),
  1,
  0
)</f>
        <v>1</v>
      </c>
    </row>
    <row r="1085" spans="1:10" x14ac:dyDescent="0.3">
      <c r="A1085">
        <v>4818263</v>
      </c>
      <c r="B1085">
        <v>449636</v>
      </c>
      <c r="C1085">
        <v>1006</v>
      </c>
      <c r="D1085" s="1">
        <v>45061</v>
      </c>
      <c r="E1085" s="1"/>
      <c r="F1085" t="s">
        <v>3480</v>
      </c>
      <c r="G1085" t="str">
        <f>IF(ISNA(_xlfn.XLOOKUP(subscriptions[[#This Row],[customer_id]], customers[customer_id], customers[customer_id])), "NO", "YES")</f>
        <v>YES</v>
      </c>
      <c r="H1085">
        <f>IF(AND(subscriptions[[#This Row],[end_date]]&lt;&gt;"", subscriptions[[#This Row],[end_date]] &lt; subscriptions[[#This Row],[start_date]]), 1, 0)</f>
        <v>0</v>
      </c>
      <c r="I10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5">
        <f>IF(
  AND(subscriptions[[#This Row],[end_before_start]]=0, subscriptions[[#This Row],[status_end_mismatch]]=0),
  1,
  0
)</f>
        <v>1</v>
      </c>
    </row>
    <row r="1086" spans="1:10" x14ac:dyDescent="0.3">
      <c r="A1086">
        <v>9007468</v>
      </c>
      <c r="B1086">
        <v>457264</v>
      </c>
      <c r="C1086">
        <v>1007</v>
      </c>
      <c r="D1086" s="1">
        <v>45512</v>
      </c>
      <c r="E1086" s="1"/>
      <c r="F1086" t="s">
        <v>3480</v>
      </c>
      <c r="G1086" t="str">
        <f>IF(ISNA(_xlfn.XLOOKUP(subscriptions[[#This Row],[customer_id]], customers[customer_id], customers[customer_id])), "NO", "YES")</f>
        <v>YES</v>
      </c>
      <c r="H1086">
        <f>IF(AND(subscriptions[[#This Row],[end_date]]&lt;&gt;"", subscriptions[[#This Row],[end_date]] &lt; subscriptions[[#This Row],[start_date]]), 1, 0)</f>
        <v>0</v>
      </c>
      <c r="I10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6">
        <f>IF(
  AND(subscriptions[[#This Row],[end_before_start]]=0, subscriptions[[#This Row],[status_end_mismatch]]=0),
  1,
  0
)</f>
        <v>1</v>
      </c>
    </row>
    <row r="1087" spans="1:10" x14ac:dyDescent="0.3">
      <c r="A1087">
        <v>1857027</v>
      </c>
      <c r="B1087">
        <v>890870</v>
      </c>
      <c r="C1087">
        <v>1009</v>
      </c>
      <c r="D1087" s="1">
        <v>45215</v>
      </c>
      <c r="E1087" s="1">
        <v>45282</v>
      </c>
      <c r="F1087" t="s">
        <v>3479</v>
      </c>
      <c r="G1087" t="str">
        <f>IF(ISNA(_xlfn.XLOOKUP(subscriptions[[#This Row],[customer_id]], customers[customer_id], customers[customer_id])), "NO", "YES")</f>
        <v>YES</v>
      </c>
      <c r="H1087">
        <f>IF(AND(subscriptions[[#This Row],[end_date]]&lt;&gt;"", subscriptions[[#This Row],[end_date]] &lt; subscriptions[[#This Row],[start_date]]), 1, 0)</f>
        <v>0</v>
      </c>
      <c r="I10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7">
        <f>IF(
  AND(subscriptions[[#This Row],[end_before_start]]=0, subscriptions[[#This Row],[status_end_mismatch]]=0),
  1,
  0
)</f>
        <v>1</v>
      </c>
    </row>
    <row r="1088" spans="1:10" x14ac:dyDescent="0.3">
      <c r="A1088">
        <v>4295478</v>
      </c>
      <c r="B1088">
        <v>591081</v>
      </c>
      <c r="C1088">
        <v>1003</v>
      </c>
      <c r="D1088" s="1">
        <v>45541</v>
      </c>
      <c r="E1088" s="1"/>
      <c r="F1088" t="s">
        <v>3480</v>
      </c>
      <c r="G1088" t="str">
        <f>IF(ISNA(_xlfn.XLOOKUP(subscriptions[[#This Row],[customer_id]], customers[customer_id], customers[customer_id])), "NO", "YES")</f>
        <v>YES</v>
      </c>
      <c r="H1088">
        <f>IF(AND(subscriptions[[#This Row],[end_date]]&lt;&gt;"", subscriptions[[#This Row],[end_date]] &lt; subscriptions[[#This Row],[start_date]]), 1, 0)</f>
        <v>0</v>
      </c>
      <c r="I10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8">
        <f>IF(
  AND(subscriptions[[#This Row],[end_before_start]]=0, subscriptions[[#This Row],[status_end_mismatch]]=0),
  1,
  0
)</f>
        <v>1</v>
      </c>
    </row>
    <row r="1089" spans="1:10" x14ac:dyDescent="0.3">
      <c r="A1089">
        <v>2398988</v>
      </c>
      <c r="B1089">
        <v>939482</v>
      </c>
      <c r="C1089">
        <v>1005</v>
      </c>
      <c r="D1089" s="1">
        <v>45536</v>
      </c>
      <c r="E1089" s="1"/>
      <c r="F1089" t="s">
        <v>3480</v>
      </c>
      <c r="G1089" t="str">
        <f>IF(ISNA(_xlfn.XLOOKUP(subscriptions[[#This Row],[customer_id]], customers[customer_id], customers[customer_id])), "NO", "YES")</f>
        <v>YES</v>
      </c>
      <c r="H1089">
        <f>IF(AND(subscriptions[[#This Row],[end_date]]&lt;&gt;"", subscriptions[[#This Row],[end_date]] &lt; subscriptions[[#This Row],[start_date]]), 1, 0)</f>
        <v>0</v>
      </c>
      <c r="I10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89">
        <f>IF(
  AND(subscriptions[[#This Row],[end_before_start]]=0, subscriptions[[#This Row],[status_end_mismatch]]=0),
  1,
  0
)</f>
        <v>1</v>
      </c>
    </row>
    <row r="1090" spans="1:10" x14ac:dyDescent="0.3">
      <c r="A1090">
        <v>4606999</v>
      </c>
      <c r="B1090">
        <v>849014</v>
      </c>
      <c r="C1090">
        <v>1002</v>
      </c>
      <c r="D1090" s="1">
        <v>45559</v>
      </c>
      <c r="E1090" s="1"/>
      <c r="F1090" t="s">
        <v>3480</v>
      </c>
      <c r="G1090" t="str">
        <f>IF(ISNA(_xlfn.XLOOKUP(subscriptions[[#This Row],[customer_id]], customers[customer_id], customers[customer_id])), "NO", "YES")</f>
        <v>YES</v>
      </c>
      <c r="H1090">
        <f>IF(AND(subscriptions[[#This Row],[end_date]]&lt;&gt;"", subscriptions[[#This Row],[end_date]] &lt; subscriptions[[#This Row],[start_date]]), 1, 0)</f>
        <v>0</v>
      </c>
      <c r="I10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0">
        <f>IF(
  AND(subscriptions[[#This Row],[end_before_start]]=0, subscriptions[[#This Row],[status_end_mismatch]]=0),
  1,
  0
)</f>
        <v>1</v>
      </c>
    </row>
    <row r="1091" spans="1:10" x14ac:dyDescent="0.3">
      <c r="A1091">
        <v>1161102</v>
      </c>
      <c r="B1091">
        <v>891937</v>
      </c>
      <c r="C1091">
        <v>1008</v>
      </c>
      <c r="D1091" s="1">
        <v>45442</v>
      </c>
      <c r="E1091" s="1">
        <v>45529</v>
      </c>
      <c r="F1091" t="s">
        <v>3479</v>
      </c>
      <c r="G1091" t="str">
        <f>IF(ISNA(_xlfn.XLOOKUP(subscriptions[[#This Row],[customer_id]], customers[customer_id], customers[customer_id])), "NO", "YES")</f>
        <v>YES</v>
      </c>
      <c r="H1091">
        <f>IF(AND(subscriptions[[#This Row],[end_date]]&lt;&gt;"", subscriptions[[#This Row],[end_date]] &lt; subscriptions[[#This Row],[start_date]]), 1, 0)</f>
        <v>0</v>
      </c>
      <c r="I10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1">
        <f>IF(
  AND(subscriptions[[#This Row],[end_before_start]]=0, subscriptions[[#This Row],[status_end_mismatch]]=0),
  1,
  0
)</f>
        <v>1</v>
      </c>
    </row>
    <row r="1092" spans="1:10" x14ac:dyDescent="0.3">
      <c r="A1092">
        <v>8426297</v>
      </c>
      <c r="B1092">
        <v>638051</v>
      </c>
      <c r="C1092">
        <v>1007</v>
      </c>
      <c r="D1092" s="1">
        <v>44960</v>
      </c>
      <c r="E1092" s="1"/>
      <c r="F1092" t="s">
        <v>3480</v>
      </c>
      <c r="G1092" t="str">
        <f>IF(ISNA(_xlfn.XLOOKUP(subscriptions[[#This Row],[customer_id]], customers[customer_id], customers[customer_id])), "NO", "YES")</f>
        <v>YES</v>
      </c>
      <c r="H1092">
        <f>IF(AND(subscriptions[[#This Row],[end_date]]&lt;&gt;"", subscriptions[[#This Row],[end_date]] &lt; subscriptions[[#This Row],[start_date]]), 1, 0)</f>
        <v>0</v>
      </c>
      <c r="I10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2">
        <f>IF(
  AND(subscriptions[[#This Row],[end_before_start]]=0, subscriptions[[#This Row],[status_end_mismatch]]=0),
  1,
  0
)</f>
        <v>1</v>
      </c>
    </row>
    <row r="1093" spans="1:10" x14ac:dyDescent="0.3">
      <c r="A1093">
        <v>8654679</v>
      </c>
      <c r="B1093">
        <v>342397</v>
      </c>
      <c r="C1093">
        <v>1009</v>
      </c>
      <c r="D1093" s="1">
        <v>44563</v>
      </c>
      <c r="E1093" s="1"/>
      <c r="F1093" t="s">
        <v>3480</v>
      </c>
      <c r="G1093" t="str">
        <f>IF(ISNA(_xlfn.XLOOKUP(subscriptions[[#This Row],[customer_id]], customers[customer_id], customers[customer_id])), "NO", "YES")</f>
        <v>YES</v>
      </c>
      <c r="H1093">
        <f>IF(AND(subscriptions[[#This Row],[end_date]]&lt;&gt;"", subscriptions[[#This Row],[end_date]] &lt; subscriptions[[#This Row],[start_date]]), 1, 0)</f>
        <v>0</v>
      </c>
      <c r="I10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3">
        <f>IF(
  AND(subscriptions[[#This Row],[end_before_start]]=0, subscriptions[[#This Row],[status_end_mismatch]]=0),
  1,
  0
)</f>
        <v>1</v>
      </c>
    </row>
    <row r="1094" spans="1:10" x14ac:dyDescent="0.3">
      <c r="A1094">
        <v>7831160</v>
      </c>
      <c r="B1094">
        <v>839485</v>
      </c>
      <c r="C1094">
        <v>1009</v>
      </c>
      <c r="D1094" s="1">
        <v>45116</v>
      </c>
      <c r="E1094" s="1"/>
      <c r="F1094" t="s">
        <v>3480</v>
      </c>
      <c r="G1094" t="str">
        <f>IF(ISNA(_xlfn.XLOOKUP(subscriptions[[#This Row],[customer_id]], customers[customer_id], customers[customer_id])), "NO", "YES")</f>
        <v>YES</v>
      </c>
      <c r="H1094">
        <f>IF(AND(subscriptions[[#This Row],[end_date]]&lt;&gt;"", subscriptions[[#This Row],[end_date]] &lt; subscriptions[[#This Row],[start_date]]), 1, 0)</f>
        <v>0</v>
      </c>
      <c r="I10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4">
        <f>IF(
  AND(subscriptions[[#This Row],[end_before_start]]=0, subscriptions[[#This Row],[status_end_mismatch]]=0),
  1,
  0
)</f>
        <v>1</v>
      </c>
    </row>
    <row r="1095" spans="1:10" x14ac:dyDescent="0.3">
      <c r="A1095">
        <v>3961713</v>
      </c>
      <c r="B1095">
        <v>476485</v>
      </c>
      <c r="C1095">
        <v>1001</v>
      </c>
      <c r="D1095" s="1">
        <v>45235</v>
      </c>
      <c r="E1095" s="1"/>
      <c r="F1095" t="s">
        <v>3480</v>
      </c>
      <c r="G1095" t="str">
        <f>IF(ISNA(_xlfn.XLOOKUP(subscriptions[[#This Row],[customer_id]], customers[customer_id], customers[customer_id])), "NO", "YES")</f>
        <v>YES</v>
      </c>
      <c r="H1095">
        <f>IF(AND(subscriptions[[#This Row],[end_date]]&lt;&gt;"", subscriptions[[#This Row],[end_date]] &lt; subscriptions[[#This Row],[start_date]]), 1, 0)</f>
        <v>0</v>
      </c>
      <c r="I10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5">
        <f>IF(
  AND(subscriptions[[#This Row],[end_before_start]]=0, subscriptions[[#This Row],[status_end_mismatch]]=0),
  1,
  0
)</f>
        <v>1</v>
      </c>
    </row>
    <row r="1096" spans="1:10" x14ac:dyDescent="0.3">
      <c r="A1096">
        <v>9626848</v>
      </c>
      <c r="B1096">
        <v>434400</v>
      </c>
      <c r="C1096">
        <v>1003</v>
      </c>
      <c r="D1096" s="1">
        <v>45143</v>
      </c>
      <c r="E1096" s="1">
        <v>45326</v>
      </c>
      <c r="F1096" t="s">
        <v>3479</v>
      </c>
      <c r="G1096" t="str">
        <f>IF(ISNA(_xlfn.XLOOKUP(subscriptions[[#This Row],[customer_id]], customers[customer_id], customers[customer_id])), "NO", "YES")</f>
        <v>YES</v>
      </c>
      <c r="H1096">
        <f>IF(AND(subscriptions[[#This Row],[end_date]]&lt;&gt;"", subscriptions[[#This Row],[end_date]] &lt; subscriptions[[#This Row],[start_date]]), 1, 0)</f>
        <v>0</v>
      </c>
      <c r="I10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6">
        <f>IF(
  AND(subscriptions[[#This Row],[end_before_start]]=0, subscriptions[[#This Row],[status_end_mismatch]]=0),
  1,
  0
)</f>
        <v>1</v>
      </c>
    </row>
    <row r="1097" spans="1:10" x14ac:dyDescent="0.3">
      <c r="A1097">
        <v>5432538</v>
      </c>
      <c r="B1097">
        <v>575755</v>
      </c>
      <c r="C1097">
        <v>1006</v>
      </c>
      <c r="D1097" s="1">
        <v>45071</v>
      </c>
      <c r="E1097" s="1"/>
      <c r="F1097" t="s">
        <v>3480</v>
      </c>
      <c r="G1097" t="str">
        <f>IF(ISNA(_xlfn.XLOOKUP(subscriptions[[#This Row],[customer_id]], customers[customer_id], customers[customer_id])), "NO", "YES")</f>
        <v>YES</v>
      </c>
      <c r="H1097">
        <f>IF(AND(subscriptions[[#This Row],[end_date]]&lt;&gt;"", subscriptions[[#This Row],[end_date]] &lt; subscriptions[[#This Row],[start_date]]), 1, 0)</f>
        <v>0</v>
      </c>
      <c r="I10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7">
        <f>IF(
  AND(subscriptions[[#This Row],[end_before_start]]=0, subscriptions[[#This Row],[status_end_mismatch]]=0),
  1,
  0
)</f>
        <v>1</v>
      </c>
    </row>
    <row r="1098" spans="1:10" x14ac:dyDescent="0.3">
      <c r="A1098">
        <v>9439984</v>
      </c>
      <c r="B1098">
        <v>852470</v>
      </c>
      <c r="C1098">
        <v>1002</v>
      </c>
      <c r="D1098" s="1">
        <v>45194</v>
      </c>
      <c r="E1098" s="1">
        <v>45281</v>
      </c>
      <c r="F1098" t="s">
        <v>3479</v>
      </c>
      <c r="G1098" t="str">
        <f>IF(ISNA(_xlfn.XLOOKUP(subscriptions[[#This Row],[customer_id]], customers[customer_id], customers[customer_id])), "NO", "YES")</f>
        <v>YES</v>
      </c>
      <c r="H1098">
        <f>IF(AND(subscriptions[[#This Row],[end_date]]&lt;&gt;"", subscriptions[[#This Row],[end_date]] &lt; subscriptions[[#This Row],[start_date]]), 1, 0)</f>
        <v>0</v>
      </c>
      <c r="I10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8">
        <f>IF(
  AND(subscriptions[[#This Row],[end_before_start]]=0, subscriptions[[#This Row],[status_end_mismatch]]=0),
  1,
  0
)</f>
        <v>1</v>
      </c>
    </row>
    <row r="1099" spans="1:10" x14ac:dyDescent="0.3">
      <c r="A1099">
        <v>4056477</v>
      </c>
      <c r="B1099">
        <v>362778</v>
      </c>
      <c r="C1099">
        <v>1007</v>
      </c>
      <c r="D1099" s="1">
        <v>45560</v>
      </c>
      <c r="E1099" s="1"/>
      <c r="F1099" t="s">
        <v>3480</v>
      </c>
      <c r="G1099" t="str">
        <f>IF(ISNA(_xlfn.XLOOKUP(subscriptions[[#This Row],[customer_id]], customers[customer_id], customers[customer_id])), "NO", "YES")</f>
        <v>YES</v>
      </c>
      <c r="H1099">
        <f>IF(AND(subscriptions[[#This Row],[end_date]]&lt;&gt;"", subscriptions[[#This Row],[end_date]] &lt; subscriptions[[#This Row],[start_date]]), 1, 0)</f>
        <v>0</v>
      </c>
      <c r="I10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099">
        <f>IF(
  AND(subscriptions[[#This Row],[end_before_start]]=0, subscriptions[[#This Row],[status_end_mismatch]]=0),
  1,
  0
)</f>
        <v>1</v>
      </c>
    </row>
    <row r="1100" spans="1:10" x14ac:dyDescent="0.3">
      <c r="A1100">
        <v>9548795</v>
      </c>
      <c r="B1100">
        <v>538065</v>
      </c>
      <c r="C1100">
        <v>1005</v>
      </c>
      <c r="D1100" s="1">
        <v>45525</v>
      </c>
      <c r="E1100" s="1"/>
      <c r="F1100" t="s">
        <v>3480</v>
      </c>
      <c r="G1100" t="str">
        <f>IF(ISNA(_xlfn.XLOOKUP(subscriptions[[#This Row],[customer_id]], customers[customer_id], customers[customer_id])), "NO", "YES")</f>
        <v>YES</v>
      </c>
      <c r="H1100">
        <f>IF(AND(subscriptions[[#This Row],[end_date]]&lt;&gt;"", subscriptions[[#This Row],[end_date]] &lt; subscriptions[[#This Row],[start_date]]), 1, 0)</f>
        <v>0</v>
      </c>
      <c r="I11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0">
        <f>IF(
  AND(subscriptions[[#This Row],[end_before_start]]=0, subscriptions[[#This Row],[status_end_mismatch]]=0),
  1,
  0
)</f>
        <v>1</v>
      </c>
    </row>
    <row r="1101" spans="1:10" x14ac:dyDescent="0.3">
      <c r="A1101">
        <v>3999685</v>
      </c>
      <c r="B1101">
        <v>424620</v>
      </c>
      <c r="C1101">
        <v>1007</v>
      </c>
      <c r="D1101" s="1">
        <v>44696</v>
      </c>
      <c r="E1101" s="1">
        <v>45070</v>
      </c>
      <c r="F1101" t="s">
        <v>3479</v>
      </c>
      <c r="G1101" t="str">
        <f>IF(ISNA(_xlfn.XLOOKUP(subscriptions[[#This Row],[customer_id]], customers[customer_id], customers[customer_id])), "NO", "YES")</f>
        <v>YES</v>
      </c>
      <c r="H1101">
        <f>IF(AND(subscriptions[[#This Row],[end_date]]&lt;&gt;"", subscriptions[[#This Row],[end_date]] &lt; subscriptions[[#This Row],[start_date]]), 1, 0)</f>
        <v>0</v>
      </c>
      <c r="I11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1">
        <f>IF(
  AND(subscriptions[[#This Row],[end_before_start]]=0, subscriptions[[#This Row],[status_end_mismatch]]=0),
  1,
  0
)</f>
        <v>1</v>
      </c>
    </row>
    <row r="1102" spans="1:10" x14ac:dyDescent="0.3">
      <c r="A1102">
        <v>6111027</v>
      </c>
      <c r="B1102">
        <v>901909</v>
      </c>
      <c r="C1102">
        <v>1009</v>
      </c>
      <c r="D1102" s="1">
        <v>44755</v>
      </c>
      <c r="E1102" s="1">
        <v>45011</v>
      </c>
      <c r="F1102" t="s">
        <v>3479</v>
      </c>
      <c r="G1102" t="str">
        <f>IF(ISNA(_xlfn.XLOOKUP(subscriptions[[#This Row],[customer_id]], customers[customer_id], customers[customer_id])), "NO", "YES")</f>
        <v>YES</v>
      </c>
      <c r="H1102">
        <f>IF(AND(subscriptions[[#This Row],[end_date]]&lt;&gt;"", subscriptions[[#This Row],[end_date]] &lt; subscriptions[[#This Row],[start_date]]), 1, 0)</f>
        <v>0</v>
      </c>
      <c r="I11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2">
        <f>IF(
  AND(subscriptions[[#This Row],[end_before_start]]=0, subscriptions[[#This Row],[status_end_mismatch]]=0),
  1,
  0
)</f>
        <v>1</v>
      </c>
    </row>
    <row r="1103" spans="1:10" x14ac:dyDescent="0.3">
      <c r="A1103">
        <v>6745050</v>
      </c>
      <c r="B1103">
        <v>550664</v>
      </c>
      <c r="C1103">
        <v>1005</v>
      </c>
      <c r="D1103" s="1">
        <v>44936</v>
      </c>
      <c r="E1103" s="1"/>
      <c r="F1103" t="s">
        <v>3480</v>
      </c>
      <c r="G1103" t="str">
        <f>IF(ISNA(_xlfn.XLOOKUP(subscriptions[[#This Row],[customer_id]], customers[customer_id], customers[customer_id])), "NO", "YES")</f>
        <v>YES</v>
      </c>
      <c r="H1103">
        <f>IF(AND(subscriptions[[#This Row],[end_date]]&lt;&gt;"", subscriptions[[#This Row],[end_date]] &lt; subscriptions[[#This Row],[start_date]]), 1, 0)</f>
        <v>0</v>
      </c>
      <c r="I11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3">
        <f>IF(
  AND(subscriptions[[#This Row],[end_before_start]]=0, subscriptions[[#This Row],[status_end_mismatch]]=0),
  1,
  0
)</f>
        <v>1</v>
      </c>
    </row>
    <row r="1104" spans="1:10" x14ac:dyDescent="0.3">
      <c r="A1104">
        <v>2823879</v>
      </c>
      <c r="B1104">
        <v>256189</v>
      </c>
      <c r="C1104">
        <v>1008</v>
      </c>
      <c r="D1104" s="1">
        <v>45036</v>
      </c>
      <c r="E1104" s="1"/>
      <c r="F1104" t="s">
        <v>3480</v>
      </c>
      <c r="G1104" t="str">
        <f>IF(ISNA(_xlfn.XLOOKUP(subscriptions[[#This Row],[customer_id]], customers[customer_id], customers[customer_id])), "NO", "YES")</f>
        <v>YES</v>
      </c>
      <c r="H1104">
        <f>IF(AND(subscriptions[[#This Row],[end_date]]&lt;&gt;"", subscriptions[[#This Row],[end_date]] &lt; subscriptions[[#This Row],[start_date]]), 1, 0)</f>
        <v>0</v>
      </c>
      <c r="I11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4">
        <f>IF(
  AND(subscriptions[[#This Row],[end_before_start]]=0, subscriptions[[#This Row],[status_end_mismatch]]=0),
  1,
  0
)</f>
        <v>1</v>
      </c>
    </row>
    <row r="1105" spans="1:10" x14ac:dyDescent="0.3">
      <c r="A1105">
        <v>9418465</v>
      </c>
      <c r="B1105">
        <v>441819</v>
      </c>
      <c r="C1105">
        <v>1002</v>
      </c>
      <c r="D1105" s="1">
        <v>45187</v>
      </c>
      <c r="E1105" s="1"/>
      <c r="F1105" t="s">
        <v>3480</v>
      </c>
      <c r="G1105" t="str">
        <f>IF(ISNA(_xlfn.XLOOKUP(subscriptions[[#This Row],[customer_id]], customers[customer_id], customers[customer_id])), "NO", "YES")</f>
        <v>YES</v>
      </c>
      <c r="H1105">
        <f>IF(AND(subscriptions[[#This Row],[end_date]]&lt;&gt;"", subscriptions[[#This Row],[end_date]] &lt; subscriptions[[#This Row],[start_date]]), 1, 0)</f>
        <v>0</v>
      </c>
      <c r="I11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5">
        <f>IF(
  AND(subscriptions[[#This Row],[end_before_start]]=0, subscriptions[[#This Row],[status_end_mismatch]]=0),
  1,
  0
)</f>
        <v>1</v>
      </c>
    </row>
    <row r="1106" spans="1:10" x14ac:dyDescent="0.3">
      <c r="A1106">
        <v>9898627</v>
      </c>
      <c r="B1106">
        <v>107482</v>
      </c>
      <c r="C1106">
        <v>1008</v>
      </c>
      <c r="D1106" s="1">
        <v>45528</v>
      </c>
      <c r="E1106" s="1"/>
      <c r="F1106" t="s">
        <v>3480</v>
      </c>
      <c r="G1106" t="str">
        <f>IF(ISNA(_xlfn.XLOOKUP(subscriptions[[#This Row],[customer_id]], customers[customer_id], customers[customer_id])), "NO", "YES")</f>
        <v>YES</v>
      </c>
      <c r="H1106">
        <f>IF(AND(subscriptions[[#This Row],[end_date]]&lt;&gt;"", subscriptions[[#This Row],[end_date]] &lt; subscriptions[[#This Row],[start_date]]), 1, 0)</f>
        <v>0</v>
      </c>
      <c r="I11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6">
        <f>IF(
  AND(subscriptions[[#This Row],[end_before_start]]=0, subscriptions[[#This Row],[status_end_mismatch]]=0),
  1,
  0
)</f>
        <v>1</v>
      </c>
    </row>
    <row r="1107" spans="1:10" x14ac:dyDescent="0.3">
      <c r="A1107">
        <v>6034195</v>
      </c>
      <c r="B1107">
        <v>789880</v>
      </c>
      <c r="C1107">
        <v>1005</v>
      </c>
      <c r="D1107" s="1">
        <v>44992</v>
      </c>
      <c r="E1107" s="1"/>
      <c r="F1107" t="s">
        <v>3480</v>
      </c>
      <c r="G1107" t="str">
        <f>IF(ISNA(_xlfn.XLOOKUP(subscriptions[[#This Row],[customer_id]], customers[customer_id], customers[customer_id])), "NO", "YES")</f>
        <v>YES</v>
      </c>
      <c r="H1107">
        <f>IF(AND(subscriptions[[#This Row],[end_date]]&lt;&gt;"", subscriptions[[#This Row],[end_date]] &lt; subscriptions[[#This Row],[start_date]]), 1, 0)</f>
        <v>0</v>
      </c>
      <c r="I11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7">
        <f>IF(
  AND(subscriptions[[#This Row],[end_before_start]]=0, subscriptions[[#This Row],[status_end_mismatch]]=0),
  1,
  0
)</f>
        <v>1</v>
      </c>
    </row>
    <row r="1108" spans="1:10" x14ac:dyDescent="0.3">
      <c r="A1108">
        <v>3593718</v>
      </c>
      <c r="B1108">
        <v>275073</v>
      </c>
      <c r="C1108">
        <v>1000</v>
      </c>
      <c r="D1108" s="1">
        <v>45225</v>
      </c>
      <c r="E1108" s="1"/>
      <c r="F1108" t="s">
        <v>3480</v>
      </c>
      <c r="G1108" t="str">
        <f>IF(ISNA(_xlfn.XLOOKUP(subscriptions[[#This Row],[customer_id]], customers[customer_id], customers[customer_id])), "NO", "YES")</f>
        <v>YES</v>
      </c>
      <c r="H1108">
        <f>IF(AND(subscriptions[[#This Row],[end_date]]&lt;&gt;"", subscriptions[[#This Row],[end_date]] &lt; subscriptions[[#This Row],[start_date]]), 1, 0)</f>
        <v>0</v>
      </c>
      <c r="I11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8">
        <f>IF(
  AND(subscriptions[[#This Row],[end_before_start]]=0, subscriptions[[#This Row],[status_end_mismatch]]=0),
  1,
  0
)</f>
        <v>1</v>
      </c>
    </row>
    <row r="1109" spans="1:10" x14ac:dyDescent="0.3">
      <c r="A1109">
        <v>7647803</v>
      </c>
      <c r="B1109">
        <v>741194</v>
      </c>
      <c r="C1109">
        <v>1006</v>
      </c>
      <c r="D1109" s="1">
        <v>44913</v>
      </c>
      <c r="E1109" s="1">
        <v>45255</v>
      </c>
      <c r="F1109" t="s">
        <v>3479</v>
      </c>
      <c r="G1109" t="str">
        <f>IF(ISNA(_xlfn.XLOOKUP(subscriptions[[#This Row],[customer_id]], customers[customer_id], customers[customer_id])), "NO", "YES")</f>
        <v>YES</v>
      </c>
      <c r="H1109">
        <f>IF(AND(subscriptions[[#This Row],[end_date]]&lt;&gt;"", subscriptions[[#This Row],[end_date]] &lt; subscriptions[[#This Row],[start_date]]), 1, 0)</f>
        <v>0</v>
      </c>
      <c r="I11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09">
        <f>IF(
  AND(subscriptions[[#This Row],[end_before_start]]=0, subscriptions[[#This Row],[status_end_mismatch]]=0),
  1,
  0
)</f>
        <v>1</v>
      </c>
    </row>
    <row r="1110" spans="1:10" x14ac:dyDescent="0.3">
      <c r="A1110">
        <v>3636248</v>
      </c>
      <c r="B1110">
        <v>560767</v>
      </c>
      <c r="C1110">
        <v>1008</v>
      </c>
      <c r="D1110" s="1">
        <v>45228</v>
      </c>
      <c r="E1110" s="1">
        <v>45500</v>
      </c>
      <c r="F1110" t="s">
        <v>3479</v>
      </c>
      <c r="G1110" t="str">
        <f>IF(ISNA(_xlfn.XLOOKUP(subscriptions[[#This Row],[customer_id]], customers[customer_id], customers[customer_id])), "NO", "YES")</f>
        <v>YES</v>
      </c>
      <c r="H1110">
        <f>IF(AND(subscriptions[[#This Row],[end_date]]&lt;&gt;"", subscriptions[[#This Row],[end_date]] &lt; subscriptions[[#This Row],[start_date]]), 1, 0)</f>
        <v>0</v>
      </c>
      <c r="I11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0">
        <f>IF(
  AND(subscriptions[[#This Row],[end_before_start]]=0, subscriptions[[#This Row],[status_end_mismatch]]=0),
  1,
  0
)</f>
        <v>1</v>
      </c>
    </row>
    <row r="1111" spans="1:10" x14ac:dyDescent="0.3">
      <c r="A1111">
        <v>7994575</v>
      </c>
      <c r="B1111">
        <v>254954</v>
      </c>
      <c r="C1111">
        <v>1003</v>
      </c>
      <c r="D1111" s="1">
        <v>45113</v>
      </c>
      <c r="E1111" s="1"/>
      <c r="F1111" t="s">
        <v>3480</v>
      </c>
      <c r="G1111" t="str">
        <f>IF(ISNA(_xlfn.XLOOKUP(subscriptions[[#This Row],[customer_id]], customers[customer_id], customers[customer_id])), "NO", "YES")</f>
        <v>YES</v>
      </c>
      <c r="H1111">
        <f>IF(AND(subscriptions[[#This Row],[end_date]]&lt;&gt;"", subscriptions[[#This Row],[end_date]] &lt; subscriptions[[#This Row],[start_date]]), 1, 0)</f>
        <v>0</v>
      </c>
      <c r="I11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1">
        <f>IF(
  AND(subscriptions[[#This Row],[end_before_start]]=0, subscriptions[[#This Row],[status_end_mismatch]]=0),
  1,
  0
)</f>
        <v>1</v>
      </c>
    </row>
    <row r="1112" spans="1:10" x14ac:dyDescent="0.3">
      <c r="A1112">
        <v>5409982</v>
      </c>
      <c r="B1112">
        <v>232601</v>
      </c>
      <c r="C1112">
        <v>1006</v>
      </c>
      <c r="D1112" s="1">
        <v>45528</v>
      </c>
      <c r="E1112" s="1">
        <v>45646</v>
      </c>
      <c r="F1112" t="s">
        <v>3479</v>
      </c>
      <c r="G1112" t="str">
        <f>IF(ISNA(_xlfn.XLOOKUP(subscriptions[[#This Row],[customer_id]], customers[customer_id], customers[customer_id])), "NO", "YES")</f>
        <v>YES</v>
      </c>
      <c r="H1112">
        <f>IF(AND(subscriptions[[#This Row],[end_date]]&lt;&gt;"", subscriptions[[#This Row],[end_date]] &lt; subscriptions[[#This Row],[start_date]]), 1, 0)</f>
        <v>0</v>
      </c>
      <c r="I11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2">
        <f>IF(
  AND(subscriptions[[#This Row],[end_before_start]]=0, subscriptions[[#This Row],[status_end_mismatch]]=0),
  1,
  0
)</f>
        <v>1</v>
      </c>
    </row>
    <row r="1113" spans="1:10" x14ac:dyDescent="0.3">
      <c r="A1113">
        <v>3432470</v>
      </c>
      <c r="B1113">
        <v>493892</v>
      </c>
      <c r="C1113">
        <v>1003</v>
      </c>
      <c r="D1113" s="1">
        <v>45189</v>
      </c>
      <c r="E1113" s="1"/>
      <c r="F1113" t="s">
        <v>3480</v>
      </c>
      <c r="G1113" t="str">
        <f>IF(ISNA(_xlfn.XLOOKUP(subscriptions[[#This Row],[customer_id]], customers[customer_id], customers[customer_id])), "NO", "YES")</f>
        <v>YES</v>
      </c>
      <c r="H1113">
        <f>IF(AND(subscriptions[[#This Row],[end_date]]&lt;&gt;"", subscriptions[[#This Row],[end_date]] &lt; subscriptions[[#This Row],[start_date]]), 1, 0)</f>
        <v>0</v>
      </c>
      <c r="I11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3">
        <f>IF(
  AND(subscriptions[[#This Row],[end_before_start]]=0, subscriptions[[#This Row],[status_end_mismatch]]=0),
  1,
  0
)</f>
        <v>1</v>
      </c>
    </row>
    <row r="1114" spans="1:10" x14ac:dyDescent="0.3">
      <c r="A1114">
        <v>6938019</v>
      </c>
      <c r="B1114">
        <v>403936</v>
      </c>
      <c r="C1114">
        <v>1007</v>
      </c>
      <c r="D1114" s="1">
        <v>45207</v>
      </c>
      <c r="E1114" s="1"/>
      <c r="F1114" t="s">
        <v>3480</v>
      </c>
      <c r="G1114" t="str">
        <f>IF(ISNA(_xlfn.XLOOKUP(subscriptions[[#This Row],[customer_id]], customers[customer_id], customers[customer_id])), "NO", "YES")</f>
        <v>YES</v>
      </c>
      <c r="H1114">
        <f>IF(AND(subscriptions[[#This Row],[end_date]]&lt;&gt;"", subscriptions[[#This Row],[end_date]] &lt; subscriptions[[#This Row],[start_date]]), 1, 0)</f>
        <v>0</v>
      </c>
      <c r="I11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4">
        <f>IF(
  AND(subscriptions[[#This Row],[end_before_start]]=0, subscriptions[[#This Row],[status_end_mismatch]]=0),
  1,
  0
)</f>
        <v>1</v>
      </c>
    </row>
    <row r="1115" spans="1:10" x14ac:dyDescent="0.3">
      <c r="A1115">
        <v>8135314</v>
      </c>
      <c r="B1115">
        <v>875501</v>
      </c>
      <c r="C1115">
        <v>1000</v>
      </c>
      <c r="D1115" s="1">
        <v>45367</v>
      </c>
      <c r="E1115" s="1">
        <v>45399</v>
      </c>
      <c r="F1115" t="s">
        <v>3479</v>
      </c>
      <c r="G1115" t="str">
        <f>IF(ISNA(_xlfn.XLOOKUP(subscriptions[[#This Row],[customer_id]], customers[customer_id], customers[customer_id])), "NO", "YES")</f>
        <v>YES</v>
      </c>
      <c r="H1115">
        <f>IF(AND(subscriptions[[#This Row],[end_date]]&lt;&gt;"", subscriptions[[#This Row],[end_date]] &lt; subscriptions[[#This Row],[start_date]]), 1, 0)</f>
        <v>0</v>
      </c>
      <c r="I11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5">
        <f>IF(
  AND(subscriptions[[#This Row],[end_before_start]]=0, subscriptions[[#This Row],[status_end_mismatch]]=0),
  1,
  0
)</f>
        <v>1</v>
      </c>
    </row>
    <row r="1116" spans="1:10" x14ac:dyDescent="0.3">
      <c r="A1116">
        <v>7779356</v>
      </c>
      <c r="B1116">
        <v>690579</v>
      </c>
      <c r="C1116">
        <v>1007</v>
      </c>
      <c r="D1116" s="1">
        <v>44675</v>
      </c>
      <c r="E1116" s="1">
        <v>44886</v>
      </c>
      <c r="F1116" t="s">
        <v>3479</v>
      </c>
      <c r="G1116" t="str">
        <f>IF(ISNA(_xlfn.XLOOKUP(subscriptions[[#This Row],[customer_id]], customers[customer_id], customers[customer_id])), "NO", "YES")</f>
        <v>YES</v>
      </c>
      <c r="H1116">
        <f>IF(AND(subscriptions[[#This Row],[end_date]]&lt;&gt;"", subscriptions[[#This Row],[end_date]] &lt; subscriptions[[#This Row],[start_date]]), 1, 0)</f>
        <v>0</v>
      </c>
      <c r="I11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6">
        <f>IF(
  AND(subscriptions[[#This Row],[end_before_start]]=0, subscriptions[[#This Row],[status_end_mismatch]]=0),
  1,
  0
)</f>
        <v>1</v>
      </c>
    </row>
    <row r="1117" spans="1:10" x14ac:dyDescent="0.3">
      <c r="A1117">
        <v>3347640</v>
      </c>
      <c r="B1117">
        <v>768061</v>
      </c>
      <c r="C1117">
        <v>1009</v>
      </c>
      <c r="D1117" s="1">
        <v>45497</v>
      </c>
      <c r="E1117" s="1">
        <v>45536</v>
      </c>
      <c r="F1117" t="s">
        <v>3479</v>
      </c>
      <c r="G1117" t="str">
        <f>IF(ISNA(_xlfn.XLOOKUP(subscriptions[[#This Row],[customer_id]], customers[customer_id], customers[customer_id])), "NO", "YES")</f>
        <v>YES</v>
      </c>
      <c r="H1117">
        <f>IF(AND(subscriptions[[#This Row],[end_date]]&lt;&gt;"", subscriptions[[#This Row],[end_date]] &lt; subscriptions[[#This Row],[start_date]]), 1, 0)</f>
        <v>0</v>
      </c>
      <c r="I11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7">
        <f>IF(
  AND(subscriptions[[#This Row],[end_before_start]]=0, subscriptions[[#This Row],[status_end_mismatch]]=0),
  1,
  0
)</f>
        <v>1</v>
      </c>
    </row>
    <row r="1118" spans="1:10" x14ac:dyDescent="0.3">
      <c r="A1118">
        <v>4392572</v>
      </c>
      <c r="B1118">
        <v>828246</v>
      </c>
      <c r="C1118">
        <v>1002</v>
      </c>
      <c r="D1118" s="1">
        <v>44989</v>
      </c>
      <c r="E1118" s="1">
        <v>45150</v>
      </c>
      <c r="F1118" t="s">
        <v>3479</v>
      </c>
      <c r="G1118" t="str">
        <f>IF(ISNA(_xlfn.XLOOKUP(subscriptions[[#This Row],[customer_id]], customers[customer_id], customers[customer_id])), "NO", "YES")</f>
        <v>YES</v>
      </c>
      <c r="H1118">
        <f>IF(AND(subscriptions[[#This Row],[end_date]]&lt;&gt;"", subscriptions[[#This Row],[end_date]] &lt; subscriptions[[#This Row],[start_date]]), 1, 0)</f>
        <v>0</v>
      </c>
      <c r="I11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8">
        <f>IF(
  AND(subscriptions[[#This Row],[end_before_start]]=0, subscriptions[[#This Row],[status_end_mismatch]]=0),
  1,
  0
)</f>
        <v>1</v>
      </c>
    </row>
    <row r="1119" spans="1:10" x14ac:dyDescent="0.3">
      <c r="A1119">
        <v>5945871</v>
      </c>
      <c r="B1119">
        <v>663244</v>
      </c>
      <c r="C1119">
        <v>1003</v>
      </c>
      <c r="D1119" s="1">
        <v>45326</v>
      </c>
      <c r="E1119" s="1"/>
      <c r="F1119" t="s">
        <v>3480</v>
      </c>
      <c r="G1119" t="str">
        <f>IF(ISNA(_xlfn.XLOOKUP(subscriptions[[#This Row],[customer_id]], customers[customer_id], customers[customer_id])), "NO", "YES")</f>
        <v>YES</v>
      </c>
      <c r="H1119">
        <f>IF(AND(subscriptions[[#This Row],[end_date]]&lt;&gt;"", subscriptions[[#This Row],[end_date]] &lt; subscriptions[[#This Row],[start_date]]), 1, 0)</f>
        <v>0</v>
      </c>
      <c r="I11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19">
        <f>IF(
  AND(subscriptions[[#This Row],[end_before_start]]=0, subscriptions[[#This Row],[status_end_mismatch]]=0),
  1,
  0
)</f>
        <v>1</v>
      </c>
    </row>
    <row r="1120" spans="1:10" x14ac:dyDescent="0.3">
      <c r="A1120">
        <v>8172232</v>
      </c>
      <c r="B1120">
        <v>437960</v>
      </c>
      <c r="C1120">
        <v>1000</v>
      </c>
      <c r="D1120" s="1">
        <v>45345</v>
      </c>
      <c r="E1120" s="1"/>
      <c r="F1120" t="s">
        <v>3480</v>
      </c>
      <c r="G1120" t="str">
        <f>IF(ISNA(_xlfn.XLOOKUP(subscriptions[[#This Row],[customer_id]], customers[customer_id], customers[customer_id])), "NO", "YES")</f>
        <v>YES</v>
      </c>
      <c r="H1120">
        <f>IF(AND(subscriptions[[#This Row],[end_date]]&lt;&gt;"", subscriptions[[#This Row],[end_date]] &lt; subscriptions[[#This Row],[start_date]]), 1, 0)</f>
        <v>0</v>
      </c>
      <c r="I11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0">
        <f>IF(
  AND(subscriptions[[#This Row],[end_before_start]]=0, subscriptions[[#This Row],[status_end_mismatch]]=0),
  1,
  0
)</f>
        <v>1</v>
      </c>
    </row>
    <row r="1121" spans="1:10" x14ac:dyDescent="0.3">
      <c r="A1121">
        <v>4346251</v>
      </c>
      <c r="B1121">
        <v>104895</v>
      </c>
      <c r="C1121">
        <v>1009</v>
      </c>
      <c r="D1121" s="1">
        <v>45002</v>
      </c>
      <c r="E1121" s="1">
        <v>45257</v>
      </c>
      <c r="F1121" t="s">
        <v>3479</v>
      </c>
      <c r="G1121" t="str">
        <f>IF(ISNA(_xlfn.XLOOKUP(subscriptions[[#This Row],[customer_id]], customers[customer_id], customers[customer_id])), "NO", "YES")</f>
        <v>YES</v>
      </c>
      <c r="H1121">
        <f>IF(AND(subscriptions[[#This Row],[end_date]]&lt;&gt;"", subscriptions[[#This Row],[end_date]] &lt; subscriptions[[#This Row],[start_date]]), 1, 0)</f>
        <v>0</v>
      </c>
      <c r="I11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1">
        <f>IF(
  AND(subscriptions[[#This Row],[end_before_start]]=0, subscriptions[[#This Row],[status_end_mismatch]]=0),
  1,
  0
)</f>
        <v>1</v>
      </c>
    </row>
    <row r="1122" spans="1:10" x14ac:dyDescent="0.3">
      <c r="A1122">
        <v>5596336</v>
      </c>
      <c r="B1122">
        <v>741194</v>
      </c>
      <c r="C1122">
        <v>1003</v>
      </c>
      <c r="D1122" s="1">
        <v>44780</v>
      </c>
      <c r="E1122" s="1"/>
      <c r="F1122" t="s">
        <v>3480</v>
      </c>
      <c r="G1122" t="str">
        <f>IF(ISNA(_xlfn.XLOOKUP(subscriptions[[#This Row],[customer_id]], customers[customer_id], customers[customer_id])), "NO", "YES")</f>
        <v>YES</v>
      </c>
      <c r="H1122">
        <f>IF(AND(subscriptions[[#This Row],[end_date]]&lt;&gt;"", subscriptions[[#This Row],[end_date]] &lt; subscriptions[[#This Row],[start_date]]), 1, 0)</f>
        <v>0</v>
      </c>
      <c r="I11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2">
        <f>IF(
  AND(subscriptions[[#This Row],[end_before_start]]=0, subscriptions[[#This Row],[status_end_mismatch]]=0),
  1,
  0
)</f>
        <v>1</v>
      </c>
    </row>
    <row r="1123" spans="1:10" x14ac:dyDescent="0.3">
      <c r="A1123">
        <v>3691366</v>
      </c>
      <c r="B1123">
        <v>562094</v>
      </c>
      <c r="C1123">
        <v>1003</v>
      </c>
      <c r="D1123" s="1">
        <v>45228</v>
      </c>
      <c r="E1123" s="1">
        <v>45627</v>
      </c>
      <c r="F1123" t="s">
        <v>3479</v>
      </c>
      <c r="G1123" t="str">
        <f>IF(ISNA(_xlfn.XLOOKUP(subscriptions[[#This Row],[customer_id]], customers[customer_id], customers[customer_id])), "NO", "YES")</f>
        <v>YES</v>
      </c>
      <c r="H1123">
        <f>IF(AND(subscriptions[[#This Row],[end_date]]&lt;&gt;"", subscriptions[[#This Row],[end_date]] &lt; subscriptions[[#This Row],[start_date]]), 1, 0)</f>
        <v>0</v>
      </c>
      <c r="I11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3">
        <f>IF(
  AND(subscriptions[[#This Row],[end_before_start]]=0, subscriptions[[#This Row],[status_end_mismatch]]=0),
  1,
  0
)</f>
        <v>1</v>
      </c>
    </row>
    <row r="1124" spans="1:10" x14ac:dyDescent="0.3">
      <c r="A1124">
        <v>8883139</v>
      </c>
      <c r="B1124">
        <v>367747</v>
      </c>
      <c r="C1124">
        <v>1002</v>
      </c>
      <c r="D1124" s="1">
        <v>44656</v>
      </c>
      <c r="E1124" s="1">
        <v>44885</v>
      </c>
      <c r="F1124" t="s">
        <v>3479</v>
      </c>
      <c r="G1124" t="str">
        <f>IF(ISNA(_xlfn.XLOOKUP(subscriptions[[#This Row],[customer_id]], customers[customer_id], customers[customer_id])), "NO", "YES")</f>
        <v>YES</v>
      </c>
      <c r="H1124">
        <f>IF(AND(subscriptions[[#This Row],[end_date]]&lt;&gt;"", subscriptions[[#This Row],[end_date]] &lt; subscriptions[[#This Row],[start_date]]), 1, 0)</f>
        <v>0</v>
      </c>
      <c r="I11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4">
        <f>IF(
  AND(subscriptions[[#This Row],[end_before_start]]=0, subscriptions[[#This Row],[status_end_mismatch]]=0),
  1,
  0
)</f>
        <v>1</v>
      </c>
    </row>
    <row r="1125" spans="1:10" x14ac:dyDescent="0.3">
      <c r="A1125">
        <v>9171197</v>
      </c>
      <c r="B1125">
        <v>334081</v>
      </c>
      <c r="C1125">
        <v>1009</v>
      </c>
      <c r="D1125" s="1">
        <v>45073</v>
      </c>
      <c r="E1125" s="1"/>
      <c r="F1125" t="s">
        <v>3480</v>
      </c>
      <c r="G1125" t="str">
        <f>IF(ISNA(_xlfn.XLOOKUP(subscriptions[[#This Row],[customer_id]], customers[customer_id], customers[customer_id])), "NO", "YES")</f>
        <v>YES</v>
      </c>
      <c r="H1125">
        <f>IF(AND(subscriptions[[#This Row],[end_date]]&lt;&gt;"", subscriptions[[#This Row],[end_date]] &lt; subscriptions[[#This Row],[start_date]]), 1, 0)</f>
        <v>0</v>
      </c>
      <c r="I11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5">
        <f>IF(
  AND(subscriptions[[#This Row],[end_before_start]]=0, subscriptions[[#This Row],[status_end_mismatch]]=0),
  1,
  0
)</f>
        <v>1</v>
      </c>
    </row>
    <row r="1126" spans="1:10" x14ac:dyDescent="0.3">
      <c r="A1126">
        <v>7291774</v>
      </c>
      <c r="B1126">
        <v>113721</v>
      </c>
      <c r="C1126">
        <v>1006</v>
      </c>
      <c r="D1126" s="1">
        <v>44683</v>
      </c>
      <c r="E1126" s="1"/>
      <c r="F1126" t="s">
        <v>3480</v>
      </c>
      <c r="G1126" t="str">
        <f>IF(ISNA(_xlfn.XLOOKUP(subscriptions[[#This Row],[customer_id]], customers[customer_id], customers[customer_id])), "NO", "YES")</f>
        <v>YES</v>
      </c>
      <c r="H1126">
        <f>IF(AND(subscriptions[[#This Row],[end_date]]&lt;&gt;"", subscriptions[[#This Row],[end_date]] &lt; subscriptions[[#This Row],[start_date]]), 1, 0)</f>
        <v>0</v>
      </c>
      <c r="I11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6">
        <f>IF(
  AND(subscriptions[[#This Row],[end_before_start]]=0, subscriptions[[#This Row],[status_end_mismatch]]=0),
  1,
  0
)</f>
        <v>1</v>
      </c>
    </row>
    <row r="1127" spans="1:10" x14ac:dyDescent="0.3">
      <c r="A1127">
        <v>6749416</v>
      </c>
      <c r="B1127">
        <v>560767</v>
      </c>
      <c r="C1127">
        <v>1008</v>
      </c>
      <c r="D1127" s="1">
        <v>45127</v>
      </c>
      <c r="E1127" s="1"/>
      <c r="F1127" t="s">
        <v>3480</v>
      </c>
      <c r="G1127" t="str">
        <f>IF(ISNA(_xlfn.XLOOKUP(subscriptions[[#This Row],[customer_id]], customers[customer_id], customers[customer_id])), "NO", "YES")</f>
        <v>YES</v>
      </c>
      <c r="H1127">
        <f>IF(AND(subscriptions[[#This Row],[end_date]]&lt;&gt;"", subscriptions[[#This Row],[end_date]] &lt; subscriptions[[#This Row],[start_date]]), 1, 0)</f>
        <v>0</v>
      </c>
      <c r="I11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7">
        <f>IF(
  AND(subscriptions[[#This Row],[end_before_start]]=0, subscriptions[[#This Row],[status_end_mismatch]]=0),
  1,
  0
)</f>
        <v>1</v>
      </c>
    </row>
    <row r="1128" spans="1:10" x14ac:dyDescent="0.3">
      <c r="A1128">
        <v>8350507</v>
      </c>
      <c r="B1128">
        <v>474725</v>
      </c>
      <c r="C1128">
        <v>1005</v>
      </c>
      <c r="D1128" s="1">
        <v>45144</v>
      </c>
      <c r="E1128" s="1"/>
      <c r="F1128" t="s">
        <v>3480</v>
      </c>
      <c r="G1128" t="str">
        <f>IF(ISNA(_xlfn.XLOOKUP(subscriptions[[#This Row],[customer_id]], customers[customer_id], customers[customer_id])), "NO", "YES")</f>
        <v>YES</v>
      </c>
      <c r="H1128">
        <f>IF(AND(subscriptions[[#This Row],[end_date]]&lt;&gt;"", subscriptions[[#This Row],[end_date]] &lt; subscriptions[[#This Row],[start_date]]), 1, 0)</f>
        <v>0</v>
      </c>
      <c r="I11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8">
        <f>IF(
  AND(subscriptions[[#This Row],[end_before_start]]=0, subscriptions[[#This Row],[status_end_mismatch]]=0),
  1,
  0
)</f>
        <v>1</v>
      </c>
    </row>
    <row r="1129" spans="1:10" x14ac:dyDescent="0.3">
      <c r="A1129">
        <v>3252923</v>
      </c>
      <c r="B1129">
        <v>699573</v>
      </c>
      <c r="C1129">
        <v>1007</v>
      </c>
      <c r="D1129" s="1">
        <v>44713</v>
      </c>
      <c r="E1129" s="1"/>
      <c r="F1129" t="s">
        <v>3480</v>
      </c>
      <c r="G1129" t="str">
        <f>IF(ISNA(_xlfn.XLOOKUP(subscriptions[[#This Row],[customer_id]], customers[customer_id], customers[customer_id])), "NO", "YES")</f>
        <v>YES</v>
      </c>
      <c r="H1129">
        <f>IF(AND(subscriptions[[#This Row],[end_date]]&lt;&gt;"", subscriptions[[#This Row],[end_date]] &lt; subscriptions[[#This Row],[start_date]]), 1, 0)</f>
        <v>0</v>
      </c>
      <c r="I11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29">
        <f>IF(
  AND(subscriptions[[#This Row],[end_before_start]]=0, subscriptions[[#This Row],[status_end_mismatch]]=0),
  1,
  0
)</f>
        <v>1</v>
      </c>
    </row>
    <row r="1130" spans="1:10" x14ac:dyDescent="0.3">
      <c r="A1130">
        <v>7942032</v>
      </c>
      <c r="B1130">
        <v>261790</v>
      </c>
      <c r="C1130">
        <v>1002</v>
      </c>
      <c r="D1130" s="1">
        <v>44872</v>
      </c>
      <c r="E1130" s="1">
        <v>45203</v>
      </c>
      <c r="F1130" t="s">
        <v>3479</v>
      </c>
      <c r="G1130" t="str">
        <f>IF(ISNA(_xlfn.XLOOKUP(subscriptions[[#This Row],[customer_id]], customers[customer_id], customers[customer_id])), "NO", "YES")</f>
        <v>YES</v>
      </c>
      <c r="H1130">
        <f>IF(AND(subscriptions[[#This Row],[end_date]]&lt;&gt;"", subscriptions[[#This Row],[end_date]] &lt; subscriptions[[#This Row],[start_date]]), 1, 0)</f>
        <v>0</v>
      </c>
      <c r="I11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0">
        <f>IF(
  AND(subscriptions[[#This Row],[end_before_start]]=0, subscriptions[[#This Row],[status_end_mismatch]]=0),
  1,
  0
)</f>
        <v>1</v>
      </c>
    </row>
    <row r="1131" spans="1:10" x14ac:dyDescent="0.3">
      <c r="A1131">
        <v>6013965</v>
      </c>
      <c r="B1131">
        <v>338536</v>
      </c>
      <c r="C1131">
        <v>1001</v>
      </c>
      <c r="D1131" s="1">
        <v>44971</v>
      </c>
      <c r="E1131" s="1"/>
      <c r="F1131" t="s">
        <v>3480</v>
      </c>
      <c r="G1131" t="str">
        <f>IF(ISNA(_xlfn.XLOOKUP(subscriptions[[#This Row],[customer_id]], customers[customer_id], customers[customer_id])), "NO", "YES")</f>
        <v>YES</v>
      </c>
      <c r="H1131">
        <f>IF(AND(subscriptions[[#This Row],[end_date]]&lt;&gt;"", subscriptions[[#This Row],[end_date]] &lt; subscriptions[[#This Row],[start_date]]), 1, 0)</f>
        <v>0</v>
      </c>
      <c r="I11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1">
        <f>IF(
  AND(subscriptions[[#This Row],[end_before_start]]=0, subscriptions[[#This Row],[status_end_mismatch]]=0),
  1,
  0
)</f>
        <v>1</v>
      </c>
    </row>
    <row r="1132" spans="1:10" x14ac:dyDescent="0.3">
      <c r="A1132">
        <v>8352802</v>
      </c>
      <c r="B1132">
        <v>447148</v>
      </c>
      <c r="C1132">
        <v>1008</v>
      </c>
      <c r="D1132" s="1">
        <v>45064</v>
      </c>
      <c r="E1132" s="1"/>
      <c r="F1132" t="s">
        <v>3480</v>
      </c>
      <c r="G1132" t="str">
        <f>IF(ISNA(_xlfn.XLOOKUP(subscriptions[[#This Row],[customer_id]], customers[customer_id], customers[customer_id])), "NO", "YES")</f>
        <v>YES</v>
      </c>
      <c r="H1132">
        <f>IF(AND(subscriptions[[#This Row],[end_date]]&lt;&gt;"", subscriptions[[#This Row],[end_date]] &lt; subscriptions[[#This Row],[start_date]]), 1, 0)</f>
        <v>0</v>
      </c>
      <c r="I11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2">
        <f>IF(
  AND(subscriptions[[#This Row],[end_before_start]]=0, subscriptions[[#This Row],[status_end_mismatch]]=0),
  1,
  0
)</f>
        <v>1</v>
      </c>
    </row>
    <row r="1133" spans="1:10" x14ac:dyDescent="0.3">
      <c r="A1133">
        <v>5374141</v>
      </c>
      <c r="B1133">
        <v>595401</v>
      </c>
      <c r="C1133">
        <v>1005</v>
      </c>
      <c r="D1133" s="1">
        <v>45158</v>
      </c>
      <c r="E1133" s="1">
        <v>45259</v>
      </c>
      <c r="F1133" t="s">
        <v>3479</v>
      </c>
      <c r="G1133" t="str">
        <f>IF(ISNA(_xlfn.XLOOKUP(subscriptions[[#This Row],[customer_id]], customers[customer_id], customers[customer_id])), "NO", "YES")</f>
        <v>YES</v>
      </c>
      <c r="H1133">
        <f>IF(AND(subscriptions[[#This Row],[end_date]]&lt;&gt;"", subscriptions[[#This Row],[end_date]] &lt; subscriptions[[#This Row],[start_date]]), 1, 0)</f>
        <v>0</v>
      </c>
      <c r="I11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3">
        <f>IF(
  AND(subscriptions[[#This Row],[end_before_start]]=0, subscriptions[[#This Row],[status_end_mismatch]]=0),
  1,
  0
)</f>
        <v>1</v>
      </c>
    </row>
    <row r="1134" spans="1:10" x14ac:dyDescent="0.3">
      <c r="A1134">
        <v>2140916</v>
      </c>
      <c r="B1134">
        <v>546768</v>
      </c>
      <c r="C1134">
        <v>1002</v>
      </c>
      <c r="D1134" s="1">
        <v>45204</v>
      </c>
      <c r="E1134" s="1">
        <v>45418</v>
      </c>
      <c r="F1134" t="s">
        <v>3479</v>
      </c>
      <c r="G1134" t="str">
        <f>IF(ISNA(_xlfn.XLOOKUP(subscriptions[[#This Row],[customer_id]], customers[customer_id], customers[customer_id])), "NO", "YES")</f>
        <v>YES</v>
      </c>
      <c r="H1134">
        <f>IF(AND(subscriptions[[#This Row],[end_date]]&lt;&gt;"", subscriptions[[#This Row],[end_date]] &lt; subscriptions[[#This Row],[start_date]]), 1, 0)</f>
        <v>0</v>
      </c>
      <c r="I11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4">
        <f>IF(
  AND(subscriptions[[#This Row],[end_before_start]]=0, subscriptions[[#This Row],[status_end_mismatch]]=0),
  1,
  0
)</f>
        <v>1</v>
      </c>
    </row>
    <row r="1135" spans="1:10" x14ac:dyDescent="0.3">
      <c r="A1135">
        <v>8479960</v>
      </c>
      <c r="B1135">
        <v>189856</v>
      </c>
      <c r="C1135">
        <v>1000</v>
      </c>
      <c r="D1135" s="1">
        <v>45001</v>
      </c>
      <c r="E1135" s="1"/>
      <c r="F1135" t="s">
        <v>3480</v>
      </c>
      <c r="G1135" t="str">
        <f>IF(ISNA(_xlfn.XLOOKUP(subscriptions[[#This Row],[customer_id]], customers[customer_id], customers[customer_id])), "NO", "YES")</f>
        <v>YES</v>
      </c>
      <c r="H1135">
        <f>IF(AND(subscriptions[[#This Row],[end_date]]&lt;&gt;"", subscriptions[[#This Row],[end_date]] &lt; subscriptions[[#This Row],[start_date]]), 1, 0)</f>
        <v>0</v>
      </c>
      <c r="I11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5">
        <f>IF(
  AND(subscriptions[[#This Row],[end_before_start]]=0, subscriptions[[#This Row],[status_end_mismatch]]=0),
  1,
  0
)</f>
        <v>1</v>
      </c>
    </row>
    <row r="1136" spans="1:10" x14ac:dyDescent="0.3">
      <c r="A1136">
        <v>8857213</v>
      </c>
      <c r="B1136">
        <v>738720</v>
      </c>
      <c r="C1136">
        <v>1000</v>
      </c>
      <c r="D1136" s="1">
        <v>45028</v>
      </c>
      <c r="E1136" s="1"/>
      <c r="F1136" t="s">
        <v>3480</v>
      </c>
      <c r="G1136" t="str">
        <f>IF(ISNA(_xlfn.XLOOKUP(subscriptions[[#This Row],[customer_id]], customers[customer_id], customers[customer_id])), "NO", "YES")</f>
        <v>YES</v>
      </c>
      <c r="H1136">
        <f>IF(AND(subscriptions[[#This Row],[end_date]]&lt;&gt;"", subscriptions[[#This Row],[end_date]] &lt; subscriptions[[#This Row],[start_date]]), 1, 0)</f>
        <v>0</v>
      </c>
      <c r="I11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6">
        <f>IF(
  AND(subscriptions[[#This Row],[end_before_start]]=0, subscriptions[[#This Row],[status_end_mismatch]]=0),
  1,
  0
)</f>
        <v>1</v>
      </c>
    </row>
    <row r="1137" spans="1:10" x14ac:dyDescent="0.3">
      <c r="A1137">
        <v>6587015</v>
      </c>
      <c r="B1137">
        <v>212157</v>
      </c>
      <c r="C1137">
        <v>1005</v>
      </c>
      <c r="D1137" s="1">
        <v>44969</v>
      </c>
      <c r="E1137" s="1">
        <v>45359</v>
      </c>
      <c r="F1137" t="s">
        <v>3479</v>
      </c>
      <c r="G1137" t="str">
        <f>IF(ISNA(_xlfn.XLOOKUP(subscriptions[[#This Row],[customer_id]], customers[customer_id], customers[customer_id])), "NO", "YES")</f>
        <v>YES</v>
      </c>
      <c r="H1137">
        <f>IF(AND(subscriptions[[#This Row],[end_date]]&lt;&gt;"", subscriptions[[#This Row],[end_date]] &lt; subscriptions[[#This Row],[start_date]]), 1, 0)</f>
        <v>0</v>
      </c>
      <c r="I11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7">
        <f>IF(
  AND(subscriptions[[#This Row],[end_before_start]]=0, subscriptions[[#This Row],[status_end_mismatch]]=0),
  1,
  0
)</f>
        <v>1</v>
      </c>
    </row>
    <row r="1138" spans="1:10" x14ac:dyDescent="0.3">
      <c r="A1138">
        <v>5345732</v>
      </c>
      <c r="B1138">
        <v>351815</v>
      </c>
      <c r="C1138">
        <v>1008</v>
      </c>
      <c r="D1138" s="1">
        <v>45084</v>
      </c>
      <c r="E1138" s="1">
        <v>45125</v>
      </c>
      <c r="F1138" t="s">
        <v>3479</v>
      </c>
      <c r="G1138" t="str">
        <f>IF(ISNA(_xlfn.XLOOKUP(subscriptions[[#This Row],[customer_id]], customers[customer_id], customers[customer_id])), "NO", "YES")</f>
        <v>YES</v>
      </c>
      <c r="H1138">
        <f>IF(AND(subscriptions[[#This Row],[end_date]]&lt;&gt;"", subscriptions[[#This Row],[end_date]] &lt; subscriptions[[#This Row],[start_date]]), 1, 0)</f>
        <v>0</v>
      </c>
      <c r="I11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8">
        <f>IF(
  AND(subscriptions[[#This Row],[end_before_start]]=0, subscriptions[[#This Row],[status_end_mismatch]]=0),
  1,
  0
)</f>
        <v>1</v>
      </c>
    </row>
    <row r="1139" spans="1:10" x14ac:dyDescent="0.3">
      <c r="A1139">
        <v>3353339</v>
      </c>
      <c r="B1139">
        <v>946313</v>
      </c>
      <c r="C1139">
        <v>1003</v>
      </c>
      <c r="D1139" s="1">
        <v>44806</v>
      </c>
      <c r="E1139" s="1">
        <v>45054</v>
      </c>
      <c r="F1139" t="s">
        <v>3479</v>
      </c>
      <c r="G1139" t="str">
        <f>IF(ISNA(_xlfn.XLOOKUP(subscriptions[[#This Row],[customer_id]], customers[customer_id], customers[customer_id])), "NO", "YES")</f>
        <v>YES</v>
      </c>
      <c r="H1139">
        <f>IF(AND(subscriptions[[#This Row],[end_date]]&lt;&gt;"", subscriptions[[#This Row],[end_date]] &lt; subscriptions[[#This Row],[start_date]]), 1, 0)</f>
        <v>0</v>
      </c>
      <c r="I11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39">
        <f>IF(
  AND(subscriptions[[#This Row],[end_before_start]]=0, subscriptions[[#This Row],[status_end_mismatch]]=0),
  1,
  0
)</f>
        <v>1</v>
      </c>
    </row>
    <row r="1140" spans="1:10" x14ac:dyDescent="0.3">
      <c r="A1140">
        <v>7648944</v>
      </c>
      <c r="B1140">
        <v>468154</v>
      </c>
      <c r="C1140">
        <v>1007</v>
      </c>
      <c r="D1140" s="1">
        <v>45558</v>
      </c>
      <c r="E1140" s="1">
        <v>45656</v>
      </c>
      <c r="F1140" t="s">
        <v>3479</v>
      </c>
      <c r="G1140" t="str">
        <f>IF(ISNA(_xlfn.XLOOKUP(subscriptions[[#This Row],[customer_id]], customers[customer_id], customers[customer_id])), "NO", "YES")</f>
        <v>YES</v>
      </c>
      <c r="H1140">
        <f>IF(AND(subscriptions[[#This Row],[end_date]]&lt;&gt;"", subscriptions[[#This Row],[end_date]] &lt; subscriptions[[#This Row],[start_date]]), 1, 0)</f>
        <v>0</v>
      </c>
      <c r="I11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0">
        <f>IF(
  AND(subscriptions[[#This Row],[end_before_start]]=0, subscriptions[[#This Row],[status_end_mismatch]]=0),
  1,
  0
)</f>
        <v>1</v>
      </c>
    </row>
    <row r="1141" spans="1:10" x14ac:dyDescent="0.3">
      <c r="A1141">
        <v>9594324</v>
      </c>
      <c r="B1141">
        <v>744883</v>
      </c>
      <c r="C1141">
        <v>1009</v>
      </c>
      <c r="D1141" s="1">
        <v>45326</v>
      </c>
      <c r="E1141" s="1"/>
      <c r="F1141" t="s">
        <v>3480</v>
      </c>
      <c r="G1141" t="str">
        <f>IF(ISNA(_xlfn.XLOOKUP(subscriptions[[#This Row],[customer_id]], customers[customer_id], customers[customer_id])), "NO", "YES")</f>
        <v>YES</v>
      </c>
      <c r="H1141">
        <f>IF(AND(subscriptions[[#This Row],[end_date]]&lt;&gt;"", subscriptions[[#This Row],[end_date]] &lt; subscriptions[[#This Row],[start_date]]), 1, 0)</f>
        <v>0</v>
      </c>
      <c r="I11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1">
        <f>IF(
  AND(subscriptions[[#This Row],[end_before_start]]=0, subscriptions[[#This Row],[status_end_mismatch]]=0),
  1,
  0
)</f>
        <v>1</v>
      </c>
    </row>
    <row r="1142" spans="1:10" x14ac:dyDescent="0.3">
      <c r="A1142">
        <v>8335114</v>
      </c>
      <c r="B1142">
        <v>302647</v>
      </c>
      <c r="C1142">
        <v>1008</v>
      </c>
      <c r="D1142" s="1">
        <v>44627</v>
      </c>
      <c r="E1142" s="1">
        <v>44824</v>
      </c>
      <c r="F1142" t="s">
        <v>3479</v>
      </c>
      <c r="G1142" t="str">
        <f>IF(ISNA(_xlfn.XLOOKUP(subscriptions[[#This Row],[customer_id]], customers[customer_id], customers[customer_id])), "NO", "YES")</f>
        <v>YES</v>
      </c>
      <c r="H1142">
        <f>IF(AND(subscriptions[[#This Row],[end_date]]&lt;&gt;"", subscriptions[[#This Row],[end_date]] &lt; subscriptions[[#This Row],[start_date]]), 1, 0)</f>
        <v>0</v>
      </c>
      <c r="I11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2">
        <f>IF(
  AND(subscriptions[[#This Row],[end_before_start]]=0, subscriptions[[#This Row],[status_end_mismatch]]=0),
  1,
  0
)</f>
        <v>1</v>
      </c>
    </row>
    <row r="1143" spans="1:10" x14ac:dyDescent="0.3">
      <c r="A1143">
        <v>9254549</v>
      </c>
      <c r="B1143">
        <v>781571</v>
      </c>
      <c r="C1143">
        <v>1000</v>
      </c>
      <c r="D1143" s="1">
        <v>45140</v>
      </c>
      <c r="E1143" s="1"/>
      <c r="F1143" t="s">
        <v>3480</v>
      </c>
      <c r="G1143" t="str">
        <f>IF(ISNA(_xlfn.XLOOKUP(subscriptions[[#This Row],[customer_id]], customers[customer_id], customers[customer_id])), "NO", "YES")</f>
        <v>YES</v>
      </c>
      <c r="H1143">
        <f>IF(AND(subscriptions[[#This Row],[end_date]]&lt;&gt;"", subscriptions[[#This Row],[end_date]] &lt; subscriptions[[#This Row],[start_date]]), 1, 0)</f>
        <v>0</v>
      </c>
      <c r="I11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3">
        <f>IF(
  AND(subscriptions[[#This Row],[end_before_start]]=0, subscriptions[[#This Row],[status_end_mismatch]]=0),
  1,
  0
)</f>
        <v>1</v>
      </c>
    </row>
    <row r="1144" spans="1:10" x14ac:dyDescent="0.3">
      <c r="A1144">
        <v>2125910</v>
      </c>
      <c r="B1144">
        <v>744674</v>
      </c>
      <c r="C1144">
        <v>1000</v>
      </c>
      <c r="D1144" s="1">
        <v>44716</v>
      </c>
      <c r="E1144" s="1"/>
      <c r="F1144" t="s">
        <v>3480</v>
      </c>
      <c r="G1144" t="str">
        <f>IF(ISNA(_xlfn.XLOOKUP(subscriptions[[#This Row],[customer_id]], customers[customer_id], customers[customer_id])), "NO", "YES")</f>
        <v>YES</v>
      </c>
      <c r="H1144">
        <f>IF(AND(subscriptions[[#This Row],[end_date]]&lt;&gt;"", subscriptions[[#This Row],[end_date]] &lt; subscriptions[[#This Row],[start_date]]), 1, 0)</f>
        <v>0</v>
      </c>
      <c r="I11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4">
        <f>IF(
  AND(subscriptions[[#This Row],[end_before_start]]=0, subscriptions[[#This Row],[status_end_mismatch]]=0),
  1,
  0
)</f>
        <v>1</v>
      </c>
    </row>
    <row r="1145" spans="1:10" x14ac:dyDescent="0.3">
      <c r="A1145">
        <v>2884667</v>
      </c>
      <c r="B1145">
        <v>612855</v>
      </c>
      <c r="C1145">
        <v>1002</v>
      </c>
      <c r="D1145" s="1">
        <v>44886</v>
      </c>
      <c r="E1145" s="1">
        <v>44960</v>
      </c>
      <c r="F1145" t="s">
        <v>3479</v>
      </c>
      <c r="G1145" t="str">
        <f>IF(ISNA(_xlfn.XLOOKUP(subscriptions[[#This Row],[customer_id]], customers[customer_id], customers[customer_id])), "NO", "YES")</f>
        <v>YES</v>
      </c>
      <c r="H1145">
        <f>IF(AND(subscriptions[[#This Row],[end_date]]&lt;&gt;"", subscriptions[[#This Row],[end_date]] &lt; subscriptions[[#This Row],[start_date]]), 1, 0)</f>
        <v>0</v>
      </c>
      <c r="I11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5">
        <f>IF(
  AND(subscriptions[[#This Row],[end_before_start]]=0, subscriptions[[#This Row],[status_end_mismatch]]=0),
  1,
  0
)</f>
        <v>1</v>
      </c>
    </row>
    <row r="1146" spans="1:10" x14ac:dyDescent="0.3">
      <c r="A1146">
        <v>8859233</v>
      </c>
      <c r="B1146">
        <v>652530</v>
      </c>
      <c r="C1146">
        <v>1007</v>
      </c>
      <c r="D1146" s="1">
        <v>44952</v>
      </c>
      <c r="E1146" s="1">
        <v>45332</v>
      </c>
      <c r="F1146" t="s">
        <v>3479</v>
      </c>
      <c r="G1146" t="str">
        <f>IF(ISNA(_xlfn.XLOOKUP(subscriptions[[#This Row],[customer_id]], customers[customer_id], customers[customer_id])), "NO", "YES")</f>
        <v>YES</v>
      </c>
      <c r="H1146">
        <f>IF(AND(subscriptions[[#This Row],[end_date]]&lt;&gt;"", subscriptions[[#This Row],[end_date]] &lt; subscriptions[[#This Row],[start_date]]), 1, 0)</f>
        <v>0</v>
      </c>
      <c r="I11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6">
        <f>IF(
  AND(subscriptions[[#This Row],[end_before_start]]=0, subscriptions[[#This Row],[status_end_mismatch]]=0),
  1,
  0
)</f>
        <v>1</v>
      </c>
    </row>
    <row r="1147" spans="1:10" x14ac:dyDescent="0.3">
      <c r="A1147">
        <v>8230086</v>
      </c>
      <c r="B1147">
        <v>475271</v>
      </c>
      <c r="C1147">
        <v>1008</v>
      </c>
      <c r="D1147" s="1">
        <v>45129</v>
      </c>
      <c r="E1147" s="1"/>
      <c r="F1147" t="s">
        <v>3480</v>
      </c>
      <c r="G1147" t="str">
        <f>IF(ISNA(_xlfn.XLOOKUP(subscriptions[[#This Row],[customer_id]], customers[customer_id], customers[customer_id])), "NO", "YES")</f>
        <v>YES</v>
      </c>
      <c r="H1147">
        <f>IF(AND(subscriptions[[#This Row],[end_date]]&lt;&gt;"", subscriptions[[#This Row],[end_date]] &lt; subscriptions[[#This Row],[start_date]]), 1, 0)</f>
        <v>0</v>
      </c>
      <c r="I11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7">
        <f>IF(
  AND(subscriptions[[#This Row],[end_before_start]]=0, subscriptions[[#This Row],[status_end_mismatch]]=0),
  1,
  0
)</f>
        <v>1</v>
      </c>
    </row>
    <row r="1148" spans="1:10" x14ac:dyDescent="0.3">
      <c r="A1148">
        <v>3553581</v>
      </c>
      <c r="B1148">
        <v>276556</v>
      </c>
      <c r="C1148">
        <v>1006</v>
      </c>
      <c r="D1148" s="1">
        <v>45238</v>
      </c>
      <c r="E1148" s="1"/>
      <c r="F1148" t="s">
        <v>3480</v>
      </c>
      <c r="G1148" t="str">
        <f>IF(ISNA(_xlfn.XLOOKUP(subscriptions[[#This Row],[customer_id]], customers[customer_id], customers[customer_id])), "NO", "YES")</f>
        <v>YES</v>
      </c>
      <c r="H1148">
        <f>IF(AND(subscriptions[[#This Row],[end_date]]&lt;&gt;"", subscriptions[[#This Row],[end_date]] &lt; subscriptions[[#This Row],[start_date]]), 1, 0)</f>
        <v>0</v>
      </c>
      <c r="I11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8">
        <f>IF(
  AND(subscriptions[[#This Row],[end_before_start]]=0, subscriptions[[#This Row],[status_end_mismatch]]=0),
  1,
  0
)</f>
        <v>1</v>
      </c>
    </row>
    <row r="1149" spans="1:10" x14ac:dyDescent="0.3">
      <c r="A1149">
        <v>6701061</v>
      </c>
      <c r="B1149">
        <v>957266</v>
      </c>
      <c r="C1149">
        <v>1000</v>
      </c>
      <c r="D1149" s="1">
        <v>45491</v>
      </c>
      <c r="E1149" s="1"/>
      <c r="F1149" t="s">
        <v>3480</v>
      </c>
      <c r="G1149" t="str">
        <f>IF(ISNA(_xlfn.XLOOKUP(subscriptions[[#This Row],[customer_id]], customers[customer_id], customers[customer_id])), "NO", "YES")</f>
        <v>YES</v>
      </c>
      <c r="H1149">
        <f>IF(AND(subscriptions[[#This Row],[end_date]]&lt;&gt;"", subscriptions[[#This Row],[end_date]] &lt; subscriptions[[#This Row],[start_date]]), 1, 0)</f>
        <v>0</v>
      </c>
      <c r="I11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49">
        <f>IF(
  AND(subscriptions[[#This Row],[end_before_start]]=0, subscriptions[[#This Row],[status_end_mismatch]]=0),
  1,
  0
)</f>
        <v>1</v>
      </c>
    </row>
    <row r="1150" spans="1:10" x14ac:dyDescent="0.3">
      <c r="A1150">
        <v>8254420</v>
      </c>
      <c r="B1150">
        <v>880900</v>
      </c>
      <c r="C1150">
        <v>1007</v>
      </c>
      <c r="D1150" s="1">
        <v>44605</v>
      </c>
      <c r="E1150" s="1"/>
      <c r="F1150" t="s">
        <v>3480</v>
      </c>
      <c r="G1150" t="str">
        <f>IF(ISNA(_xlfn.XLOOKUP(subscriptions[[#This Row],[customer_id]], customers[customer_id], customers[customer_id])), "NO", "YES")</f>
        <v>YES</v>
      </c>
      <c r="H1150">
        <f>IF(AND(subscriptions[[#This Row],[end_date]]&lt;&gt;"", subscriptions[[#This Row],[end_date]] &lt; subscriptions[[#This Row],[start_date]]), 1, 0)</f>
        <v>0</v>
      </c>
      <c r="I11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0">
        <f>IF(
  AND(subscriptions[[#This Row],[end_before_start]]=0, subscriptions[[#This Row],[status_end_mismatch]]=0),
  1,
  0
)</f>
        <v>1</v>
      </c>
    </row>
    <row r="1151" spans="1:10" x14ac:dyDescent="0.3">
      <c r="A1151">
        <v>5929377</v>
      </c>
      <c r="B1151">
        <v>528625</v>
      </c>
      <c r="C1151">
        <v>1002</v>
      </c>
      <c r="D1151" s="1">
        <v>44575</v>
      </c>
      <c r="E1151" s="1">
        <v>44804</v>
      </c>
      <c r="F1151" t="s">
        <v>3479</v>
      </c>
      <c r="G1151" t="str">
        <f>IF(ISNA(_xlfn.XLOOKUP(subscriptions[[#This Row],[customer_id]], customers[customer_id], customers[customer_id])), "NO", "YES")</f>
        <v>YES</v>
      </c>
      <c r="H1151">
        <f>IF(AND(subscriptions[[#This Row],[end_date]]&lt;&gt;"", subscriptions[[#This Row],[end_date]] &lt; subscriptions[[#This Row],[start_date]]), 1, 0)</f>
        <v>0</v>
      </c>
      <c r="I11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1">
        <f>IF(
  AND(subscriptions[[#This Row],[end_before_start]]=0, subscriptions[[#This Row],[status_end_mismatch]]=0),
  1,
  0
)</f>
        <v>1</v>
      </c>
    </row>
    <row r="1152" spans="1:10" x14ac:dyDescent="0.3">
      <c r="A1152">
        <v>1316613</v>
      </c>
      <c r="B1152">
        <v>522866</v>
      </c>
      <c r="C1152">
        <v>1007</v>
      </c>
      <c r="D1152" s="1">
        <v>44579</v>
      </c>
      <c r="E1152" s="1"/>
      <c r="F1152" t="s">
        <v>3480</v>
      </c>
      <c r="G1152" t="str">
        <f>IF(ISNA(_xlfn.XLOOKUP(subscriptions[[#This Row],[customer_id]], customers[customer_id], customers[customer_id])), "NO", "YES")</f>
        <v>YES</v>
      </c>
      <c r="H1152">
        <f>IF(AND(subscriptions[[#This Row],[end_date]]&lt;&gt;"", subscriptions[[#This Row],[end_date]] &lt; subscriptions[[#This Row],[start_date]]), 1, 0)</f>
        <v>0</v>
      </c>
      <c r="I11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2">
        <f>IF(
  AND(subscriptions[[#This Row],[end_before_start]]=0, subscriptions[[#This Row],[status_end_mismatch]]=0),
  1,
  0
)</f>
        <v>1</v>
      </c>
    </row>
    <row r="1153" spans="1:10" x14ac:dyDescent="0.3">
      <c r="A1153">
        <v>8166381</v>
      </c>
      <c r="B1153">
        <v>510339</v>
      </c>
      <c r="C1153">
        <v>1002</v>
      </c>
      <c r="D1153" s="1">
        <v>44870</v>
      </c>
      <c r="E1153" s="1"/>
      <c r="F1153" t="s">
        <v>3480</v>
      </c>
      <c r="G1153" t="str">
        <f>IF(ISNA(_xlfn.XLOOKUP(subscriptions[[#This Row],[customer_id]], customers[customer_id], customers[customer_id])), "NO", "YES")</f>
        <v>YES</v>
      </c>
      <c r="H1153">
        <f>IF(AND(subscriptions[[#This Row],[end_date]]&lt;&gt;"", subscriptions[[#This Row],[end_date]] &lt; subscriptions[[#This Row],[start_date]]), 1, 0)</f>
        <v>0</v>
      </c>
      <c r="I11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3">
        <f>IF(
  AND(subscriptions[[#This Row],[end_before_start]]=0, subscriptions[[#This Row],[status_end_mismatch]]=0),
  1,
  0
)</f>
        <v>1</v>
      </c>
    </row>
    <row r="1154" spans="1:10" x14ac:dyDescent="0.3">
      <c r="A1154">
        <v>4739473</v>
      </c>
      <c r="B1154">
        <v>988843</v>
      </c>
      <c r="C1154">
        <v>1005</v>
      </c>
      <c r="D1154" s="1">
        <v>45230</v>
      </c>
      <c r="E1154" s="1"/>
      <c r="F1154" t="s">
        <v>3480</v>
      </c>
      <c r="G1154" t="str">
        <f>IF(ISNA(_xlfn.XLOOKUP(subscriptions[[#This Row],[customer_id]], customers[customer_id], customers[customer_id])), "NO", "YES")</f>
        <v>YES</v>
      </c>
      <c r="H1154">
        <f>IF(AND(subscriptions[[#This Row],[end_date]]&lt;&gt;"", subscriptions[[#This Row],[end_date]] &lt; subscriptions[[#This Row],[start_date]]), 1, 0)</f>
        <v>0</v>
      </c>
      <c r="I11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4">
        <f>IF(
  AND(subscriptions[[#This Row],[end_before_start]]=0, subscriptions[[#This Row],[status_end_mismatch]]=0),
  1,
  0
)</f>
        <v>1</v>
      </c>
    </row>
    <row r="1155" spans="1:10" x14ac:dyDescent="0.3">
      <c r="A1155">
        <v>4361005</v>
      </c>
      <c r="B1155">
        <v>283027</v>
      </c>
      <c r="C1155">
        <v>1001</v>
      </c>
      <c r="D1155" s="1">
        <v>45288</v>
      </c>
      <c r="E1155" s="1">
        <v>45630</v>
      </c>
      <c r="F1155" t="s">
        <v>3479</v>
      </c>
      <c r="G1155" t="str">
        <f>IF(ISNA(_xlfn.XLOOKUP(subscriptions[[#This Row],[customer_id]], customers[customer_id], customers[customer_id])), "NO", "YES")</f>
        <v>YES</v>
      </c>
      <c r="H1155">
        <f>IF(AND(subscriptions[[#This Row],[end_date]]&lt;&gt;"", subscriptions[[#This Row],[end_date]] &lt; subscriptions[[#This Row],[start_date]]), 1, 0)</f>
        <v>0</v>
      </c>
      <c r="I11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5">
        <f>IF(
  AND(subscriptions[[#This Row],[end_before_start]]=0, subscriptions[[#This Row],[status_end_mismatch]]=0),
  1,
  0
)</f>
        <v>1</v>
      </c>
    </row>
    <row r="1156" spans="1:10" x14ac:dyDescent="0.3">
      <c r="A1156">
        <v>3560283</v>
      </c>
      <c r="B1156">
        <v>970813</v>
      </c>
      <c r="C1156">
        <v>1003</v>
      </c>
      <c r="D1156" s="1">
        <v>44948</v>
      </c>
      <c r="E1156" s="1">
        <v>45083</v>
      </c>
      <c r="F1156" t="s">
        <v>3479</v>
      </c>
      <c r="G1156" t="str">
        <f>IF(ISNA(_xlfn.XLOOKUP(subscriptions[[#This Row],[customer_id]], customers[customer_id], customers[customer_id])), "NO", "YES")</f>
        <v>YES</v>
      </c>
      <c r="H1156">
        <f>IF(AND(subscriptions[[#This Row],[end_date]]&lt;&gt;"", subscriptions[[#This Row],[end_date]] &lt; subscriptions[[#This Row],[start_date]]), 1, 0)</f>
        <v>0</v>
      </c>
      <c r="I11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6">
        <f>IF(
  AND(subscriptions[[#This Row],[end_before_start]]=0, subscriptions[[#This Row],[status_end_mismatch]]=0),
  1,
  0
)</f>
        <v>1</v>
      </c>
    </row>
    <row r="1157" spans="1:10" x14ac:dyDescent="0.3">
      <c r="A1157">
        <v>6175463</v>
      </c>
      <c r="B1157">
        <v>721314</v>
      </c>
      <c r="C1157">
        <v>1004</v>
      </c>
      <c r="D1157" s="1">
        <v>44933</v>
      </c>
      <c r="E1157" s="1"/>
      <c r="F1157" t="s">
        <v>3480</v>
      </c>
      <c r="G1157" t="str">
        <f>IF(ISNA(_xlfn.XLOOKUP(subscriptions[[#This Row],[customer_id]], customers[customer_id], customers[customer_id])), "NO", "YES")</f>
        <v>YES</v>
      </c>
      <c r="H1157">
        <f>IF(AND(subscriptions[[#This Row],[end_date]]&lt;&gt;"", subscriptions[[#This Row],[end_date]] &lt; subscriptions[[#This Row],[start_date]]), 1, 0)</f>
        <v>0</v>
      </c>
      <c r="I11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7">
        <f>IF(
  AND(subscriptions[[#This Row],[end_before_start]]=0, subscriptions[[#This Row],[status_end_mismatch]]=0),
  1,
  0
)</f>
        <v>1</v>
      </c>
    </row>
    <row r="1158" spans="1:10" x14ac:dyDescent="0.3">
      <c r="A1158">
        <v>9949336</v>
      </c>
      <c r="B1158">
        <v>186243</v>
      </c>
      <c r="C1158">
        <v>1009</v>
      </c>
      <c r="D1158" s="1">
        <v>44642</v>
      </c>
      <c r="E1158" s="1">
        <v>44948</v>
      </c>
      <c r="F1158" t="s">
        <v>3479</v>
      </c>
      <c r="G1158" t="str">
        <f>IF(ISNA(_xlfn.XLOOKUP(subscriptions[[#This Row],[customer_id]], customers[customer_id], customers[customer_id])), "NO", "YES")</f>
        <v>YES</v>
      </c>
      <c r="H1158">
        <f>IF(AND(subscriptions[[#This Row],[end_date]]&lt;&gt;"", subscriptions[[#This Row],[end_date]] &lt; subscriptions[[#This Row],[start_date]]), 1, 0)</f>
        <v>0</v>
      </c>
      <c r="I11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8">
        <f>IF(
  AND(subscriptions[[#This Row],[end_before_start]]=0, subscriptions[[#This Row],[status_end_mismatch]]=0),
  1,
  0
)</f>
        <v>1</v>
      </c>
    </row>
    <row r="1159" spans="1:10" x14ac:dyDescent="0.3">
      <c r="A1159">
        <v>6847188</v>
      </c>
      <c r="B1159">
        <v>799631</v>
      </c>
      <c r="C1159">
        <v>1007</v>
      </c>
      <c r="D1159" s="1">
        <v>44703</v>
      </c>
      <c r="E1159" s="1"/>
      <c r="F1159" t="s">
        <v>3480</v>
      </c>
      <c r="G1159" t="str">
        <f>IF(ISNA(_xlfn.XLOOKUP(subscriptions[[#This Row],[customer_id]], customers[customer_id], customers[customer_id])), "NO", "YES")</f>
        <v>YES</v>
      </c>
      <c r="H1159">
        <f>IF(AND(subscriptions[[#This Row],[end_date]]&lt;&gt;"", subscriptions[[#This Row],[end_date]] &lt; subscriptions[[#This Row],[start_date]]), 1, 0)</f>
        <v>0</v>
      </c>
      <c r="I11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59">
        <f>IF(
  AND(subscriptions[[#This Row],[end_before_start]]=0, subscriptions[[#This Row],[status_end_mismatch]]=0),
  1,
  0
)</f>
        <v>1</v>
      </c>
    </row>
    <row r="1160" spans="1:10" x14ac:dyDescent="0.3">
      <c r="A1160">
        <v>6290464</v>
      </c>
      <c r="B1160">
        <v>871501</v>
      </c>
      <c r="C1160">
        <v>1006</v>
      </c>
      <c r="D1160" s="1">
        <v>45033</v>
      </c>
      <c r="E1160" s="1">
        <v>45166</v>
      </c>
      <c r="F1160" t="s">
        <v>3479</v>
      </c>
      <c r="G1160" t="str">
        <f>IF(ISNA(_xlfn.XLOOKUP(subscriptions[[#This Row],[customer_id]], customers[customer_id], customers[customer_id])), "NO", "YES")</f>
        <v>YES</v>
      </c>
      <c r="H1160">
        <f>IF(AND(subscriptions[[#This Row],[end_date]]&lt;&gt;"", subscriptions[[#This Row],[end_date]] &lt; subscriptions[[#This Row],[start_date]]), 1, 0)</f>
        <v>0</v>
      </c>
      <c r="I11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0">
        <f>IF(
  AND(subscriptions[[#This Row],[end_before_start]]=0, subscriptions[[#This Row],[status_end_mismatch]]=0),
  1,
  0
)</f>
        <v>1</v>
      </c>
    </row>
    <row r="1161" spans="1:10" x14ac:dyDescent="0.3">
      <c r="A1161">
        <v>6082313</v>
      </c>
      <c r="B1161">
        <v>104895</v>
      </c>
      <c r="C1161">
        <v>1004</v>
      </c>
      <c r="D1161" s="1">
        <v>44896</v>
      </c>
      <c r="E1161" s="1"/>
      <c r="F1161" t="s">
        <v>3480</v>
      </c>
      <c r="G1161" t="str">
        <f>IF(ISNA(_xlfn.XLOOKUP(subscriptions[[#This Row],[customer_id]], customers[customer_id], customers[customer_id])), "NO", "YES")</f>
        <v>YES</v>
      </c>
      <c r="H1161">
        <f>IF(AND(subscriptions[[#This Row],[end_date]]&lt;&gt;"", subscriptions[[#This Row],[end_date]] &lt; subscriptions[[#This Row],[start_date]]), 1, 0)</f>
        <v>0</v>
      </c>
      <c r="I11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1">
        <f>IF(
  AND(subscriptions[[#This Row],[end_before_start]]=0, subscriptions[[#This Row],[status_end_mismatch]]=0),
  1,
  0
)</f>
        <v>1</v>
      </c>
    </row>
    <row r="1162" spans="1:10" x14ac:dyDescent="0.3">
      <c r="A1162">
        <v>5547933</v>
      </c>
      <c r="B1162">
        <v>615326</v>
      </c>
      <c r="C1162">
        <v>1006</v>
      </c>
      <c r="D1162" s="1">
        <v>45039</v>
      </c>
      <c r="E1162" s="1">
        <v>45180</v>
      </c>
      <c r="F1162" t="s">
        <v>3479</v>
      </c>
      <c r="G1162" t="str">
        <f>IF(ISNA(_xlfn.XLOOKUP(subscriptions[[#This Row],[customer_id]], customers[customer_id], customers[customer_id])), "NO", "YES")</f>
        <v>YES</v>
      </c>
      <c r="H1162">
        <f>IF(AND(subscriptions[[#This Row],[end_date]]&lt;&gt;"", subscriptions[[#This Row],[end_date]] &lt; subscriptions[[#This Row],[start_date]]), 1, 0)</f>
        <v>0</v>
      </c>
      <c r="I11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2">
        <f>IF(
  AND(subscriptions[[#This Row],[end_before_start]]=0, subscriptions[[#This Row],[status_end_mismatch]]=0),
  1,
  0
)</f>
        <v>1</v>
      </c>
    </row>
    <row r="1163" spans="1:10" x14ac:dyDescent="0.3">
      <c r="A1163">
        <v>6961695</v>
      </c>
      <c r="B1163">
        <v>923975</v>
      </c>
      <c r="C1163">
        <v>1007</v>
      </c>
      <c r="D1163" s="1">
        <v>44617</v>
      </c>
      <c r="E1163" s="1"/>
      <c r="F1163" t="s">
        <v>3480</v>
      </c>
      <c r="G1163" t="str">
        <f>IF(ISNA(_xlfn.XLOOKUP(subscriptions[[#This Row],[customer_id]], customers[customer_id], customers[customer_id])), "NO", "YES")</f>
        <v>YES</v>
      </c>
      <c r="H1163">
        <f>IF(AND(subscriptions[[#This Row],[end_date]]&lt;&gt;"", subscriptions[[#This Row],[end_date]] &lt; subscriptions[[#This Row],[start_date]]), 1, 0)</f>
        <v>0</v>
      </c>
      <c r="I11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3">
        <f>IF(
  AND(subscriptions[[#This Row],[end_before_start]]=0, subscriptions[[#This Row],[status_end_mismatch]]=0),
  1,
  0
)</f>
        <v>1</v>
      </c>
    </row>
    <row r="1164" spans="1:10" x14ac:dyDescent="0.3">
      <c r="A1164">
        <v>8375951</v>
      </c>
      <c r="B1164">
        <v>969993</v>
      </c>
      <c r="C1164">
        <v>1007</v>
      </c>
      <c r="D1164" s="1">
        <v>44814</v>
      </c>
      <c r="E1164" s="1">
        <v>45036</v>
      </c>
      <c r="F1164" t="s">
        <v>3479</v>
      </c>
      <c r="G1164" t="str">
        <f>IF(ISNA(_xlfn.XLOOKUP(subscriptions[[#This Row],[customer_id]], customers[customer_id], customers[customer_id])), "NO", "YES")</f>
        <v>YES</v>
      </c>
      <c r="H1164">
        <f>IF(AND(subscriptions[[#This Row],[end_date]]&lt;&gt;"", subscriptions[[#This Row],[end_date]] &lt; subscriptions[[#This Row],[start_date]]), 1, 0)</f>
        <v>0</v>
      </c>
      <c r="I11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4">
        <f>IF(
  AND(subscriptions[[#This Row],[end_before_start]]=0, subscriptions[[#This Row],[status_end_mismatch]]=0),
  1,
  0
)</f>
        <v>1</v>
      </c>
    </row>
    <row r="1165" spans="1:10" x14ac:dyDescent="0.3">
      <c r="A1165">
        <v>1426542</v>
      </c>
      <c r="B1165">
        <v>296243</v>
      </c>
      <c r="C1165">
        <v>1006</v>
      </c>
      <c r="D1165" s="1">
        <v>45471</v>
      </c>
      <c r="E1165" s="1">
        <v>45607</v>
      </c>
      <c r="F1165" t="s">
        <v>3479</v>
      </c>
      <c r="G1165" t="str">
        <f>IF(ISNA(_xlfn.XLOOKUP(subscriptions[[#This Row],[customer_id]], customers[customer_id], customers[customer_id])), "NO", "YES")</f>
        <v>YES</v>
      </c>
      <c r="H1165">
        <f>IF(AND(subscriptions[[#This Row],[end_date]]&lt;&gt;"", subscriptions[[#This Row],[end_date]] &lt; subscriptions[[#This Row],[start_date]]), 1, 0)</f>
        <v>0</v>
      </c>
      <c r="I11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5">
        <f>IF(
  AND(subscriptions[[#This Row],[end_before_start]]=0, subscriptions[[#This Row],[status_end_mismatch]]=0),
  1,
  0
)</f>
        <v>1</v>
      </c>
    </row>
    <row r="1166" spans="1:10" x14ac:dyDescent="0.3">
      <c r="A1166">
        <v>7382330</v>
      </c>
      <c r="B1166">
        <v>343962</v>
      </c>
      <c r="C1166">
        <v>1005</v>
      </c>
      <c r="D1166" s="1">
        <v>44662</v>
      </c>
      <c r="E1166" s="1"/>
      <c r="F1166" t="s">
        <v>3480</v>
      </c>
      <c r="G1166" t="str">
        <f>IF(ISNA(_xlfn.XLOOKUP(subscriptions[[#This Row],[customer_id]], customers[customer_id], customers[customer_id])), "NO", "YES")</f>
        <v>YES</v>
      </c>
      <c r="H1166">
        <f>IF(AND(subscriptions[[#This Row],[end_date]]&lt;&gt;"", subscriptions[[#This Row],[end_date]] &lt; subscriptions[[#This Row],[start_date]]), 1, 0)</f>
        <v>0</v>
      </c>
      <c r="I11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6">
        <f>IF(
  AND(subscriptions[[#This Row],[end_before_start]]=0, subscriptions[[#This Row],[status_end_mismatch]]=0),
  1,
  0
)</f>
        <v>1</v>
      </c>
    </row>
    <row r="1167" spans="1:10" x14ac:dyDescent="0.3">
      <c r="A1167">
        <v>7697098</v>
      </c>
      <c r="B1167">
        <v>719221</v>
      </c>
      <c r="C1167">
        <v>1001</v>
      </c>
      <c r="D1167" s="1">
        <v>44968</v>
      </c>
      <c r="E1167" s="1"/>
      <c r="F1167" t="s">
        <v>3480</v>
      </c>
      <c r="G1167" t="str">
        <f>IF(ISNA(_xlfn.XLOOKUP(subscriptions[[#This Row],[customer_id]], customers[customer_id], customers[customer_id])), "NO", "YES")</f>
        <v>YES</v>
      </c>
      <c r="H1167">
        <f>IF(AND(subscriptions[[#This Row],[end_date]]&lt;&gt;"", subscriptions[[#This Row],[end_date]] &lt; subscriptions[[#This Row],[start_date]]), 1, 0)</f>
        <v>0</v>
      </c>
      <c r="I11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7">
        <f>IF(
  AND(subscriptions[[#This Row],[end_before_start]]=0, subscriptions[[#This Row],[status_end_mismatch]]=0),
  1,
  0
)</f>
        <v>1</v>
      </c>
    </row>
    <row r="1168" spans="1:10" x14ac:dyDescent="0.3">
      <c r="A1168">
        <v>7383812</v>
      </c>
      <c r="B1168">
        <v>536045</v>
      </c>
      <c r="C1168">
        <v>1008</v>
      </c>
      <c r="D1168" s="1">
        <v>44817</v>
      </c>
      <c r="E1168" s="1"/>
      <c r="F1168" t="s">
        <v>3480</v>
      </c>
      <c r="G1168" t="str">
        <f>IF(ISNA(_xlfn.XLOOKUP(subscriptions[[#This Row],[customer_id]], customers[customer_id], customers[customer_id])), "NO", "YES")</f>
        <v>YES</v>
      </c>
      <c r="H1168">
        <f>IF(AND(subscriptions[[#This Row],[end_date]]&lt;&gt;"", subscriptions[[#This Row],[end_date]] &lt; subscriptions[[#This Row],[start_date]]), 1, 0)</f>
        <v>0</v>
      </c>
      <c r="I11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8">
        <f>IF(
  AND(subscriptions[[#This Row],[end_before_start]]=0, subscriptions[[#This Row],[status_end_mismatch]]=0),
  1,
  0
)</f>
        <v>1</v>
      </c>
    </row>
    <row r="1169" spans="1:10" x14ac:dyDescent="0.3">
      <c r="A1169">
        <v>3937636</v>
      </c>
      <c r="B1169">
        <v>477934</v>
      </c>
      <c r="C1169">
        <v>1004</v>
      </c>
      <c r="D1169" s="1">
        <v>44811</v>
      </c>
      <c r="E1169" s="1"/>
      <c r="F1169" t="s">
        <v>3480</v>
      </c>
      <c r="G1169" t="str">
        <f>IF(ISNA(_xlfn.XLOOKUP(subscriptions[[#This Row],[customer_id]], customers[customer_id], customers[customer_id])), "NO", "YES")</f>
        <v>YES</v>
      </c>
      <c r="H1169">
        <f>IF(AND(subscriptions[[#This Row],[end_date]]&lt;&gt;"", subscriptions[[#This Row],[end_date]] &lt; subscriptions[[#This Row],[start_date]]), 1, 0)</f>
        <v>0</v>
      </c>
      <c r="I11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69">
        <f>IF(
  AND(subscriptions[[#This Row],[end_before_start]]=0, subscriptions[[#This Row],[status_end_mismatch]]=0),
  1,
  0
)</f>
        <v>1</v>
      </c>
    </row>
    <row r="1170" spans="1:10" x14ac:dyDescent="0.3">
      <c r="A1170">
        <v>4517141</v>
      </c>
      <c r="B1170">
        <v>754688</v>
      </c>
      <c r="C1170">
        <v>1008</v>
      </c>
      <c r="D1170" s="1">
        <v>44808</v>
      </c>
      <c r="E1170" s="1">
        <v>45147</v>
      </c>
      <c r="F1170" t="s">
        <v>3479</v>
      </c>
      <c r="G1170" t="str">
        <f>IF(ISNA(_xlfn.XLOOKUP(subscriptions[[#This Row],[customer_id]], customers[customer_id], customers[customer_id])), "NO", "YES")</f>
        <v>YES</v>
      </c>
      <c r="H1170">
        <f>IF(AND(subscriptions[[#This Row],[end_date]]&lt;&gt;"", subscriptions[[#This Row],[end_date]] &lt; subscriptions[[#This Row],[start_date]]), 1, 0)</f>
        <v>0</v>
      </c>
      <c r="I11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0">
        <f>IF(
  AND(subscriptions[[#This Row],[end_before_start]]=0, subscriptions[[#This Row],[status_end_mismatch]]=0),
  1,
  0
)</f>
        <v>1</v>
      </c>
    </row>
    <row r="1171" spans="1:10" x14ac:dyDescent="0.3">
      <c r="A1171">
        <v>7012792</v>
      </c>
      <c r="B1171">
        <v>354235</v>
      </c>
      <c r="C1171">
        <v>1008</v>
      </c>
      <c r="D1171" s="1">
        <v>45210</v>
      </c>
      <c r="E1171" s="1"/>
      <c r="F1171" t="s">
        <v>3480</v>
      </c>
      <c r="G1171" t="str">
        <f>IF(ISNA(_xlfn.XLOOKUP(subscriptions[[#This Row],[customer_id]], customers[customer_id], customers[customer_id])), "NO", "YES")</f>
        <v>YES</v>
      </c>
      <c r="H1171">
        <f>IF(AND(subscriptions[[#This Row],[end_date]]&lt;&gt;"", subscriptions[[#This Row],[end_date]] &lt; subscriptions[[#This Row],[start_date]]), 1, 0)</f>
        <v>0</v>
      </c>
      <c r="I11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1">
        <f>IF(
  AND(subscriptions[[#This Row],[end_before_start]]=0, subscriptions[[#This Row],[status_end_mismatch]]=0),
  1,
  0
)</f>
        <v>1</v>
      </c>
    </row>
    <row r="1172" spans="1:10" x14ac:dyDescent="0.3">
      <c r="A1172">
        <v>4528709</v>
      </c>
      <c r="B1172">
        <v>643042</v>
      </c>
      <c r="C1172">
        <v>1000</v>
      </c>
      <c r="D1172" s="1">
        <v>44747</v>
      </c>
      <c r="E1172" s="1">
        <v>44961</v>
      </c>
      <c r="F1172" t="s">
        <v>3479</v>
      </c>
      <c r="G1172" t="str">
        <f>IF(ISNA(_xlfn.XLOOKUP(subscriptions[[#This Row],[customer_id]], customers[customer_id], customers[customer_id])), "NO", "YES")</f>
        <v>YES</v>
      </c>
      <c r="H1172">
        <f>IF(AND(subscriptions[[#This Row],[end_date]]&lt;&gt;"", subscriptions[[#This Row],[end_date]] &lt; subscriptions[[#This Row],[start_date]]), 1, 0)</f>
        <v>0</v>
      </c>
      <c r="I11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2">
        <f>IF(
  AND(subscriptions[[#This Row],[end_before_start]]=0, subscriptions[[#This Row],[status_end_mismatch]]=0),
  1,
  0
)</f>
        <v>1</v>
      </c>
    </row>
    <row r="1173" spans="1:10" x14ac:dyDescent="0.3">
      <c r="A1173">
        <v>9019156</v>
      </c>
      <c r="B1173">
        <v>503489</v>
      </c>
      <c r="C1173">
        <v>1001</v>
      </c>
      <c r="D1173" s="1">
        <v>45084</v>
      </c>
      <c r="E1173" s="1"/>
      <c r="F1173" t="s">
        <v>3480</v>
      </c>
      <c r="G1173" t="str">
        <f>IF(ISNA(_xlfn.XLOOKUP(subscriptions[[#This Row],[customer_id]], customers[customer_id], customers[customer_id])), "NO", "YES")</f>
        <v>YES</v>
      </c>
      <c r="H1173">
        <f>IF(AND(subscriptions[[#This Row],[end_date]]&lt;&gt;"", subscriptions[[#This Row],[end_date]] &lt; subscriptions[[#This Row],[start_date]]), 1, 0)</f>
        <v>0</v>
      </c>
      <c r="I11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3">
        <f>IF(
  AND(subscriptions[[#This Row],[end_before_start]]=0, subscriptions[[#This Row],[status_end_mismatch]]=0),
  1,
  0
)</f>
        <v>1</v>
      </c>
    </row>
    <row r="1174" spans="1:10" x14ac:dyDescent="0.3">
      <c r="A1174">
        <v>8666411</v>
      </c>
      <c r="B1174">
        <v>387198</v>
      </c>
      <c r="C1174">
        <v>1007</v>
      </c>
      <c r="D1174" s="1">
        <v>44595</v>
      </c>
      <c r="E1174" s="1"/>
      <c r="F1174" t="s">
        <v>3480</v>
      </c>
      <c r="G1174" t="str">
        <f>IF(ISNA(_xlfn.XLOOKUP(subscriptions[[#This Row],[customer_id]], customers[customer_id], customers[customer_id])), "NO", "YES")</f>
        <v>YES</v>
      </c>
      <c r="H1174">
        <f>IF(AND(subscriptions[[#This Row],[end_date]]&lt;&gt;"", subscriptions[[#This Row],[end_date]] &lt; subscriptions[[#This Row],[start_date]]), 1, 0)</f>
        <v>0</v>
      </c>
      <c r="I11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4">
        <f>IF(
  AND(subscriptions[[#This Row],[end_before_start]]=0, subscriptions[[#This Row],[status_end_mismatch]]=0),
  1,
  0
)</f>
        <v>1</v>
      </c>
    </row>
    <row r="1175" spans="1:10" x14ac:dyDescent="0.3">
      <c r="A1175">
        <v>8046664</v>
      </c>
      <c r="B1175">
        <v>438977</v>
      </c>
      <c r="C1175">
        <v>1002</v>
      </c>
      <c r="D1175" s="1">
        <v>45381</v>
      </c>
      <c r="E1175" s="1">
        <v>45462</v>
      </c>
      <c r="F1175" t="s">
        <v>3479</v>
      </c>
      <c r="G1175" t="str">
        <f>IF(ISNA(_xlfn.XLOOKUP(subscriptions[[#This Row],[customer_id]], customers[customer_id], customers[customer_id])), "NO", "YES")</f>
        <v>YES</v>
      </c>
      <c r="H1175">
        <f>IF(AND(subscriptions[[#This Row],[end_date]]&lt;&gt;"", subscriptions[[#This Row],[end_date]] &lt; subscriptions[[#This Row],[start_date]]), 1, 0)</f>
        <v>0</v>
      </c>
      <c r="I11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5">
        <f>IF(
  AND(subscriptions[[#This Row],[end_before_start]]=0, subscriptions[[#This Row],[status_end_mismatch]]=0),
  1,
  0
)</f>
        <v>1</v>
      </c>
    </row>
    <row r="1176" spans="1:10" x14ac:dyDescent="0.3">
      <c r="A1176">
        <v>6950561</v>
      </c>
      <c r="B1176">
        <v>904092</v>
      </c>
      <c r="C1176">
        <v>1005</v>
      </c>
      <c r="D1176" s="1">
        <v>45300</v>
      </c>
      <c r="E1176" s="1">
        <v>45363</v>
      </c>
      <c r="F1176" t="s">
        <v>3479</v>
      </c>
      <c r="G1176" t="str">
        <f>IF(ISNA(_xlfn.XLOOKUP(subscriptions[[#This Row],[customer_id]], customers[customer_id], customers[customer_id])), "NO", "YES")</f>
        <v>YES</v>
      </c>
      <c r="H1176">
        <f>IF(AND(subscriptions[[#This Row],[end_date]]&lt;&gt;"", subscriptions[[#This Row],[end_date]] &lt; subscriptions[[#This Row],[start_date]]), 1, 0)</f>
        <v>0</v>
      </c>
      <c r="I11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6">
        <f>IF(
  AND(subscriptions[[#This Row],[end_before_start]]=0, subscriptions[[#This Row],[status_end_mismatch]]=0),
  1,
  0
)</f>
        <v>1</v>
      </c>
    </row>
    <row r="1177" spans="1:10" x14ac:dyDescent="0.3">
      <c r="A1177">
        <v>8283809</v>
      </c>
      <c r="B1177">
        <v>508396</v>
      </c>
      <c r="C1177">
        <v>1003</v>
      </c>
      <c r="D1177" s="1">
        <v>45177</v>
      </c>
      <c r="E1177" s="1"/>
      <c r="F1177" t="s">
        <v>3480</v>
      </c>
      <c r="G1177" t="str">
        <f>IF(ISNA(_xlfn.XLOOKUP(subscriptions[[#This Row],[customer_id]], customers[customer_id], customers[customer_id])), "NO", "YES")</f>
        <v>YES</v>
      </c>
      <c r="H1177">
        <f>IF(AND(subscriptions[[#This Row],[end_date]]&lt;&gt;"", subscriptions[[#This Row],[end_date]] &lt; subscriptions[[#This Row],[start_date]]), 1, 0)</f>
        <v>0</v>
      </c>
      <c r="I11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7">
        <f>IF(
  AND(subscriptions[[#This Row],[end_before_start]]=0, subscriptions[[#This Row],[status_end_mismatch]]=0),
  1,
  0
)</f>
        <v>1</v>
      </c>
    </row>
    <row r="1178" spans="1:10" x14ac:dyDescent="0.3">
      <c r="A1178">
        <v>2416860</v>
      </c>
      <c r="B1178">
        <v>550961</v>
      </c>
      <c r="C1178">
        <v>1008</v>
      </c>
      <c r="D1178" s="1">
        <v>45360</v>
      </c>
      <c r="E1178" s="1">
        <v>45398</v>
      </c>
      <c r="F1178" t="s">
        <v>3479</v>
      </c>
      <c r="G1178" t="str">
        <f>IF(ISNA(_xlfn.XLOOKUP(subscriptions[[#This Row],[customer_id]], customers[customer_id], customers[customer_id])), "NO", "YES")</f>
        <v>YES</v>
      </c>
      <c r="H1178">
        <f>IF(AND(subscriptions[[#This Row],[end_date]]&lt;&gt;"", subscriptions[[#This Row],[end_date]] &lt; subscriptions[[#This Row],[start_date]]), 1, 0)</f>
        <v>0</v>
      </c>
      <c r="I11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8">
        <f>IF(
  AND(subscriptions[[#This Row],[end_before_start]]=0, subscriptions[[#This Row],[status_end_mismatch]]=0),
  1,
  0
)</f>
        <v>1</v>
      </c>
    </row>
    <row r="1179" spans="1:10" x14ac:dyDescent="0.3">
      <c r="A1179">
        <v>5608971</v>
      </c>
      <c r="B1179">
        <v>766563</v>
      </c>
      <c r="C1179">
        <v>1005</v>
      </c>
      <c r="D1179" s="1">
        <v>45224</v>
      </c>
      <c r="E1179" s="1"/>
      <c r="F1179" t="s">
        <v>3480</v>
      </c>
      <c r="G1179" t="str">
        <f>IF(ISNA(_xlfn.XLOOKUP(subscriptions[[#This Row],[customer_id]], customers[customer_id], customers[customer_id])), "NO", "YES")</f>
        <v>YES</v>
      </c>
      <c r="H1179">
        <f>IF(AND(subscriptions[[#This Row],[end_date]]&lt;&gt;"", subscriptions[[#This Row],[end_date]] &lt; subscriptions[[#This Row],[start_date]]), 1, 0)</f>
        <v>0</v>
      </c>
      <c r="I11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79">
        <f>IF(
  AND(subscriptions[[#This Row],[end_before_start]]=0, subscriptions[[#This Row],[status_end_mismatch]]=0),
  1,
  0
)</f>
        <v>1</v>
      </c>
    </row>
    <row r="1180" spans="1:10" x14ac:dyDescent="0.3">
      <c r="A1180">
        <v>5177495</v>
      </c>
      <c r="B1180">
        <v>758309</v>
      </c>
      <c r="C1180">
        <v>1009</v>
      </c>
      <c r="D1180" s="1">
        <v>44925</v>
      </c>
      <c r="E1180" s="1"/>
      <c r="F1180" t="s">
        <v>3480</v>
      </c>
      <c r="G1180" t="str">
        <f>IF(ISNA(_xlfn.XLOOKUP(subscriptions[[#This Row],[customer_id]], customers[customer_id], customers[customer_id])), "NO", "YES")</f>
        <v>YES</v>
      </c>
      <c r="H1180">
        <f>IF(AND(subscriptions[[#This Row],[end_date]]&lt;&gt;"", subscriptions[[#This Row],[end_date]] &lt; subscriptions[[#This Row],[start_date]]), 1, 0)</f>
        <v>0</v>
      </c>
      <c r="I11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0">
        <f>IF(
  AND(subscriptions[[#This Row],[end_before_start]]=0, subscriptions[[#This Row],[status_end_mismatch]]=0),
  1,
  0
)</f>
        <v>1</v>
      </c>
    </row>
    <row r="1181" spans="1:10" x14ac:dyDescent="0.3">
      <c r="A1181">
        <v>3146616</v>
      </c>
      <c r="B1181">
        <v>515623</v>
      </c>
      <c r="C1181">
        <v>1004</v>
      </c>
      <c r="D1181" s="1">
        <v>44880</v>
      </c>
      <c r="E1181" s="1"/>
      <c r="F1181" t="s">
        <v>3480</v>
      </c>
      <c r="G1181" t="str">
        <f>IF(ISNA(_xlfn.XLOOKUP(subscriptions[[#This Row],[customer_id]], customers[customer_id], customers[customer_id])), "NO", "YES")</f>
        <v>YES</v>
      </c>
      <c r="H1181">
        <f>IF(AND(subscriptions[[#This Row],[end_date]]&lt;&gt;"", subscriptions[[#This Row],[end_date]] &lt; subscriptions[[#This Row],[start_date]]), 1, 0)</f>
        <v>0</v>
      </c>
      <c r="I11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1">
        <f>IF(
  AND(subscriptions[[#This Row],[end_before_start]]=0, subscriptions[[#This Row],[status_end_mismatch]]=0),
  1,
  0
)</f>
        <v>1</v>
      </c>
    </row>
    <row r="1182" spans="1:10" x14ac:dyDescent="0.3">
      <c r="A1182">
        <v>8882149</v>
      </c>
      <c r="B1182">
        <v>753425</v>
      </c>
      <c r="C1182">
        <v>1001</v>
      </c>
      <c r="D1182" s="1">
        <v>44641</v>
      </c>
      <c r="E1182" s="1"/>
      <c r="F1182" t="s">
        <v>3480</v>
      </c>
      <c r="G1182" t="str">
        <f>IF(ISNA(_xlfn.XLOOKUP(subscriptions[[#This Row],[customer_id]], customers[customer_id], customers[customer_id])), "NO", "YES")</f>
        <v>YES</v>
      </c>
      <c r="H1182">
        <f>IF(AND(subscriptions[[#This Row],[end_date]]&lt;&gt;"", subscriptions[[#This Row],[end_date]] &lt; subscriptions[[#This Row],[start_date]]), 1, 0)</f>
        <v>0</v>
      </c>
      <c r="I11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2">
        <f>IF(
  AND(subscriptions[[#This Row],[end_before_start]]=0, subscriptions[[#This Row],[status_end_mismatch]]=0),
  1,
  0
)</f>
        <v>1</v>
      </c>
    </row>
    <row r="1183" spans="1:10" x14ac:dyDescent="0.3">
      <c r="A1183">
        <v>4520289</v>
      </c>
      <c r="B1183">
        <v>534037</v>
      </c>
      <c r="C1183">
        <v>1003</v>
      </c>
      <c r="D1183" s="1">
        <v>45162</v>
      </c>
      <c r="E1183" s="1"/>
      <c r="F1183" t="s">
        <v>3480</v>
      </c>
      <c r="G1183" t="str">
        <f>IF(ISNA(_xlfn.XLOOKUP(subscriptions[[#This Row],[customer_id]], customers[customer_id], customers[customer_id])), "NO", "YES")</f>
        <v>YES</v>
      </c>
      <c r="H1183">
        <f>IF(AND(subscriptions[[#This Row],[end_date]]&lt;&gt;"", subscriptions[[#This Row],[end_date]] &lt; subscriptions[[#This Row],[start_date]]), 1, 0)</f>
        <v>0</v>
      </c>
      <c r="I11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3">
        <f>IF(
  AND(subscriptions[[#This Row],[end_before_start]]=0, subscriptions[[#This Row],[status_end_mismatch]]=0),
  1,
  0
)</f>
        <v>1</v>
      </c>
    </row>
    <row r="1184" spans="1:10" x14ac:dyDescent="0.3">
      <c r="A1184">
        <v>7960470</v>
      </c>
      <c r="B1184">
        <v>746253</v>
      </c>
      <c r="C1184">
        <v>1008</v>
      </c>
      <c r="D1184" s="1">
        <v>44884</v>
      </c>
      <c r="E1184" s="1"/>
      <c r="F1184" t="s">
        <v>3480</v>
      </c>
      <c r="G1184" t="str">
        <f>IF(ISNA(_xlfn.XLOOKUP(subscriptions[[#This Row],[customer_id]], customers[customer_id], customers[customer_id])), "NO", "YES")</f>
        <v>YES</v>
      </c>
      <c r="H1184">
        <f>IF(AND(subscriptions[[#This Row],[end_date]]&lt;&gt;"", subscriptions[[#This Row],[end_date]] &lt; subscriptions[[#This Row],[start_date]]), 1, 0)</f>
        <v>0</v>
      </c>
      <c r="I11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4">
        <f>IF(
  AND(subscriptions[[#This Row],[end_before_start]]=0, subscriptions[[#This Row],[status_end_mismatch]]=0),
  1,
  0
)</f>
        <v>1</v>
      </c>
    </row>
    <row r="1185" spans="1:10" x14ac:dyDescent="0.3">
      <c r="A1185">
        <v>3929930</v>
      </c>
      <c r="B1185">
        <v>248989</v>
      </c>
      <c r="C1185">
        <v>1001</v>
      </c>
      <c r="D1185" s="1">
        <v>44872</v>
      </c>
      <c r="E1185" s="1">
        <v>45244</v>
      </c>
      <c r="F1185" t="s">
        <v>3479</v>
      </c>
      <c r="G1185" t="str">
        <f>IF(ISNA(_xlfn.XLOOKUP(subscriptions[[#This Row],[customer_id]], customers[customer_id], customers[customer_id])), "NO", "YES")</f>
        <v>YES</v>
      </c>
      <c r="H1185">
        <f>IF(AND(subscriptions[[#This Row],[end_date]]&lt;&gt;"", subscriptions[[#This Row],[end_date]] &lt; subscriptions[[#This Row],[start_date]]), 1, 0)</f>
        <v>0</v>
      </c>
      <c r="I11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5">
        <f>IF(
  AND(subscriptions[[#This Row],[end_before_start]]=0, subscriptions[[#This Row],[status_end_mismatch]]=0),
  1,
  0
)</f>
        <v>1</v>
      </c>
    </row>
    <row r="1186" spans="1:10" x14ac:dyDescent="0.3">
      <c r="A1186">
        <v>4046988</v>
      </c>
      <c r="B1186">
        <v>161324</v>
      </c>
      <c r="C1186">
        <v>1004</v>
      </c>
      <c r="D1186" s="1">
        <v>45309</v>
      </c>
      <c r="E1186" s="1">
        <v>45395</v>
      </c>
      <c r="F1186" t="s">
        <v>3479</v>
      </c>
      <c r="G1186" t="str">
        <f>IF(ISNA(_xlfn.XLOOKUP(subscriptions[[#This Row],[customer_id]], customers[customer_id], customers[customer_id])), "NO", "YES")</f>
        <v>YES</v>
      </c>
      <c r="H1186">
        <f>IF(AND(subscriptions[[#This Row],[end_date]]&lt;&gt;"", subscriptions[[#This Row],[end_date]] &lt; subscriptions[[#This Row],[start_date]]), 1, 0)</f>
        <v>0</v>
      </c>
      <c r="I11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6">
        <f>IF(
  AND(subscriptions[[#This Row],[end_before_start]]=0, subscriptions[[#This Row],[status_end_mismatch]]=0),
  1,
  0
)</f>
        <v>1</v>
      </c>
    </row>
    <row r="1187" spans="1:10" x14ac:dyDescent="0.3">
      <c r="A1187">
        <v>3724178</v>
      </c>
      <c r="B1187">
        <v>571932</v>
      </c>
      <c r="C1187">
        <v>1006</v>
      </c>
      <c r="D1187" s="1">
        <v>44623</v>
      </c>
      <c r="E1187" s="1"/>
      <c r="F1187" t="s">
        <v>3480</v>
      </c>
      <c r="G1187" t="str">
        <f>IF(ISNA(_xlfn.XLOOKUP(subscriptions[[#This Row],[customer_id]], customers[customer_id], customers[customer_id])), "NO", "YES")</f>
        <v>YES</v>
      </c>
      <c r="H1187">
        <f>IF(AND(subscriptions[[#This Row],[end_date]]&lt;&gt;"", subscriptions[[#This Row],[end_date]] &lt; subscriptions[[#This Row],[start_date]]), 1, 0)</f>
        <v>0</v>
      </c>
      <c r="I11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7">
        <f>IF(
  AND(subscriptions[[#This Row],[end_before_start]]=0, subscriptions[[#This Row],[status_end_mismatch]]=0),
  1,
  0
)</f>
        <v>1</v>
      </c>
    </row>
    <row r="1188" spans="1:10" x14ac:dyDescent="0.3">
      <c r="A1188">
        <v>6134915</v>
      </c>
      <c r="B1188">
        <v>670968</v>
      </c>
      <c r="C1188">
        <v>1008</v>
      </c>
      <c r="D1188" s="1">
        <v>45388</v>
      </c>
      <c r="E1188" s="1">
        <v>45553</v>
      </c>
      <c r="F1188" t="s">
        <v>3479</v>
      </c>
      <c r="G1188" t="str">
        <f>IF(ISNA(_xlfn.XLOOKUP(subscriptions[[#This Row],[customer_id]], customers[customer_id], customers[customer_id])), "NO", "YES")</f>
        <v>YES</v>
      </c>
      <c r="H1188">
        <f>IF(AND(subscriptions[[#This Row],[end_date]]&lt;&gt;"", subscriptions[[#This Row],[end_date]] &lt; subscriptions[[#This Row],[start_date]]), 1, 0)</f>
        <v>0</v>
      </c>
      <c r="I11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8">
        <f>IF(
  AND(subscriptions[[#This Row],[end_before_start]]=0, subscriptions[[#This Row],[status_end_mismatch]]=0),
  1,
  0
)</f>
        <v>1</v>
      </c>
    </row>
    <row r="1189" spans="1:10" x14ac:dyDescent="0.3">
      <c r="A1189">
        <v>6386706</v>
      </c>
      <c r="B1189">
        <v>182289</v>
      </c>
      <c r="C1189">
        <v>1002</v>
      </c>
      <c r="D1189" s="1">
        <v>44620</v>
      </c>
      <c r="E1189" s="1">
        <v>44819</v>
      </c>
      <c r="F1189" t="s">
        <v>3479</v>
      </c>
      <c r="G1189" t="str">
        <f>IF(ISNA(_xlfn.XLOOKUP(subscriptions[[#This Row],[customer_id]], customers[customer_id], customers[customer_id])), "NO", "YES")</f>
        <v>YES</v>
      </c>
      <c r="H1189">
        <f>IF(AND(subscriptions[[#This Row],[end_date]]&lt;&gt;"", subscriptions[[#This Row],[end_date]] &lt; subscriptions[[#This Row],[start_date]]), 1, 0)</f>
        <v>0</v>
      </c>
      <c r="I11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89">
        <f>IF(
  AND(subscriptions[[#This Row],[end_before_start]]=0, subscriptions[[#This Row],[status_end_mismatch]]=0),
  1,
  0
)</f>
        <v>1</v>
      </c>
    </row>
    <row r="1190" spans="1:10" x14ac:dyDescent="0.3">
      <c r="A1190">
        <v>1478098</v>
      </c>
      <c r="B1190">
        <v>445429</v>
      </c>
      <c r="C1190">
        <v>1000</v>
      </c>
      <c r="D1190" s="1">
        <v>45525</v>
      </c>
      <c r="E1190" s="1"/>
      <c r="F1190" t="s">
        <v>3480</v>
      </c>
      <c r="G1190" t="str">
        <f>IF(ISNA(_xlfn.XLOOKUP(subscriptions[[#This Row],[customer_id]], customers[customer_id], customers[customer_id])), "NO", "YES")</f>
        <v>YES</v>
      </c>
      <c r="H1190">
        <f>IF(AND(subscriptions[[#This Row],[end_date]]&lt;&gt;"", subscriptions[[#This Row],[end_date]] &lt; subscriptions[[#This Row],[start_date]]), 1, 0)</f>
        <v>0</v>
      </c>
      <c r="I11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0">
        <f>IF(
  AND(subscriptions[[#This Row],[end_before_start]]=0, subscriptions[[#This Row],[status_end_mismatch]]=0),
  1,
  0
)</f>
        <v>1</v>
      </c>
    </row>
    <row r="1191" spans="1:10" x14ac:dyDescent="0.3">
      <c r="A1191">
        <v>3421636</v>
      </c>
      <c r="B1191">
        <v>193520</v>
      </c>
      <c r="C1191">
        <v>1001</v>
      </c>
      <c r="D1191" s="1">
        <v>45396</v>
      </c>
      <c r="E1191" s="1"/>
      <c r="F1191" t="s">
        <v>3480</v>
      </c>
      <c r="G1191" t="str">
        <f>IF(ISNA(_xlfn.XLOOKUP(subscriptions[[#This Row],[customer_id]], customers[customer_id], customers[customer_id])), "NO", "YES")</f>
        <v>YES</v>
      </c>
      <c r="H1191">
        <f>IF(AND(subscriptions[[#This Row],[end_date]]&lt;&gt;"", subscriptions[[#This Row],[end_date]] &lt; subscriptions[[#This Row],[start_date]]), 1, 0)</f>
        <v>0</v>
      </c>
      <c r="I11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1">
        <f>IF(
  AND(subscriptions[[#This Row],[end_before_start]]=0, subscriptions[[#This Row],[status_end_mismatch]]=0),
  1,
  0
)</f>
        <v>1</v>
      </c>
    </row>
    <row r="1192" spans="1:10" x14ac:dyDescent="0.3">
      <c r="A1192">
        <v>7325627</v>
      </c>
      <c r="B1192">
        <v>955662</v>
      </c>
      <c r="C1192">
        <v>1002</v>
      </c>
      <c r="D1192" s="1">
        <v>44909</v>
      </c>
      <c r="E1192" s="1"/>
      <c r="F1192" t="s">
        <v>3480</v>
      </c>
      <c r="G1192" t="str">
        <f>IF(ISNA(_xlfn.XLOOKUP(subscriptions[[#This Row],[customer_id]], customers[customer_id], customers[customer_id])), "NO", "YES")</f>
        <v>YES</v>
      </c>
      <c r="H1192">
        <f>IF(AND(subscriptions[[#This Row],[end_date]]&lt;&gt;"", subscriptions[[#This Row],[end_date]] &lt; subscriptions[[#This Row],[start_date]]), 1, 0)</f>
        <v>0</v>
      </c>
      <c r="I11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2">
        <f>IF(
  AND(subscriptions[[#This Row],[end_before_start]]=0, subscriptions[[#This Row],[status_end_mismatch]]=0),
  1,
  0
)</f>
        <v>1</v>
      </c>
    </row>
    <row r="1193" spans="1:10" x14ac:dyDescent="0.3">
      <c r="A1193">
        <v>1250625</v>
      </c>
      <c r="B1193">
        <v>817611</v>
      </c>
      <c r="C1193">
        <v>1000</v>
      </c>
      <c r="D1193" s="1">
        <v>45276</v>
      </c>
      <c r="E1193" s="1">
        <v>45353</v>
      </c>
      <c r="F1193" t="s">
        <v>3479</v>
      </c>
      <c r="G1193" t="str">
        <f>IF(ISNA(_xlfn.XLOOKUP(subscriptions[[#This Row],[customer_id]], customers[customer_id], customers[customer_id])), "NO", "YES")</f>
        <v>YES</v>
      </c>
      <c r="H1193">
        <f>IF(AND(subscriptions[[#This Row],[end_date]]&lt;&gt;"", subscriptions[[#This Row],[end_date]] &lt; subscriptions[[#This Row],[start_date]]), 1, 0)</f>
        <v>0</v>
      </c>
      <c r="I11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3">
        <f>IF(
  AND(subscriptions[[#This Row],[end_before_start]]=0, subscriptions[[#This Row],[status_end_mismatch]]=0),
  1,
  0
)</f>
        <v>1</v>
      </c>
    </row>
    <row r="1194" spans="1:10" x14ac:dyDescent="0.3">
      <c r="A1194">
        <v>8044465</v>
      </c>
      <c r="B1194">
        <v>115063</v>
      </c>
      <c r="C1194">
        <v>1005</v>
      </c>
      <c r="D1194" s="1">
        <v>44697</v>
      </c>
      <c r="E1194" s="1"/>
      <c r="F1194" t="s">
        <v>3480</v>
      </c>
      <c r="G1194" t="str">
        <f>IF(ISNA(_xlfn.XLOOKUP(subscriptions[[#This Row],[customer_id]], customers[customer_id], customers[customer_id])), "NO", "YES")</f>
        <v>YES</v>
      </c>
      <c r="H1194">
        <f>IF(AND(subscriptions[[#This Row],[end_date]]&lt;&gt;"", subscriptions[[#This Row],[end_date]] &lt; subscriptions[[#This Row],[start_date]]), 1, 0)</f>
        <v>0</v>
      </c>
      <c r="I11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4">
        <f>IF(
  AND(subscriptions[[#This Row],[end_before_start]]=0, subscriptions[[#This Row],[status_end_mismatch]]=0),
  1,
  0
)</f>
        <v>1</v>
      </c>
    </row>
    <row r="1195" spans="1:10" x14ac:dyDescent="0.3">
      <c r="A1195">
        <v>8980743</v>
      </c>
      <c r="B1195">
        <v>817555</v>
      </c>
      <c r="C1195">
        <v>1006</v>
      </c>
      <c r="D1195" s="1">
        <v>45513</v>
      </c>
      <c r="E1195" s="1">
        <v>45643</v>
      </c>
      <c r="F1195" t="s">
        <v>3479</v>
      </c>
      <c r="G1195" t="str">
        <f>IF(ISNA(_xlfn.XLOOKUP(subscriptions[[#This Row],[customer_id]], customers[customer_id], customers[customer_id])), "NO", "YES")</f>
        <v>YES</v>
      </c>
      <c r="H1195">
        <f>IF(AND(subscriptions[[#This Row],[end_date]]&lt;&gt;"", subscriptions[[#This Row],[end_date]] &lt; subscriptions[[#This Row],[start_date]]), 1, 0)</f>
        <v>0</v>
      </c>
      <c r="I11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5">
        <f>IF(
  AND(subscriptions[[#This Row],[end_before_start]]=0, subscriptions[[#This Row],[status_end_mismatch]]=0),
  1,
  0
)</f>
        <v>1</v>
      </c>
    </row>
    <row r="1196" spans="1:10" x14ac:dyDescent="0.3">
      <c r="A1196">
        <v>3254948</v>
      </c>
      <c r="B1196">
        <v>152512</v>
      </c>
      <c r="C1196">
        <v>1004</v>
      </c>
      <c r="D1196" s="1">
        <v>44563</v>
      </c>
      <c r="E1196" s="1"/>
      <c r="F1196" t="s">
        <v>3480</v>
      </c>
      <c r="G1196" t="str">
        <f>IF(ISNA(_xlfn.XLOOKUP(subscriptions[[#This Row],[customer_id]], customers[customer_id], customers[customer_id])), "NO", "YES")</f>
        <v>YES</v>
      </c>
      <c r="H1196">
        <f>IF(AND(subscriptions[[#This Row],[end_date]]&lt;&gt;"", subscriptions[[#This Row],[end_date]] &lt; subscriptions[[#This Row],[start_date]]), 1, 0)</f>
        <v>0</v>
      </c>
      <c r="I11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6">
        <f>IF(
  AND(subscriptions[[#This Row],[end_before_start]]=0, subscriptions[[#This Row],[status_end_mismatch]]=0),
  1,
  0
)</f>
        <v>1</v>
      </c>
    </row>
    <row r="1197" spans="1:10" x14ac:dyDescent="0.3">
      <c r="A1197">
        <v>8876684</v>
      </c>
      <c r="B1197">
        <v>845702</v>
      </c>
      <c r="C1197">
        <v>1008</v>
      </c>
      <c r="D1197" s="1">
        <v>45088</v>
      </c>
      <c r="E1197" s="1"/>
      <c r="F1197" t="s">
        <v>3480</v>
      </c>
      <c r="G1197" t="str">
        <f>IF(ISNA(_xlfn.XLOOKUP(subscriptions[[#This Row],[customer_id]], customers[customer_id], customers[customer_id])), "NO", "YES")</f>
        <v>YES</v>
      </c>
      <c r="H1197">
        <f>IF(AND(subscriptions[[#This Row],[end_date]]&lt;&gt;"", subscriptions[[#This Row],[end_date]] &lt; subscriptions[[#This Row],[start_date]]), 1, 0)</f>
        <v>0</v>
      </c>
      <c r="I11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7">
        <f>IF(
  AND(subscriptions[[#This Row],[end_before_start]]=0, subscriptions[[#This Row],[status_end_mismatch]]=0),
  1,
  0
)</f>
        <v>1</v>
      </c>
    </row>
    <row r="1198" spans="1:10" x14ac:dyDescent="0.3">
      <c r="A1198">
        <v>7133460</v>
      </c>
      <c r="B1198">
        <v>758589</v>
      </c>
      <c r="C1198">
        <v>1000</v>
      </c>
      <c r="D1198" s="1">
        <v>44759</v>
      </c>
      <c r="E1198" s="1"/>
      <c r="F1198" t="s">
        <v>3480</v>
      </c>
      <c r="G1198" t="str">
        <f>IF(ISNA(_xlfn.XLOOKUP(subscriptions[[#This Row],[customer_id]], customers[customer_id], customers[customer_id])), "NO", "YES")</f>
        <v>YES</v>
      </c>
      <c r="H1198">
        <f>IF(AND(subscriptions[[#This Row],[end_date]]&lt;&gt;"", subscriptions[[#This Row],[end_date]] &lt; subscriptions[[#This Row],[start_date]]), 1, 0)</f>
        <v>0</v>
      </c>
      <c r="I11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8">
        <f>IF(
  AND(subscriptions[[#This Row],[end_before_start]]=0, subscriptions[[#This Row],[status_end_mismatch]]=0),
  1,
  0
)</f>
        <v>1</v>
      </c>
    </row>
    <row r="1199" spans="1:10" x14ac:dyDescent="0.3">
      <c r="A1199">
        <v>4293151</v>
      </c>
      <c r="B1199">
        <v>349556</v>
      </c>
      <c r="C1199">
        <v>1003</v>
      </c>
      <c r="D1199" s="1">
        <v>44819</v>
      </c>
      <c r="E1199" s="1"/>
      <c r="F1199" t="s">
        <v>3480</v>
      </c>
      <c r="G1199" t="str">
        <f>IF(ISNA(_xlfn.XLOOKUP(subscriptions[[#This Row],[customer_id]], customers[customer_id], customers[customer_id])), "NO", "YES")</f>
        <v>YES</v>
      </c>
      <c r="H1199">
        <f>IF(AND(subscriptions[[#This Row],[end_date]]&lt;&gt;"", subscriptions[[#This Row],[end_date]] &lt; subscriptions[[#This Row],[start_date]]), 1, 0)</f>
        <v>0</v>
      </c>
      <c r="I11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199">
        <f>IF(
  AND(subscriptions[[#This Row],[end_before_start]]=0, subscriptions[[#This Row],[status_end_mismatch]]=0),
  1,
  0
)</f>
        <v>1</v>
      </c>
    </row>
    <row r="1200" spans="1:10" x14ac:dyDescent="0.3">
      <c r="A1200">
        <v>3177810</v>
      </c>
      <c r="B1200">
        <v>186424</v>
      </c>
      <c r="C1200">
        <v>1003</v>
      </c>
      <c r="D1200" s="1">
        <v>44854</v>
      </c>
      <c r="E1200" s="1"/>
      <c r="F1200" t="s">
        <v>3480</v>
      </c>
      <c r="G1200" t="str">
        <f>IF(ISNA(_xlfn.XLOOKUP(subscriptions[[#This Row],[customer_id]], customers[customer_id], customers[customer_id])), "NO", "YES")</f>
        <v>YES</v>
      </c>
      <c r="H1200">
        <f>IF(AND(subscriptions[[#This Row],[end_date]]&lt;&gt;"", subscriptions[[#This Row],[end_date]] &lt; subscriptions[[#This Row],[start_date]]), 1, 0)</f>
        <v>0</v>
      </c>
      <c r="I12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0">
        <f>IF(
  AND(subscriptions[[#This Row],[end_before_start]]=0, subscriptions[[#This Row],[status_end_mismatch]]=0),
  1,
  0
)</f>
        <v>1</v>
      </c>
    </row>
    <row r="1201" spans="1:10" x14ac:dyDescent="0.3">
      <c r="A1201">
        <v>2378902</v>
      </c>
      <c r="B1201">
        <v>894029</v>
      </c>
      <c r="C1201">
        <v>1001</v>
      </c>
      <c r="D1201" s="1">
        <v>44756</v>
      </c>
      <c r="E1201" s="1">
        <v>44930</v>
      </c>
      <c r="F1201" t="s">
        <v>3479</v>
      </c>
      <c r="G1201" t="str">
        <f>IF(ISNA(_xlfn.XLOOKUP(subscriptions[[#This Row],[customer_id]], customers[customer_id], customers[customer_id])), "NO", "YES")</f>
        <v>YES</v>
      </c>
      <c r="H1201">
        <f>IF(AND(subscriptions[[#This Row],[end_date]]&lt;&gt;"", subscriptions[[#This Row],[end_date]] &lt; subscriptions[[#This Row],[start_date]]), 1, 0)</f>
        <v>0</v>
      </c>
      <c r="I12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1">
        <f>IF(
  AND(subscriptions[[#This Row],[end_before_start]]=0, subscriptions[[#This Row],[status_end_mismatch]]=0),
  1,
  0
)</f>
        <v>1</v>
      </c>
    </row>
    <row r="1202" spans="1:10" x14ac:dyDescent="0.3">
      <c r="A1202">
        <v>2765436</v>
      </c>
      <c r="B1202">
        <v>887009</v>
      </c>
      <c r="C1202">
        <v>1007</v>
      </c>
      <c r="D1202" s="1">
        <v>45073</v>
      </c>
      <c r="E1202" s="1"/>
      <c r="F1202" t="s">
        <v>3480</v>
      </c>
      <c r="G1202" t="str">
        <f>IF(ISNA(_xlfn.XLOOKUP(subscriptions[[#This Row],[customer_id]], customers[customer_id], customers[customer_id])), "NO", "YES")</f>
        <v>YES</v>
      </c>
      <c r="H1202">
        <f>IF(AND(subscriptions[[#This Row],[end_date]]&lt;&gt;"", subscriptions[[#This Row],[end_date]] &lt; subscriptions[[#This Row],[start_date]]), 1, 0)</f>
        <v>0</v>
      </c>
      <c r="I12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2">
        <f>IF(
  AND(subscriptions[[#This Row],[end_before_start]]=0, subscriptions[[#This Row],[status_end_mismatch]]=0),
  1,
  0
)</f>
        <v>1</v>
      </c>
    </row>
    <row r="1203" spans="1:10" x14ac:dyDescent="0.3">
      <c r="A1203">
        <v>4097522</v>
      </c>
      <c r="B1203">
        <v>325258</v>
      </c>
      <c r="C1203">
        <v>1004</v>
      </c>
      <c r="D1203" s="1">
        <v>45178</v>
      </c>
      <c r="E1203" s="1"/>
      <c r="F1203" t="s">
        <v>3480</v>
      </c>
      <c r="G1203" t="str">
        <f>IF(ISNA(_xlfn.XLOOKUP(subscriptions[[#This Row],[customer_id]], customers[customer_id], customers[customer_id])), "NO", "YES")</f>
        <v>YES</v>
      </c>
      <c r="H1203">
        <f>IF(AND(subscriptions[[#This Row],[end_date]]&lt;&gt;"", subscriptions[[#This Row],[end_date]] &lt; subscriptions[[#This Row],[start_date]]), 1, 0)</f>
        <v>0</v>
      </c>
      <c r="I12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3">
        <f>IF(
  AND(subscriptions[[#This Row],[end_before_start]]=0, subscriptions[[#This Row],[status_end_mismatch]]=0),
  1,
  0
)</f>
        <v>1</v>
      </c>
    </row>
    <row r="1204" spans="1:10" x14ac:dyDescent="0.3">
      <c r="A1204">
        <v>8753576</v>
      </c>
      <c r="B1204">
        <v>809570</v>
      </c>
      <c r="C1204">
        <v>1004</v>
      </c>
      <c r="D1204" s="1">
        <v>45108</v>
      </c>
      <c r="E1204" s="1">
        <v>45205</v>
      </c>
      <c r="F1204" t="s">
        <v>3479</v>
      </c>
      <c r="G1204" t="str">
        <f>IF(ISNA(_xlfn.XLOOKUP(subscriptions[[#This Row],[customer_id]], customers[customer_id], customers[customer_id])), "NO", "YES")</f>
        <v>YES</v>
      </c>
      <c r="H1204">
        <f>IF(AND(subscriptions[[#This Row],[end_date]]&lt;&gt;"", subscriptions[[#This Row],[end_date]] &lt; subscriptions[[#This Row],[start_date]]), 1, 0)</f>
        <v>0</v>
      </c>
      <c r="I12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4">
        <f>IF(
  AND(subscriptions[[#This Row],[end_before_start]]=0, subscriptions[[#This Row],[status_end_mismatch]]=0),
  1,
  0
)</f>
        <v>1</v>
      </c>
    </row>
    <row r="1205" spans="1:10" x14ac:dyDescent="0.3">
      <c r="A1205">
        <v>6501987</v>
      </c>
      <c r="B1205">
        <v>152512</v>
      </c>
      <c r="C1205">
        <v>1001</v>
      </c>
      <c r="D1205" s="1">
        <v>45426</v>
      </c>
      <c r="E1205" s="1"/>
      <c r="F1205" t="s">
        <v>3480</v>
      </c>
      <c r="G1205" t="str">
        <f>IF(ISNA(_xlfn.XLOOKUP(subscriptions[[#This Row],[customer_id]], customers[customer_id], customers[customer_id])), "NO", "YES")</f>
        <v>YES</v>
      </c>
      <c r="H1205">
        <f>IF(AND(subscriptions[[#This Row],[end_date]]&lt;&gt;"", subscriptions[[#This Row],[end_date]] &lt; subscriptions[[#This Row],[start_date]]), 1, 0)</f>
        <v>0</v>
      </c>
      <c r="I12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5">
        <f>IF(
  AND(subscriptions[[#This Row],[end_before_start]]=0, subscriptions[[#This Row],[status_end_mismatch]]=0),
  1,
  0
)</f>
        <v>1</v>
      </c>
    </row>
    <row r="1206" spans="1:10" x14ac:dyDescent="0.3">
      <c r="A1206">
        <v>3436404</v>
      </c>
      <c r="B1206">
        <v>562094</v>
      </c>
      <c r="C1206">
        <v>1009</v>
      </c>
      <c r="D1206" s="1">
        <v>44632</v>
      </c>
      <c r="E1206" s="1">
        <v>44859</v>
      </c>
      <c r="F1206" t="s">
        <v>3479</v>
      </c>
      <c r="G1206" t="str">
        <f>IF(ISNA(_xlfn.XLOOKUP(subscriptions[[#This Row],[customer_id]], customers[customer_id], customers[customer_id])), "NO", "YES")</f>
        <v>YES</v>
      </c>
      <c r="H1206">
        <f>IF(AND(subscriptions[[#This Row],[end_date]]&lt;&gt;"", subscriptions[[#This Row],[end_date]] &lt; subscriptions[[#This Row],[start_date]]), 1, 0)</f>
        <v>0</v>
      </c>
      <c r="I12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6">
        <f>IF(
  AND(subscriptions[[#This Row],[end_before_start]]=0, subscriptions[[#This Row],[status_end_mismatch]]=0),
  1,
  0
)</f>
        <v>1</v>
      </c>
    </row>
    <row r="1207" spans="1:10" x14ac:dyDescent="0.3">
      <c r="A1207">
        <v>1805615</v>
      </c>
      <c r="B1207">
        <v>546688</v>
      </c>
      <c r="C1207">
        <v>1000</v>
      </c>
      <c r="D1207" s="1">
        <v>44967</v>
      </c>
      <c r="E1207" s="1">
        <v>45004</v>
      </c>
      <c r="F1207" t="s">
        <v>3479</v>
      </c>
      <c r="G1207" t="str">
        <f>IF(ISNA(_xlfn.XLOOKUP(subscriptions[[#This Row],[customer_id]], customers[customer_id], customers[customer_id])), "NO", "YES")</f>
        <v>YES</v>
      </c>
      <c r="H1207">
        <f>IF(AND(subscriptions[[#This Row],[end_date]]&lt;&gt;"", subscriptions[[#This Row],[end_date]] &lt; subscriptions[[#This Row],[start_date]]), 1, 0)</f>
        <v>0</v>
      </c>
      <c r="I12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7">
        <f>IF(
  AND(subscriptions[[#This Row],[end_before_start]]=0, subscriptions[[#This Row],[status_end_mismatch]]=0),
  1,
  0
)</f>
        <v>1</v>
      </c>
    </row>
    <row r="1208" spans="1:10" x14ac:dyDescent="0.3">
      <c r="A1208">
        <v>3398377</v>
      </c>
      <c r="B1208">
        <v>974994</v>
      </c>
      <c r="C1208">
        <v>1004</v>
      </c>
      <c r="D1208" s="1">
        <v>44631</v>
      </c>
      <c r="E1208" s="1">
        <v>44782</v>
      </c>
      <c r="F1208" t="s">
        <v>3479</v>
      </c>
      <c r="G1208" t="str">
        <f>IF(ISNA(_xlfn.XLOOKUP(subscriptions[[#This Row],[customer_id]], customers[customer_id], customers[customer_id])), "NO", "YES")</f>
        <v>YES</v>
      </c>
      <c r="H1208">
        <f>IF(AND(subscriptions[[#This Row],[end_date]]&lt;&gt;"", subscriptions[[#This Row],[end_date]] &lt; subscriptions[[#This Row],[start_date]]), 1, 0)</f>
        <v>0</v>
      </c>
      <c r="I12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8">
        <f>IF(
  AND(subscriptions[[#This Row],[end_before_start]]=0, subscriptions[[#This Row],[status_end_mismatch]]=0),
  1,
  0
)</f>
        <v>1</v>
      </c>
    </row>
    <row r="1209" spans="1:10" x14ac:dyDescent="0.3">
      <c r="A1209">
        <v>3715983</v>
      </c>
      <c r="B1209">
        <v>684194</v>
      </c>
      <c r="C1209">
        <v>1008</v>
      </c>
      <c r="D1209" s="1">
        <v>45374</v>
      </c>
      <c r="E1209" s="1"/>
      <c r="F1209" t="s">
        <v>3480</v>
      </c>
      <c r="G1209" t="str">
        <f>IF(ISNA(_xlfn.XLOOKUP(subscriptions[[#This Row],[customer_id]], customers[customer_id], customers[customer_id])), "NO", "YES")</f>
        <v>YES</v>
      </c>
      <c r="H1209">
        <f>IF(AND(subscriptions[[#This Row],[end_date]]&lt;&gt;"", subscriptions[[#This Row],[end_date]] &lt; subscriptions[[#This Row],[start_date]]), 1, 0)</f>
        <v>0</v>
      </c>
      <c r="I12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09">
        <f>IF(
  AND(subscriptions[[#This Row],[end_before_start]]=0, subscriptions[[#This Row],[status_end_mismatch]]=0),
  1,
  0
)</f>
        <v>1</v>
      </c>
    </row>
    <row r="1210" spans="1:10" x14ac:dyDescent="0.3">
      <c r="A1210">
        <v>9066089</v>
      </c>
      <c r="B1210">
        <v>584125</v>
      </c>
      <c r="C1210">
        <v>1008</v>
      </c>
      <c r="D1210" s="1">
        <v>45552</v>
      </c>
      <c r="E1210" s="1">
        <v>45637</v>
      </c>
      <c r="F1210" t="s">
        <v>3479</v>
      </c>
      <c r="G1210" t="str">
        <f>IF(ISNA(_xlfn.XLOOKUP(subscriptions[[#This Row],[customer_id]], customers[customer_id], customers[customer_id])), "NO", "YES")</f>
        <v>YES</v>
      </c>
      <c r="H1210">
        <f>IF(AND(subscriptions[[#This Row],[end_date]]&lt;&gt;"", subscriptions[[#This Row],[end_date]] &lt; subscriptions[[#This Row],[start_date]]), 1, 0)</f>
        <v>0</v>
      </c>
      <c r="I12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0">
        <f>IF(
  AND(subscriptions[[#This Row],[end_before_start]]=0, subscriptions[[#This Row],[status_end_mismatch]]=0),
  1,
  0
)</f>
        <v>1</v>
      </c>
    </row>
    <row r="1211" spans="1:10" x14ac:dyDescent="0.3">
      <c r="A1211">
        <v>7805792</v>
      </c>
      <c r="B1211">
        <v>445200</v>
      </c>
      <c r="C1211">
        <v>1004</v>
      </c>
      <c r="D1211" s="1">
        <v>45487</v>
      </c>
      <c r="E1211" s="1">
        <v>45638</v>
      </c>
      <c r="F1211" t="s">
        <v>3479</v>
      </c>
      <c r="G1211" t="str">
        <f>IF(ISNA(_xlfn.XLOOKUP(subscriptions[[#This Row],[customer_id]], customers[customer_id], customers[customer_id])), "NO", "YES")</f>
        <v>YES</v>
      </c>
      <c r="H1211">
        <f>IF(AND(subscriptions[[#This Row],[end_date]]&lt;&gt;"", subscriptions[[#This Row],[end_date]] &lt; subscriptions[[#This Row],[start_date]]), 1, 0)</f>
        <v>0</v>
      </c>
      <c r="I12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1">
        <f>IF(
  AND(subscriptions[[#This Row],[end_before_start]]=0, subscriptions[[#This Row],[status_end_mismatch]]=0),
  1,
  0
)</f>
        <v>1</v>
      </c>
    </row>
    <row r="1212" spans="1:10" x14ac:dyDescent="0.3">
      <c r="A1212">
        <v>5409130</v>
      </c>
      <c r="B1212">
        <v>755017</v>
      </c>
      <c r="C1212">
        <v>1002</v>
      </c>
      <c r="D1212" s="1">
        <v>45462</v>
      </c>
      <c r="E1212" s="1"/>
      <c r="F1212" t="s">
        <v>3480</v>
      </c>
      <c r="G1212" t="str">
        <f>IF(ISNA(_xlfn.XLOOKUP(subscriptions[[#This Row],[customer_id]], customers[customer_id], customers[customer_id])), "NO", "YES")</f>
        <v>YES</v>
      </c>
      <c r="H1212">
        <f>IF(AND(subscriptions[[#This Row],[end_date]]&lt;&gt;"", subscriptions[[#This Row],[end_date]] &lt; subscriptions[[#This Row],[start_date]]), 1, 0)</f>
        <v>0</v>
      </c>
      <c r="I12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2">
        <f>IF(
  AND(subscriptions[[#This Row],[end_before_start]]=0, subscriptions[[#This Row],[status_end_mismatch]]=0),
  1,
  0
)</f>
        <v>1</v>
      </c>
    </row>
    <row r="1213" spans="1:10" x14ac:dyDescent="0.3">
      <c r="A1213">
        <v>5685963</v>
      </c>
      <c r="B1213">
        <v>773088</v>
      </c>
      <c r="C1213">
        <v>1000</v>
      </c>
      <c r="D1213" s="1">
        <v>45252</v>
      </c>
      <c r="E1213" s="1"/>
      <c r="F1213" t="s">
        <v>3480</v>
      </c>
      <c r="G1213" t="str">
        <f>IF(ISNA(_xlfn.XLOOKUP(subscriptions[[#This Row],[customer_id]], customers[customer_id], customers[customer_id])), "NO", "YES")</f>
        <v>YES</v>
      </c>
      <c r="H1213">
        <f>IF(AND(subscriptions[[#This Row],[end_date]]&lt;&gt;"", subscriptions[[#This Row],[end_date]] &lt; subscriptions[[#This Row],[start_date]]), 1, 0)</f>
        <v>0</v>
      </c>
      <c r="I12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3">
        <f>IF(
  AND(subscriptions[[#This Row],[end_before_start]]=0, subscriptions[[#This Row],[status_end_mismatch]]=0),
  1,
  0
)</f>
        <v>1</v>
      </c>
    </row>
    <row r="1214" spans="1:10" x14ac:dyDescent="0.3">
      <c r="A1214">
        <v>4125920</v>
      </c>
      <c r="B1214">
        <v>648913</v>
      </c>
      <c r="C1214">
        <v>1003</v>
      </c>
      <c r="D1214" s="1">
        <v>45084</v>
      </c>
      <c r="E1214" s="1"/>
      <c r="F1214" t="s">
        <v>3480</v>
      </c>
      <c r="G1214" t="str">
        <f>IF(ISNA(_xlfn.XLOOKUP(subscriptions[[#This Row],[customer_id]], customers[customer_id], customers[customer_id])), "NO", "YES")</f>
        <v>YES</v>
      </c>
      <c r="H1214">
        <f>IF(AND(subscriptions[[#This Row],[end_date]]&lt;&gt;"", subscriptions[[#This Row],[end_date]] &lt; subscriptions[[#This Row],[start_date]]), 1, 0)</f>
        <v>0</v>
      </c>
      <c r="I12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4">
        <f>IF(
  AND(subscriptions[[#This Row],[end_before_start]]=0, subscriptions[[#This Row],[status_end_mismatch]]=0),
  1,
  0
)</f>
        <v>1</v>
      </c>
    </row>
    <row r="1215" spans="1:10" x14ac:dyDescent="0.3">
      <c r="A1215">
        <v>9176462</v>
      </c>
      <c r="B1215">
        <v>953047</v>
      </c>
      <c r="C1215">
        <v>1005</v>
      </c>
      <c r="D1215" s="1">
        <v>45496</v>
      </c>
      <c r="E1215" s="1">
        <v>45630</v>
      </c>
      <c r="F1215" t="s">
        <v>3479</v>
      </c>
      <c r="G1215" t="str">
        <f>IF(ISNA(_xlfn.XLOOKUP(subscriptions[[#This Row],[customer_id]], customers[customer_id], customers[customer_id])), "NO", "YES")</f>
        <v>YES</v>
      </c>
      <c r="H1215">
        <f>IF(AND(subscriptions[[#This Row],[end_date]]&lt;&gt;"", subscriptions[[#This Row],[end_date]] &lt; subscriptions[[#This Row],[start_date]]), 1, 0)</f>
        <v>0</v>
      </c>
      <c r="I12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5">
        <f>IF(
  AND(subscriptions[[#This Row],[end_before_start]]=0, subscriptions[[#This Row],[status_end_mismatch]]=0),
  1,
  0
)</f>
        <v>1</v>
      </c>
    </row>
    <row r="1216" spans="1:10" x14ac:dyDescent="0.3">
      <c r="A1216">
        <v>6744099</v>
      </c>
      <c r="B1216">
        <v>748985</v>
      </c>
      <c r="C1216">
        <v>1009</v>
      </c>
      <c r="D1216" s="1">
        <v>45100</v>
      </c>
      <c r="E1216" s="1"/>
      <c r="F1216" t="s">
        <v>3480</v>
      </c>
      <c r="G1216" t="str">
        <f>IF(ISNA(_xlfn.XLOOKUP(subscriptions[[#This Row],[customer_id]], customers[customer_id], customers[customer_id])), "NO", "YES")</f>
        <v>YES</v>
      </c>
      <c r="H1216">
        <f>IF(AND(subscriptions[[#This Row],[end_date]]&lt;&gt;"", subscriptions[[#This Row],[end_date]] &lt; subscriptions[[#This Row],[start_date]]), 1, 0)</f>
        <v>0</v>
      </c>
      <c r="I12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6">
        <f>IF(
  AND(subscriptions[[#This Row],[end_before_start]]=0, subscriptions[[#This Row],[status_end_mismatch]]=0),
  1,
  0
)</f>
        <v>1</v>
      </c>
    </row>
    <row r="1217" spans="1:10" x14ac:dyDescent="0.3">
      <c r="A1217">
        <v>7130767</v>
      </c>
      <c r="B1217">
        <v>508396</v>
      </c>
      <c r="C1217">
        <v>1007</v>
      </c>
      <c r="D1217" s="1">
        <v>45435</v>
      </c>
      <c r="E1217" s="1">
        <v>45653</v>
      </c>
      <c r="F1217" t="s">
        <v>3479</v>
      </c>
      <c r="G1217" t="str">
        <f>IF(ISNA(_xlfn.XLOOKUP(subscriptions[[#This Row],[customer_id]], customers[customer_id], customers[customer_id])), "NO", "YES")</f>
        <v>YES</v>
      </c>
      <c r="H1217">
        <f>IF(AND(subscriptions[[#This Row],[end_date]]&lt;&gt;"", subscriptions[[#This Row],[end_date]] &lt; subscriptions[[#This Row],[start_date]]), 1, 0)</f>
        <v>0</v>
      </c>
      <c r="I12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7">
        <f>IF(
  AND(subscriptions[[#This Row],[end_before_start]]=0, subscriptions[[#This Row],[status_end_mismatch]]=0),
  1,
  0
)</f>
        <v>1</v>
      </c>
    </row>
    <row r="1218" spans="1:10" x14ac:dyDescent="0.3">
      <c r="A1218">
        <v>2586848</v>
      </c>
      <c r="B1218">
        <v>677079</v>
      </c>
      <c r="C1218">
        <v>1008</v>
      </c>
      <c r="D1218" s="1">
        <v>45027</v>
      </c>
      <c r="E1218" s="1">
        <v>45113</v>
      </c>
      <c r="F1218" t="s">
        <v>3479</v>
      </c>
      <c r="G1218" t="str">
        <f>IF(ISNA(_xlfn.XLOOKUP(subscriptions[[#This Row],[customer_id]], customers[customer_id], customers[customer_id])), "NO", "YES")</f>
        <v>YES</v>
      </c>
      <c r="H1218">
        <f>IF(AND(subscriptions[[#This Row],[end_date]]&lt;&gt;"", subscriptions[[#This Row],[end_date]] &lt; subscriptions[[#This Row],[start_date]]), 1, 0)</f>
        <v>0</v>
      </c>
      <c r="I12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8">
        <f>IF(
  AND(subscriptions[[#This Row],[end_before_start]]=0, subscriptions[[#This Row],[status_end_mismatch]]=0),
  1,
  0
)</f>
        <v>1</v>
      </c>
    </row>
    <row r="1219" spans="1:10" x14ac:dyDescent="0.3">
      <c r="A1219">
        <v>3017925</v>
      </c>
      <c r="B1219">
        <v>861253</v>
      </c>
      <c r="C1219">
        <v>1009</v>
      </c>
      <c r="D1219" s="1">
        <v>45167</v>
      </c>
      <c r="E1219" s="1"/>
      <c r="F1219" t="s">
        <v>3480</v>
      </c>
      <c r="G1219" t="str">
        <f>IF(ISNA(_xlfn.XLOOKUP(subscriptions[[#This Row],[customer_id]], customers[customer_id], customers[customer_id])), "NO", "YES")</f>
        <v>YES</v>
      </c>
      <c r="H1219">
        <f>IF(AND(subscriptions[[#This Row],[end_date]]&lt;&gt;"", subscriptions[[#This Row],[end_date]] &lt; subscriptions[[#This Row],[start_date]]), 1, 0)</f>
        <v>0</v>
      </c>
      <c r="I12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19">
        <f>IF(
  AND(subscriptions[[#This Row],[end_before_start]]=0, subscriptions[[#This Row],[status_end_mismatch]]=0),
  1,
  0
)</f>
        <v>1</v>
      </c>
    </row>
    <row r="1220" spans="1:10" x14ac:dyDescent="0.3">
      <c r="A1220">
        <v>6832167</v>
      </c>
      <c r="B1220">
        <v>113721</v>
      </c>
      <c r="C1220">
        <v>1003</v>
      </c>
      <c r="D1220" s="1">
        <v>45190</v>
      </c>
      <c r="E1220" s="1"/>
      <c r="F1220" t="s">
        <v>3480</v>
      </c>
      <c r="G1220" t="str">
        <f>IF(ISNA(_xlfn.XLOOKUP(subscriptions[[#This Row],[customer_id]], customers[customer_id], customers[customer_id])), "NO", "YES")</f>
        <v>YES</v>
      </c>
      <c r="H1220">
        <f>IF(AND(subscriptions[[#This Row],[end_date]]&lt;&gt;"", subscriptions[[#This Row],[end_date]] &lt; subscriptions[[#This Row],[start_date]]), 1, 0)</f>
        <v>0</v>
      </c>
      <c r="I12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0">
        <f>IF(
  AND(subscriptions[[#This Row],[end_before_start]]=0, subscriptions[[#This Row],[status_end_mismatch]]=0),
  1,
  0
)</f>
        <v>1</v>
      </c>
    </row>
    <row r="1221" spans="1:10" x14ac:dyDescent="0.3">
      <c r="A1221">
        <v>2391959</v>
      </c>
      <c r="B1221">
        <v>758816</v>
      </c>
      <c r="C1221">
        <v>1009</v>
      </c>
      <c r="D1221" s="1">
        <v>45595</v>
      </c>
      <c r="E1221" s="1"/>
      <c r="F1221" t="s">
        <v>3480</v>
      </c>
      <c r="G1221" t="str">
        <f>IF(ISNA(_xlfn.XLOOKUP(subscriptions[[#This Row],[customer_id]], customers[customer_id], customers[customer_id])), "NO", "YES")</f>
        <v>YES</v>
      </c>
      <c r="H1221">
        <f>IF(AND(subscriptions[[#This Row],[end_date]]&lt;&gt;"", subscriptions[[#This Row],[end_date]] &lt; subscriptions[[#This Row],[start_date]]), 1, 0)</f>
        <v>0</v>
      </c>
      <c r="I12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1">
        <f>IF(
  AND(subscriptions[[#This Row],[end_before_start]]=0, subscriptions[[#This Row],[status_end_mismatch]]=0),
  1,
  0
)</f>
        <v>1</v>
      </c>
    </row>
    <row r="1222" spans="1:10" x14ac:dyDescent="0.3">
      <c r="A1222">
        <v>9571557</v>
      </c>
      <c r="B1222">
        <v>334081</v>
      </c>
      <c r="C1222">
        <v>1008</v>
      </c>
      <c r="D1222" s="1">
        <v>44961</v>
      </c>
      <c r="E1222" s="1"/>
      <c r="F1222" t="s">
        <v>3480</v>
      </c>
      <c r="G1222" t="str">
        <f>IF(ISNA(_xlfn.XLOOKUP(subscriptions[[#This Row],[customer_id]], customers[customer_id], customers[customer_id])), "NO", "YES")</f>
        <v>YES</v>
      </c>
      <c r="H1222">
        <f>IF(AND(subscriptions[[#This Row],[end_date]]&lt;&gt;"", subscriptions[[#This Row],[end_date]] &lt; subscriptions[[#This Row],[start_date]]), 1, 0)</f>
        <v>0</v>
      </c>
      <c r="I12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2">
        <f>IF(
  AND(subscriptions[[#This Row],[end_before_start]]=0, subscriptions[[#This Row],[status_end_mismatch]]=0),
  1,
  0
)</f>
        <v>1</v>
      </c>
    </row>
    <row r="1223" spans="1:10" x14ac:dyDescent="0.3">
      <c r="A1223">
        <v>4722144</v>
      </c>
      <c r="B1223">
        <v>938754</v>
      </c>
      <c r="C1223">
        <v>1000</v>
      </c>
      <c r="D1223" s="1">
        <v>44596</v>
      </c>
      <c r="E1223" s="1"/>
      <c r="F1223" t="s">
        <v>3480</v>
      </c>
      <c r="G1223" t="str">
        <f>IF(ISNA(_xlfn.XLOOKUP(subscriptions[[#This Row],[customer_id]], customers[customer_id], customers[customer_id])), "NO", "YES")</f>
        <v>YES</v>
      </c>
      <c r="H1223">
        <f>IF(AND(subscriptions[[#This Row],[end_date]]&lt;&gt;"", subscriptions[[#This Row],[end_date]] &lt; subscriptions[[#This Row],[start_date]]), 1, 0)</f>
        <v>0</v>
      </c>
      <c r="I12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3">
        <f>IF(
  AND(subscriptions[[#This Row],[end_before_start]]=0, subscriptions[[#This Row],[status_end_mismatch]]=0),
  1,
  0
)</f>
        <v>1</v>
      </c>
    </row>
    <row r="1224" spans="1:10" x14ac:dyDescent="0.3">
      <c r="A1224">
        <v>6938069</v>
      </c>
      <c r="B1224">
        <v>997343</v>
      </c>
      <c r="C1224">
        <v>1009</v>
      </c>
      <c r="D1224" s="1">
        <v>44872</v>
      </c>
      <c r="E1224" s="1"/>
      <c r="F1224" t="s">
        <v>3480</v>
      </c>
      <c r="G1224" t="str">
        <f>IF(ISNA(_xlfn.XLOOKUP(subscriptions[[#This Row],[customer_id]], customers[customer_id], customers[customer_id])), "NO", "YES")</f>
        <v>YES</v>
      </c>
      <c r="H1224">
        <f>IF(AND(subscriptions[[#This Row],[end_date]]&lt;&gt;"", subscriptions[[#This Row],[end_date]] &lt; subscriptions[[#This Row],[start_date]]), 1, 0)</f>
        <v>0</v>
      </c>
      <c r="I12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4">
        <f>IF(
  AND(subscriptions[[#This Row],[end_before_start]]=0, subscriptions[[#This Row],[status_end_mismatch]]=0),
  1,
  0
)</f>
        <v>1</v>
      </c>
    </row>
    <row r="1225" spans="1:10" x14ac:dyDescent="0.3">
      <c r="A1225">
        <v>9901345</v>
      </c>
      <c r="B1225">
        <v>221886</v>
      </c>
      <c r="C1225">
        <v>1007</v>
      </c>
      <c r="D1225" s="1">
        <v>44658</v>
      </c>
      <c r="E1225" s="1">
        <v>44873</v>
      </c>
      <c r="F1225" t="s">
        <v>3479</v>
      </c>
      <c r="G1225" t="str">
        <f>IF(ISNA(_xlfn.XLOOKUP(subscriptions[[#This Row],[customer_id]], customers[customer_id], customers[customer_id])), "NO", "YES")</f>
        <v>YES</v>
      </c>
      <c r="H1225">
        <f>IF(AND(subscriptions[[#This Row],[end_date]]&lt;&gt;"", subscriptions[[#This Row],[end_date]] &lt; subscriptions[[#This Row],[start_date]]), 1, 0)</f>
        <v>0</v>
      </c>
      <c r="I12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5">
        <f>IF(
  AND(subscriptions[[#This Row],[end_before_start]]=0, subscriptions[[#This Row],[status_end_mismatch]]=0),
  1,
  0
)</f>
        <v>1</v>
      </c>
    </row>
    <row r="1226" spans="1:10" x14ac:dyDescent="0.3">
      <c r="A1226">
        <v>4865865</v>
      </c>
      <c r="B1226">
        <v>828799</v>
      </c>
      <c r="C1226">
        <v>1009</v>
      </c>
      <c r="D1226" s="1">
        <v>44903</v>
      </c>
      <c r="E1226" s="1"/>
      <c r="F1226" t="s">
        <v>3480</v>
      </c>
      <c r="G1226" t="str">
        <f>IF(ISNA(_xlfn.XLOOKUP(subscriptions[[#This Row],[customer_id]], customers[customer_id], customers[customer_id])), "NO", "YES")</f>
        <v>YES</v>
      </c>
      <c r="H1226">
        <f>IF(AND(subscriptions[[#This Row],[end_date]]&lt;&gt;"", subscriptions[[#This Row],[end_date]] &lt; subscriptions[[#This Row],[start_date]]), 1, 0)</f>
        <v>0</v>
      </c>
      <c r="I12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6">
        <f>IF(
  AND(subscriptions[[#This Row],[end_before_start]]=0, subscriptions[[#This Row],[status_end_mismatch]]=0),
  1,
  0
)</f>
        <v>1</v>
      </c>
    </row>
    <row r="1227" spans="1:10" x14ac:dyDescent="0.3">
      <c r="A1227">
        <v>2680038</v>
      </c>
      <c r="B1227">
        <v>859181</v>
      </c>
      <c r="C1227">
        <v>1005</v>
      </c>
      <c r="D1227" s="1">
        <v>44901</v>
      </c>
      <c r="E1227" s="1">
        <v>45247</v>
      </c>
      <c r="F1227" t="s">
        <v>3479</v>
      </c>
      <c r="G1227" t="str">
        <f>IF(ISNA(_xlfn.XLOOKUP(subscriptions[[#This Row],[customer_id]], customers[customer_id], customers[customer_id])), "NO", "YES")</f>
        <v>YES</v>
      </c>
      <c r="H1227">
        <f>IF(AND(subscriptions[[#This Row],[end_date]]&lt;&gt;"", subscriptions[[#This Row],[end_date]] &lt; subscriptions[[#This Row],[start_date]]), 1, 0)</f>
        <v>0</v>
      </c>
      <c r="I12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7">
        <f>IF(
  AND(subscriptions[[#This Row],[end_before_start]]=0, subscriptions[[#This Row],[status_end_mismatch]]=0),
  1,
  0
)</f>
        <v>1</v>
      </c>
    </row>
    <row r="1228" spans="1:10" x14ac:dyDescent="0.3">
      <c r="A1228">
        <v>4795970</v>
      </c>
      <c r="B1228">
        <v>537605</v>
      </c>
      <c r="C1228">
        <v>1001</v>
      </c>
      <c r="D1228" s="1">
        <v>44873</v>
      </c>
      <c r="E1228" s="1"/>
      <c r="F1228" t="s">
        <v>3480</v>
      </c>
      <c r="G1228" t="str">
        <f>IF(ISNA(_xlfn.XLOOKUP(subscriptions[[#This Row],[customer_id]], customers[customer_id], customers[customer_id])), "NO", "YES")</f>
        <v>YES</v>
      </c>
      <c r="H1228">
        <f>IF(AND(subscriptions[[#This Row],[end_date]]&lt;&gt;"", subscriptions[[#This Row],[end_date]] &lt; subscriptions[[#This Row],[start_date]]), 1, 0)</f>
        <v>0</v>
      </c>
      <c r="I12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8">
        <f>IF(
  AND(subscriptions[[#This Row],[end_before_start]]=0, subscriptions[[#This Row],[status_end_mismatch]]=0),
  1,
  0
)</f>
        <v>1</v>
      </c>
    </row>
    <row r="1229" spans="1:10" x14ac:dyDescent="0.3">
      <c r="A1229">
        <v>8113803</v>
      </c>
      <c r="B1229">
        <v>779885</v>
      </c>
      <c r="C1229">
        <v>1007</v>
      </c>
      <c r="D1229" s="1">
        <v>44976</v>
      </c>
      <c r="E1229" s="1"/>
      <c r="F1229" t="s">
        <v>3480</v>
      </c>
      <c r="G1229" t="str">
        <f>IF(ISNA(_xlfn.XLOOKUP(subscriptions[[#This Row],[customer_id]], customers[customer_id], customers[customer_id])), "NO", "YES")</f>
        <v>YES</v>
      </c>
      <c r="H1229">
        <f>IF(AND(subscriptions[[#This Row],[end_date]]&lt;&gt;"", subscriptions[[#This Row],[end_date]] &lt; subscriptions[[#This Row],[start_date]]), 1, 0)</f>
        <v>0</v>
      </c>
      <c r="I12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29">
        <f>IF(
  AND(subscriptions[[#This Row],[end_before_start]]=0, subscriptions[[#This Row],[status_end_mismatch]]=0),
  1,
  0
)</f>
        <v>1</v>
      </c>
    </row>
    <row r="1230" spans="1:10" x14ac:dyDescent="0.3">
      <c r="A1230">
        <v>7725530</v>
      </c>
      <c r="B1230">
        <v>608069</v>
      </c>
      <c r="C1230">
        <v>1009</v>
      </c>
      <c r="D1230" s="1">
        <v>45169</v>
      </c>
      <c r="E1230" s="1"/>
      <c r="F1230" t="s">
        <v>3480</v>
      </c>
      <c r="G1230" t="str">
        <f>IF(ISNA(_xlfn.XLOOKUP(subscriptions[[#This Row],[customer_id]], customers[customer_id], customers[customer_id])), "NO", "YES")</f>
        <v>YES</v>
      </c>
      <c r="H1230">
        <f>IF(AND(subscriptions[[#This Row],[end_date]]&lt;&gt;"", subscriptions[[#This Row],[end_date]] &lt; subscriptions[[#This Row],[start_date]]), 1, 0)</f>
        <v>0</v>
      </c>
      <c r="I12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0">
        <f>IF(
  AND(subscriptions[[#This Row],[end_before_start]]=0, subscriptions[[#This Row],[status_end_mismatch]]=0),
  1,
  0
)</f>
        <v>1</v>
      </c>
    </row>
    <row r="1231" spans="1:10" x14ac:dyDescent="0.3">
      <c r="A1231">
        <v>9753488</v>
      </c>
      <c r="B1231">
        <v>812591</v>
      </c>
      <c r="C1231">
        <v>1009</v>
      </c>
      <c r="D1231" s="1">
        <v>45424</v>
      </c>
      <c r="E1231" s="1">
        <v>45647</v>
      </c>
      <c r="F1231" t="s">
        <v>3479</v>
      </c>
      <c r="G1231" t="str">
        <f>IF(ISNA(_xlfn.XLOOKUP(subscriptions[[#This Row],[customer_id]], customers[customer_id], customers[customer_id])), "NO", "YES")</f>
        <v>YES</v>
      </c>
      <c r="H1231">
        <f>IF(AND(subscriptions[[#This Row],[end_date]]&lt;&gt;"", subscriptions[[#This Row],[end_date]] &lt; subscriptions[[#This Row],[start_date]]), 1, 0)</f>
        <v>0</v>
      </c>
      <c r="I12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1">
        <f>IF(
  AND(subscriptions[[#This Row],[end_before_start]]=0, subscriptions[[#This Row],[status_end_mismatch]]=0),
  1,
  0
)</f>
        <v>1</v>
      </c>
    </row>
    <row r="1232" spans="1:10" x14ac:dyDescent="0.3">
      <c r="A1232">
        <v>3283712</v>
      </c>
      <c r="B1232">
        <v>855276</v>
      </c>
      <c r="C1232">
        <v>1005</v>
      </c>
      <c r="D1232" s="1">
        <v>45176</v>
      </c>
      <c r="E1232" s="1"/>
      <c r="F1232" t="s">
        <v>3480</v>
      </c>
      <c r="G1232" t="str">
        <f>IF(ISNA(_xlfn.XLOOKUP(subscriptions[[#This Row],[customer_id]], customers[customer_id], customers[customer_id])), "NO", "YES")</f>
        <v>YES</v>
      </c>
      <c r="H1232">
        <f>IF(AND(subscriptions[[#This Row],[end_date]]&lt;&gt;"", subscriptions[[#This Row],[end_date]] &lt; subscriptions[[#This Row],[start_date]]), 1, 0)</f>
        <v>0</v>
      </c>
      <c r="I12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2">
        <f>IF(
  AND(subscriptions[[#This Row],[end_before_start]]=0, subscriptions[[#This Row],[status_end_mismatch]]=0),
  1,
  0
)</f>
        <v>1</v>
      </c>
    </row>
    <row r="1233" spans="1:10" x14ac:dyDescent="0.3">
      <c r="A1233">
        <v>5216604</v>
      </c>
      <c r="B1233">
        <v>771088</v>
      </c>
      <c r="C1233">
        <v>1007</v>
      </c>
      <c r="D1233" s="1">
        <v>45200</v>
      </c>
      <c r="E1233" s="1"/>
      <c r="F1233" t="s">
        <v>3480</v>
      </c>
      <c r="G1233" t="str">
        <f>IF(ISNA(_xlfn.XLOOKUP(subscriptions[[#This Row],[customer_id]], customers[customer_id], customers[customer_id])), "NO", "YES")</f>
        <v>YES</v>
      </c>
      <c r="H1233">
        <f>IF(AND(subscriptions[[#This Row],[end_date]]&lt;&gt;"", subscriptions[[#This Row],[end_date]] &lt; subscriptions[[#This Row],[start_date]]), 1, 0)</f>
        <v>0</v>
      </c>
      <c r="I12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3">
        <f>IF(
  AND(subscriptions[[#This Row],[end_before_start]]=0, subscriptions[[#This Row],[status_end_mismatch]]=0),
  1,
  0
)</f>
        <v>1</v>
      </c>
    </row>
    <row r="1234" spans="1:10" x14ac:dyDescent="0.3">
      <c r="A1234">
        <v>2120966</v>
      </c>
      <c r="B1234">
        <v>627054</v>
      </c>
      <c r="C1234">
        <v>1007</v>
      </c>
      <c r="D1234" s="1">
        <v>44683</v>
      </c>
      <c r="E1234" s="1">
        <v>44784</v>
      </c>
      <c r="F1234" t="s">
        <v>3479</v>
      </c>
      <c r="G1234" t="str">
        <f>IF(ISNA(_xlfn.XLOOKUP(subscriptions[[#This Row],[customer_id]], customers[customer_id], customers[customer_id])), "NO", "YES")</f>
        <v>YES</v>
      </c>
      <c r="H1234">
        <f>IF(AND(subscriptions[[#This Row],[end_date]]&lt;&gt;"", subscriptions[[#This Row],[end_date]] &lt; subscriptions[[#This Row],[start_date]]), 1, 0)</f>
        <v>0</v>
      </c>
      <c r="I12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4">
        <f>IF(
  AND(subscriptions[[#This Row],[end_before_start]]=0, subscriptions[[#This Row],[status_end_mismatch]]=0),
  1,
  0
)</f>
        <v>1</v>
      </c>
    </row>
    <row r="1235" spans="1:10" x14ac:dyDescent="0.3">
      <c r="A1235">
        <v>3412422</v>
      </c>
      <c r="B1235">
        <v>991215</v>
      </c>
      <c r="C1235">
        <v>1005</v>
      </c>
      <c r="D1235" s="1">
        <v>45546</v>
      </c>
      <c r="E1235" s="1">
        <v>45645</v>
      </c>
      <c r="F1235" t="s">
        <v>3479</v>
      </c>
      <c r="G1235" t="str">
        <f>IF(ISNA(_xlfn.XLOOKUP(subscriptions[[#This Row],[customer_id]], customers[customer_id], customers[customer_id])), "NO", "YES")</f>
        <v>YES</v>
      </c>
      <c r="H1235">
        <f>IF(AND(subscriptions[[#This Row],[end_date]]&lt;&gt;"", subscriptions[[#This Row],[end_date]] &lt; subscriptions[[#This Row],[start_date]]), 1, 0)</f>
        <v>0</v>
      </c>
      <c r="I12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5">
        <f>IF(
  AND(subscriptions[[#This Row],[end_before_start]]=0, subscriptions[[#This Row],[status_end_mismatch]]=0),
  1,
  0
)</f>
        <v>1</v>
      </c>
    </row>
    <row r="1236" spans="1:10" x14ac:dyDescent="0.3">
      <c r="A1236">
        <v>3675009</v>
      </c>
      <c r="B1236">
        <v>134303</v>
      </c>
      <c r="C1236">
        <v>1004</v>
      </c>
      <c r="D1236" s="1">
        <v>45420</v>
      </c>
      <c r="E1236" s="1"/>
      <c r="F1236" t="s">
        <v>3480</v>
      </c>
      <c r="G1236" t="str">
        <f>IF(ISNA(_xlfn.XLOOKUP(subscriptions[[#This Row],[customer_id]], customers[customer_id], customers[customer_id])), "NO", "YES")</f>
        <v>YES</v>
      </c>
      <c r="H1236">
        <f>IF(AND(subscriptions[[#This Row],[end_date]]&lt;&gt;"", subscriptions[[#This Row],[end_date]] &lt; subscriptions[[#This Row],[start_date]]), 1, 0)</f>
        <v>0</v>
      </c>
      <c r="I12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6">
        <f>IF(
  AND(subscriptions[[#This Row],[end_before_start]]=0, subscriptions[[#This Row],[status_end_mismatch]]=0),
  1,
  0
)</f>
        <v>1</v>
      </c>
    </row>
    <row r="1237" spans="1:10" x14ac:dyDescent="0.3">
      <c r="A1237">
        <v>4244232</v>
      </c>
      <c r="B1237">
        <v>516174</v>
      </c>
      <c r="C1237">
        <v>1005</v>
      </c>
      <c r="D1237" s="1">
        <v>45071</v>
      </c>
      <c r="E1237" s="1">
        <v>45137</v>
      </c>
      <c r="F1237" t="s">
        <v>3479</v>
      </c>
      <c r="G1237" t="str">
        <f>IF(ISNA(_xlfn.XLOOKUP(subscriptions[[#This Row],[customer_id]], customers[customer_id], customers[customer_id])), "NO", "YES")</f>
        <v>YES</v>
      </c>
      <c r="H1237">
        <f>IF(AND(subscriptions[[#This Row],[end_date]]&lt;&gt;"", subscriptions[[#This Row],[end_date]] &lt; subscriptions[[#This Row],[start_date]]), 1, 0)</f>
        <v>0</v>
      </c>
      <c r="I12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7">
        <f>IF(
  AND(subscriptions[[#This Row],[end_before_start]]=0, subscriptions[[#This Row],[status_end_mismatch]]=0),
  1,
  0
)</f>
        <v>1</v>
      </c>
    </row>
    <row r="1238" spans="1:10" x14ac:dyDescent="0.3">
      <c r="A1238">
        <v>4796768</v>
      </c>
      <c r="B1238">
        <v>829765</v>
      </c>
      <c r="C1238">
        <v>1009</v>
      </c>
      <c r="D1238" s="1">
        <v>45127</v>
      </c>
      <c r="E1238" s="1"/>
      <c r="F1238" t="s">
        <v>3480</v>
      </c>
      <c r="G1238" t="str">
        <f>IF(ISNA(_xlfn.XLOOKUP(subscriptions[[#This Row],[customer_id]], customers[customer_id], customers[customer_id])), "NO", "YES")</f>
        <v>YES</v>
      </c>
      <c r="H1238">
        <f>IF(AND(subscriptions[[#This Row],[end_date]]&lt;&gt;"", subscriptions[[#This Row],[end_date]] &lt; subscriptions[[#This Row],[start_date]]), 1, 0)</f>
        <v>0</v>
      </c>
      <c r="I12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8">
        <f>IF(
  AND(subscriptions[[#This Row],[end_before_start]]=0, subscriptions[[#This Row],[status_end_mismatch]]=0),
  1,
  0
)</f>
        <v>1</v>
      </c>
    </row>
    <row r="1239" spans="1:10" x14ac:dyDescent="0.3">
      <c r="A1239">
        <v>7735054</v>
      </c>
      <c r="B1239">
        <v>954441</v>
      </c>
      <c r="C1239">
        <v>1000</v>
      </c>
      <c r="D1239" s="1">
        <v>44814</v>
      </c>
      <c r="E1239" s="1">
        <v>45143</v>
      </c>
      <c r="F1239" t="s">
        <v>3479</v>
      </c>
      <c r="G1239" t="str">
        <f>IF(ISNA(_xlfn.XLOOKUP(subscriptions[[#This Row],[customer_id]], customers[customer_id], customers[customer_id])), "NO", "YES")</f>
        <v>YES</v>
      </c>
      <c r="H1239">
        <f>IF(AND(subscriptions[[#This Row],[end_date]]&lt;&gt;"", subscriptions[[#This Row],[end_date]] &lt; subscriptions[[#This Row],[start_date]]), 1, 0)</f>
        <v>0</v>
      </c>
      <c r="I12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39">
        <f>IF(
  AND(subscriptions[[#This Row],[end_before_start]]=0, subscriptions[[#This Row],[status_end_mismatch]]=0),
  1,
  0
)</f>
        <v>1</v>
      </c>
    </row>
    <row r="1240" spans="1:10" x14ac:dyDescent="0.3">
      <c r="A1240">
        <v>3547556</v>
      </c>
      <c r="B1240">
        <v>456844</v>
      </c>
      <c r="C1240">
        <v>1001</v>
      </c>
      <c r="D1240" s="1">
        <v>44983</v>
      </c>
      <c r="E1240" s="1"/>
      <c r="F1240" t="s">
        <v>3480</v>
      </c>
      <c r="G1240" t="str">
        <f>IF(ISNA(_xlfn.XLOOKUP(subscriptions[[#This Row],[customer_id]], customers[customer_id], customers[customer_id])), "NO", "YES")</f>
        <v>YES</v>
      </c>
      <c r="H1240">
        <f>IF(AND(subscriptions[[#This Row],[end_date]]&lt;&gt;"", subscriptions[[#This Row],[end_date]] &lt; subscriptions[[#This Row],[start_date]]), 1, 0)</f>
        <v>0</v>
      </c>
      <c r="I12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0">
        <f>IF(
  AND(subscriptions[[#This Row],[end_before_start]]=0, subscriptions[[#This Row],[status_end_mismatch]]=0),
  1,
  0
)</f>
        <v>1</v>
      </c>
    </row>
    <row r="1241" spans="1:10" x14ac:dyDescent="0.3">
      <c r="A1241">
        <v>5621624</v>
      </c>
      <c r="B1241">
        <v>828531</v>
      </c>
      <c r="C1241">
        <v>1005</v>
      </c>
      <c r="D1241" s="1">
        <v>45232</v>
      </c>
      <c r="E1241" s="1"/>
      <c r="F1241" t="s">
        <v>3480</v>
      </c>
      <c r="G1241" t="str">
        <f>IF(ISNA(_xlfn.XLOOKUP(subscriptions[[#This Row],[customer_id]], customers[customer_id], customers[customer_id])), "NO", "YES")</f>
        <v>YES</v>
      </c>
      <c r="H1241">
        <f>IF(AND(subscriptions[[#This Row],[end_date]]&lt;&gt;"", subscriptions[[#This Row],[end_date]] &lt; subscriptions[[#This Row],[start_date]]), 1, 0)</f>
        <v>0</v>
      </c>
      <c r="I12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1">
        <f>IF(
  AND(subscriptions[[#This Row],[end_before_start]]=0, subscriptions[[#This Row],[status_end_mismatch]]=0),
  1,
  0
)</f>
        <v>1</v>
      </c>
    </row>
    <row r="1242" spans="1:10" x14ac:dyDescent="0.3">
      <c r="A1242">
        <v>2967833</v>
      </c>
      <c r="B1242">
        <v>509593</v>
      </c>
      <c r="C1242">
        <v>1004</v>
      </c>
      <c r="D1242" s="1">
        <v>45199</v>
      </c>
      <c r="E1242" s="1"/>
      <c r="F1242" t="s">
        <v>3480</v>
      </c>
      <c r="G1242" t="str">
        <f>IF(ISNA(_xlfn.XLOOKUP(subscriptions[[#This Row],[customer_id]], customers[customer_id], customers[customer_id])), "NO", "YES")</f>
        <v>YES</v>
      </c>
      <c r="H1242">
        <f>IF(AND(subscriptions[[#This Row],[end_date]]&lt;&gt;"", subscriptions[[#This Row],[end_date]] &lt; subscriptions[[#This Row],[start_date]]), 1, 0)</f>
        <v>0</v>
      </c>
      <c r="I12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2">
        <f>IF(
  AND(subscriptions[[#This Row],[end_before_start]]=0, subscriptions[[#This Row],[status_end_mismatch]]=0),
  1,
  0
)</f>
        <v>1</v>
      </c>
    </row>
    <row r="1243" spans="1:10" x14ac:dyDescent="0.3">
      <c r="A1243">
        <v>8903903</v>
      </c>
      <c r="B1243">
        <v>290272</v>
      </c>
      <c r="C1243">
        <v>1001</v>
      </c>
      <c r="D1243" s="1">
        <v>45037</v>
      </c>
      <c r="E1243" s="1">
        <v>45219</v>
      </c>
      <c r="F1243" t="s">
        <v>3479</v>
      </c>
      <c r="G1243" t="str">
        <f>IF(ISNA(_xlfn.XLOOKUP(subscriptions[[#This Row],[customer_id]], customers[customer_id], customers[customer_id])), "NO", "YES")</f>
        <v>YES</v>
      </c>
      <c r="H1243">
        <f>IF(AND(subscriptions[[#This Row],[end_date]]&lt;&gt;"", subscriptions[[#This Row],[end_date]] &lt; subscriptions[[#This Row],[start_date]]), 1, 0)</f>
        <v>0</v>
      </c>
      <c r="I12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3">
        <f>IF(
  AND(subscriptions[[#This Row],[end_before_start]]=0, subscriptions[[#This Row],[status_end_mismatch]]=0),
  1,
  0
)</f>
        <v>1</v>
      </c>
    </row>
    <row r="1244" spans="1:10" x14ac:dyDescent="0.3">
      <c r="A1244">
        <v>3094878</v>
      </c>
      <c r="B1244">
        <v>260155</v>
      </c>
      <c r="C1244">
        <v>1004</v>
      </c>
      <c r="D1244" s="1">
        <v>45492</v>
      </c>
      <c r="E1244" s="1"/>
      <c r="F1244" t="s">
        <v>3480</v>
      </c>
      <c r="G1244" t="str">
        <f>IF(ISNA(_xlfn.XLOOKUP(subscriptions[[#This Row],[customer_id]], customers[customer_id], customers[customer_id])), "NO", "YES")</f>
        <v>YES</v>
      </c>
      <c r="H1244">
        <f>IF(AND(subscriptions[[#This Row],[end_date]]&lt;&gt;"", subscriptions[[#This Row],[end_date]] &lt; subscriptions[[#This Row],[start_date]]), 1, 0)</f>
        <v>0</v>
      </c>
      <c r="I12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4">
        <f>IF(
  AND(subscriptions[[#This Row],[end_before_start]]=0, subscriptions[[#This Row],[status_end_mismatch]]=0),
  1,
  0
)</f>
        <v>1</v>
      </c>
    </row>
    <row r="1245" spans="1:10" x14ac:dyDescent="0.3">
      <c r="A1245">
        <v>6727358</v>
      </c>
      <c r="B1245">
        <v>424314</v>
      </c>
      <c r="C1245">
        <v>1007</v>
      </c>
      <c r="D1245" s="1">
        <v>45119</v>
      </c>
      <c r="E1245" s="1">
        <v>45169</v>
      </c>
      <c r="F1245" t="s">
        <v>3479</v>
      </c>
      <c r="G1245" t="str">
        <f>IF(ISNA(_xlfn.XLOOKUP(subscriptions[[#This Row],[customer_id]], customers[customer_id], customers[customer_id])), "NO", "YES")</f>
        <v>YES</v>
      </c>
      <c r="H1245">
        <f>IF(AND(subscriptions[[#This Row],[end_date]]&lt;&gt;"", subscriptions[[#This Row],[end_date]] &lt; subscriptions[[#This Row],[start_date]]), 1, 0)</f>
        <v>0</v>
      </c>
      <c r="I12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5">
        <f>IF(
  AND(subscriptions[[#This Row],[end_before_start]]=0, subscriptions[[#This Row],[status_end_mismatch]]=0),
  1,
  0
)</f>
        <v>1</v>
      </c>
    </row>
    <row r="1246" spans="1:10" x14ac:dyDescent="0.3">
      <c r="A1246">
        <v>7400536</v>
      </c>
      <c r="B1246">
        <v>658272</v>
      </c>
      <c r="C1246">
        <v>1001</v>
      </c>
      <c r="D1246" s="1">
        <v>45085</v>
      </c>
      <c r="E1246" s="1"/>
      <c r="F1246" t="s">
        <v>3480</v>
      </c>
      <c r="G1246" t="str">
        <f>IF(ISNA(_xlfn.XLOOKUP(subscriptions[[#This Row],[customer_id]], customers[customer_id], customers[customer_id])), "NO", "YES")</f>
        <v>YES</v>
      </c>
      <c r="H1246">
        <f>IF(AND(subscriptions[[#This Row],[end_date]]&lt;&gt;"", subscriptions[[#This Row],[end_date]] &lt; subscriptions[[#This Row],[start_date]]), 1, 0)</f>
        <v>0</v>
      </c>
      <c r="I12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6">
        <f>IF(
  AND(subscriptions[[#This Row],[end_before_start]]=0, subscriptions[[#This Row],[status_end_mismatch]]=0),
  1,
  0
)</f>
        <v>1</v>
      </c>
    </row>
    <row r="1247" spans="1:10" x14ac:dyDescent="0.3">
      <c r="A1247">
        <v>8827002</v>
      </c>
      <c r="B1247">
        <v>650818</v>
      </c>
      <c r="C1247">
        <v>1006</v>
      </c>
      <c r="D1247" s="1">
        <v>45434</v>
      </c>
      <c r="E1247" s="1"/>
      <c r="F1247" t="s">
        <v>3480</v>
      </c>
      <c r="G1247" t="str">
        <f>IF(ISNA(_xlfn.XLOOKUP(subscriptions[[#This Row],[customer_id]], customers[customer_id], customers[customer_id])), "NO", "YES")</f>
        <v>YES</v>
      </c>
      <c r="H1247">
        <f>IF(AND(subscriptions[[#This Row],[end_date]]&lt;&gt;"", subscriptions[[#This Row],[end_date]] &lt; subscriptions[[#This Row],[start_date]]), 1, 0)</f>
        <v>0</v>
      </c>
      <c r="I12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7">
        <f>IF(
  AND(subscriptions[[#This Row],[end_before_start]]=0, subscriptions[[#This Row],[status_end_mismatch]]=0),
  1,
  0
)</f>
        <v>1</v>
      </c>
    </row>
    <row r="1248" spans="1:10" x14ac:dyDescent="0.3">
      <c r="A1248">
        <v>9175606</v>
      </c>
      <c r="B1248">
        <v>984274</v>
      </c>
      <c r="C1248">
        <v>1006</v>
      </c>
      <c r="D1248" s="1">
        <v>45158</v>
      </c>
      <c r="E1248" s="1"/>
      <c r="F1248" t="s">
        <v>3480</v>
      </c>
      <c r="G1248" t="str">
        <f>IF(ISNA(_xlfn.XLOOKUP(subscriptions[[#This Row],[customer_id]], customers[customer_id], customers[customer_id])), "NO", "YES")</f>
        <v>YES</v>
      </c>
      <c r="H1248">
        <f>IF(AND(subscriptions[[#This Row],[end_date]]&lt;&gt;"", subscriptions[[#This Row],[end_date]] &lt; subscriptions[[#This Row],[start_date]]), 1, 0)</f>
        <v>0</v>
      </c>
      <c r="I12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8">
        <f>IF(
  AND(subscriptions[[#This Row],[end_before_start]]=0, subscriptions[[#This Row],[status_end_mismatch]]=0),
  1,
  0
)</f>
        <v>1</v>
      </c>
    </row>
    <row r="1249" spans="1:10" x14ac:dyDescent="0.3">
      <c r="A1249">
        <v>2728894</v>
      </c>
      <c r="B1249">
        <v>901215</v>
      </c>
      <c r="C1249">
        <v>1000</v>
      </c>
      <c r="D1249" s="1">
        <v>44743</v>
      </c>
      <c r="E1249" s="1">
        <v>45081</v>
      </c>
      <c r="F1249" t="s">
        <v>3479</v>
      </c>
      <c r="G1249" t="str">
        <f>IF(ISNA(_xlfn.XLOOKUP(subscriptions[[#This Row],[customer_id]], customers[customer_id], customers[customer_id])), "NO", "YES")</f>
        <v>YES</v>
      </c>
      <c r="H1249">
        <f>IF(AND(subscriptions[[#This Row],[end_date]]&lt;&gt;"", subscriptions[[#This Row],[end_date]] &lt; subscriptions[[#This Row],[start_date]]), 1, 0)</f>
        <v>0</v>
      </c>
      <c r="I12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49">
        <f>IF(
  AND(subscriptions[[#This Row],[end_before_start]]=0, subscriptions[[#This Row],[status_end_mismatch]]=0),
  1,
  0
)</f>
        <v>1</v>
      </c>
    </row>
    <row r="1250" spans="1:10" x14ac:dyDescent="0.3">
      <c r="A1250">
        <v>7082569</v>
      </c>
      <c r="B1250">
        <v>340497</v>
      </c>
      <c r="C1250">
        <v>1002</v>
      </c>
      <c r="D1250" s="1">
        <v>45056</v>
      </c>
      <c r="E1250" s="1">
        <v>45426</v>
      </c>
      <c r="F1250" t="s">
        <v>3479</v>
      </c>
      <c r="G1250" t="str">
        <f>IF(ISNA(_xlfn.XLOOKUP(subscriptions[[#This Row],[customer_id]], customers[customer_id], customers[customer_id])), "NO", "YES")</f>
        <v>YES</v>
      </c>
      <c r="H1250">
        <f>IF(AND(subscriptions[[#This Row],[end_date]]&lt;&gt;"", subscriptions[[#This Row],[end_date]] &lt; subscriptions[[#This Row],[start_date]]), 1, 0)</f>
        <v>0</v>
      </c>
      <c r="I12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0">
        <f>IF(
  AND(subscriptions[[#This Row],[end_before_start]]=0, subscriptions[[#This Row],[status_end_mismatch]]=0),
  1,
  0
)</f>
        <v>1</v>
      </c>
    </row>
    <row r="1251" spans="1:10" x14ac:dyDescent="0.3">
      <c r="A1251">
        <v>9296866</v>
      </c>
      <c r="B1251">
        <v>136554</v>
      </c>
      <c r="C1251">
        <v>1003</v>
      </c>
      <c r="D1251" s="1">
        <v>45447</v>
      </c>
      <c r="E1251" s="1"/>
      <c r="F1251" t="s">
        <v>3480</v>
      </c>
      <c r="G1251" t="str">
        <f>IF(ISNA(_xlfn.XLOOKUP(subscriptions[[#This Row],[customer_id]], customers[customer_id], customers[customer_id])), "NO", "YES")</f>
        <v>YES</v>
      </c>
      <c r="H1251">
        <f>IF(AND(subscriptions[[#This Row],[end_date]]&lt;&gt;"", subscriptions[[#This Row],[end_date]] &lt; subscriptions[[#This Row],[start_date]]), 1, 0)</f>
        <v>0</v>
      </c>
      <c r="I12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1">
        <f>IF(
  AND(subscriptions[[#This Row],[end_before_start]]=0, subscriptions[[#This Row],[status_end_mismatch]]=0),
  1,
  0
)</f>
        <v>1</v>
      </c>
    </row>
    <row r="1252" spans="1:10" x14ac:dyDescent="0.3">
      <c r="A1252">
        <v>2764796</v>
      </c>
      <c r="B1252">
        <v>574001</v>
      </c>
      <c r="C1252">
        <v>1001</v>
      </c>
      <c r="D1252" s="1">
        <v>45135</v>
      </c>
      <c r="E1252" s="1">
        <v>45306</v>
      </c>
      <c r="F1252" t="s">
        <v>3479</v>
      </c>
      <c r="G1252" t="str">
        <f>IF(ISNA(_xlfn.XLOOKUP(subscriptions[[#This Row],[customer_id]], customers[customer_id], customers[customer_id])), "NO", "YES")</f>
        <v>YES</v>
      </c>
      <c r="H1252">
        <f>IF(AND(subscriptions[[#This Row],[end_date]]&lt;&gt;"", subscriptions[[#This Row],[end_date]] &lt; subscriptions[[#This Row],[start_date]]), 1, 0)</f>
        <v>0</v>
      </c>
      <c r="I12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2">
        <f>IF(
  AND(subscriptions[[#This Row],[end_before_start]]=0, subscriptions[[#This Row],[status_end_mismatch]]=0),
  1,
  0
)</f>
        <v>1</v>
      </c>
    </row>
    <row r="1253" spans="1:10" x14ac:dyDescent="0.3">
      <c r="A1253">
        <v>5222335</v>
      </c>
      <c r="B1253">
        <v>130557</v>
      </c>
      <c r="C1253">
        <v>1000</v>
      </c>
      <c r="D1253" s="1">
        <v>45235</v>
      </c>
      <c r="E1253" s="1"/>
      <c r="F1253" t="s">
        <v>3480</v>
      </c>
      <c r="G1253" t="str">
        <f>IF(ISNA(_xlfn.XLOOKUP(subscriptions[[#This Row],[customer_id]], customers[customer_id], customers[customer_id])), "NO", "YES")</f>
        <v>YES</v>
      </c>
      <c r="H1253">
        <f>IF(AND(subscriptions[[#This Row],[end_date]]&lt;&gt;"", subscriptions[[#This Row],[end_date]] &lt; subscriptions[[#This Row],[start_date]]), 1, 0)</f>
        <v>0</v>
      </c>
      <c r="I12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3">
        <f>IF(
  AND(subscriptions[[#This Row],[end_before_start]]=0, subscriptions[[#This Row],[status_end_mismatch]]=0),
  1,
  0
)</f>
        <v>1</v>
      </c>
    </row>
    <row r="1254" spans="1:10" x14ac:dyDescent="0.3">
      <c r="A1254">
        <v>5215259</v>
      </c>
      <c r="B1254">
        <v>921875</v>
      </c>
      <c r="C1254">
        <v>1007</v>
      </c>
      <c r="D1254" s="1">
        <v>45292</v>
      </c>
      <c r="E1254" s="1"/>
      <c r="F1254" t="s">
        <v>3480</v>
      </c>
      <c r="G1254" t="str">
        <f>IF(ISNA(_xlfn.XLOOKUP(subscriptions[[#This Row],[customer_id]], customers[customer_id], customers[customer_id])), "NO", "YES")</f>
        <v>YES</v>
      </c>
      <c r="H1254">
        <f>IF(AND(subscriptions[[#This Row],[end_date]]&lt;&gt;"", subscriptions[[#This Row],[end_date]] &lt; subscriptions[[#This Row],[start_date]]), 1, 0)</f>
        <v>0</v>
      </c>
      <c r="I12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4">
        <f>IF(
  AND(subscriptions[[#This Row],[end_before_start]]=0, subscriptions[[#This Row],[status_end_mismatch]]=0),
  1,
  0
)</f>
        <v>1</v>
      </c>
    </row>
    <row r="1255" spans="1:10" x14ac:dyDescent="0.3">
      <c r="A1255">
        <v>2696696</v>
      </c>
      <c r="B1255">
        <v>398910</v>
      </c>
      <c r="C1255">
        <v>1006</v>
      </c>
      <c r="D1255" s="1">
        <v>45556</v>
      </c>
      <c r="E1255" s="1"/>
      <c r="F1255" t="s">
        <v>3480</v>
      </c>
      <c r="G1255" t="str">
        <f>IF(ISNA(_xlfn.XLOOKUP(subscriptions[[#This Row],[customer_id]], customers[customer_id], customers[customer_id])), "NO", "YES")</f>
        <v>YES</v>
      </c>
      <c r="H1255">
        <f>IF(AND(subscriptions[[#This Row],[end_date]]&lt;&gt;"", subscriptions[[#This Row],[end_date]] &lt; subscriptions[[#This Row],[start_date]]), 1, 0)</f>
        <v>0</v>
      </c>
      <c r="I12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5">
        <f>IF(
  AND(subscriptions[[#This Row],[end_before_start]]=0, subscriptions[[#This Row],[status_end_mismatch]]=0),
  1,
  0
)</f>
        <v>1</v>
      </c>
    </row>
    <row r="1256" spans="1:10" x14ac:dyDescent="0.3">
      <c r="A1256">
        <v>9304320</v>
      </c>
      <c r="B1256">
        <v>404955</v>
      </c>
      <c r="C1256">
        <v>1001</v>
      </c>
      <c r="D1256" s="1">
        <v>45015</v>
      </c>
      <c r="E1256" s="1"/>
      <c r="F1256" t="s">
        <v>3480</v>
      </c>
      <c r="G1256" t="str">
        <f>IF(ISNA(_xlfn.XLOOKUP(subscriptions[[#This Row],[customer_id]], customers[customer_id], customers[customer_id])), "NO", "YES")</f>
        <v>YES</v>
      </c>
      <c r="H1256">
        <f>IF(AND(subscriptions[[#This Row],[end_date]]&lt;&gt;"", subscriptions[[#This Row],[end_date]] &lt; subscriptions[[#This Row],[start_date]]), 1, 0)</f>
        <v>0</v>
      </c>
      <c r="I12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6">
        <f>IF(
  AND(subscriptions[[#This Row],[end_before_start]]=0, subscriptions[[#This Row],[status_end_mismatch]]=0),
  1,
  0
)</f>
        <v>1</v>
      </c>
    </row>
    <row r="1257" spans="1:10" x14ac:dyDescent="0.3">
      <c r="A1257">
        <v>5458615</v>
      </c>
      <c r="B1257">
        <v>196214</v>
      </c>
      <c r="C1257">
        <v>1003</v>
      </c>
      <c r="D1257" s="1">
        <v>44774</v>
      </c>
      <c r="E1257" s="1">
        <v>45166</v>
      </c>
      <c r="F1257" t="s">
        <v>3479</v>
      </c>
      <c r="G1257" t="str">
        <f>IF(ISNA(_xlfn.XLOOKUP(subscriptions[[#This Row],[customer_id]], customers[customer_id], customers[customer_id])), "NO", "YES")</f>
        <v>YES</v>
      </c>
      <c r="H1257">
        <f>IF(AND(subscriptions[[#This Row],[end_date]]&lt;&gt;"", subscriptions[[#This Row],[end_date]] &lt; subscriptions[[#This Row],[start_date]]), 1, 0)</f>
        <v>0</v>
      </c>
      <c r="I12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7">
        <f>IF(
  AND(subscriptions[[#This Row],[end_before_start]]=0, subscriptions[[#This Row],[status_end_mismatch]]=0),
  1,
  0
)</f>
        <v>1</v>
      </c>
    </row>
    <row r="1258" spans="1:10" x14ac:dyDescent="0.3">
      <c r="A1258">
        <v>9184965</v>
      </c>
      <c r="B1258">
        <v>107482</v>
      </c>
      <c r="C1258">
        <v>1007</v>
      </c>
      <c r="D1258" s="1">
        <v>45331</v>
      </c>
      <c r="E1258" s="1">
        <v>45645</v>
      </c>
      <c r="F1258" t="s">
        <v>3479</v>
      </c>
      <c r="G1258" t="str">
        <f>IF(ISNA(_xlfn.XLOOKUP(subscriptions[[#This Row],[customer_id]], customers[customer_id], customers[customer_id])), "NO", "YES")</f>
        <v>YES</v>
      </c>
      <c r="H1258">
        <f>IF(AND(subscriptions[[#This Row],[end_date]]&lt;&gt;"", subscriptions[[#This Row],[end_date]] &lt; subscriptions[[#This Row],[start_date]]), 1, 0)</f>
        <v>0</v>
      </c>
      <c r="I12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8">
        <f>IF(
  AND(subscriptions[[#This Row],[end_before_start]]=0, subscriptions[[#This Row],[status_end_mismatch]]=0),
  1,
  0
)</f>
        <v>1</v>
      </c>
    </row>
    <row r="1259" spans="1:10" x14ac:dyDescent="0.3">
      <c r="A1259">
        <v>1706341</v>
      </c>
      <c r="B1259">
        <v>910326</v>
      </c>
      <c r="C1259">
        <v>1003</v>
      </c>
      <c r="D1259" s="1">
        <v>44782</v>
      </c>
      <c r="E1259" s="1"/>
      <c r="F1259" t="s">
        <v>3480</v>
      </c>
      <c r="G1259" t="str">
        <f>IF(ISNA(_xlfn.XLOOKUP(subscriptions[[#This Row],[customer_id]], customers[customer_id], customers[customer_id])), "NO", "YES")</f>
        <v>YES</v>
      </c>
      <c r="H1259">
        <f>IF(AND(subscriptions[[#This Row],[end_date]]&lt;&gt;"", subscriptions[[#This Row],[end_date]] &lt; subscriptions[[#This Row],[start_date]]), 1, 0)</f>
        <v>0</v>
      </c>
      <c r="I12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59">
        <f>IF(
  AND(subscriptions[[#This Row],[end_before_start]]=0, subscriptions[[#This Row],[status_end_mismatch]]=0),
  1,
  0
)</f>
        <v>1</v>
      </c>
    </row>
    <row r="1260" spans="1:10" x14ac:dyDescent="0.3">
      <c r="A1260">
        <v>2653843</v>
      </c>
      <c r="B1260">
        <v>735863</v>
      </c>
      <c r="C1260">
        <v>1004</v>
      </c>
      <c r="D1260" s="1">
        <v>44756</v>
      </c>
      <c r="E1260" s="1"/>
      <c r="F1260" t="s">
        <v>3480</v>
      </c>
      <c r="G1260" t="str">
        <f>IF(ISNA(_xlfn.XLOOKUP(subscriptions[[#This Row],[customer_id]], customers[customer_id], customers[customer_id])), "NO", "YES")</f>
        <v>YES</v>
      </c>
      <c r="H1260">
        <f>IF(AND(subscriptions[[#This Row],[end_date]]&lt;&gt;"", subscriptions[[#This Row],[end_date]] &lt; subscriptions[[#This Row],[start_date]]), 1, 0)</f>
        <v>0</v>
      </c>
      <c r="I12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0">
        <f>IF(
  AND(subscriptions[[#This Row],[end_before_start]]=0, subscriptions[[#This Row],[status_end_mismatch]]=0),
  1,
  0
)</f>
        <v>1</v>
      </c>
    </row>
    <row r="1261" spans="1:10" x14ac:dyDescent="0.3">
      <c r="A1261">
        <v>5003283</v>
      </c>
      <c r="B1261">
        <v>604740</v>
      </c>
      <c r="C1261">
        <v>1005</v>
      </c>
      <c r="D1261" s="1">
        <v>45300</v>
      </c>
      <c r="E1261" s="1"/>
      <c r="F1261" t="s">
        <v>3480</v>
      </c>
      <c r="G1261" t="str">
        <f>IF(ISNA(_xlfn.XLOOKUP(subscriptions[[#This Row],[customer_id]], customers[customer_id], customers[customer_id])), "NO", "YES")</f>
        <v>YES</v>
      </c>
      <c r="H1261">
        <f>IF(AND(subscriptions[[#This Row],[end_date]]&lt;&gt;"", subscriptions[[#This Row],[end_date]] &lt; subscriptions[[#This Row],[start_date]]), 1, 0)</f>
        <v>0</v>
      </c>
      <c r="I12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1">
        <f>IF(
  AND(subscriptions[[#This Row],[end_before_start]]=0, subscriptions[[#This Row],[status_end_mismatch]]=0),
  1,
  0
)</f>
        <v>1</v>
      </c>
    </row>
    <row r="1262" spans="1:10" x14ac:dyDescent="0.3">
      <c r="A1262">
        <v>8077121</v>
      </c>
      <c r="B1262">
        <v>265092</v>
      </c>
      <c r="C1262">
        <v>1004</v>
      </c>
      <c r="D1262" s="1">
        <v>45368</v>
      </c>
      <c r="E1262" s="1">
        <v>45418</v>
      </c>
      <c r="F1262" t="s">
        <v>3479</v>
      </c>
      <c r="G1262" t="str">
        <f>IF(ISNA(_xlfn.XLOOKUP(subscriptions[[#This Row],[customer_id]], customers[customer_id], customers[customer_id])), "NO", "YES")</f>
        <v>YES</v>
      </c>
      <c r="H1262">
        <f>IF(AND(subscriptions[[#This Row],[end_date]]&lt;&gt;"", subscriptions[[#This Row],[end_date]] &lt; subscriptions[[#This Row],[start_date]]), 1, 0)</f>
        <v>0</v>
      </c>
      <c r="I12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2">
        <f>IF(
  AND(subscriptions[[#This Row],[end_before_start]]=0, subscriptions[[#This Row],[status_end_mismatch]]=0),
  1,
  0
)</f>
        <v>1</v>
      </c>
    </row>
    <row r="1263" spans="1:10" x14ac:dyDescent="0.3">
      <c r="A1263">
        <v>6826801</v>
      </c>
      <c r="B1263">
        <v>904812</v>
      </c>
      <c r="C1263">
        <v>1000</v>
      </c>
      <c r="D1263" s="1">
        <v>45463</v>
      </c>
      <c r="E1263" s="1">
        <v>45630</v>
      </c>
      <c r="F1263" t="s">
        <v>3479</v>
      </c>
      <c r="G1263" t="str">
        <f>IF(ISNA(_xlfn.XLOOKUP(subscriptions[[#This Row],[customer_id]], customers[customer_id], customers[customer_id])), "NO", "YES")</f>
        <v>YES</v>
      </c>
      <c r="H1263">
        <f>IF(AND(subscriptions[[#This Row],[end_date]]&lt;&gt;"", subscriptions[[#This Row],[end_date]] &lt; subscriptions[[#This Row],[start_date]]), 1, 0)</f>
        <v>0</v>
      </c>
      <c r="I12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3">
        <f>IF(
  AND(subscriptions[[#This Row],[end_before_start]]=0, subscriptions[[#This Row],[status_end_mismatch]]=0),
  1,
  0
)</f>
        <v>1</v>
      </c>
    </row>
    <row r="1264" spans="1:10" x14ac:dyDescent="0.3">
      <c r="A1264">
        <v>9770547</v>
      </c>
      <c r="B1264">
        <v>436272</v>
      </c>
      <c r="C1264">
        <v>1002</v>
      </c>
      <c r="D1264" s="1">
        <v>44638</v>
      </c>
      <c r="E1264" s="1">
        <v>44989</v>
      </c>
      <c r="F1264" t="s">
        <v>3479</v>
      </c>
      <c r="G1264" t="str">
        <f>IF(ISNA(_xlfn.XLOOKUP(subscriptions[[#This Row],[customer_id]], customers[customer_id], customers[customer_id])), "NO", "YES")</f>
        <v>YES</v>
      </c>
      <c r="H1264">
        <f>IF(AND(subscriptions[[#This Row],[end_date]]&lt;&gt;"", subscriptions[[#This Row],[end_date]] &lt; subscriptions[[#This Row],[start_date]]), 1, 0)</f>
        <v>0</v>
      </c>
      <c r="I12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4">
        <f>IF(
  AND(subscriptions[[#This Row],[end_before_start]]=0, subscriptions[[#This Row],[status_end_mismatch]]=0),
  1,
  0
)</f>
        <v>1</v>
      </c>
    </row>
    <row r="1265" spans="1:10" x14ac:dyDescent="0.3">
      <c r="A1265">
        <v>8244357</v>
      </c>
      <c r="B1265">
        <v>550664</v>
      </c>
      <c r="C1265">
        <v>1004</v>
      </c>
      <c r="D1265" s="1">
        <v>44614</v>
      </c>
      <c r="E1265" s="1"/>
      <c r="F1265" t="s">
        <v>3480</v>
      </c>
      <c r="G1265" t="str">
        <f>IF(ISNA(_xlfn.XLOOKUP(subscriptions[[#This Row],[customer_id]], customers[customer_id], customers[customer_id])), "NO", "YES")</f>
        <v>YES</v>
      </c>
      <c r="H1265">
        <f>IF(AND(subscriptions[[#This Row],[end_date]]&lt;&gt;"", subscriptions[[#This Row],[end_date]] &lt; subscriptions[[#This Row],[start_date]]), 1, 0)</f>
        <v>0</v>
      </c>
      <c r="I12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5">
        <f>IF(
  AND(subscriptions[[#This Row],[end_before_start]]=0, subscriptions[[#This Row],[status_end_mismatch]]=0),
  1,
  0
)</f>
        <v>1</v>
      </c>
    </row>
    <row r="1266" spans="1:10" x14ac:dyDescent="0.3">
      <c r="A1266">
        <v>4032275</v>
      </c>
      <c r="B1266">
        <v>826830</v>
      </c>
      <c r="C1266">
        <v>1005</v>
      </c>
      <c r="D1266" s="1">
        <v>44611</v>
      </c>
      <c r="E1266" s="1">
        <v>44809</v>
      </c>
      <c r="F1266" t="s">
        <v>3479</v>
      </c>
      <c r="G1266" t="str">
        <f>IF(ISNA(_xlfn.XLOOKUP(subscriptions[[#This Row],[customer_id]], customers[customer_id], customers[customer_id])), "NO", "YES")</f>
        <v>YES</v>
      </c>
      <c r="H1266">
        <f>IF(AND(subscriptions[[#This Row],[end_date]]&lt;&gt;"", subscriptions[[#This Row],[end_date]] &lt; subscriptions[[#This Row],[start_date]]), 1, 0)</f>
        <v>0</v>
      </c>
      <c r="I12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6">
        <f>IF(
  AND(subscriptions[[#This Row],[end_before_start]]=0, subscriptions[[#This Row],[status_end_mismatch]]=0),
  1,
  0
)</f>
        <v>1</v>
      </c>
    </row>
    <row r="1267" spans="1:10" x14ac:dyDescent="0.3">
      <c r="A1267">
        <v>2657659</v>
      </c>
      <c r="B1267">
        <v>373342</v>
      </c>
      <c r="C1267">
        <v>1002</v>
      </c>
      <c r="D1267" s="1">
        <v>45160</v>
      </c>
      <c r="E1267" s="1">
        <v>45204</v>
      </c>
      <c r="F1267" t="s">
        <v>3479</v>
      </c>
      <c r="G1267" t="str">
        <f>IF(ISNA(_xlfn.XLOOKUP(subscriptions[[#This Row],[customer_id]], customers[customer_id], customers[customer_id])), "NO", "YES")</f>
        <v>YES</v>
      </c>
      <c r="H1267">
        <f>IF(AND(subscriptions[[#This Row],[end_date]]&lt;&gt;"", subscriptions[[#This Row],[end_date]] &lt; subscriptions[[#This Row],[start_date]]), 1, 0)</f>
        <v>0</v>
      </c>
      <c r="I12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7">
        <f>IF(
  AND(subscriptions[[#This Row],[end_before_start]]=0, subscriptions[[#This Row],[status_end_mismatch]]=0),
  1,
  0
)</f>
        <v>1</v>
      </c>
    </row>
    <row r="1268" spans="1:10" x14ac:dyDescent="0.3">
      <c r="A1268">
        <v>8660865</v>
      </c>
      <c r="B1268">
        <v>241268</v>
      </c>
      <c r="C1268">
        <v>1000</v>
      </c>
      <c r="D1268" s="1">
        <v>45081</v>
      </c>
      <c r="E1268" s="1"/>
      <c r="F1268" t="s">
        <v>3480</v>
      </c>
      <c r="G1268" t="str">
        <f>IF(ISNA(_xlfn.XLOOKUP(subscriptions[[#This Row],[customer_id]], customers[customer_id], customers[customer_id])), "NO", "YES")</f>
        <v>YES</v>
      </c>
      <c r="H1268">
        <f>IF(AND(subscriptions[[#This Row],[end_date]]&lt;&gt;"", subscriptions[[#This Row],[end_date]] &lt; subscriptions[[#This Row],[start_date]]), 1, 0)</f>
        <v>0</v>
      </c>
      <c r="I12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8">
        <f>IF(
  AND(subscriptions[[#This Row],[end_before_start]]=0, subscriptions[[#This Row],[status_end_mismatch]]=0),
  1,
  0
)</f>
        <v>1</v>
      </c>
    </row>
    <row r="1269" spans="1:10" x14ac:dyDescent="0.3">
      <c r="A1269">
        <v>6772196</v>
      </c>
      <c r="B1269">
        <v>756401</v>
      </c>
      <c r="C1269">
        <v>1003</v>
      </c>
      <c r="D1269" s="1">
        <v>45283</v>
      </c>
      <c r="E1269" s="1">
        <v>45440</v>
      </c>
      <c r="F1269" t="s">
        <v>3479</v>
      </c>
      <c r="G1269" t="str">
        <f>IF(ISNA(_xlfn.XLOOKUP(subscriptions[[#This Row],[customer_id]], customers[customer_id], customers[customer_id])), "NO", "YES")</f>
        <v>YES</v>
      </c>
      <c r="H1269">
        <f>IF(AND(subscriptions[[#This Row],[end_date]]&lt;&gt;"", subscriptions[[#This Row],[end_date]] &lt; subscriptions[[#This Row],[start_date]]), 1, 0)</f>
        <v>0</v>
      </c>
      <c r="I12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69">
        <f>IF(
  AND(subscriptions[[#This Row],[end_before_start]]=0, subscriptions[[#This Row],[status_end_mismatch]]=0),
  1,
  0
)</f>
        <v>1</v>
      </c>
    </row>
    <row r="1270" spans="1:10" x14ac:dyDescent="0.3">
      <c r="A1270">
        <v>5641122</v>
      </c>
      <c r="B1270">
        <v>853240</v>
      </c>
      <c r="C1270">
        <v>1006</v>
      </c>
      <c r="D1270" s="1">
        <v>45475</v>
      </c>
      <c r="E1270" s="1">
        <v>45643</v>
      </c>
      <c r="F1270" t="s">
        <v>3479</v>
      </c>
      <c r="G1270" t="str">
        <f>IF(ISNA(_xlfn.XLOOKUP(subscriptions[[#This Row],[customer_id]], customers[customer_id], customers[customer_id])), "NO", "YES")</f>
        <v>YES</v>
      </c>
      <c r="H1270">
        <f>IF(AND(subscriptions[[#This Row],[end_date]]&lt;&gt;"", subscriptions[[#This Row],[end_date]] &lt; subscriptions[[#This Row],[start_date]]), 1, 0)</f>
        <v>0</v>
      </c>
      <c r="I12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0">
        <f>IF(
  AND(subscriptions[[#This Row],[end_before_start]]=0, subscriptions[[#This Row],[status_end_mismatch]]=0),
  1,
  0
)</f>
        <v>1</v>
      </c>
    </row>
    <row r="1271" spans="1:10" x14ac:dyDescent="0.3">
      <c r="A1271">
        <v>5415321</v>
      </c>
      <c r="B1271">
        <v>956727</v>
      </c>
      <c r="C1271">
        <v>1001</v>
      </c>
      <c r="D1271" s="1">
        <v>44890</v>
      </c>
      <c r="E1271" s="1"/>
      <c r="F1271" t="s">
        <v>3480</v>
      </c>
      <c r="G1271" t="str">
        <f>IF(ISNA(_xlfn.XLOOKUP(subscriptions[[#This Row],[customer_id]], customers[customer_id], customers[customer_id])), "NO", "YES")</f>
        <v>YES</v>
      </c>
      <c r="H1271">
        <f>IF(AND(subscriptions[[#This Row],[end_date]]&lt;&gt;"", subscriptions[[#This Row],[end_date]] &lt; subscriptions[[#This Row],[start_date]]), 1, 0)</f>
        <v>0</v>
      </c>
      <c r="I12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1">
        <f>IF(
  AND(subscriptions[[#This Row],[end_before_start]]=0, subscriptions[[#This Row],[status_end_mismatch]]=0),
  1,
  0
)</f>
        <v>1</v>
      </c>
    </row>
    <row r="1272" spans="1:10" x14ac:dyDescent="0.3">
      <c r="A1272">
        <v>6400269</v>
      </c>
      <c r="B1272">
        <v>746281</v>
      </c>
      <c r="C1272">
        <v>1001</v>
      </c>
      <c r="D1272" s="1">
        <v>45383</v>
      </c>
      <c r="E1272" s="1">
        <v>45501</v>
      </c>
      <c r="F1272" t="s">
        <v>3479</v>
      </c>
      <c r="G1272" t="str">
        <f>IF(ISNA(_xlfn.XLOOKUP(subscriptions[[#This Row],[customer_id]], customers[customer_id], customers[customer_id])), "NO", "YES")</f>
        <v>YES</v>
      </c>
      <c r="H1272">
        <f>IF(AND(subscriptions[[#This Row],[end_date]]&lt;&gt;"", subscriptions[[#This Row],[end_date]] &lt; subscriptions[[#This Row],[start_date]]), 1, 0)</f>
        <v>0</v>
      </c>
      <c r="I12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2">
        <f>IF(
  AND(subscriptions[[#This Row],[end_before_start]]=0, subscriptions[[#This Row],[status_end_mismatch]]=0),
  1,
  0
)</f>
        <v>1</v>
      </c>
    </row>
    <row r="1273" spans="1:10" x14ac:dyDescent="0.3">
      <c r="A1273">
        <v>9385863</v>
      </c>
      <c r="B1273">
        <v>957626</v>
      </c>
      <c r="C1273">
        <v>1008</v>
      </c>
      <c r="D1273" s="1">
        <v>44744</v>
      </c>
      <c r="E1273" s="1"/>
      <c r="F1273" t="s">
        <v>3480</v>
      </c>
      <c r="G1273" t="str">
        <f>IF(ISNA(_xlfn.XLOOKUP(subscriptions[[#This Row],[customer_id]], customers[customer_id], customers[customer_id])), "NO", "YES")</f>
        <v>YES</v>
      </c>
      <c r="H1273">
        <f>IF(AND(subscriptions[[#This Row],[end_date]]&lt;&gt;"", subscriptions[[#This Row],[end_date]] &lt; subscriptions[[#This Row],[start_date]]), 1, 0)</f>
        <v>0</v>
      </c>
      <c r="I12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3">
        <f>IF(
  AND(subscriptions[[#This Row],[end_before_start]]=0, subscriptions[[#This Row],[status_end_mismatch]]=0),
  1,
  0
)</f>
        <v>1</v>
      </c>
    </row>
    <row r="1274" spans="1:10" x14ac:dyDescent="0.3">
      <c r="A1274">
        <v>4818006</v>
      </c>
      <c r="B1274">
        <v>193520</v>
      </c>
      <c r="C1274">
        <v>1003</v>
      </c>
      <c r="D1274" s="1">
        <v>45210</v>
      </c>
      <c r="E1274" s="1">
        <v>45291</v>
      </c>
      <c r="F1274" t="s">
        <v>3479</v>
      </c>
      <c r="G1274" t="str">
        <f>IF(ISNA(_xlfn.XLOOKUP(subscriptions[[#This Row],[customer_id]], customers[customer_id], customers[customer_id])), "NO", "YES")</f>
        <v>YES</v>
      </c>
      <c r="H1274">
        <f>IF(AND(subscriptions[[#This Row],[end_date]]&lt;&gt;"", subscriptions[[#This Row],[end_date]] &lt; subscriptions[[#This Row],[start_date]]), 1, 0)</f>
        <v>0</v>
      </c>
      <c r="I12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4">
        <f>IF(
  AND(subscriptions[[#This Row],[end_before_start]]=0, subscriptions[[#This Row],[status_end_mismatch]]=0),
  1,
  0
)</f>
        <v>1</v>
      </c>
    </row>
    <row r="1275" spans="1:10" x14ac:dyDescent="0.3">
      <c r="A1275">
        <v>2517205</v>
      </c>
      <c r="B1275">
        <v>784607</v>
      </c>
      <c r="C1275">
        <v>1008</v>
      </c>
      <c r="D1275" s="1">
        <v>45393</v>
      </c>
      <c r="E1275" s="1"/>
      <c r="F1275" t="s">
        <v>3480</v>
      </c>
      <c r="G1275" t="str">
        <f>IF(ISNA(_xlfn.XLOOKUP(subscriptions[[#This Row],[customer_id]], customers[customer_id], customers[customer_id])), "NO", "YES")</f>
        <v>YES</v>
      </c>
      <c r="H1275">
        <f>IF(AND(subscriptions[[#This Row],[end_date]]&lt;&gt;"", subscriptions[[#This Row],[end_date]] &lt; subscriptions[[#This Row],[start_date]]), 1, 0)</f>
        <v>0</v>
      </c>
      <c r="I12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5">
        <f>IF(
  AND(subscriptions[[#This Row],[end_before_start]]=0, subscriptions[[#This Row],[status_end_mismatch]]=0),
  1,
  0
)</f>
        <v>1</v>
      </c>
    </row>
    <row r="1276" spans="1:10" x14ac:dyDescent="0.3">
      <c r="A1276">
        <v>9341509</v>
      </c>
      <c r="B1276">
        <v>985447</v>
      </c>
      <c r="C1276">
        <v>1008</v>
      </c>
      <c r="D1276" s="1">
        <v>44943</v>
      </c>
      <c r="E1276" s="1">
        <v>45076</v>
      </c>
      <c r="F1276" t="s">
        <v>3479</v>
      </c>
      <c r="G1276" t="str">
        <f>IF(ISNA(_xlfn.XLOOKUP(subscriptions[[#This Row],[customer_id]], customers[customer_id], customers[customer_id])), "NO", "YES")</f>
        <v>YES</v>
      </c>
      <c r="H1276">
        <f>IF(AND(subscriptions[[#This Row],[end_date]]&lt;&gt;"", subscriptions[[#This Row],[end_date]] &lt; subscriptions[[#This Row],[start_date]]), 1, 0)</f>
        <v>0</v>
      </c>
      <c r="I12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6">
        <f>IF(
  AND(subscriptions[[#This Row],[end_before_start]]=0, subscriptions[[#This Row],[status_end_mismatch]]=0),
  1,
  0
)</f>
        <v>1</v>
      </c>
    </row>
    <row r="1277" spans="1:10" x14ac:dyDescent="0.3">
      <c r="A1277">
        <v>5440600</v>
      </c>
      <c r="B1277">
        <v>449499</v>
      </c>
      <c r="C1277">
        <v>1003</v>
      </c>
      <c r="D1277" s="1">
        <v>45556</v>
      </c>
      <c r="E1277" s="1"/>
      <c r="F1277" t="s">
        <v>3480</v>
      </c>
      <c r="G1277" t="str">
        <f>IF(ISNA(_xlfn.XLOOKUP(subscriptions[[#This Row],[customer_id]], customers[customer_id], customers[customer_id])), "NO", "YES")</f>
        <v>YES</v>
      </c>
      <c r="H1277">
        <f>IF(AND(subscriptions[[#This Row],[end_date]]&lt;&gt;"", subscriptions[[#This Row],[end_date]] &lt; subscriptions[[#This Row],[start_date]]), 1, 0)</f>
        <v>0</v>
      </c>
      <c r="I12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7">
        <f>IF(
  AND(subscriptions[[#This Row],[end_before_start]]=0, subscriptions[[#This Row],[status_end_mismatch]]=0),
  1,
  0
)</f>
        <v>1</v>
      </c>
    </row>
    <row r="1278" spans="1:10" x14ac:dyDescent="0.3">
      <c r="A1278">
        <v>8344546</v>
      </c>
      <c r="B1278">
        <v>791174</v>
      </c>
      <c r="C1278">
        <v>1008</v>
      </c>
      <c r="D1278" s="1">
        <v>45302</v>
      </c>
      <c r="E1278" s="1">
        <v>45418</v>
      </c>
      <c r="F1278" t="s">
        <v>3479</v>
      </c>
      <c r="G1278" t="str">
        <f>IF(ISNA(_xlfn.XLOOKUP(subscriptions[[#This Row],[customer_id]], customers[customer_id], customers[customer_id])), "NO", "YES")</f>
        <v>YES</v>
      </c>
      <c r="H1278">
        <f>IF(AND(subscriptions[[#This Row],[end_date]]&lt;&gt;"", subscriptions[[#This Row],[end_date]] &lt; subscriptions[[#This Row],[start_date]]), 1, 0)</f>
        <v>0</v>
      </c>
      <c r="I12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8">
        <f>IF(
  AND(subscriptions[[#This Row],[end_before_start]]=0, subscriptions[[#This Row],[status_end_mismatch]]=0),
  1,
  0
)</f>
        <v>1</v>
      </c>
    </row>
    <row r="1279" spans="1:10" x14ac:dyDescent="0.3">
      <c r="A1279">
        <v>6415010</v>
      </c>
      <c r="B1279">
        <v>416208</v>
      </c>
      <c r="C1279">
        <v>1004</v>
      </c>
      <c r="D1279" s="1">
        <v>44594</v>
      </c>
      <c r="E1279" s="1"/>
      <c r="F1279" t="s">
        <v>3480</v>
      </c>
      <c r="G1279" t="str">
        <f>IF(ISNA(_xlfn.XLOOKUP(subscriptions[[#This Row],[customer_id]], customers[customer_id], customers[customer_id])), "NO", "YES")</f>
        <v>YES</v>
      </c>
      <c r="H1279">
        <f>IF(AND(subscriptions[[#This Row],[end_date]]&lt;&gt;"", subscriptions[[#This Row],[end_date]] &lt; subscriptions[[#This Row],[start_date]]), 1, 0)</f>
        <v>0</v>
      </c>
      <c r="I12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79">
        <f>IF(
  AND(subscriptions[[#This Row],[end_before_start]]=0, subscriptions[[#This Row],[status_end_mismatch]]=0),
  1,
  0
)</f>
        <v>1</v>
      </c>
    </row>
    <row r="1280" spans="1:10" x14ac:dyDescent="0.3">
      <c r="A1280">
        <v>6209788</v>
      </c>
      <c r="B1280">
        <v>609232</v>
      </c>
      <c r="C1280">
        <v>1000</v>
      </c>
      <c r="D1280" s="1">
        <v>45598</v>
      </c>
      <c r="E1280" s="1">
        <v>45648</v>
      </c>
      <c r="F1280" t="s">
        <v>3479</v>
      </c>
      <c r="G1280" t="str">
        <f>IF(ISNA(_xlfn.XLOOKUP(subscriptions[[#This Row],[customer_id]], customers[customer_id], customers[customer_id])), "NO", "YES")</f>
        <v>YES</v>
      </c>
      <c r="H1280">
        <f>IF(AND(subscriptions[[#This Row],[end_date]]&lt;&gt;"", subscriptions[[#This Row],[end_date]] &lt; subscriptions[[#This Row],[start_date]]), 1, 0)</f>
        <v>0</v>
      </c>
      <c r="I12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0">
        <f>IF(
  AND(subscriptions[[#This Row],[end_before_start]]=0, subscriptions[[#This Row],[status_end_mismatch]]=0),
  1,
  0
)</f>
        <v>1</v>
      </c>
    </row>
    <row r="1281" spans="1:10" x14ac:dyDescent="0.3">
      <c r="A1281">
        <v>3984802</v>
      </c>
      <c r="B1281">
        <v>901215</v>
      </c>
      <c r="C1281">
        <v>1003</v>
      </c>
      <c r="D1281" s="1">
        <v>45377</v>
      </c>
      <c r="E1281" s="1">
        <v>45445</v>
      </c>
      <c r="F1281" t="s">
        <v>3479</v>
      </c>
      <c r="G1281" t="str">
        <f>IF(ISNA(_xlfn.XLOOKUP(subscriptions[[#This Row],[customer_id]], customers[customer_id], customers[customer_id])), "NO", "YES")</f>
        <v>YES</v>
      </c>
      <c r="H1281">
        <f>IF(AND(subscriptions[[#This Row],[end_date]]&lt;&gt;"", subscriptions[[#This Row],[end_date]] &lt; subscriptions[[#This Row],[start_date]]), 1, 0)</f>
        <v>0</v>
      </c>
      <c r="I12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1">
        <f>IF(
  AND(subscriptions[[#This Row],[end_before_start]]=0, subscriptions[[#This Row],[status_end_mismatch]]=0),
  1,
  0
)</f>
        <v>1</v>
      </c>
    </row>
    <row r="1282" spans="1:10" x14ac:dyDescent="0.3">
      <c r="A1282">
        <v>4332284</v>
      </c>
      <c r="B1282">
        <v>956253</v>
      </c>
      <c r="C1282">
        <v>1003</v>
      </c>
      <c r="D1282" s="1">
        <v>44753</v>
      </c>
      <c r="E1282" s="1"/>
      <c r="F1282" t="s">
        <v>3480</v>
      </c>
      <c r="G1282" t="str">
        <f>IF(ISNA(_xlfn.XLOOKUP(subscriptions[[#This Row],[customer_id]], customers[customer_id], customers[customer_id])), "NO", "YES")</f>
        <v>YES</v>
      </c>
      <c r="H1282">
        <f>IF(AND(subscriptions[[#This Row],[end_date]]&lt;&gt;"", subscriptions[[#This Row],[end_date]] &lt; subscriptions[[#This Row],[start_date]]), 1, 0)</f>
        <v>0</v>
      </c>
      <c r="I12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2">
        <f>IF(
  AND(subscriptions[[#This Row],[end_before_start]]=0, subscriptions[[#This Row],[status_end_mismatch]]=0),
  1,
  0
)</f>
        <v>1</v>
      </c>
    </row>
    <row r="1283" spans="1:10" x14ac:dyDescent="0.3">
      <c r="A1283">
        <v>7788683</v>
      </c>
      <c r="B1283">
        <v>852485</v>
      </c>
      <c r="C1283">
        <v>1000</v>
      </c>
      <c r="D1283" s="1">
        <v>45101</v>
      </c>
      <c r="E1283" s="1"/>
      <c r="F1283" t="s">
        <v>3480</v>
      </c>
      <c r="G1283" t="str">
        <f>IF(ISNA(_xlfn.XLOOKUP(subscriptions[[#This Row],[customer_id]], customers[customer_id], customers[customer_id])), "NO", "YES")</f>
        <v>YES</v>
      </c>
      <c r="H1283">
        <f>IF(AND(subscriptions[[#This Row],[end_date]]&lt;&gt;"", subscriptions[[#This Row],[end_date]] &lt; subscriptions[[#This Row],[start_date]]), 1, 0)</f>
        <v>0</v>
      </c>
      <c r="I12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3">
        <f>IF(
  AND(subscriptions[[#This Row],[end_before_start]]=0, subscriptions[[#This Row],[status_end_mismatch]]=0),
  1,
  0
)</f>
        <v>1</v>
      </c>
    </row>
    <row r="1284" spans="1:10" x14ac:dyDescent="0.3">
      <c r="A1284">
        <v>6707004</v>
      </c>
      <c r="B1284">
        <v>652530</v>
      </c>
      <c r="C1284">
        <v>1002</v>
      </c>
      <c r="D1284" s="1">
        <v>45286</v>
      </c>
      <c r="E1284" s="1"/>
      <c r="F1284" t="s">
        <v>3480</v>
      </c>
      <c r="G1284" t="str">
        <f>IF(ISNA(_xlfn.XLOOKUP(subscriptions[[#This Row],[customer_id]], customers[customer_id], customers[customer_id])), "NO", "YES")</f>
        <v>YES</v>
      </c>
      <c r="H1284">
        <f>IF(AND(subscriptions[[#This Row],[end_date]]&lt;&gt;"", subscriptions[[#This Row],[end_date]] &lt; subscriptions[[#This Row],[start_date]]), 1, 0)</f>
        <v>0</v>
      </c>
      <c r="I12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4">
        <f>IF(
  AND(subscriptions[[#This Row],[end_before_start]]=0, subscriptions[[#This Row],[status_end_mismatch]]=0),
  1,
  0
)</f>
        <v>1</v>
      </c>
    </row>
    <row r="1285" spans="1:10" x14ac:dyDescent="0.3">
      <c r="A1285">
        <v>7463257</v>
      </c>
      <c r="B1285">
        <v>683879</v>
      </c>
      <c r="C1285">
        <v>1005</v>
      </c>
      <c r="D1285" s="1">
        <v>44774</v>
      </c>
      <c r="E1285" s="1">
        <v>44954</v>
      </c>
      <c r="F1285" t="s">
        <v>3479</v>
      </c>
      <c r="G1285" t="str">
        <f>IF(ISNA(_xlfn.XLOOKUP(subscriptions[[#This Row],[customer_id]], customers[customer_id], customers[customer_id])), "NO", "YES")</f>
        <v>YES</v>
      </c>
      <c r="H1285">
        <f>IF(AND(subscriptions[[#This Row],[end_date]]&lt;&gt;"", subscriptions[[#This Row],[end_date]] &lt; subscriptions[[#This Row],[start_date]]), 1, 0)</f>
        <v>0</v>
      </c>
      <c r="I12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5">
        <f>IF(
  AND(subscriptions[[#This Row],[end_before_start]]=0, subscriptions[[#This Row],[status_end_mismatch]]=0),
  1,
  0
)</f>
        <v>1</v>
      </c>
    </row>
    <row r="1286" spans="1:10" x14ac:dyDescent="0.3">
      <c r="A1286">
        <v>2379281</v>
      </c>
      <c r="B1286">
        <v>193520</v>
      </c>
      <c r="C1286">
        <v>1004</v>
      </c>
      <c r="D1286" s="1">
        <v>45225</v>
      </c>
      <c r="E1286" s="1">
        <v>45481</v>
      </c>
      <c r="F1286" t="s">
        <v>3479</v>
      </c>
      <c r="G1286" t="str">
        <f>IF(ISNA(_xlfn.XLOOKUP(subscriptions[[#This Row],[customer_id]], customers[customer_id], customers[customer_id])), "NO", "YES")</f>
        <v>YES</v>
      </c>
      <c r="H1286">
        <f>IF(AND(subscriptions[[#This Row],[end_date]]&lt;&gt;"", subscriptions[[#This Row],[end_date]] &lt; subscriptions[[#This Row],[start_date]]), 1, 0)</f>
        <v>0</v>
      </c>
      <c r="I12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6">
        <f>IF(
  AND(subscriptions[[#This Row],[end_before_start]]=0, subscriptions[[#This Row],[status_end_mismatch]]=0),
  1,
  0
)</f>
        <v>1</v>
      </c>
    </row>
    <row r="1287" spans="1:10" x14ac:dyDescent="0.3">
      <c r="A1287">
        <v>1684054</v>
      </c>
      <c r="B1287">
        <v>367747</v>
      </c>
      <c r="C1287">
        <v>1001</v>
      </c>
      <c r="D1287" s="1">
        <v>45065</v>
      </c>
      <c r="E1287" s="1"/>
      <c r="F1287" t="s">
        <v>3480</v>
      </c>
      <c r="G1287" t="str">
        <f>IF(ISNA(_xlfn.XLOOKUP(subscriptions[[#This Row],[customer_id]], customers[customer_id], customers[customer_id])), "NO", "YES")</f>
        <v>YES</v>
      </c>
      <c r="H1287">
        <f>IF(AND(subscriptions[[#This Row],[end_date]]&lt;&gt;"", subscriptions[[#This Row],[end_date]] &lt; subscriptions[[#This Row],[start_date]]), 1, 0)</f>
        <v>0</v>
      </c>
      <c r="I12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7">
        <f>IF(
  AND(subscriptions[[#This Row],[end_before_start]]=0, subscriptions[[#This Row],[status_end_mismatch]]=0),
  1,
  0
)</f>
        <v>1</v>
      </c>
    </row>
    <row r="1288" spans="1:10" x14ac:dyDescent="0.3">
      <c r="A1288">
        <v>5593405</v>
      </c>
      <c r="B1288">
        <v>254954</v>
      </c>
      <c r="C1288">
        <v>1000</v>
      </c>
      <c r="D1288" s="1">
        <v>44615</v>
      </c>
      <c r="E1288" s="1"/>
      <c r="F1288" t="s">
        <v>3480</v>
      </c>
      <c r="G1288" t="str">
        <f>IF(ISNA(_xlfn.XLOOKUP(subscriptions[[#This Row],[customer_id]], customers[customer_id], customers[customer_id])), "NO", "YES")</f>
        <v>YES</v>
      </c>
      <c r="H1288">
        <f>IF(AND(subscriptions[[#This Row],[end_date]]&lt;&gt;"", subscriptions[[#This Row],[end_date]] &lt; subscriptions[[#This Row],[start_date]]), 1, 0)</f>
        <v>0</v>
      </c>
      <c r="I12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8">
        <f>IF(
  AND(subscriptions[[#This Row],[end_before_start]]=0, subscriptions[[#This Row],[status_end_mismatch]]=0),
  1,
  0
)</f>
        <v>1</v>
      </c>
    </row>
    <row r="1289" spans="1:10" x14ac:dyDescent="0.3">
      <c r="A1289">
        <v>4673793</v>
      </c>
      <c r="B1289">
        <v>384645</v>
      </c>
      <c r="C1289">
        <v>1006</v>
      </c>
      <c r="D1289" s="1">
        <v>45064</v>
      </c>
      <c r="E1289" s="1">
        <v>45319</v>
      </c>
      <c r="F1289" t="s">
        <v>3479</v>
      </c>
      <c r="G1289" t="str">
        <f>IF(ISNA(_xlfn.XLOOKUP(subscriptions[[#This Row],[customer_id]], customers[customer_id], customers[customer_id])), "NO", "YES")</f>
        <v>YES</v>
      </c>
      <c r="H1289">
        <f>IF(AND(subscriptions[[#This Row],[end_date]]&lt;&gt;"", subscriptions[[#This Row],[end_date]] &lt; subscriptions[[#This Row],[start_date]]), 1, 0)</f>
        <v>0</v>
      </c>
      <c r="I12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89">
        <f>IF(
  AND(subscriptions[[#This Row],[end_before_start]]=0, subscriptions[[#This Row],[status_end_mismatch]]=0),
  1,
  0
)</f>
        <v>1</v>
      </c>
    </row>
    <row r="1290" spans="1:10" x14ac:dyDescent="0.3">
      <c r="A1290">
        <v>4623343</v>
      </c>
      <c r="B1290">
        <v>680099</v>
      </c>
      <c r="C1290">
        <v>1002</v>
      </c>
      <c r="D1290" s="1">
        <v>44859</v>
      </c>
      <c r="E1290" s="1"/>
      <c r="F1290" t="s">
        <v>3480</v>
      </c>
      <c r="G1290" t="str">
        <f>IF(ISNA(_xlfn.XLOOKUP(subscriptions[[#This Row],[customer_id]], customers[customer_id], customers[customer_id])), "NO", "YES")</f>
        <v>YES</v>
      </c>
      <c r="H1290">
        <f>IF(AND(subscriptions[[#This Row],[end_date]]&lt;&gt;"", subscriptions[[#This Row],[end_date]] &lt; subscriptions[[#This Row],[start_date]]), 1, 0)</f>
        <v>0</v>
      </c>
      <c r="I12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0">
        <f>IF(
  AND(subscriptions[[#This Row],[end_before_start]]=0, subscriptions[[#This Row],[status_end_mismatch]]=0),
  1,
  0
)</f>
        <v>1</v>
      </c>
    </row>
    <row r="1291" spans="1:10" x14ac:dyDescent="0.3">
      <c r="A1291">
        <v>5088275</v>
      </c>
      <c r="B1291">
        <v>974991</v>
      </c>
      <c r="C1291">
        <v>1009</v>
      </c>
      <c r="D1291" s="1">
        <v>44604</v>
      </c>
      <c r="E1291" s="1">
        <v>44881</v>
      </c>
      <c r="F1291" t="s">
        <v>3479</v>
      </c>
      <c r="G1291" t="str">
        <f>IF(ISNA(_xlfn.XLOOKUP(subscriptions[[#This Row],[customer_id]], customers[customer_id], customers[customer_id])), "NO", "YES")</f>
        <v>YES</v>
      </c>
      <c r="H1291">
        <f>IF(AND(subscriptions[[#This Row],[end_date]]&lt;&gt;"", subscriptions[[#This Row],[end_date]] &lt; subscriptions[[#This Row],[start_date]]), 1, 0)</f>
        <v>0</v>
      </c>
      <c r="I12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1">
        <f>IF(
  AND(subscriptions[[#This Row],[end_before_start]]=0, subscriptions[[#This Row],[status_end_mismatch]]=0),
  1,
  0
)</f>
        <v>1</v>
      </c>
    </row>
    <row r="1292" spans="1:10" x14ac:dyDescent="0.3">
      <c r="A1292">
        <v>8364357</v>
      </c>
      <c r="B1292">
        <v>492446</v>
      </c>
      <c r="C1292">
        <v>1002</v>
      </c>
      <c r="D1292" s="1">
        <v>45410</v>
      </c>
      <c r="E1292" s="1"/>
      <c r="F1292" t="s">
        <v>3480</v>
      </c>
      <c r="G1292" t="str">
        <f>IF(ISNA(_xlfn.XLOOKUP(subscriptions[[#This Row],[customer_id]], customers[customer_id], customers[customer_id])), "NO", "YES")</f>
        <v>YES</v>
      </c>
      <c r="H1292">
        <f>IF(AND(subscriptions[[#This Row],[end_date]]&lt;&gt;"", subscriptions[[#This Row],[end_date]] &lt; subscriptions[[#This Row],[start_date]]), 1, 0)</f>
        <v>0</v>
      </c>
      <c r="I12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2">
        <f>IF(
  AND(subscriptions[[#This Row],[end_before_start]]=0, subscriptions[[#This Row],[status_end_mismatch]]=0),
  1,
  0
)</f>
        <v>1</v>
      </c>
    </row>
    <row r="1293" spans="1:10" x14ac:dyDescent="0.3">
      <c r="A1293">
        <v>4225237</v>
      </c>
      <c r="B1293">
        <v>178898</v>
      </c>
      <c r="C1293">
        <v>1006</v>
      </c>
      <c r="D1293" s="1">
        <v>45406</v>
      </c>
      <c r="E1293" s="1"/>
      <c r="F1293" t="s">
        <v>3480</v>
      </c>
      <c r="G1293" t="str">
        <f>IF(ISNA(_xlfn.XLOOKUP(subscriptions[[#This Row],[customer_id]], customers[customer_id], customers[customer_id])), "NO", "YES")</f>
        <v>YES</v>
      </c>
      <c r="H1293">
        <f>IF(AND(subscriptions[[#This Row],[end_date]]&lt;&gt;"", subscriptions[[#This Row],[end_date]] &lt; subscriptions[[#This Row],[start_date]]), 1, 0)</f>
        <v>0</v>
      </c>
      <c r="I12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3">
        <f>IF(
  AND(subscriptions[[#This Row],[end_before_start]]=0, subscriptions[[#This Row],[status_end_mismatch]]=0),
  1,
  0
)</f>
        <v>1</v>
      </c>
    </row>
    <row r="1294" spans="1:10" x14ac:dyDescent="0.3">
      <c r="A1294">
        <v>9700184</v>
      </c>
      <c r="B1294">
        <v>608608</v>
      </c>
      <c r="C1294">
        <v>1008</v>
      </c>
      <c r="D1294" s="1">
        <v>45380</v>
      </c>
      <c r="E1294" s="1">
        <v>45608</v>
      </c>
      <c r="F1294" t="s">
        <v>3479</v>
      </c>
      <c r="G1294" t="str">
        <f>IF(ISNA(_xlfn.XLOOKUP(subscriptions[[#This Row],[customer_id]], customers[customer_id], customers[customer_id])), "NO", "YES")</f>
        <v>YES</v>
      </c>
      <c r="H1294">
        <f>IF(AND(subscriptions[[#This Row],[end_date]]&lt;&gt;"", subscriptions[[#This Row],[end_date]] &lt; subscriptions[[#This Row],[start_date]]), 1, 0)</f>
        <v>0</v>
      </c>
      <c r="I12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4">
        <f>IF(
  AND(subscriptions[[#This Row],[end_before_start]]=0, subscriptions[[#This Row],[status_end_mismatch]]=0),
  1,
  0
)</f>
        <v>1</v>
      </c>
    </row>
    <row r="1295" spans="1:10" x14ac:dyDescent="0.3">
      <c r="A1295">
        <v>5387112</v>
      </c>
      <c r="B1295">
        <v>138780</v>
      </c>
      <c r="C1295">
        <v>1005</v>
      </c>
      <c r="D1295" s="1">
        <v>45307</v>
      </c>
      <c r="E1295" s="1">
        <v>45471</v>
      </c>
      <c r="F1295" t="s">
        <v>3479</v>
      </c>
      <c r="G1295" t="str">
        <f>IF(ISNA(_xlfn.XLOOKUP(subscriptions[[#This Row],[customer_id]], customers[customer_id], customers[customer_id])), "NO", "YES")</f>
        <v>YES</v>
      </c>
      <c r="H1295">
        <f>IF(AND(subscriptions[[#This Row],[end_date]]&lt;&gt;"", subscriptions[[#This Row],[end_date]] &lt; subscriptions[[#This Row],[start_date]]), 1, 0)</f>
        <v>0</v>
      </c>
      <c r="I12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5">
        <f>IF(
  AND(subscriptions[[#This Row],[end_before_start]]=0, subscriptions[[#This Row],[status_end_mismatch]]=0),
  1,
  0
)</f>
        <v>1</v>
      </c>
    </row>
    <row r="1296" spans="1:10" x14ac:dyDescent="0.3">
      <c r="A1296">
        <v>8236259</v>
      </c>
      <c r="B1296">
        <v>581037</v>
      </c>
      <c r="C1296">
        <v>1004</v>
      </c>
      <c r="D1296" s="1">
        <v>45320</v>
      </c>
      <c r="E1296" s="1"/>
      <c r="F1296" t="s">
        <v>3480</v>
      </c>
      <c r="G1296" t="str">
        <f>IF(ISNA(_xlfn.XLOOKUP(subscriptions[[#This Row],[customer_id]], customers[customer_id], customers[customer_id])), "NO", "YES")</f>
        <v>YES</v>
      </c>
      <c r="H1296">
        <f>IF(AND(subscriptions[[#This Row],[end_date]]&lt;&gt;"", subscriptions[[#This Row],[end_date]] &lt; subscriptions[[#This Row],[start_date]]), 1, 0)</f>
        <v>0</v>
      </c>
      <c r="I12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6">
        <f>IF(
  AND(subscriptions[[#This Row],[end_before_start]]=0, subscriptions[[#This Row],[status_end_mismatch]]=0),
  1,
  0
)</f>
        <v>1</v>
      </c>
    </row>
    <row r="1297" spans="1:10" x14ac:dyDescent="0.3">
      <c r="A1297">
        <v>4937710</v>
      </c>
      <c r="B1297">
        <v>420214</v>
      </c>
      <c r="C1297">
        <v>1008</v>
      </c>
      <c r="D1297" s="1">
        <v>45217</v>
      </c>
      <c r="E1297" s="1"/>
      <c r="F1297" t="s">
        <v>3480</v>
      </c>
      <c r="G1297" t="str">
        <f>IF(ISNA(_xlfn.XLOOKUP(subscriptions[[#This Row],[customer_id]], customers[customer_id], customers[customer_id])), "NO", "YES")</f>
        <v>YES</v>
      </c>
      <c r="H1297">
        <f>IF(AND(subscriptions[[#This Row],[end_date]]&lt;&gt;"", subscriptions[[#This Row],[end_date]] &lt; subscriptions[[#This Row],[start_date]]), 1, 0)</f>
        <v>0</v>
      </c>
      <c r="I12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7">
        <f>IF(
  AND(subscriptions[[#This Row],[end_before_start]]=0, subscriptions[[#This Row],[status_end_mismatch]]=0),
  1,
  0
)</f>
        <v>1</v>
      </c>
    </row>
    <row r="1298" spans="1:10" x14ac:dyDescent="0.3">
      <c r="A1298">
        <v>2292524</v>
      </c>
      <c r="B1298">
        <v>214176</v>
      </c>
      <c r="C1298">
        <v>1005</v>
      </c>
      <c r="D1298" s="1">
        <v>44837</v>
      </c>
      <c r="E1298" s="1"/>
      <c r="F1298" t="s">
        <v>3480</v>
      </c>
      <c r="G1298" t="str">
        <f>IF(ISNA(_xlfn.XLOOKUP(subscriptions[[#This Row],[customer_id]], customers[customer_id], customers[customer_id])), "NO", "YES")</f>
        <v>YES</v>
      </c>
      <c r="H1298">
        <f>IF(AND(subscriptions[[#This Row],[end_date]]&lt;&gt;"", subscriptions[[#This Row],[end_date]] &lt; subscriptions[[#This Row],[start_date]]), 1, 0)</f>
        <v>0</v>
      </c>
      <c r="I12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8">
        <f>IF(
  AND(subscriptions[[#This Row],[end_before_start]]=0, subscriptions[[#This Row],[status_end_mismatch]]=0),
  1,
  0
)</f>
        <v>1</v>
      </c>
    </row>
    <row r="1299" spans="1:10" x14ac:dyDescent="0.3">
      <c r="A1299">
        <v>5142216</v>
      </c>
      <c r="B1299">
        <v>995336</v>
      </c>
      <c r="C1299">
        <v>1003</v>
      </c>
      <c r="D1299" s="1">
        <v>44825</v>
      </c>
      <c r="E1299" s="1"/>
      <c r="F1299" t="s">
        <v>3480</v>
      </c>
      <c r="G1299" t="str">
        <f>IF(ISNA(_xlfn.XLOOKUP(subscriptions[[#This Row],[customer_id]], customers[customer_id], customers[customer_id])), "NO", "YES")</f>
        <v>YES</v>
      </c>
      <c r="H1299">
        <f>IF(AND(subscriptions[[#This Row],[end_date]]&lt;&gt;"", subscriptions[[#This Row],[end_date]] &lt; subscriptions[[#This Row],[start_date]]), 1, 0)</f>
        <v>0</v>
      </c>
      <c r="I12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299">
        <f>IF(
  AND(subscriptions[[#This Row],[end_before_start]]=0, subscriptions[[#This Row],[status_end_mismatch]]=0),
  1,
  0
)</f>
        <v>1</v>
      </c>
    </row>
    <row r="1300" spans="1:10" x14ac:dyDescent="0.3">
      <c r="A1300">
        <v>9513662</v>
      </c>
      <c r="B1300">
        <v>648913</v>
      </c>
      <c r="C1300">
        <v>1002</v>
      </c>
      <c r="D1300" s="1">
        <v>45536</v>
      </c>
      <c r="E1300" s="1"/>
      <c r="F1300" t="s">
        <v>3480</v>
      </c>
      <c r="G1300" t="str">
        <f>IF(ISNA(_xlfn.XLOOKUP(subscriptions[[#This Row],[customer_id]], customers[customer_id], customers[customer_id])), "NO", "YES")</f>
        <v>YES</v>
      </c>
      <c r="H1300">
        <f>IF(AND(subscriptions[[#This Row],[end_date]]&lt;&gt;"", subscriptions[[#This Row],[end_date]] &lt; subscriptions[[#This Row],[start_date]]), 1, 0)</f>
        <v>0</v>
      </c>
      <c r="I13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0">
        <f>IF(
  AND(subscriptions[[#This Row],[end_before_start]]=0, subscriptions[[#This Row],[status_end_mismatch]]=0),
  1,
  0
)</f>
        <v>1</v>
      </c>
    </row>
    <row r="1301" spans="1:10" x14ac:dyDescent="0.3">
      <c r="A1301">
        <v>2758380</v>
      </c>
      <c r="B1301">
        <v>283027</v>
      </c>
      <c r="C1301">
        <v>1008</v>
      </c>
      <c r="D1301" s="1">
        <v>45028</v>
      </c>
      <c r="E1301" s="1">
        <v>45425</v>
      </c>
      <c r="F1301" t="s">
        <v>3479</v>
      </c>
      <c r="G1301" t="str">
        <f>IF(ISNA(_xlfn.XLOOKUP(subscriptions[[#This Row],[customer_id]], customers[customer_id], customers[customer_id])), "NO", "YES")</f>
        <v>YES</v>
      </c>
      <c r="H1301">
        <f>IF(AND(subscriptions[[#This Row],[end_date]]&lt;&gt;"", subscriptions[[#This Row],[end_date]] &lt; subscriptions[[#This Row],[start_date]]), 1, 0)</f>
        <v>0</v>
      </c>
      <c r="I13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1">
        <f>IF(
  AND(subscriptions[[#This Row],[end_before_start]]=0, subscriptions[[#This Row],[status_end_mismatch]]=0),
  1,
  0
)</f>
        <v>1</v>
      </c>
    </row>
    <row r="1302" spans="1:10" x14ac:dyDescent="0.3">
      <c r="A1302">
        <v>4757489</v>
      </c>
      <c r="B1302">
        <v>981473</v>
      </c>
      <c r="C1302">
        <v>1004</v>
      </c>
      <c r="D1302" s="1">
        <v>45514</v>
      </c>
      <c r="E1302" s="1"/>
      <c r="F1302" t="s">
        <v>3480</v>
      </c>
      <c r="G1302" t="str">
        <f>IF(ISNA(_xlfn.XLOOKUP(subscriptions[[#This Row],[customer_id]], customers[customer_id], customers[customer_id])), "NO", "YES")</f>
        <v>YES</v>
      </c>
      <c r="H1302">
        <f>IF(AND(subscriptions[[#This Row],[end_date]]&lt;&gt;"", subscriptions[[#This Row],[end_date]] &lt; subscriptions[[#This Row],[start_date]]), 1, 0)</f>
        <v>0</v>
      </c>
      <c r="I13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2">
        <f>IF(
  AND(subscriptions[[#This Row],[end_before_start]]=0, subscriptions[[#This Row],[status_end_mismatch]]=0),
  1,
  0
)</f>
        <v>1</v>
      </c>
    </row>
    <row r="1303" spans="1:10" x14ac:dyDescent="0.3">
      <c r="A1303">
        <v>1892572</v>
      </c>
      <c r="B1303">
        <v>311469</v>
      </c>
      <c r="C1303">
        <v>1007</v>
      </c>
      <c r="D1303" s="1">
        <v>45504</v>
      </c>
      <c r="E1303" s="1">
        <v>45639</v>
      </c>
      <c r="F1303" t="s">
        <v>3479</v>
      </c>
      <c r="G1303" t="str">
        <f>IF(ISNA(_xlfn.XLOOKUP(subscriptions[[#This Row],[customer_id]], customers[customer_id], customers[customer_id])), "NO", "YES")</f>
        <v>YES</v>
      </c>
      <c r="H1303">
        <f>IF(AND(subscriptions[[#This Row],[end_date]]&lt;&gt;"", subscriptions[[#This Row],[end_date]] &lt; subscriptions[[#This Row],[start_date]]), 1, 0)</f>
        <v>0</v>
      </c>
      <c r="I13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3">
        <f>IF(
  AND(subscriptions[[#This Row],[end_before_start]]=0, subscriptions[[#This Row],[status_end_mismatch]]=0),
  1,
  0
)</f>
        <v>1</v>
      </c>
    </row>
    <row r="1304" spans="1:10" x14ac:dyDescent="0.3">
      <c r="A1304">
        <v>8317957</v>
      </c>
      <c r="B1304">
        <v>813328</v>
      </c>
      <c r="C1304">
        <v>1009</v>
      </c>
      <c r="D1304" s="1">
        <v>44694</v>
      </c>
      <c r="E1304" s="1">
        <v>44811</v>
      </c>
      <c r="F1304" t="s">
        <v>3479</v>
      </c>
      <c r="G1304" t="str">
        <f>IF(ISNA(_xlfn.XLOOKUP(subscriptions[[#This Row],[customer_id]], customers[customer_id], customers[customer_id])), "NO", "YES")</f>
        <v>YES</v>
      </c>
      <c r="H1304">
        <f>IF(AND(subscriptions[[#This Row],[end_date]]&lt;&gt;"", subscriptions[[#This Row],[end_date]] &lt; subscriptions[[#This Row],[start_date]]), 1, 0)</f>
        <v>0</v>
      </c>
      <c r="I13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4">
        <f>IF(
  AND(subscriptions[[#This Row],[end_before_start]]=0, subscriptions[[#This Row],[status_end_mismatch]]=0),
  1,
  0
)</f>
        <v>1</v>
      </c>
    </row>
    <row r="1305" spans="1:10" x14ac:dyDescent="0.3">
      <c r="A1305">
        <v>1371031</v>
      </c>
      <c r="B1305">
        <v>185000</v>
      </c>
      <c r="C1305">
        <v>1008</v>
      </c>
      <c r="D1305" s="1">
        <v>45480</v>
      </c>
      <c r="E1305" s="1"/>
      <c r="F1305" t="s">
        <v>3480</v>
      </c>
      <c r="G1305" t="str">
        <f>IF(ISNA(_xlfn.XLOOKUP(subscriptions[[#This Row],[customer_id]], customers[customer_id], customers[customer_id])), "NO", "YES")</f>
        <v>YES</v>
      </c>
      <c r="H1305">
        <f>IF(AND(subscriptions[[#This Row],[end_date]]&lt;&gt;"", subscriptions[[#This Row],[end_date]] &lt; subscriptions[[#This Row],[start_date]]), 1, 0)</f>
        <v>0</v>
      </c>
      <c r="I13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5">
        <f>IF(
  AND(subscriptions[[#This Row],[end_before_start]]=0, subscriptions[[#This Row],[status_end_mismatch]]=0),
  1,
  0
)</f>
        <v>1</v>
      </c>
    </row>
    <row r="1306" spans="1:10" x14ac:dyDescent="0.3">
      <c r="A1306">
        <v>1965457</v>
      </c>
      <c r="B1306">
        <v>136862</v>
      </c>
      <c r="C1306">
        <v>1003</v>
      </c>
      <c r="D1306" s="1">
        <v>45273</v>
      </c>
      <c r="E1306" s="1"/>
      <c r="F1306" t="s">
        <v>3480</v>
      </c>
      <c r="G1306" t="str">
        <f>IF(ISNA(_xlfn.XLOOKUP(subscriptions[[#This Row],[customer_id]], customers[customer_id], customers[customer_id])), "NO", "YES")</f>
        <v>YES</v>
      </c>
      <c r="H1306">
        <f>IF(AND(subscriptions[[#This Row],[end_date]]&lt;&gt;"", subscriptions[[#This Row],[end_date]] &lt; subscriptions[[#This Row],[start_date]]), 1, 0)</f>
        <v>0</v>
      </c>
      <c r="I13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6">
        <f>IF(
  AND(subscriptions[[#This Row],[end_before_start]]=0, subscriptions[[#This Row],[status_end_mismatch]]=0),
  1,
  0
)</f>
        <v>1</v>
      </c>
    </row>
    <row r="1307" spans="1:10" x14ac:dyDescent="0.3">
      <c r="A1307">
        <v>3481016</v>
      </c>
      <c r="B1307">
        <v>404561</v>
      </c>
      <c r="C1307">
        <v>1008</v>
      </c>
      <c r="D1307" s="1">
        <v>44692</v>
      </c>
      <c r="E1307" s="1">
        <v>44755</v>
      </c>
      <c r="F1307" t="s">
        <v>3479</v>
      </c>
      <c r="G1307" t="str">
        <f>IF(ISNA(_xlfn.XLOOKUP(subscriptions[[#This Row],[customer_id]], customers[customer_id], customers[customer_id])), "NO", "YES")</f>
        <v>YES</v>
      </c>
      <c r="H1307">
        <f>IF(AND(subscriptions[[#This Row],[end_date]]&lt;&gt;"", subscriptions[[#This Row],[end_date]] &lt; subscriptions[[#This Row],[start_date]]), 1, 0)</f>
        <v>0</v>
      </c>
      <c r="I13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7">
        <f>IF(
  AND(subscriptions[[#This Row],[end_before_start]]=0, subscriptions[[#This Row],[status_end_mismatch]]=0),
  1,
  0
)</f>
        <v>1</v>
      </c>
    </row>
    <row r="1308" spans="1:10" x14ac:dyDescent="0.3">
      <c r="A1308">
        <v>5632027</v>
      </c>
      <c r="B1308">
        <v>311895</v>
      </c>
      <c r="C1308">
        <v>1003</v>
      </c>
      <c r="D1308" s="1">
        <v>45078</v>
      </c>
      <c r="E1308" s="1">
        <v>45122</v>
      </c>
      <c r="F1308" t="s">
        <v>3479</v>
      </c>
      <c r="G1308" t="str">
        <f>IF(ISNA(_xlfn.XLOOKUP(subscriptions[[#This Row],[customer_id]], customers[customer_id], customers[customer_id])), "NO", "YES")</f>
        <v>YES</v>
      </c>
      <c r="H1308">
        <f>IF(AND(subscriptions[[#This Row],[end_date]]&lt;&gt;"", subscriptions[[#This Row],[end_date]] &lt; subscriptions[[#This Row],[start_date]]), 1, 0)</f>
        <v>0</v>
      </c>
      <c r="I13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8">
        <f>IF(
  AND(subscriptions[[#This Row],[end_before_start]]=0, subscriptions[[#This Row],[status_end_mismatch]]=0),
  1,
  0
)</f>
        <v>1</v>
      </c>
    </row>
    <row r="1309" spans="1:10" x14ac:dyDescent="0.3">
      <c r="A1309">
        <v>9234422</v>
      </c>
      <c r="B1309">
        <v>423939</v>
      </c>
      <c r="C1309">
        <v>1008</v>
      </c>
      <c r="D1309" s="1">
        <v>45444</v>
      </c>
      <c r="E1309" s="1">
        <v>45542</v>
      </c>
      <c r="F1309" t="s">
        <v>3479</v>
      </c>
      <c r="G1309" t="str">
        <f>IF(ISNA(_xlfn.XLOOKUP(subscriptions[[#This Row],[customer_id]], customers[customer_id], customers[customer_id])), "NO", "YES")</f>
        <v>YES</v>
      </c>
      <c r="H1309">
        <f>IF(AND(subscriptions[[#This Row],[end_date]]&lt;&gt;"", subscriptions[[#This Row],[end_date]] &lt; subscriptions[[#This Row],[start_date]]), 1, 0)</f>
        <v>0</v>
      </c>
      <c r="I13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09">
        <f>IF(
  AND(subscriptions[[#This Row],[end_before_start]]=0, subscriptions[[#This Row],[status_end_mismatch]]=0),
  1,
  0
)</f>
        <v>1</v>
      </c>
    </row>
    <row r="1310" spans="1:10" x14ac:dyDescent="0.3">
      <c r="A1310">
        <v>7647905</v>
      </c>
      <c r="B1310">
        <v>256130</v>
      </c>
      <c r="C1310">
        <v>1009</v>
      </c>
      <c r="D1310" s="1">
        <v>45002</v>
      </c>
      <c r="E1310" s="1">
        <v>45190</v>
      </c>
      <c r="F1310" t="s">
        <v>3479</v>
      </c>
      <c r="G1310" t="str">
        <f>IF(ISNA(_xlfn.XLOOKUP(subscriptions[[#This Row],[customer_id]], customers[customer_id], customers[customer_id])), "NO", "YES")</f>
        <v>YES</v>
      </c>
      <c r="H1310">
        <f>IF(AND(subscriptions[[#This Row],[end_date]]&lt;&gt;"", subscriptions[[#This Row],[end_date]] &lt; subscriptions[[#This Row],[start_date]]), 1, 0)</f>
        <v>0</v>
      </c>
      <c r="I13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0">
        <f>IF(
  AND(subscriptions[[#This Row],[end_before_start]]=0, subscriptions[[#This Row],[status_end_mismatch]]=0),
  1,
  0
)</f>
        <v>1</v>
      </c>
    </row>
    <row r="1311" spans="1:10" x14ac:dyDescent="0.3">
      <c r="A1311">
        <v>6111364</v>
      </c>
      <c r="B1311">
        <v>340977</v>
      </c>
      <c r="C1311">
        <v>1003</v>
      </c>
      <c r="D1311" s="1">
        <v>45238</v>
      </c>
      <c r="E1311" s="1"/>
      <c r="F1311" t="s">
        <v>3480</v>
      </c>
      <c r="G1311" t="str">
        <f>IF(ISNA(_xlfn.XLOOKUP(subscriptions[[#This Row],[customer_id]], customers[customer_id], customers[customer_id])), "NO", "YES")</f>
        <v>YES</v>
      </c>
      <c r="H1311">
        <f>IF(AND(subscriptions[[#This Row],[end_date]]&lt;&gt;"", subscriptions[[#This Row],[end_date]] &lt; subscriptions[[#This Row],[start_date]]), 1, 0)</f>
        <v>0</v>
      </c>
      <c r="I13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1">
        <f>IF(
  AND(subscriptions[[#This Row],[end_before_start]]=0, subscriptions[[#This Row],[status_end_mismatch]]=0),
  1,
  0
)</f>
        <v>1</v>
      </c>
    </row>
    <row r="1312" spans="1:10" x14ac:dyDescent="0.3">
      <c r="A1312">
        <v>9522069</v>
      </c>
      <c r="B1312">
        <v>116703</v>
      </c>
      <c r="C1312">
        <v>1003</v>
      </c>
      <c r="D1312" s="1">
        <v>45395</v>
      </c>
      <c r="E1312" s="1"/>
      <c r="F1312" t="s">
        <v>3480</v>
      </c>
      <c r="G1312" t="str">
        <f>IF(ISNA(_xlfn.XLOOKUP(subscriptions[[#This Row],[customer_id]], customers[customer_id], customers[customer_id])), "NO", "YES")</f>
        <v>YES</v>
      </c>
      <c r="H1312">
        <f>IF(AND(subscriptions[[#This Row],[end_date]]&lt;&gt;"", subscriptions[[#This Row],[end_date]] &lt; subscriptions[[#This Row],[start_date]]), 1, 0)</f>
        <v>0</v>
      </c>
      <c r="I13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2">
        <f>IF(
  AND(subscriptions[[#This Row],[end_before_start]]=0, subscriptions[[#This Row],[status_end_mismatch]]=0),
  1,
  0
)</f>
        <v>1</v>
      </c>
    </row>
    <row r="1313" spans="1:10" x14ac:dyDescent="0.3">
      <c r="A1313">
        <v>6275739</v>
      </c>
      <c r="B1313">
        <v>749758</v>
      </c>
      <c r="C1313">
        <v>1002</v>
      </c>
      <c r="D1313" s="1">
        <v>44575</v>
      </c>
      <c r="E1313" s="1">
        <v>44632</v>
      </c>
      <c r="F1313" t="s">
        <v>3479</v>
      </c>
      <c r="G1313" t="str">
        <f>IF(ISNA(_xlfn.XLOOKUP(subscriptions[[#This Row],[customer_id]], customers[customer_id], customers[customer_id])), "NO", "YES")</f>
        <v>YES</v>
      </c>
      <c r="H1313">
        <f>IF(AND(subscriptions[[#This Row],[end_date]]&lt;&gt;"", subscriptions[[#This Row],[end_date]] &lt; subscriptions[[#This Row],[start_date]]), 1, 0)</f>
        <v>0</v>
      </c>
      <c r="I13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3">
        <f>IF(
  AND(subscriptions[[#This Row],[end_before_start]]=0, subscriptions[[#This Row],[status_end_mismatch]]=0),
  1,
  0
)</f>
        <v>1</v>
      </c>
    </row>
    <row r="1314" spans="1:10" x14ac:dyDescent="0.3">
      <c r="A1314">
        <v>7012107</v>
      </c>
      <c r="B1314">
        <v>880623</v>
      </c>
      <c r="C1314">
        <v>1002</v>
      </c>
      <c r="D1314" s="1">
        <v>44807</v>
      </c>
      <c r="E1314" s="1">
        <v>44873</v>
      </c>
      <c r="F1314" t="s">
        <v>3479</v>
      </c>
      <c r="G1314" t="str">
        <f>IF(ISNA(_xlfn.XLOOKUP(subscriptions[[#This Row],[customer_id]], customers[customer_id], customers[customer_id])), "NO", "YES")</f>
        <v>YES</v>
      </c>
      <c r="H1314">
        <f>IF(AND(subscriptions[[#This Row],[end_date]]&lt;&gt;"", subscriptions[[#This Row],[end_date]] &lt; subscriptions[[#This Row],[start_date]]), 1, 0)</f>
        <v>0</v>
      </c>
      <c r="I13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4">
        <f>IF(
  AND(subscriptions[[#This Row],[end_before_start]]=0, subscriptions[[#This Row],[status_end_mismatch]]=0),
  1,
  0
)</f>
        <v>1</v>
      </c>
    </row>
    <row r="1315" spans="1:10" x14ac:dyDescent="0.3">
      <c r="A1315">
        <v>2067513</v>
      </c>
      <c r="B1315">
        <v>295646</v>
      </c>
      <c r="C1315">
        <v>1004</v>
      </c>
      <c r="D1315" s="1">
        <v>45409</v>
      </c>
      <c r="E1315" s="1">
        <v>45538</v>
      </c>
      <c r="F1315" t="s">
        <v>3479</v>
      </c>
      <c r="G1315" t="str">
        <f>IF(ISNA(_xlfn.XLOOKUP(subscriptions[[#This Row],[customer_id]], customers[customer_id], customers[customer_id])), "NO", "YES")</f>
        <v>YES</v>
      </c>
      <c r="H1315">
        <f>IF(AND(subscriptions[[#This Row],[end_date]]&lt;&gt;"", subscriptions[[#This Row],[end_date]] &lt; subscriptions[[#This Row],[start_date]]), 1, 0)</f>
        <v>0</v>
      </c>
      <c r="I13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5">
        <f>IF(
  AND(subscriptions[[#This Row],[end_before_start]]=0, subscriptions[[#This Row],[status_end_mismatch]]=0),
  1,
  0
)</f>
        <v>1</v>
      </c>
    </row>
    <row r="1316" spans="1:10" x14ac:dyDescent="0.3">
      <c r="A1316">
        <v>5174163</v>
      </c>
      <c r="B1316">
        <v>629435</v>
      </c>
      <c r="C1316">
        <v>1000</v>
      </c>
      <c r="D1316" s="1">
        <v>44929</v>
      </c>
      <c r="E1316" s="1">
        <v>44974</v>
      </c>
      <c r="F1316" t="s">
        <v>3479</v>
      </c>
      <c r="G1316" t="str">
        <f>IF(ISNA(_xlfn.XLOOKUP(subscriptions[[#This Row],[customer_id]], customers[customer_id], customers[customer_id])), "NO", "YES")</f>
        <v>YES</v>
      </c>
      <c r="H1316">
        <f>IF(AND(subscriptions[[#This Row],[end_date]]&lt;&gt;"", subscriptions[[#This Row],[end_date]] &lt; subscriptions[[#This Row],[start_date]]), 1, 0)</f>
        <v>0</v>
      </c>
      <c r="I13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6">
        <f>IF(
  AND(subscriptions[[#This Row],[end_before_start]]=0, subscriptions[[#This Row],[status_end_mismatch]]=0),
  1,
  0
)</f>
        <v>1</v>
      </c>
    </row>
    <row r="1317" spans="1:10" x14ac:dyDescent="0.3">
      <c r="A1317">
        <v>9304303</v>
      </c>
      <c r="B1317">
        <v>680099</v>
      </c>
      <c r="C1317">
        <v>1005</v>
      </c>
      <c r="D1317" s="1">
        <v>44806</v>
      </c>
      <c r="E1317" s="1"/>
      <c r="F1317" t="s">
        <v>3480</v>
      </c>
      <c r="G1317" t="str">
        <f>IF(ISNA(_xlfn.XLOOKUP(subscriptions[[#This Row],[customer_id]], customers[customer_id], customers[customer_id])), "NO", "YES")</f>
        <v>YES</v>
      </c>
      <c r="H1317">
        <f>IF(AND(subscriptions[[#This Row],[end_date]]&lt;&gt;"", subscriptions[[#This Row],[end_date]] &lt; subscriptions[[#This Row],[start_date]]), 1, 0)</f>
        <v>0</v>
      </c>
      <c r="I13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7">
        <f>IF(
  AND(subscriptions[[#This Row],[end_before_start]]=0, subscriptions[[#This Row],[status_end_mismatch]]=0),
  1,
  0
)</f>
        <v>1</v>
      </c>
    </row>
    <row r="1318" spans="1:10" x14ac:dyDescent="0.3">
      <c r="A1318">
        <v>2579766</v>
      </c>
      <c r="B1318">
        <v>906048</v>
      </c>
      <c r="C1318">
        <v>1005</v>
      </c>
      <c r="D1318" s="1">
        <v>45388</v>
      </c>
      <c r="E1318" s="1"/>
      <c r="F1318" t="s">
        <v>3480</v>
      </c>
      <c r="G1318" t="str">
        <f>IF(ISNA(_xlfn.XLOOKUP(subscriptions[[#This Row],[customer_id]], customers[customer_id], customers[customer_id])), "NO", "YES")</f>
        <v>YES</v>
      </c>
      <c r="H1318">
        <f>IF(AND(subscriptions[[#This Row],[end_date]]&lt;&gt;"", subscriptions[[#This Row],[end_date]] &lt; subscriptions[[#This Row],[start_date]]), 1, 0)</f>
        <v>0</v>
      </c>
      <c r="I13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8">
        <f>IF(
  AND(subscriptions[[#This Row],[end_before_start]]=0, subscriptions[[#This Row],[status_end_mismatch]]=0),
  1,
  0
)</f>
        <v>1</v>
      </c>
    </row>
    <row r="1319" spans="1:10" x14ac:dyDescent="0.3">
      <c r="A1319">
        <v>7500351</v>
      </c>
      <c r="B1319">
        <v>735173</v>
      </c>
      <c r="C1319">
        <v>1005</v>
      </c>
      <c r="D1319" s="1">
        <v>45396</v>
      </c>
      <c r="E1319" s="1"/>
      <c r="F1319" t="s">
        <v>3480</v>
      </c>
      <c r="G1319" t="str">
        <f>IF(ISNA(_xlfn.XLOOKUP(subscriptions[[#This Row],[customer_id]], customers[customer_id], customers[customer_id])), "NO", "YES")</f>
        <v>YES</v>
      </c>
      <c r="H1319">
        <f>IF(AND(subscriptions[[#This Row],[end_date]]&lt;&gt;"", subscriptions[[#This Row],[end_date]] &lt; subscriptions[[#This Row],[start_date]]), 1, 0)</f>
        <v>0</v>
      </c>
      <c r="I13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19">
        <f>IF(
  AND(subscriptions[[#This Row],[end_before_start]]=0, subscriptions[[#This Row],[status_end_mismatch]]=0),
  1,
  0
)</f>
        <v>1</v>
      </c>
    </row>
    <row r="1320" spans="1:10" x14ac:dyDescent="0.3">
      <c r="A1320">
        <v>8959238</v>
      </c>
      <c r="B1320">
        <v>106658</v>
      </c>
      <c r="C1320">
        <v>1006</v>
      </c>
      <c r="D1320" s="1">
        <v>44845</v>
      </c>
      <c r="E1320" s="1">
        <v>44968</v>
      </c>
      <c r="F1320" t="s">
        <v>3479</v>
      </c>
      <c r="G1320" t="str">
        <f>IF(ISNA(_xlfn.XLOOKUP(subscriptions[[#This Row],[customer_id]], customers[customer_id], customers[customer_id])), "NO", "YES")</f>
        <v>YES</v>
      </c>
      <c r="H1320">
        <f>IF(AND(subscriptions[[#This Row],[end_date]]&lt;&gt;"", subscriptions[[#This Row],[end_date]] &lt; subscriptions[[#This Row],[start_date]]), 1, 0)</f>
        <v>0</v>
      </c>
      <c r="I13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0">
        <f>IF(
  AND(subscriptions[[#This Row],[end_before_start]]=0, subscriptions[[#This Row],[status_end_mismatch]]=0),
  1,
  0
)</f>
        <v>1</v>
      </c>
    </row>
    <row r="1321" spans="1:10" x14ac:dyDescent="0.3">
      <c r="A1321">
        <v>2608319</v>
      </c>
      <c r="B1321">
        <v>873105</v>
      </c>
      <c r="C1321">
        <v>1006</v>
      </c>
      <c r="D1321" s="1">
        <v>45199</v>
      </c>
      <c r="E1321" s="1"/>
      <c r="F1321" t="s">
        <v>3480</v>
      </c>
      <c r="G1321" t="str">
        <f>IF(ISNA(_xlfn.XLOOKUP(subscriptions[[#This Row],[customer_id]], customers[customer_id], customers[customer_id])), "NO", "YES")</f>
        <v>YES</v>
      </c>
      <c r="H1321">
        <f>IF(AND(subscriptions[[#This Row],[end_date]]&lt;&gt;"", subscriptions[[#This Row],[end_date]] &lt; subscriptions[[#This Row],[start_date]]), 1, 0)</f>
        <v>0</v>
      </c>
      <c r="I13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1">
        <f>IF(
  AND(subscriptions[[#This Row],[end_before_start]]=0, subscriptions[[#This Row],[status_end_mismatch]]=0),
  1,
  0
)</f>
        <v>1</v>
      </c>
    </row>
    <row r="1322" spans="1:10" x14ac:dyDescent="0.3">
      <c r="A1322">
        <v>8220257</v>
      </c>
      <c r="B1322">
        <v>889327</v>
      </c>
      <c r="C1322">
        <v>1001</v>
      </c>
      <c r="D1322" s="1">
        <v>45078</v>
      </c>
      <c r="E1322" s="1"/>
      <c r="F1322" t="s">
        <v>3480</v>
      </c>
      <c r="G1322" t="str">
        <f>IF(ISNA(_xlfn.XLOOKUP(subscriptions[[#This Row],[customer_id]], customers[customer_id], customers[customer_id])), "NO", "YES")</f>
        <v>YES</v>
      </c>
      <c r="H1322">
        <f>IF(AND(subscriptions[[#This Row],[end_date]]&lt;&gt;"", subscriptions[[#This Row],[end_date]] &lt; subscriptions[[#This Row],[start_date]]), 1, 0)</f>
        <v>0</v>
      </c>
      <c r="I13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2">
        <f>IF(
  AND(subscriptions[[#This Row],[end_before_start]]=0, subscriptions[[#This Row],[status_end_mismatch]]=0),
  1,
  0
)</f>
        <v>1</v>
      </c>
    </row>
    <row r="1323" spans="1:10" x14ac:dyDescent="0.3">
      <c r="A1323">
        <v>4096510</v>
      </c>
      <c r="B1323">
        <v>593403</v>
      </c>
      <c r="C1323">
        <v>1003</v>
      </c>
      <c r="D1323" s="1">
        <v>45095</v>
      </c>
      <c r="E1323" s="1"/>
      <c r="F1323" t="s">
        <v>3480</v>
      </c>
      <c r="G1323" t="str">
        <f>IF(ISNA(_xlfn.XLOOKUP(subscriptions[[#This Row],[customer_id]], customers[customer_id], customers[customer_id])), "NO", "YES")</f>
        <v>YES</v>
      </c>
      <c r="H1323">
        <f>IF(AND(subscriptions[[#This Row],[end_date]]&lt;&gt;"", subscriptions[[#This Row],[end_date]] &lt; subscriptions[[#This Row],[start_date]]), 1, 0)</f>
        <v>0</v>
      </c>
      <c r="I13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3">
        <f>IF(
  AND(subscriptions[[#This Row],[end_before_start]]=0, subscriptions[[#This Row],[status_end_mismatch]]=0),
  1,
  0
)</f>
        <v>1</v>
      </c>
    </row>
    <row r="1324" spans="1:10" x14ac:dyDescent="0.3">
      <c r="A1324">
        <v>4802391</v>
      </c>
      <c r="B1324">
        <v>501393</v>
      </c>
      <c r="C1324">
        <v>1007</v>
      </c>
      <c r="D1324" s="1">
        <v>45281</v>
      </c>
      <c r="E1324" s="1">
        <v>45635</v>
      </c>
      <c r="F1324" t="s">
        <v>3479</v>
      </c>
      <c r="G1324" t="str">
        <f>IF(ISNA(_xlfn.XLOOKUP(subscriptions[[#This Row],[customer_id]], customers[customer_id], customers[customer_id])), "NO", "YES")</f>
        <v>YES</v>
      </c>
      <c r="H1324">
        <f>IF(AND(subscriptions[[#This Row],[end_date]]&lt;&gt;"", subscriptions[[#This Row],[end_date]] &lt; subscriptions[[#This Row],[start_date]]), 1, 0)</f>
        <v>0</v>
      </c>
      <c r="I13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4">
        <f>IF(
  AND(subscriptions[[#This Row],[end_before_start]]=0, subscriptions[[#This Row],[status_end_mismatch]]=0),
  1,
  0
)</f>
        <v>1</v>
      </c>
    </row>
    <row r="1325" spans="1:10" x14ac:dyDescent="0.3">
      <c r="A1325">
        <v>2368490</v>
      </c>
      <c r="B1325">
        <v>679077</v>
      </c>
      <c r="C1325">
        <v>1004</v>
      </c>
      <c r="D1325" s="1">
        <v>45257</v>
      </c>
      <c r="E1325" s="1"/>
      <c r="F1325" t="s">
        <v>3480</v>
      </c>
      <c r="G1325" t="str">
        <f>IF(ISNA(_xlfn.XLOOKUP(subscriptions[[#This Row],[customer_id]], customers[customer_id], customers[customer_id])), "NO", "YES")</f>
        <v>YES</v>
      </c>
      <c r="H1325">
        <f>IF(AND(subscriptions[[#This Row],[end_date]]&lt;&gt;"", subscriptions[[#This Row],[end_date]] &lt; subscriptions[[#This Row],[start_date]]), 1, 0)</f>
        <v>0</v>
      </c>
      <c r="I13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5">
        <f>IF(
  AND(subscriptions[[#This Row],[end_before_start]]=0, subscriptions[[#This Row],[status_end_mismatch]]=0),
  1,
  0
)</f>
        <v>1</v>
      </c>
    </row>
    <row r="1326" spans="1:10" x14ac:dyDescent="0.3">
      <c r="A1326">
        <v>2577526</v>
      </c>
      <c r="B1326">
        <v>197966</v>
      </c>
      <c r="C1326">
        <v>1005</v>
      </c>
      <c r="D1326" s="1">
        <v>45089</v>
      </c>
      <c r="E1326" s="1"/>
      <c r="F1326" t="s">
        <v>3480</v>
      </c>
      <c r="G1326" t="str">
        <f>IF(ISNA(_xlfn.XLOOKUP(subscriptions[[#This Row],[customer_id]], customers[customer_id], customers[customer_id])), "NO", "YES")</f>
        <v>YES</v>
      </c>
      <c r="H1326">
        <f>IF(AND(subscriptions[[#This Row],[end_date]]&lt;&gt;"", subscriptions[[#This Row],[end_date]] &lt; subscriptions[[#This Row],[start_date]]), 1, 0)</f>
        <v>0</v>
      </c>
      <c r="I13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6">
        <f>IF(
  AND(subscriptions[[#This Row],[end_before_start]]=0, subscriptions[[#This Row],[status_end_mismatch]]=0),
  1,
  0
)</f>
        <v>1</v>
      </c>
    </row>
    <row r="1327" spans="1:10" x14ac:dyDescent="0.3">
      <c r="A1327">
        <v>2021747</v>
      </c>
      <c r="B1327">
        <v>335426</v>
      </c>
      <c r="C1327">
        <v>1007</v>
      </c>
      <c r="D1327" s="1">
        <v>44683</v>
      </c>
      <c r="E1327" s="1">
        <v>44761</v>
      </c>
      <c r="F1327" t="s">
        <v>3479</v>
      </c>
      <c r="G1327" t="str">
        <f>IF(ISNA(_xlfn.XLOOKUP(subscriptions[[#This Row],[customer_id]], customers[customer_id], customers[customer_id])), "NO", "YES")</f>
        <v>YES</v>
      </c>
      <c r="H1327">
        <f>IF(AND(subscriptions[[#This Row],[end_date]]&lt;&gt;"", subscriptions[[#This Row],[end_date]] &lt; subscriptions[[#This Row],[start_date]]), 1, 0)</f>
        <v>0</v>
      </c>
      <c r="I13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7">
        <f>IF(
  AND(subscriptions[[#This Row],[end_before_start]]=0, subscriptions[[#This Row],[status_end_mismatch]]=0),
  1,
  0
)</f>
        <v>1</v>
      </c>
    </row>
    <row r="1328" spans="1:10" x14ac:dyDescent="0.3">
      <c r="A1328">
        <v>3827180</v>
      </c>
      <c r="B1328">
        <v>332335</v>
      </c>
      <c r="C1328">
        <v>1007</v>
      </c>
      <c r="D1328" s="1">
        <v>44565</v>
      </c>
      <c r="E1328" s="1">
        <v>44865</v>
      </c>
      <c r="F1328" t="s">
        <v>3479</v>
      </c>
      <c r="G1328" t="str">
        <f>IF(ISNA(_xlfn.XLOOKUP(subscriptions[[#This Row],[customer_id]], customers[customer_id], customers[customer_id])), "NO", "YES")</f>
        <v>YES</v>
      </c>
      <c r="H1328">
        <f>IF(AND(subscriptions[[#This Row],[end_date]]&lt;&gt;"", subscriptions[[#This Row],[end_date]] &lt; subscriptions[[#This Row],[start_date]]), 1, 0)</f>
        <v>0</v>
      </c>
      <c r="I13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8">
        <f>IF(
  AND(subscriptions[[#This Row],[end_before_start]]=0, subscriptions[[#This Row],[status_end_mismatch]]=0),
  1,
  0
)</f>
        <v>1</v>
      </c>
    </row>
    <row r="1329" spans="1:10" x14ac:dyDescent="0.3">
      <c r="A1329">
        <v>1211031</v>
      </c>
      <c r="B1329">
        <v>305222</v>
      </c>
      <c r="C1329">
        <v>1008</v>
      </c>
      <c r="D1329" s="1">
        <v>44571</v>
      </c>
      <c r="E1329" s="1"/>
      <c r="F1329" t="s">
        <v>3480</v>
      </c>
      <c r="G1329" t="str">
        <f>IF(ISNA(_xlfn.XLOOKUP(subscriptions[[#This Row],[customer_id]], customers[customer_id], customers[customer_id])), "NO", "YES")</f>
        <v>YES</v>
      </c>
      <c r="H1329">
        <f>IF(AND(subscriptions[[#This Row],[end_date]]&lt;&gt;"", subscriptions[[#This Row],[end_date]] &lt; subscriptions[[#This Row],[start_date]]), 1, 0)</f>
        <v>0</v>
      </c>
      <c r="I13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29">
        <f>IF(
  AND(subscriptions[[#This Row],[end_before_start]]=0, subscriptions[[#This Row],[status_end_mismatch]]=0),
  1,
  0
)</f>
        <v>1</v>
      </c>
    </row>
    <row r="1330" spans="1:10" x14ac:dyDescent="0.3">
      <c r="A1330">
        <v>6138255</v>
      </c>
      <c r="B1330">
        <v>311469</v>
      </c>
      <c r="C1330">
        <v>1001</v>
      </c>
      <c r="D1330" s="1">
        <v>44618</v>
      </c>
      <c r="E1330" s="1">
        <v>44938</v>
      </c>
      <c r="F1330" t="s">
        <v>3479</v>
      </c>
      <c r="G1330" t="str">
        <f>IF(ISNA(_xlfn.XLOOKUP(subscriptions[[#This Row],[customer_id]], customers[customer_id], customers[customer_id])), "NO", "YES")</f>
        <v>YES</v>
      </c>
      <c r="H1330">
        <f>IF(AND(subscriptions[[#This Row],[end_date]]&lt;&gt;"", subscriptions[[#This Row],[end_date]] &lt; subscriptions[[#This Row],[start_date]]), 1, 0)</f>
        <v>0</v>
      </c>
      <c r="I13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0">
        <f>IF(
  AND(subscriptions[[#This Row],[end_before_start]]=0, subscriptions[[#This Row],[status_end_mismatch]]=0),
  1,
  0
)</f>
        <v>1</v>
      </c>
    </row>
    <row r="1331" spans="1:10" x14ac:dyDescent="0.3">
      <c r="A1331">
        <v>7288704</v>
      </c>
      <c r="B1331">
        <v>491435</v>
      </c>
      <c r="C1331">
        <v>1004</v>
      </c>
      <c r="D1331" s="1">
        <v>44704</v>
      </c>
      <c r="E1331" s="1">
        <v>44830</v>
      </c>
      <c r="F1331" t="s">
        <v>3479</v>
      </c>
      <c r="G1331" t="str">
        <f>IF(ISNA(_xlfn.XLOOKUP(subscriptions[[#This Row],[customer_id]], customers[customer_id], customers[customer_id])), "NO", "YES")</f>
        <v>YES</v>
      </c>
      <c r="H1331">
        <f>IF(AND(subscriptions[[#This Row],[end_date]]&lt;&gt;"", subscriptions[[#This Row],[end_date]] &lt; subscriptions[[#This Row],[start_date]]), 1, 0)</f>
        <v>0</v>
      </c>
      <c r="I13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1">
        <f>IF(
  AND(subscriptions[[#This Row],[end_before_start]]=0, subscriptions[[#This Row],[status_end_mismatch]]=0),
  1,
  0
)</f>
        <v>1</v>
      </c>
    </row>
    <row r="1332" spans="1:10" x14ac:dyDescent="0.3">
      <c r="A1332">
        <v>9358431</v>
      </c>
      <c r="B1332">
        <v>531066</v>
      </c>
      <c r="C1332">
        <v>1007</v>
      </c>
      <c r="D1332" s="1">
        <v>44934</v>
      </c>
      <c r="E1332" s="1"/>
      <c r="F1332" t="s">
        <v>3480</v>
      </c>
      <c r="G1332" t="str">
        <f>IF(ISNA(_xlfn.XLOOKUP(subscriptions[[#This Row],[customer_id]], customers[customer_id], customers[customer_id])), "NO", "YES")</f>
        <v>YES</v>
      </c>
      <c r="H1332">
        <f>IF(AND(subscriptions[[#This Row],[end_date]]&lt;&gt;"", subscriptions[[#This Row],[end_date]] &lt; subscriptions[[#This Row],[start_date]]), 1, 0)</f>
        <v>0</v>
      </c>
      <c r="I13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2">
        <f>IF(
  AND(subscriptions[[#This Row],[end_before_start]]=0, subscriptions[[#This Row],[status_end_mismatch]]=0),
  1,
  0
)</f>
        <v>1</v>
      </c>
    </row>
    <row r="1333" spans="1:10" x14ac:dyDescent="0.3">
      <c r="A1333">
        <v>6792299</v>
      </c>
      <c r="B1333">
        <v>774920</v>
      </c>
      <c r="C1333">
        <v>1005</v>
      </c>
      <c r="D1333" s="1">
        <v>44760</v>
      </c>
      <c r="E1333" s="1">
        <v>44869</v>
      </c>
      <c r="F1333" t="s">
        <v>3479</v>
      </c>
      <c r="G1333" t="str">
        <f>IF(ISNA(_xlfn.XLOOKUP(subscriptions[[#This Row],[customer_id]], customers[customer_id], customers[customer_id])), "NO", "YES")</f>
        <v>YES</v>
      </c>
      <c r="H1333">
        <f>IF(AND(subscriptions[[#This Row],[end_date]]&lt;&gt;"", subscriptions[[#This Row],[end_date]] &lt; subscriptions[[#This Row],[start_date]]), 1, 0)</f>
        <v>0</v>
      </c>
      <c r="I13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3">
        <f>IF(
  AND(subscriptions[[#This Row],[end_before_start]]=0, subscriptions[[#This Row],[status_end_mismatch]]=0),
  1,
  0
)</f>
        <v>1</v>
      </c>
    </row>
    <row r="1334" spans="1:10" x14ac:dyDescent="0.3">
      <c r="A1334">
        <v>7277502</v>
      </c>
      <c r="B1334">
        <v>382234</v>
      </c>
      <c r="C1334">
        <v>1007</v>
      </c>
      <c r="D1334" s="1">
        <v>44924</v>
      </c>
      <c r="E1334" s="1">
        <v>45315</v>
      </c>
      <c r="F1334" t="s">
        <v>3479</v>
      </c>
      <c r="G1334" t="str">
        <f>IF(ISNA(_xlfn.XLOOKUP(subscriptions[[#This Row],[customer_id]], customers[customer_id], customers[customer_id])), "NO", "YES")</f>
        <v>YES</v>
      </c>
      <c r="H1334">
        <f>IF(AND(subscriptions[[#This Row],[end_date]]&lt;&gt;"", subscriptions[[#This Row],[end_date]] &lt; subscriptions[[#This Row],[start_date]]), 1, 0)</f>
        <v>0</v>
      </c>
      <c r="I13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4">
        <f>IF(
  AND(subscriptions[[#This Row],[end_before_start]]=0, subscriptions[[#This Row],[status_end_mismatch]]=0),
  1,
  0
)</f>
        <v>1</v>
      </c>
    </row>
    <row r="1335" spans="1:10" x14ac:dyDescent="0.3">
      <c r="A1335">
        <v>3977821</v>
      </c>
      <c r="B1335">
        <v>578073</v>
      </c>
      <c r="C1335">
        <v>1009</v>
      </c>
      <c r="D1335" s="1">
        <v>44866</v>
      </c>
      <c r="E1335" s="1">
        <v>45123</v>
      </c>
      <c r="F1335" t="s">
        <v>3479</v>
      </c>
      <c r="G1335" t="str">
        <f>IF(ISNA(_xlfn.XLOOKUP(subscriptions[[#This Row],[customer_id]], customers[customer_id], customers[customer_id])), "NO", "YES")</f>
        <v>YES</v>
      </c>
      <c r="H1335">
        <f>IF(AND(subscriptions[[#This Row],[end_date]]&lt;&gt;"", subscriptions[[#This Row],[end_date]] &lt; subscriptions[[#This Row],[start_date]]), 1, 0)</f>
        <v>0</v>
      </c>
      <c r="I13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5">
        <f>IF(
  AND(subscriptions[[#This Row],[end_before_start]]=0, subscriptions[[#This Row],[status_end_mismatch]]=0),
  1,
  0
)</f>
        <v>1</v>
      </c>
    </row>
    <row r="1336" spans="1:10" x14ac:dyDescent="0.3">
      <c r="A1336">
        <v>1509048</v>
      </c>
      <c r="B1336">
        <v>237935</v>
      </c>
      <c r="C1336">
        <v>1005</v>
      </c>
      <c r="D1336" s="1">
        <v>44641</v>
      </c>
      <c r="E1336" s="1">
        <v>44732</v>
      </c>
      <c r="F1336" t="s">
        <v>3479</v>
      </c>
      <c r="G1336" t="str">
        <f>IF(ISNA(_xlfn.XLOOKUP(subscriptions[[#This Row],[customer_id]], customers[customer_id], customers[customer_id])), "NO", "YES")</f>
        <v>YES</v>
      </c>
      <c r="H1336">
        <f>IF(AND(subscriptions[[#This Row],[end_date]]&lt;&gt;"", subscriptions[[#This Row],[end_date]] &lt; subscriptions[[#This Row],[start_date]]), 1, 0)</f>
        <v>0</v>
      </c>
      <c r="I13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6">
        <f>IF(
  AND(subscriptions[[#This Row],[end_before_start]]=0, subscriptions[[#This Row],[status_end_mismatch]]=0),
  1,
  0
)</f>
        <v>1</v>
      </c>
    </row>
    <row r="1337" spans="1:10" x14ac:dyDescent="0.3">
      <c r="A1337">
        <v>6228876</v>
      </c>
      <c r="B1337">
        <v>421709</v>
      </c>
      <c r="C1337">
        <v>1007</v>
      </c>
      <c r="D1337" s="1">
        <v>45158</v>
      </c>
      <c r="E1337" s="1"/>
      <c r="F1337" t="s">
        <v>3480</v>
      </c>
      <c r="G1337" t="str">
        <f>IF(ISNA(_xlfn.XLOOKUP(subscriptions[[#This Row],[customer_id]], customers[customer_id], customers[customer_id])), "NO", "YES")</f>
        <v>YES</v>
      </c>
      <c r="H1337">
        <f>IF(AND(subscriptions[[#This Row],[end_date]]&lt;&gt;"", subscriptions[[#This Row],[end_date]] &lt; subscriptions[[#This Row],[start_date]]), 1, 0)</f>
        <v>0</v>
      </c>
      <c r="I13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7">
        <f>IF(
  AND(subscriptions[[#This Row],[end_before_start]]=0, subscriptions[[#This Row],[status_end_mismatch]]=0),
  1,
  0
)</f>
        <v>1</v>
      </c>
    </row>
    <row r="1338" spans="1:10" x14ac:dyDescent="0.3">
      <c r="A1338">
        <v>4026890</v>
      </c>
      <c r="B1338">
        <v>454508</v>
      </c>
      <c r="C1338">
        <v>1008</v>
      </c>
      <c r="D1338" s="1">
        <v>44904</v>
      </c>
      <c r="E1338" s="1">
        <v>45188</v>
      </c>
      <c r="F1338" t="s">
        <v>3479</v>
      </c>
      <c r="G1338" t="str">
        <f>IF(ISNA(_xlfn.XLOOKUP(subscriptions[[#This Row],[customer_id]], customers[customer_id], customers[customer_id])), "NO", "YES")</f>
        <v>YES</v>
      </c>
      <c r="H1338">
        <f>IF(AND(subscriptions[[#This Row],[end_date]]&lt;&gt;"", subscriptions[[#This Row],[end_date]] &lt; subscriptions[[#This Row],[start_date]]), 1, 0)</f>
        <v>0</v>
      </c>
      <c r="I13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8">
        <f>IF(
  AND(subscriptions[[#This Row],[end_before_start]]=0, subscriptions[[#This Row],[status_end_mismatch]]=0),
  1,
  0
)</f>
        <v>1</v>
      </c>
    </row>
    <row r="1339" spans="1:10" x14ac:dyDescent="0.3">
      <c r="A1339">
        <v>4240681</v>
      </c>
      <c r="B1339">
        <v>410089</v>
      </c>
      <c r="C1339">
        <v>1007</v>
      </c>
      <c r="D1339" s="1">
        <v>44879</v>
      </c>
      <c r="E1339" s="1">
        <v>45081</v>
      </c>
      <c r="F1339" t="s">
        <v>3479</v>
      </c>
      <c r="G1339" t="str">
        <f>IF(ISNA(_xlfn.XLOOKUP(subscriptions[[#This Row],[customer_id]], customers[customer_id], customers[customer_id])), "NO", "YES")</f>
        <v>YES</v>
      </c>
      <c r="H1339">
        <f>IF(AND(subscriptions[[#This Row],[end_date]]&lt;&gt;"", subscriptions[[#This Row],[end_date]] &lt; subscriptions[[#This Row],[start_date]]), 1, 0)</f>
        <v>0</v>
      </c>
      <c r="I13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39">
        <f>IF(
  AND(subscriptions[[#This Row],[end_before_start]]=0, subscriptions[[#This Row],[status_end_mismatch]]=0),
  1,
  0
)</f>
        <v>1</v>
      </c>
    </row>
    <row r="1340" spans="1:10" x14ac:dyDescent="0.3">
      <c r="A1340">
        <v>8628047</v>
      </c>
      <c r="B1340">
        <v>166175</v>
      </c>
      <c r="C1340">
        <v>1005</v>
      </c>
      <c r="D1340" s="1">
        <v>45358</v>
      </c>
      <c r="E1340" s="1">
        <v>45447</v>
      </c>
      <c r="F1340" t="s">
        <v>3479</v>
      </c>
      <c r="G1340" t="str">
        <f>IF(ISNA(_xlfn.XLOOKUP(subscriptions[[#This Row],[customer_id]], customers[customer_id], customers[customer_id])), "NO", "YES")</f>
        <v>YES</v>
      </c>
      <c r="H1340">
        <f>IF(AND(subscriptions[[#This Row],[end_date]]&lt;&gt;"", subscriptions[[#This Row],[end_date]] &lt; subscriptions[[#This Row],[start_date]]), 1, 0)</f>
        <v>0</v>
      </c>
      <c r="I13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0">
        <f>IF(
  AND(subscriptions[[#This Row],[end_before_start]]=0, subscriptions[[#This Row],[status_end_mismatch]]=0),
  1,
  0
)</f>
        <v>1</v>
      </c>
    </row>
    <row r="1341" spans="1:10" x14ac:dyDescent="0.3">
      <c r="A1341">
        <v>2098296</v>
      </c>
      <c r="B1341">
        <v>119943</v>
      </c>
      <c r="C1341">
        <v>1008</v>
      </c>
      <c r="D1341" s="1">
        <v>45254</v>
      </c>
      <c r="E1341" s="1"/>
      <c r="F1341" t="s">
        <v>3480</v>
      </c>
      <c r="G1341" t="str">
        <f>IF(ISNA(_xlfn.XLOOKUP(subscriptions[[#This Row],[customer_id]], customers[customer_id], customers[customer_id])), "NO", "YES")</f>
        <v>YES</v>
      </c>
      <c r="H1341">
        <f>IF(AND(subscriptions[[#This Row],[end_date]]&lt;&gt;"", subscriptions[[#This Row],[end_date]] &lt; subscriptions[[#This Row],[start_date]]), 1, 0)</f>
        <v>0</v>
      </c>
      <c r="I13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1">
        <f>IF(
  AND(subscriptions[[#This Row],[end_before_start]]=0, subscriptions[[#This Row],[status_end_mismatch]]=0),
  1,
  0
)</f>
        <v>1</v>
      </c>
    </row>
    <row r="1342" spans="1:10" x14ac:dyDescent="0.3">
      <c r="A1342">
        <v>3371985</v>
      </c>
      <c r="B1342">
        <v>555157</v>
      </c>
      <c r="C1342">
        <v>1009</v>
      </c>
      <c r="D1342" s="1">
        <v>45052</v>
      </c>
      <c r="E1342" s="1">
        <v>45333</v>
      </c>
      <c r="F1342" t="s">
        <v>3479</v>
      </c>
      <c r="G1342" t="str">
        <f>IF(ISNA(_xlfn.XLOOKUP(subscriptions[[#This Row],[customer_id]], customers[customer_id], customers[customer_id])), "NO", "YES")</f>
        <v>YES</v>
      </c>
      <c r="H1342">
        <f>IF(AND(subscriptions[[#This Row],[end_date]]&lt;&gt;"", subscriptions[[#This Row],[end_date]] &lt; subscriptions[[#This Row],[start_date]]), 1, 0)</f>
        <v>0</v>
      </c>
      <c r="I13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2">
        <f>IF(
  AND(subscriptions[[#This Row],[end_before_start]]=0, subscriptions[[#This Row],[status_end_mismatch]]=0),
  1,
  0
)</f>
        <v>1</v>
      </c>
    </row>
    <row r="1343" spans="1:10" x14ac:dyDescent="0.3">
      <c r="A1343">
        <v>4159823</v>
      </c>
      <c r="B1343">
        <v>217683</v>
      </c>
      <c r="C1343">
        <v>1006</v>
      </c>
      <c r="D1343" s="1">
        <v>45389</v>
      </c>
      <c r="E1343" s="1"/>
      <c r="F1343" t="s">
        <v>3480</v>
      </c>
      <c r="G1343" t="str">
        <f>IF(ISNA(_xlfn.XLOOKUP(subscriptions[[#This Row],[customer_id]], customers[customer_id], customers[customer_id])), "NO", "YES")</f>
        <v>YES</v>
      </c>
      <c r="H1343">
        <f>IF(AND(subscriptions[[#This Row],[end_date]]&lt;&gt;"", subscriptions[[#This Row],[end_date]] &lt; subscriptions[[#This Row],[start_date]]), 1, 0)</f>
        <v>0</v>
      </c>
      <c r="I13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3">
        <f>IF(
  AND(subscriptions[[#This Row],[end_before_start]]=0, subscriptions[[#This Row],[status_end_mismatch]]=0),
  1,
  0
)</f>
        <v>1</v>
      </c>
    </row>
    <row r="1344" spans="1:10" x14ac:dyDescent="0.3">
      <c r="A1344">
        <v>1983550</v>
      </c>
      <c r="B1344">
        <v>571932</v>
      </c>
      <c r="C1344">
        <v>1001</v>
      </c>
      <c r="D1344" s="1">
        <v>45545</v>
      </c>
      <c r="E1344" s="1">
        <v>45635</v>
      </c>
      <c r="F1344" t="s">
        <v>3479</v>
      </c>
      <c r="G1344" t="str">
        <f>IF(ISNA(_xlfn.XLOOKUP(subscriptions[[#This Row],[customer_id]], customers[customer_id], customers[customer_id])), "NO", "YES")</f>
        <v>YES</v>
      </c>
      <c r="H1344">
        <f>IF(AND(subscriptions[[#This Row],[end_date]]&lt;&gt;"", subscriptions[[#This Row],[end_date]] &lt; subscriptions[[#This Row],[start_date]]), 1, 0)</f>
        <v>0</v>
      </c>
      <c r="I13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4">
        <f>IF(
  AND(subscriptions[[#This Row],[end_before_start]]=0, subscriptions[[#This Row],[status_end_mismatch]]=0),
  1,
  0
)</f>
        <v>1</v>
      </c>
    </row>
    <row r="1345" spans="1:10" x14ac:dyDescent="0.3">
      <c r="A1345">
        <v>2657259</v>
      </c>
      <c r="B1345">
        <v>449479</v>
      </c>
      <c r="C1345">
        <v>1004</v>
      </c>
      <c r="D1345" s="1">
        <v>44748</v>
      </c>
      <c r="E1345" s="1">
        <v>44942</v>
      </c>
      <c r="F1345" t="s">
        <v>3479</v>
      </c>
      <c r="G1345" t="str">
        <f>IF(ISNA(_xlfn.XLOOKUP(subscriptions[[#This Row],[customer_id]], customers[customer_id], customers[customer_id])), "NO", "YES")</f>
        <v>YES</v>
      </c>
      <c r="H1345">
        <f>IF(AND(subscriptions[[#This Row],[end_date]]&lt;&gt;"", subscriptions[[#This Row],[end_date]] &lt; subscriptions[[#This Row],[start_date]]), 1, 0)</f>
        <v>0</v>
      </c>
      <c r="I13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5">
        <f>IF(
  AND(subscriptions[[#This Row],[end_before_start]]=0, subscriptions[[#This Row],[status_end_mismatch]]=0),
  1,
  0
)</f>
        <v>1</v>
      </c>
    </row>
    <row r="1346" spans="1:10" x14ac:dyDescent="0.3">
      <c r="A1346">
        <v>9847254</v>
      </c>
      <c r="B1346">
        <v>923975</v>
      </c>
      <c r="C1346">
        <v>1003</v>
      </c>
      <c r="D1346" s="1">
        <v>45369</v>
      </c>
      <c r="E1346" s="1">
        <v>45651</v>
      </c>
      <c r="F1346" t="s">
        <v>3479</v>
      </c>
      <c r="G1346" t="str">
        <f>IF(ISNA(_xlfn.XLOOKUP(subscriptions[[#This Row],[customer_id]], customers[customer_id], customers[customer_id])), "NO", "YES")</f>
        <v>YES</v>
      </c>
      <c r="H1346">
        <f>IF(AND(subscriptions[[#This Row],[end_date]]&lt;&gt;"", subscriptions[[#This Row],[end_date]] &lt; subscriptions[[#This Row],[start_date]]), 1, 0)</f>
        <v>0</v>
      </c>
      <c r="I13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6">
        <f>IF(
  AND(subscriptions[[#This Row],[end_before_start]]=0, subscriptions[[#This Row],[status_end_mismatch]]=0),
  1,
  0
)</f>
        <v>1</v>
      </c>
    </row>
    <row r="1347" spans="1:10" x14ac:dyDescent="0.3">
      <c r="A1347">
        <v>5740596</v>
      </c>
      <c r="B1347">
        <v>770043</v>
      </c>
      <c r="C1347">
        <v>1000</v>
      </c>
      <c r="D1347" s="1">
        <v>45218</v>
      </c>
      <c r="E1347" s="1"/>
      <c r="F1347" t="s">
        <v>3480</v>
      </c>
      <c r="G1347" t="str">
        <f>IF(ISNA(_xlfn.XLOOKUP(subscriptions[[#This Row],[customer_id]], customers[customer_id], customers[customer_id])), "NO", "YES")</f>
        <v>YES</v>
      </c>
      <c r="H1347">
        <f>IF(AND(subscriptions[[#This Row],[end_date]]&lt;&gt;"", subscriptions[[#This Row],[end_date]] &lt; subscriptions[[#This Row],[start_date]]), 1, 0)</f>
        <v>0</v>
      </c>
      <c r="I13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7">
        <f>IF(
  AND(subscriptions[[#This Row],[end_before_start]]=0, subscriptions[[#This Row],[status_end_mismatch]]=0),
  1,
  0
)</f>
        <v>1</v>
      </c>
    </row>
    <row r="1348" spans="1:10" x14ac:dyDescent="0.3">
      <c r="A1348">
        <v>4322585</v>
      </c>
      <c r="B1348">
        <v>112800</v>
      </c>
      <c r="C1348">
        <v>1005</v>
      </c>
      <c r="D1348" s="1">
        <v>45161</v>
      </c>
      <c r="E1348" s="1">
        <v>45409</v>
      </c>
      <c r="F1348" t="s">
        <v>3479</v>
      </c>
      <c r="G1348" t="str">
        <f>IF(ISNA(_xlfn.XLOOKUP(subscriptions[[#This Row],[customer_id]], customers[customer_id], customers[customer_id])), "NO", "YES")</f>
        <v>YES</v>
      </c>
      <c r="H1348">
        <f>IF(AND(subscriptions[[#This Row],[end_date]]&lt;&gt;"", subscriptions[[#This Row],[end_date]] &lt; subscriptions[[#This Row],[start_date]]), 1, 0)</f>
        <v>0</v>
      </c>
      <c r="I13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8">
        <f>IF(
  AND(subscriptions[[#This Row],[end_before_start]]=0, subscriptions[[#This Row],[status_end_mismatch]]=0),
  1,
  0
)</f>
        <v>1</v>
      </c>
    </row>
    <row r="1349" spans="1:10" x14ac:dyDescent="0.3">
      <c r="A1349">
        <v>7781989</v>
      </c>
      <c r="B1349">
        <v>799330</v>
      </c>
      <c r="C1349">
        <v>1003</v>
      </c>
      <c r="D1349" s="1">
        <v>45453</v>
      </c>
      <c r="E1349" s="1"/>
      <c r="F1349" t="s">
        <v>3480</v>
      </c>
      <c r="G1349" t="str">
        <f>IF(ISNA(_xlfn.XLOOKUP(subscriptions[[#This Row],[customer_id]], customers[customer_id], customers[customer_id])), "NO", "YES")</f>
        <v>YES</v>
      </c>
      <c r="H1349">
        <f>IF(AND(subscriptions[[#This Row],[end_date]]&lt;&gt;"", subscriptions[[#This Row],[end_date]] &lt; subscriptions[[#This Row],[start_date]]), 1, 0)</f>
        <v>0</v>
      </c>
      <c r="I13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49">
        <f>IF(
  AND(subscriptions[[#This Row],[end_before_start]]=0, subscriptions[[#This Row],[status_end_mismatch]]=0),
  1,
  0
)</f>
        <v>1</v>
      </c>
    </row>
    <row r="1350" spans="1:10" x14ac:dyDescent="0.3">
      <c r="A1350">
        <v>9228643</v>
      </c>
      <c r="B1350">
        <v>165214</v>
      </c>
      <c r="C1350">
        <v>1006</v>
      </c>
      <c r="D1350" s="1">
        <v>44610</v>
      </c>
      <c r="E1350" s="1"/>
      <c r="F1350" t="s">
        <v>3480</v>
      </c>
      <c r="G1350" t="str">
        <f>IF(ISNA(_xlfn.XLOOKUP(subscriptions[[#This Row],[customer_id]], customers[customer_id], customers[customer_id])), "NO", "YES")</f>
        <v>YES</v>
      </c>
      <c r="H1350">
        <f>IF(AND(subscriptions[[#This Row],[end_date]]&lt;&gt;"", subscriptions[[#This Row],[end_date]] &lt; subscriptions[[#This Row],[start_date]]), 1, 0)</f>
        <v>0</v>
      </c>
      <c r="I13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0">
        <f>IF(
  AND(subscriptions[[#This Row],[end_before_start]]=0, subscriptions[[#This Row],[status_end_mismatch]]=0),
  1,
  0
)</f>
        <v>1</v>
      </c>
    </row>
    <row r="1351" spans="1:10" x14ac:dyDescent="0.3">
      <c r="A1351">
        <v>6394118</v>
      </c>
      <c r="B1351">
        <v>812591</v>
      </c>
      <c r="C1351">
        <v>1005</v>
      </c>
      <c r="D1351" s="1">
        <v>45553</v>
      </c>
      <c r="E1351" s="1">
        <v>45642</v>
      </c>
      <c r="F1351" t="s">
        <v>3479</v>
      </c>
      <c r="G1351" t="str">
        <f>IF(ISNA(_xlfn.XLOOKUP(subscriptions[[#This Row],[customer_id]], customers[customer_id], customers[customer_id])), "NO", "YES")</f>
        <v>YES</v>
      </c>
      <c r="H1351">
        <f>IF(AND(subscriptions[[#This Row],[end_date]]&lt;&gt;"", subscriptions[[#This Row],[end_date]] &lt; subscriptions[[#This Row],[start_date]]), 1, 0)</f>
        <v>0</v>
      </c>
      <c r="I13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1">
        <f>IF(
  AND(subscriptions[[#This Row],[end_before_start]]=0, subscriptions[[#This Row],[status_end_mismatch]]=0),
  1,
  0
)</f>
        <v>1</v>
      </c>
    </row>
    <row r="1352" spans="1:10" x14ac:dyDescent="0.3">
      <c r="A1352">
        <v>5818314</v>
      </c>
      <c r="B1352">
        <v>732789</v>
      </c>
      <c r="C1352">
        <v>1002</v>
      </c>
      <c r="D1352" s="1">
        <v>44674</v>
      </c>
      <c r="E1352" s="1"/>
      <c r="F1352" t="s">
        <v>3480</v>
      </c>
      <c r="G1352" t="str">
        <f>IF(ISNA(_xlfn.XLOOKUP(subscriptions[[#This Row],[customer_id]], customers[customer_id], customers[customer_id])), "NO", "YES")</f>
        <v>YES</v>
      </c>
      <c r="H1352">
        <f>IF(AND(subscriptions[[#This Row],[end_date]]&lt;&gt;"", subscriptions[[#This Row],[end_date]] &lt; subscriptions[[#This Row],[start_date]]), 1, 0)</f>
        <v>0</v>
      </c>
      <c r="I13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2">
        <f>IF(
  AND(subscriptions[[#This Row],[end_before_start]]=0, subscriptions[[#This Row],[status_end_mismatch]]=0),
  1,
  0
)</f>
        <v>1</v>
      </c>
    </row>
    <row r="1353" spans="1:10" x14ac:dyDescent="0.3">
      <c r="A1353">
        <v>1698478</v>
      </c>
      <c r="B1353">
        <v>264951</v>
      </c>
      <c r="C1353">
        <v>1000</v>
      </c>
      <c r="D1353" s="1">
        <v>44947</v>
      </c>
      <c r="E1353" s="1">
        <v>45134</v>
      </c>
      <c r="F1353" t="s">
        <v>3479</v>
      </c>
      <c r="G1353" t="str">
        <f>IF(ISNA(_xlfn.XLOOKUP(subscriptions[[#This Row],[customer_id]], customers[customer_id], customers[customer_id])), "NO", "YES")</f>
        <v>YES</v>
      </c>
      <c r="H1353">
        <f>IF(AND(subscriptions[[#This Row],[end_date]]&lt;&gt;"", subscriptions[[#This Row],[end_date]] &lt; subscriptions[[#This Row],[start_date]]), 1, 0)</f>
        <v>0</v>
      </c>
      <c r="I13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3">
        <f>IF(
  AND(subscriptions[[#This Row],[end_before_start]]=0, subscriptions[[#This Row],[status_end_mismatch]]=0),
  1,
  0
)</f>
        <v>1</v>
      </c>
    </row>
    <row r="1354" spans="1:10" x14ac:dyDescent="0.3">
      <c r="A1354">
        <v>3908477</v>
      </c>
      <c r="B1354">
        <v>441183</v>
      </c>
      <c r="C1354">
        <v>1007</v>
      </c>
      <c r="D1354" s="1">
        <v>45204</v>
      </c>
      <c r="E1354" s="1">
        <v>45507</v>
      </c>
      <c r="F1354" t="s">
        <v>3479</v>
      </c>
      <c r="G1354" t="str">
        <f>IF(ISNA(_xlfn.XLOOKUP(subscriptions[[#This Row],[customer_id]], customers[customer_id], customers[customer_id])), "NO", "YES")</f>
        <v>YES</v>
      </c>
      <c r="H1354">
        <f>IF(AND(subscriptions[[#This Row],[end_date]]&lt;&gt;"", subscriptions[[#This Row],[end_date]] &lt; subscriptions[[#This Row],[start_date]]), 1, 0)</f>
        <v>0</v>
      </c>
      <c r="I13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4">
        <f>IF(
  AND(subscriptions[[#This Row],[end_before_start]]=0, subscriptions[[#This Row],[status_end_mismatch]]=0),
  1,
  0
)</f>
        <v>1</v>
      </c>
    </row>
    <row r="1355" spans="1:10" x14ac:dyDescent="0.3">
      <c r="A1355">
        <v>1469143</v>
      </c>
      <c r="B1355">
        <v>668573</v>
      </c>
      <c r="C1355">
        <v>1005</v>
      </c>
      <c r="D1355" s="1">
        <v>44658</v>
      </c>
      <c r="E1355" s="1">
        <v>44885</v>
      </c>
      <c r="F1355" t="s">
        <v>3479</v>
      </c>
      <c r="G1355" t="str">
        <f>IF(ISNA(_xlfn.XLOOKUP(subscriptions[[#This Row],[customer_id]], customers[customer_id], customers[customer_id])), "NO", "YES")</f>
        <v>YES</v>
      </c>
      <c r="H1355">
        <f>IF(AND(subscriptions[[#This Row],[end_date]]&lt;&gt;"", subscriptions[[#This Row],[end_date]] &lt; subscriptions[[#This Row],[start_date]]), 1, 0)</f>
        <v>0</v>
      </c>
      <c r="I13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5">
        <f>IF(
  AND(subscriptions[[#This Row],[end_before_start]]=0, subscriptions[[#This Row],[status_end_mismatch]]=0),
  1,
  0
)</f>
        <v>1</v>
      </c>
    </row>
    <row r="1356" spans="1:10" x14ac:dyDescent="0.3">
      <c r="A1356">
        <v>4158126</v>
      </c>
      <c r="B1356">
        <v>428497</v>
      </c>
      <c r="C1356">
        <v>1000</v>
      </c>
      <c r="D1356" s="1">
        <v>45282</v>
      </c>
      <c r="E1356" s="1">
        <v>45338</v>
      </c>
      <c r="F1356" t="s">
        <v>3479</v>
      </c>
      <c r="G1356" t="str">
        <f>IF(ISNA(_xlfn.XLOOKUP(subscriptions[[#This Row],[customer_id]], customers[customer_id], customers[customer_id])), "NO", "YES")</f>
        <v>YES</v>
      </c>
      <c r="H1356">
        <f>IF(AND(subscriptions[[#This Row],[end_date]]&lt;&gt;"", subscriptions[[#This Row],[end_date]] &lt; subscriptions[[#This Row],[start_date]]), 1, 0)</f>
        <v>0</v>
      </c>
      <c r="I13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6">
        <f>IF(
  AND(subscriptions[[#This Row],[end_before_start]]=0, subscriptions[[#This Row],[status_end_mismatch]]=0),
  1,
  0
)</f>
        <v>1</v>
      </c>
    </row>
    <row r="1357" spans="1:10" x14ac:dyDescent="0.3">
      <c r="A1357">
        <v>8278024</v>
      </c>
      <c r="B1357">
        <v>456844</v>
      </c>
      <c r="C1357">
        <v>1000</v>
      </c>
      <c r="D1357" s="1">
        <v>44927</v>
      </c>
      <c r="E1357" s="1"/>
      <c r="F1357" t="s">
        <v>3480</v>
      </c>
      <c r="G1357" t="str">
        <f>IF(ISNA(_xlfn.XLOOKUP(subscriptions[[#This Row],[customer_id]], customers[customer_id], customers[customer_id])), "NO", "YES")</f>
        <v>YES</v>
      </c>
      <c r="H1357">
        <f>IF(AND(subscriptions[[#This Row],[end_date]]&lt;&gt;"", subscriptions[[#This Row],[end_date]] &lt; subscriptions[[#This Row],[start_date]]), 1, 0)</f>
        <v>0</v>
      </c>
      <c r="I13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7">
        <f>IF(
  AND(subscriptions[[#This Row],[end_before_start]]=0, subscriptions[[#This Row],[status_end_mismatch]]=0),
  1,
  0
)</f>
        <v>1</v>
      </c>
    </row>
    <row r="1358" spans="1:10" x14ac:dyDescent="0.3">
      <c r="A1358">
        <v>1750288</v>
      </c>
      <c r="B1358">
        <v>989587</v>
      </c>
      <c r="C1358">
        <v>1000</v>
      </c>
      <c r="D1358" s="1">
        <v>45001</v>
      </c>
      <c r="E1358" s="1"/>
      <c r="F1358" t="s">
        <v>3480</v>
      </c>
      <c r="G1358" t="str">
        <f>IF(ISNA(_xlfn.XLOOKUP(subscriptions[[#This Row],[customer_id]], customers[customer_id], customers[customer_id])), "NO", "YES")</f>
        <v>YES</v>
      </c>
      <c r="H1358">
        <f>IF(AND(subscriptions[[#This Row],[end_date]]&lt;&gt;"", subscriptions[[#This Row],[end_date]] &lt; subscriptions[[#This Row],[start_date]]), 1, 0)</f>
        <v>0</v>
      </c>
      <c r="I13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8">
        <f>IF(
  AND(subscriptions[[#This Row],[end_before_start]]=0, subscriptions[[#This Row],[status_end_mismatch]]=0),
  1,
  0
)</f>
        <v>1</v>
      </c>
    </row>
    <row r="1359" spans="1:10" x14ac:dyDescent="0.3">
      <c r="A1359">
        <v>4115619</v>
      </c>
      <c r="B1359">
        <v>106185</v>
      </c>
      <c r="C1359">
        <v>1008</v>
      </c>
      <c r="D1359" s="1">
        <v>45015</v>
      </c>
      <c r="E1359" s="1">
        <v>45082</v>
      </c>
      <c r="F1359" t="s">
        <v>3479</v>
      </c>
      <c r="G1359" t="str">
        <f>IF(ISNA(_xlfn.XLOOKUP(subscriptions[[#This Row],[customer_id]], customers[customer_id], customers[customer_id])), "NO", "YES")</f>
        <v>YES</v>
      </c>
      <c r="H1359">
        <f>IF(AND(subscriptions[[#This Row],[end_date]]&lt;&gt;"", subscriptions[[#This Row],[end_date]] &lt; subscriptions[[#This Row],[start_date]]), 1, 0)</f>
        <v>0</v>
      </c>
      <c r="I13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59">
        <f>IF(
  AND(subscriptions[[#This Row],[end_before_start]]=0, subscriptions[[#This Row],[status_end_mismatch]]=0),
  1,
  0
)</f>
        <v>1</v>
      </c>
    </row>
    <row r="1360" spans="1:10" x14ac:dyDescent="0.3">
      <c r="A1360">
        <v>4415979</v>
      </c>
      <c r="B1360">
        <v>944654</v>
      </c>
      <c r="C1360">
        <v>1007</v>
      </c>
      <c r="D1360" s="1">
        <v>45576</v>
      </c>
      <c r="E1360" s="1"/>
      <c r="F1360" t="s">
        <v>3480</v>
      </c>
      <c r="G1360" t="str">
        <f>IF(ISNA(_xlfn.XLOOKUP(subscriptions[[#This Row],[customer_id]], customers[customer_id], customers[customer_id])), "NO", "YES")</f>
        <v>YES</v>
      </c>
      <c r="H1360">
        <f>IF(AND(subscriptions[[#This Row],[end_date]]&lt;&gt;"", subscriptions[[#This Row],[end_date]] &lt; subscriptions[[#This Row],[start_date]]), 1, 0)</f>
        <v>0</v>
      </c>
      <c r="I13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0">
        <f>IF(
  AND(subscriptions[[#This Row],[end_before_start]]=0, subscriptions[[#This Row],[status_end_mismatch]]=0),
  1,
  0
)</f>
        <v>1</v>
      </c>
    </row>
    <row r="1361" spans="1:10" x14ac:dyDescent="0.3">
      <c r="A1361">
        <v>1261602</v>
      </c>
      <c r="B1361">
        <v>989587</v>
      </c>
      <c r="C1361">
        <v>1002</v>
      </c>
      <c r="D1361" s="1">
        <v>44654</v>
      </c>
      <c r="E1361" s="1">
        <v>44789</v>
      </c>
      <c r="F1361" t="s">
        <v>3479</v>
      </c>
      <c r="G1361" t="str">
        <f>IF(ISNA(_xlfn.XLOOKUP(subscriptions[[#This Row],[customer_id]], customers[customer_id], customers[customer_id])), "NO", "YES")</f>
        <v>YES</v>
      </c>
      <c r="H1361">
        <f>IF(AND(subscriptions[[#This Row],[end_date]]&lt;&gt;"", subscriptions[[#This Row],[end_date]] &lt; subscriptions[[#This Row],[start_date]]), 1, 0)</f>
        <v>0</v>
      </c>
      <c r="I13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1">
        <f>IF(
  AND(subscriptions[[#This Row],[end_before_start]]=0, subscriptions[[#This Row],[status_end_mismatch]]=0),
  1,
  0
)</f>
        <v>1</v>
      </c>
    </row>
    <row r="1362" spans="1:10" x14ac:dyDescent="0.3">
      <c r="A1362">
        <v>2951710</v>
      </c>
      <c r="B1362">
        <v>904377</v>
      </c>
      <c r="C1362">
        <v>1004</v>
      </c>
      <c r="D1362" s="1">
        <v>45156</v>
      </c>
      <c r="E1362" s="1"/>
      <c r="F1362" t="s">
        <v>3480</v>
      </c>
      <c r="G1362" t="str">
        <f>IF(ISNA(_xlfn.XLOOKUP(subscriptions[[#This Row],[customer_id]], customers[customer_id], customers[customer_id])), "NO", "YES")</f>
        <v>YES</v>
      </c>
      <c r="H1362">
        <f>IF(AND(subscriptions[[#This Row],[end_date]]&lt;&gt;"", subscriptions[[#This Row],[end_date]] &lt; subscriptions[[#This Row],[start_date]]), 1, 0)</f>
        <v>0</v>
      </c>
      <c r="I13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2">
        <f>IF(
  AND(subscriptions[[#This Row],[end_before_start]]=0, subscriptions[[#This Row],[status_end_mismatch]]=0),
  1,
  0
)</f>
        <v>1</v>
      </c>
    </row>
    <row r="1363" spans="1:10" x14ac:dyDescent="0.3">
      <c r="A1363">
        <v>5033031</v>
      </c>
      <c r="B1363">
        <v>188374</v>
      </c>
      <c r="C1363">
        <v>1007</v>
      </c>
      <c r="D1363" s="1">
        <v>45239</v>
      </c>
      <c r="E1363" s="1">
        <v>45468</v>
      </c>
      <c r="F1363" t="s">
        <v>3479</v>
      </c>
      <c r="G1363" t="str">
        <f>IF(ISNA(_xlfn.XLOOKUP(subscriptions[[#This Row],[customer_id]], customers[customer_id], customers[customer_id])), "NO", "YES")</f>
        <v>YES</v>
      </c>
      <c r="H1363">
        <f>IF(AND(subscriptions[[#This Row],[end_date]]&lt;&gt;"", subscriptions[[#This Row],[end_date]] &lt; subscriptions[[#This Row],[start_date]]), 1, 0)</f>
        <v>0</v>
      </c>
      <c r="I13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3">
        <f>IF(
  AND(subscriptions[[#This Row],[end_before_start]]=0, subscriptions[[#This Row],[status_end_mismatch]]=0),
  1,
  0
)</f>
        <v>1</v>
      </c>
    </row>
    <row r="1364" spans="1:10" x14ac:dyDescent="0.3">
      <c r="A1364">
        <v>4831443</v>
      </c>
      <c r="B1364">
        <v>414295</v>
      </c>
      <c r="C1364">
        <v>1000</v>
      </c>
      <c r="D1364" s="1">
        <v>45323</v>
      </c>
      <c r="E1364" s="1">
        <v>45558</v>
      </c>
      <c r="F1364" t="s">
        <v>3479</v>
      </c>
      <c r="G1364" t="str">
        <f>IF(ISNA(_xlfn.XLOOKUP(subscriptions[[#This Row],[customer_id]], customers[customer_id], customers[customer_id])), "NO", "YES")</f>
        <v>YES</v>
      </c>
      <c r="H1364">
        <f>IF(AND(subscriptions[[#This Row],[end_date]]&lt;&gt;"", subscriptions[[#This Row],[end_date]] &lt; subscriptions[[#This Row],[start_date]]), 1, 0)</f>
        <v>0</v>
      </c>
      <c r="I13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4">
        <f>IF(
  AND(subscriptions[[#This Row],[end_before_start]]=0, subscriptions[[#This Row],[status_end_mismatch]]=0),
  1,
  0
)</f>
        <v>1</v>
      </c>
    </row>
    <row r="1365" spans="1:10" x14ac:dyDescent="0.3">
      <c r="A1365">
        <v>1750894</v>
      </c>
      <c r="B1365">
        <v>838094</v>
      </c>
      <c r="C1365">
        <v>1008</v>
      </c>
      <c r="D1365" s="1">
        <v>44881</v>
      </c>
      <c r="E1365" s="1"/>
      <c r="F1365" t="s">
        <v>3480</v>
      </c>
      <c r="G1365" t="str">
        <f>IF(ISNA(_xlfn.XLOOKUP(subscriptions[[#This Row],[customer_id]], customers[customer_id], customers[customer_id])), "NO", "YES")</f>
        <v>YES</v>
      </c>
      <c r="H1365">
        <f>IF(AND(subscriptions[[#This Row],[end_date]]&lt;&gt;"", subscriptions[[#This Row],[end_date]] &lt; subscriptions[[#This Row],[start_date]]), 1, 0)</f>
        <v>0</v>
      </c>
      <c r="I13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5">
        <f>IF(
  AND(subscriptions[[#This Row],[end_before_start]]=0, subscriptions[[#This Row],[status_end_mismatch]]=0),
  1,
  0
)</f>
        <v>1</v>
      </c>
    </row>
    <row r="1366" spans="1:10" x14ac:dyDescent="0.3">
      <c r="A1366">
        <v>5130100</v>
      </c>
      <c r="B1366">
        <v>936587</v>
      </c>
      <c r="C1366">
        <v>1005</v>
      </c>
      <c r="D1366" s="1">
        <v>45090</v>
      </c>
      <c r="E1366" s="1">
        <v>45336</v>
      </c>
      <c r="F1366" t="s">
        <v>3479</v>
      </c>
      <c r="G1366" t="str">
        <f>IF(ISNA(_xlfn.XLOOKUP(subscriptions[[#This Row],[customer_id]], customers[customer_id], customers[customer_id])), "NO", "YES")</f>
        <v>YES</v>
      </c>
      <c r="H1366">
        <f>IF(AND(subscriptions[[#This Row],[end_date]]&lt;&gt;"", subscriptions[[#This Row],[end_date]] &lt; subscriptions[[#This Row],[start_date]]), 1, 0)</f>
        <v>0</v>
      </c>
      <c r="I13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6">
        <f>IF(
  AND(subscriptions[[#This Row],[end_before_start]]=0, subscriptions[[#This Row],[status_end_mismatch]]=0),
  1,
  0
)</f>
        <v>1</v>
      </c>
    </row>
    <row r="1367" spans="1:10" x14ac:dyDescent="0.3">
      <c r="A1367">
        <v>6196562</v>
      </c>
      <c r="B1367">
        <v>276149</v>
      </c>
      <c r="C1367">
        <v>1000</v>
      </c>
      <c r="D1367" s="1">
        <v>44981</v>
      </c>
      <c r="E1367" s="1">
        <v>45345</v>
      </c>
      <c r="F1367" t="s">
        <v>3479</v>
      </c>
      <c r="G1367" t="str">
        <f>IF(ISNA(_xlfn.XLOOKUP(subscriptions[[#This Row],[customer_id]], customers[customer_id], customers[customer_id])), "NO", "YES")</f>
        <v>YES</v>
      </c>
      <c r="H1367">
        <f>IF(AND(subscriptions[[#This Row],[end_date]]&lt;&gt;"", subscriptions[[#This Row],[end_date]] &lt; subscriptions[[#This Row],[start_date]]), 1, 0)</f>
        <v>0</v>
      </c>
      <c r="I13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7">
        <f>IF(
  AND(subscriptions[[#This Row],[end_before_start]]=0, subscriptions[[#This Row],[status_end_mismatch]]=0),
  1,
  0
)</f>
        <v>1</v>
      </c>
    </row>
    <row r="1368" spans="1:10" x14ac:dyDescent="0.3">
      <c r="A1368">
        <v>5573719</v>
      </c>
      <c r="B1368">
        <v>246942</v>
      </c>
      <c r="C1368">
        <v>1004</v>
      </c>
      <c r="D1368" s="1">
        <v>45400</v>
      </c>
      <c r="E1368" s="1">
        <v>45642</v>
      </c>
      <c r="F1368" t="s">
        <v>3479</v>
      </c>
      <c r="G1368" t="str">
        <f>IF(ISNA(_xlfn.XLOOKUP(subscriptions[[#This Row],[customer_id]], customers[customer_id], customers[customer_id])), "NO", "YES")</f>
        <v>YES</v>
      </c>
      <c r="H1368">
        <f>IF(AND(subscriptions[[#This Row],[end_date]]&lt;&gt;"", subscriptions[[#This Row],[end_date]] &lt; subscriptions[[#This Row],[start_date]]), 1, 0)</f>
        <v>0</v>
      </c>
      <c r="I13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8">
        <f>IF(
  AND(subscriptions[[#This Row],[end_before_start]]=0, subscriptions[[#This Row],[status_end_mismatch]]=0),
  1,
  0
)</f>
        <v>1</v>
      </c>
    </row>
    <row r="1369" spans="1:10" x14ac:dyDescent="0.3">
      <c r="A1369">
        <v>7939725</v>
      </c>
      <c r="B1369">
        <v>541996</v>
      </c>
      <c r="C1369">
        <v>1009</v>
      </c>
      <c r="D1369" s="1">
        <v>45334</v>
      </c>
      <c r="E1369" s="1"/>
      <c r="F1369" t="s">
        <v>3480</v>
      </c>
      <c r="G1369" t="str">
        <f>IF(ISNA(_xlfn.XLOOKUP(subscriptions[[#This Row],[customer_id]], customers[customer_id], customers[customer_id])), "NO", "YES")</f>
        <v>YES</v>
      </c>
      <c r="H1369">
        <f>IF(AND(subscriptions[[#This Row],[end_date]]&lt;&gt;"", subscriptions[[#This Row],[end_date]] &lt; subscriptions[[#This Row],[start_date]]), 1, 0)</f>
        <v>0</v>
      </c>
      <c r="I13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69">
        <f>IF(
  AND(subscriptions[[#This Row],[end_before_start]]=0, subscriptions[[#This Row],[status_end_mismatch]]=0),
  1,
  0
)</f>
        <v>1</v>
      </c>
    </row>
    <row r="1370" spans="1:10" x14ac:dyDescent="0.3">
      <c r="A1370">
        <v>4179223</v>
      </c>
      <c r="B1370">
        <v>861253</v>
      </c>
      <c r="C1370">
        <v>1003</v>
      </c>
      <c r="D1370" s="1">
        <v>45561</v>
      </c>
      <c r="E1370" s="1"/>
      <c r="F1370" t="s">
        <v>3480</v>
      </c>
      <c r="G1370" t="str">
        <f>IF(ISNA(_xlfn.XLOOKUP(subscriptions[[#This Row],[customer_id]], customers[customer_id], customers[customer_id])), "NO", "YES")</f>
        <v>YES</v>
      </c>
      <c r="H1370">
        <f>IF(AND(subscriptions[[#This Row],[end_date]]&lt;&gt;"", subscriptions[[#This Row],[end_date]] &lt; subscriptions[[#This Row],[start_date]]), 1, 0)</f>
        <v>0</v>
      </c>
      <c r="I13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0">
        <f>IF(
  AND(subscriptions[[#This Row],[end_before_start]]=0, subscriptions[[#This Row],[status_end_mismatch]]=0),
  1,
  0
)</f>
        <v>1</v>
      </c>
    </row>
    <row r="1371" spans="1:10" x14ac:dyDescent="0.3">
      <c r="A1371">
        <v>1174981</v>
      </c>
      <c r="B1371">
        <v>338536</v>
      </c>
      <c r="C1371">
        <v>1004</v>
      </c>
      <c r="D1371" s="1">
        <v>45371</v>
      </c>
      <c r="E1371" s="1"/>
      <c r="F1371" t="s">
        <v>3480</v>
      </c>
      <c r="G1371" t="str">
        <f>IF(ISNA(_xlfn.XLOOKUP(subscriptions[[#This Row],[customer_id]], customers[customer_id], customers[customer_id])), "NO", "YES")</f>
        <v>YES</v>
      </c>
      <c r="H1371">
        <f>IF(AND(subscriptions[[#This Row],[end_date]]&lt;&gt;"", subscriptions[[#This Row],[end_date]] &lt; subscriptions[[#This Row],[start_date]]), 1, 0)</f>
        <v>0</v>
      </c>
      <c r="I13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1">
        <f>IF(
  AND(subscriptions[[#This Row],[end_before_start]]=0, subscriptions[[#This Row],[status_end_mismatch]]=0),
  1,
  0
)</f>
        <v>1</v>
      </c>
    </row>
    <row r="1372" spans="1:10" x14ac:dyDescent="0.3">
      <c r="A1372">
        <v>8535120</v>
      </c>
      <c r="B1372">
        <v>576133</v>
      </c>
      <c r="C1372">
        <v>1001</v>
      </c>
      <c r="D1372" s="1">
        <v>44825</v>
      </c>
      <c r="E1372" s="1">
        <v>44969</v>
      </c>
      <c r="F1372" t="s">
        <v>3479</v>
      </c>
      <c r="G1372" t="str">
        <f>IF(ISNA(_xlfn.XLOOKUP(subscriptions[[#This Row],[customer_id]], customers[customer_id], customers[customer_id])), "NO", "YES")</f>
        <v>YES</v>
      </c>
      <c r="H1372">
        <f>IF(AND(subscriptions[[#This Row],[end_date]]&lt;&gt;"", subscriptions[[#This Row],[end_date]] &lt; subscriptions[[#This Row],[start_date]]), 1, 0)</f>
        <v>0</v>
      </c>
      <c r="I13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2">
        <f>IF(
  AND(subscriptions[[#This Row],[end_before_start]]=0, subscriptions[[#This Row],[status_end_mismatch]]=0),
  1,
  0
)</f>
        <v>1</v>
      </c>
    </row>
    <row r="1373" spans="1:10" x14ac:dyDescent="0.3">
      <c r="A1373">
        <v>2183202</v>
      </c>
      <c r="B1373">
        <v>968167</v>
      </c>
      <c r="C1373">
        <v>1005</v>
      </c>
      <c r="D1373" s="1">
        <v>44796</v>
      </c>
      <c r="E1373" s="1"/>
      <c r="F1373" t="s">
        <v>3480</v>
      </c>
      <c r="G1373" t="str">
        <f>IF(ISNA(_xlfn.XLOOKUP(subscriptions[[#This Row],[customer_id]], customers[customer_id], customers[customer_id])), "NO", "YES")</f>
        <v>YES</v>
      </c>
      <c r="H1373">
        <f>IF(AND(subscriptions[[#This Row],[end_date]]&lt;&gt;"", subscriptions[[#This Row],[end_date]] &lt; subscriptions[[#This Row],[start_date]]), 1, 0)</f>
        <v>0</v>
      </c>
      <c r="I13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3">
        <f>IF(
  AND(subscriptions[[#This Row],[end_before_start]]=0, subscriptions[[#This Row],[status_end_mismatch]]=0),
  1,
  0
)</f>
        <v>1</v>
      </c>
    </row>
    <row r="1374" spans="1:10" x14ac:dyDescent="0.3">
      <c r="A1374">
        <v>9196287</v>
      </c>
      <c r="B1374">
        <v>114400</v>
      </c>
      <c r="C1374">
        <v>1007</v>
      </c>
      <c r="D1374" s="1">
        <v>44698</v>
      </c>
      <c r="E1374" s="1"/>
      <c r="F1374" t="s">
        <v>3480</v>
      </c>
      <c r="G1374" t="str">
        <f>IF(ISNA(_xlfn.XLOOKUP(subscriptions[[#This Row],[customer_id]], customers[customer_id], customers[customer_id])), "NO", "YES")</f>
        <v>YES</v>
      </c>
      <c r="H1374">
        <f>IF(AND(subscriptions[[#This Row],[end_date]]&lt;&gt;"", subscriptions[[#This Row],[end_date]] &lt; subscriptions[[#This Row],[start_date]]), 1, 0)</f>
        <v>0</v>
      </c>
      <c r="I13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4">
        <f>IF(
  AND(subscriptions[[#This Row],[end_before_start]]=0, subscriptions[[#This Row],[status_end_mismatch]]=0),
  1,
  0
)</f>
        <v>1</v>
      </c>
    </row>
    <row r="1375" spans="1:10" x14ac:dyDescent="0.3">
      <c r="A1375">
        <v>6492500</v>
      </c>
      <c r="B1375">
        <v>644951</v>
      </c>
      <c r="C1375">
        <v>1002</v>
      </c>
      <c r="D1375" s="1">
        <v>44904</v>
      </c>
      <c r="E1375" s="1">
        <v>45065</v>
      </c>
      <c r="F1375" t="s">
        <v>3479</v>
      </c>
      <c r="G1375" t="str">
        <f>IF(ISNA(_xlfn.XLOOKUP(subscriptions[[#This Row],[customer_id]], customers[customer_id], customers[customer_id])), "NO", "YES")</f>
        <v>YES</v>
      </c>
      <c r="H1375">
        <f>IF(AND(subscriptions[[#This Row],[end_date]]&lt;&gt;"", subscriptions[[#This Row],[end_date]] &lt; subscriptions[[#This Row],[start_date]]), 1, 0)</f>
        <v>0</v>
      </c>
      <c r="I13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5">
        <f>IF(
  AND(subscriptions[[#This Row],[end_before_start]]=0, subscriptions[[#This Row],[status_end_mismatch]]=0),
  1,
  0
)</f>
        <v>1</v>
      </c>
    </row>
    <row r="1376" spans="1:10" x14ac:dyDescent="0.3">
      <c r="A1376">
        <v>7680763</v>
      </c>
      <c r="B1376">
        <v>780776</v>
      </c>
      <c r="C1376">
        <v>1001</v>
      </c>
      <c r="D1376" s="1">
        <v>45145</v>
      </c>
      <c r="E1376" s="1"/>
      <c r="F1376" t="s">
        <v>3480</v>
      </c>
      <c r="G1376" t="str">
        <f>IF(ISNA(_xlfn.XLOOKUP(subscriptions[[#This Row],[customer_id]], customers[customer_id], customers[customer_id])), "NO", "YES")</f>
        <v>YES</v>
      </c>
      <c r="H1376">
        <f>IF(AND(subscriptions[[#This Row],[end_date]]&lt;&gt;"", subscriptions[[#This Row],[end_date]] &lt; subscriptions[[#This Row],[start_date]]), 1, 0)</f>
        <v>0</v>
      </c>
      <c r="I13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6">
        <f>IF(
  AND(subscriptions[[#This Row],[end_before_start]]=0, subscriptions[[#This Row],[status_end_mismatch]]=0),
  1,
  0
)</f>
        <v>1</v>
      </c>
    </row>
    <row r="1377" spans="1:10" x14ac:dyDescent="0.3">
      <c r="A1377">
        <v>5776554</v>
      </c>
      <c r="B1377">
        <v>449031</v>
      </c>
      <c r="C1377">
        <v>1008</v>
      </c>
      <c r="D1377" s="1">
        <v>45097</v>
      </c>
      <c r="E1377" s="1"/>
      <c r="F1377" t="s">
        <v>3480</v>
      </c>
      <c r="G1377" t="str">
        <f>IF(ISNA(_xlfn.XLOOKUP(subscriptions[[#This Row],[customer_id]], customers[customer_id], customers[customer_id])), "NO", "YES")</f>
        <v>YES</v>
      </c>
      <c r="H1377">
        <f>IF(AND(subscriptions[[#This Row],[end_date]]&lt;&gt;"", subscriptions[[#This Row],[end_date]] &lt; subscriptions[[#This Row],[start_date]]), 1, 0)</f>
        <v>0</v>
      </c>
      <c r="I13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7">
        <f>IF(
  AND(subscriptions[[#This Row],[end_before_start]]=0, subscriptions[[#This Row],[status_end_mismatch]]=0),
  1,
  0
)</f>
        <v>1</v>
      </c>
    </row>
    <row r="1378" spans="1:10" x14ac:dyDescent="0.3">
      <c r="A1378">
        <v>3003211</v>
      </c>
      <c r="B1378">
        <v>136554</v>
      </c>
      <c r="C1378">
        <v>1005</v>
      </c>
      <c r="D1378" s="1">
        <v>45370</v>
      </c>
      <c r="E1378" s="1">
        <v>45503</v>
      </c>
      <c r="F1378" t="s">
        <v>3479</v>
      </c>
      <c r="G1378" t="str">
        <f>IF(ISNA(_xlfn.XLOOKUP(subscriptions[[#This Row],[customer_id]], customers[customer_id], customers[customer_id])), "NO", "YES")</f>
        <v>YES</v>
      </c>
      <c r="H1378">
        <f>IF(AND(subscriptions[[#This Row],[end_date]]&lt;&gt;"", subscriptions[[#This Row],[end_date]] &lt; subscriptions[[#This Row],[start_date]]), 1, 0)</f>
        <v>0</v>
      </c>
      <c r="I13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8">
        <f>IF(
  AND(subscriptions[[#This Row],[end_before_start]]=0, subscriptions[[#This Row],[status_end_mismatch]]=0),
  1,
  0
)</f>
        <v>1</v>
      </c>
    </row>
    <row r="1379" spans="1:10" x14ac:dyDescent="0.3">
      <c r="A1379">
        <v>2451280</v>
      </c>
      <c r="B1379">
        <v>319869</v>
      </c>
      <c r="C1379">
        <v>1003</v>
      </c>
      <c r="D1379" s="1">
        <v>45581</v>
      </c>
      <c r="E1379" s="1"/>
      <c r="F1379" t="s">
        <v>3480</v>
      </c>
      <c r="G1379" t="str">
        <f>IF(ISNA(_xlfn.XLOOKUP(subscriptions[[#This Row],[customer_id]], customers[customer_id], customers[customer_id])), "NO", "YES")</f>
        <v>YES</v>
      </c>
      <c r="H1379">
        <f>IF(AND(subscriptions[[#This Row],[end_date]]&lt;&gt;"", subscriptions[[#This Row],[end_date]] &lt; subscriptions[[#This Row],[start_date]]), 1, 0)</f>
        <v>0</v>
      </c>
      <c r="I13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79">
        <f>IF(
  AND(subscriptions[[#This Row],[end_before_start]]=0, subscriptions[[#This Row],[status_end_mismatch]]=0),
  1,
  0
)</f>
        <v>1</v>
      </c>
    </row>
    <row r="1380" spans="1:10" x14ac:dyDescent="0.3">
      <c r="A1380">
        <v>9694382</v>
      </c>
      <c r="B1380">
        <v>814220</v>
      </c>
      <c r="C1380">
        <v>1004</v>
      </c>
      <c r="D1380" s="1">
        <v>44635</v>
      </c>
      <c r="E1380" s="1"/>
      <c r="F1380" t="s">
        <v>3480</v>
      </c>
      <c r="G1380" t="str">
        <f>IF(ISNA(_xlfn.XLOOKUP(subscriptions[[#This Row],[customer_id]], customers[customer_id], customers[customer_id])), "NO", "YES")</f>
        <v>YES</v>
      </c>
      <c r="H1380">
        <f>IF(AND(subscriptions[[#This Row],[end_date]]&lt;&gt;"", subscriptions[[#This Row],[end_date]] &lt; subscriptions[[#This Row],[start_date]]), 1, 0)</f>
        <v>0</v>
      </c>
      <c r="I13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0">
        <f>IF(
  AND(subscriptions[[#This Row],[end_before_start]]=0, subscriptions[[#This Row],[status_end_mismatch]]=0),
  1,
  0
)</f>
        <v>1</v>
      </c>
    </row>
    <row r="1381" spans="1:10" x14ac:dyDescent="0.3">
      <c r="A1381">
        <v>2834486</v>
      </c>
      <c r="B1381">
        <v>398910</v>
      </c>
      <c r="C1381">
        <v>1005</v>
      </c>
      <c r="D1381" s="1">
        <v>44790</v>
      </c>
      <c r="E1381" s="1"/>
      <c r="F1381" t="s">
        <v>3480</v>
      </c>
      <c r="G1381" t="str">
        <f>IF(ISNA(_xlfn.XLOOKUP(subscriptions[[#This Row],[customer_id]], customers[customer_id], customers[customer_id])), "NO", "YES")</f>
        <v>YES</v>
      </c>
      <c r="H1381">
        <f>IF(AND(subscriptions[[#This Row],[end_date]]&lt;&gt;"", subscriptions[[#This Row],[end_date]] &lt; subscriptions[[#This Row],[start_date]]), 1, 0)</f>
        <v>0</v>
      </c>
      <c r="I13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1">
        <f>IF(
  AND(subscriptions[[#This Row],[end_before_start]]=0, subscriptions[[#This Row],[status_end_mismatch]]=0),
  1,
  0
)</f>
        <v>1</v>
      </c>
    </row>
    <row r="1382" spans="1:10" x14ac:dyDescent="0.3">
      <c r="A1382">
        <v>7510631</v>
      </c>
      <c r="B1382">
        <v>844037</v>
      </c>
      <c r="C1382">
        <v>1003</v>
      </c>
      <c r="D1382" s="1">
        <v>44939</v>
      </c>
      <c r="E1382" s="1"/>
      <c r="F1382" t="s">
        <v>3480</v>
      </c>
      <c r="G1382" t="str">
        <f>IF(ISNA(_xlfn.XLOOKUP(subscriptions[[#This Row],[customer_id]], customers[customer_id], customers[customer_id])), "NO", "YES")</f>
        <v>YES</v>
      </c>
      <c r="H1382">
        <f>IF(AND(subscriptions[[#This Row],[end_date]]&lt;&gt;"", subscriptions[[#This Row],[end_date]] &lt; subscriptions[[#This Row],[start_date]]), 1, 0)</f>
        <v>0</v>
      </c>
      <c r="I13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2">
        <f>IF(
  AND(subscriptions[[#This Row],[end_before_start]]=0, subscriptions[[#This Row],[status_end_mismatch]]=0),
  1,
  0
)</f>
        <v>1</v>
      </c>
    </row>
    <row r="1383" spans="1:10" x14ac:dyDescent="0.3">
      <c r="A1383">
        <v>2130790</v>
      </c>
      <c r="B1383">
        <v>848226</v>
      </c>
      <c r="C1383">
        <v>1004</v>
      </c>
      <c r="D1383" s="1">
        <v>45057</v>
      </c>
      <c r="E1383" s="1"/>
      <c r="F1383" t="s">
        <v>3480</v>
      </c>
      <c r="G1383" t="str">
        <f>IF(ISNA(_xlfn.XLOOKUP(subscriptions[[#This Row],[customer_id]], customers[customer_id], customers[customer_id])), "NO", "YES")</f>
        <v>YES</v>
      </c>
      <c r="H1383">
        <f>IF(AND(subscriptions[[#This Row],[end_date]]&lt;&gt;"", subscriptions[[#This Row],[end_date]] &lt; subscriptions[[#This Row],[start_date]]), 1, 0)</f>
        <v>0</v>
      </c>
      <c r="I13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3">
        <f>IF(
  AND(subscriptions[[#This Row],[end_before_start]]=0, subscriptions[[#This Row],[status_end_mismatch]]=0),
  1,
  0
)</f>
        <v>1</v>
      </c>
    </row>
    <row r="1384" spans="1:10" x14ac:dyDescent="0.3">
      <c r="A1384">
        <v>7222701</v>
      </c>
      <c r="B1384">
        <v>388820</v>
      </c>
      <c r="C1384">
        <v>1002</v>
      </c>
      <c r="D1384" s="1">
        <v>45459</v>
      </c>
      <c r="E1384" s="1">
        <v>45638</v>
      </c>
      <c r="F1384" t="s">
        <v>3479</v>
      </c>
      <c r="G1384" t="str">
        <f>IF(ISNA(_xlfn.XLOOKUP(subscriptions[[#This Row],[customer_id]], customers[customer_id], customers[customer_id])), "NO", "YES")</f>
        <v>YES</v>
      </c>
      <c r="H1384">
        <f>IF(AND(subscriptions[[#This Row],[end_date]]&lt;&gt;"", subscriptions[[#This Row],[end_date]] &lt; subscriptions[[#This Row],[start_date]]), 1, 0)</f>
        <v>0</v>
      </c>
      <c r="I13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4">
        <f>IF(
  AND(subscriptions[[#This Row],[end_before_start]]=0, subscriptions[[#This Row],[status_end_mismatch]]=0),
  1,
  0
)</f>
        <v>1</v>
      </c>
    </row>
    <row r="1385" spans="1:10" x14ac:dyDescent="0.3">
      <c r="A1385">
        <v>1688736</v>
      </c>
      <c r="B1385">
        <v>446337</v>
      </c>
      <c r="C1385">
        <v>1005</v>
      </c>
      <c r="D1385" s="1">
        <v>45593</v>
      </c>
      <c r="E1385" s="1">
        <v>45633</v>
      </c>
      <c r="F1385" t="s">
        <v>3479</v>
      </c>
      <c r="G1385" t="str">
        <f>IF(ISNA(_xlfn.XLOOKUP(subscriptions[[#This Row],[customer_id]], customers[customer_id], customers[customer_id])), "NO", "YES")</f>
        <v>YES</v>
      </c>
      <c r="H1385">
        <f>IF(AND(subscriptions[[#This Row],[end_date]]&lt;&gt;"", subscriptions[[#This Row],[end_date]] &lt; subscriptions[[#This Row],[start_date]]), 1, 0)</f>
        <v>0</v>
      </c>
      <c r="I13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5">
        <f>IF(
  AND(subscriptions[[#This Row],[end_before_start]]=0, subscriptions[[#This Row],[status_end_mismatch]]=0),
  1,
  0
)</f>
        <v>1</v>
      </c>
    </row>
    <row r="1386" spans="1:10" x14ac:dyDescent="0.3">
      <c r="A1386">
        <v>4530452</v>
      </c>
      <c r="B1386">
        <v>768061</v>
      </c>
      <c r="C1386">
        <v>1000</v>
      </c>
      <c r="D1386" s="1">
        <v>45213</v>
      </c>
      <c r="E1386" s="1"/>
      <c r="F1386" t="s">
        <v>3480</v>
      </c>
      <c r="G1386" t="str">
        <f>IF(ISNA(_xlfn.XLOOKUP(subscriptions[[#This Row],[customer_id]], customers[customer_id], customers[customer_id])), "NO", "YES")</f>
        <v>YES</v>
      </c>
      <c r="H1386">
        <f>IF(AND(subscriptions[[#This Row],[end_date]]&lt;&gt;"", subscriptions[[#This Row],[end_date]] &lt; subscriptions[[#This Row],[start_date]]), 1, 0)</f>
        <v>0</v>
      </c>
      <c r="I13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6">
        <f>IF(
  AND(subscriptions[[#This Row],[end_before_start]]=0, subscriptions[[#This Row],[status_end_mismatch]]=0),
  1,
  0
)</f>
        <v>1</v>
      </c>
    </row>
    <row r="1387" spans="1:10" x14ac:dyDescent="0.3">
      <c r="A1387">
        <v>1238423</v>
      </c>
      <c r="B1387">
        <v>910326</v>
      </c>
      <c r="C1387">
        <v>1004</v>
      </c>
      <c r="D1387" s="1">
        <v>44874</v>
      </c>
      <c r="E1387" s="1"/>
      <c r="F1387" t="s">
        <v>3480</v>
      </c>
      <c r="G1387" t="str">
        <f>IF(ISNA(_xlfn.XLOOKUP(subscriptions[[#This Row],[customer_id]], customers[customer_id], customers[customer_id])), "NO", "YES")</f>
        <v>YES</v>
      </c>
      <c r="H1387">
        <f>IF(AND(subscriptions[[#This Row],[end_date]]&lt;&gt;"", subscriptions[[#This Row],[end_date]] &lt; subscriptions[[#This Row],[start_date]]), 1, 0)</f>
        <v>0</v>
      </c>
      <c r="I13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7">
        <f>IF(
  AND(subscriptions[[#This Row],[end_before_start]]=0, subscriptions[[#This Row],[status_end_mismatch]]=0),
  1,
  0
)</f>
        <v>1</v>
      </c>
    </row>
    <row r="1388" spans="1:10" x14ac:dyDescent="0.3">
      <c r="A1388">
        <v>5207762</v>
      </c>
      <c r="B1388">
        <v>906584</v>
      </c>
      <c r="C1388">
        <v>1008</v>
      </c>
      <c r="D1388" s="1">
        <v>44921</v>
      </c>
      <c r="E1388" s="1"/>
      <c r="F1388" t="s">
        <v>3480</v>
      </c>
      <c r="G1388" t="str">
        <f>IF(ISNA(_xlfn.XLOOKUP(subscriptions[[#This Row],[customer_id]], customers[customer_id], customers[customer_id])), "NO", "YES")</f>
        <v>YES</v>
      </c>
      <c r="H1388">
        <f>IF(AND(subscriptions[[#This Row],[end_date]]&lt;&gt;"", subscriptions[[#This Row],[end_date]] &lt; subscriptions[[#This Row],[start_date]]), 1, 0)</f>
        <v>0</v>
      </c>
      <c r="I13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8">
        <f>IF(
  AND(subscriptions[[#This Row],[end_before_start]]=0, subscriptions[[#This Row],[status_end_mismatch]]=0),
  1,
  0
)</f>
        <v>1</v>
      </c>
    </row>
    <row r="1389" spans="1:10" x14ac:dyDescent="0.3">
      <c r="A1389">
        <v>4366336</v>
      </c>
      <c r="B1389">
        <v>364039</v>
      </c>
      <c r="C1389">
        <v>1001</v>
      </c>
      <c r="D1389" s="1">
        <v>44677</v>
      </c>
      <c r="E1389" s="1"/>
      <c r="F1389" t="s">
        <v>3480</v>
      </c>
      <c r="G1389" t="str">
        <f>IF(ISNA(_xlfn.XLOOKUP(subscriptions[[#This Row],[customer_id]], customers[customer_id], customers[customer_id])), "NO", "YES")</f>
        <v>YES</v>
      </c>
      <c r="H1389">
        <f>IF(AND(subscriptions[[#This Row],[end_date]]&lt;&gt;"", subscriptions[[#This Row],[end_date]] &lt; subscriptions[[#This Row],[start_date]]), 1, 0)</f>
        <v>0</v>
      </c>
      <c r="I13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89">
        <f>IF(
  AND(subscriptions[[#This Row],[end_before_start]]=0, subscriptions[[#This Row],[status_end_mismatch]]=0),
  1,
  0
)</f>
        <v>1</v>
      </c>
    </row>
    <row r="1390" spans="1:10" x14ac:dyDescent="0.3">
      <c r="A1390">
        <v>3568550</v>
      </c>
      <c r="B1390">
        <v>453894</v>
      </c>
      <c r="C1390">
        <v>1003</v>
      </c>
      <c r="D1390" s="1">
        <v>45159</v>
      </c>
      <c r="E1390" s="1"/>
      <c r="F1390" t="s">
        <v>3480</v>
      </c>
      <c r="G1390" t="str">
        <f>IF(ISNA(_xlfn.XLOOKUP(subscriptions[[#This Row],[customer_id]], customers[customer_id], customers[customer_id])), "NO", "YES")</f>
        <v>YES</v>
      </c>
      <c r="H1390">
        <f>IF(AND(subscriptions[[#This Row],[end_date]]&lt;&gt;"", subscriptions[[#This Row],[end_date]] &lt; subscriptions[[#This Row],[start_date]]), 1, 0)</f>
        <v>0</v>
      </c>
      <c r="I13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0">
        <f>IF(
  AND(subscriptions[[#This Row],[end_before_start]]=0, subscriptions[[#This Row],[status_end_mismatch]]=0),
  1,
  0
)</f>
        <v>1</v>
      </c>
    </row>
    <row r="1391" spans="1:10" x14ac:dyDescent="0.3">
      <c r="A1391">
        <v>4778826</v>
      </c>
      <c r="B1391">
        <v>880900</v>
      </c>
      <c r="C1391">
        <v>1008</v>
      </c>
      <c r="D1391" s="1">
        <v>44938</v>
      </c>
      <c r="E1391" s="1">
        <v>45139</v>
      </c>
      <c r="F1391" t="s">
        <v>3479</v>
      </c>
      <c r="G1391" t="str">
        <f>IF(ISNA(_xlfn.XLOOKUP(subscriptions[[#This Row],[customer_id]], customers[customer_id], customers[customer_id])), "NO", "YES")</f>
        <v>YES</v>
      </c>
      <c r="H1391">
        <f>IF(AND(subscriptions[[#This Row],[end_date]]&lt;&gt;"", subscriptions[[#This Row],[end_date]] &lt; subscriptions[[#This Row],[start_date]]), 1, 0)</f>
        <v>0</v>
      </c>
      <c r="I13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1">
        <f>IF(
  AND(subscriptions[[#This Row],[end_before_start]]=0, subscriptions[[#This Row],[status_end_mismatch]]=0),
  1,
  0
)</f>
        <v>1</v>
      </c>
    </row>
    <row r="1392" spans="1:10" x14ac:dyDescent="0.3">
      <c r="A1392">
        <v>8363043</v>
      </c>
      <c r="B1392">
        <v>159645</v>
      </c>
      <c r="C1392">
        <v>1003</v>
      </c>
      <c r="D1392" s="1">
        <v>44613</v>
      </c>
      <c r="E1392" s="1">
        <v>44678</v>
      </c>
      <c r="F1392" t="s">
        <v>3479</v>
      </c>
      <c r="G1392" t="str">
        <f>IF(ISNA(_xlfn.XLOOKUP(subscriptions[[#This Row],[customer_id]], customers[customer_id], customers[customer_id])), "NO", "YES")</f>
        <v>YES</v>
      </c>
      <c r="H1392">
        <f>IF(AND(subscriptions[[#This Row],[end_date]]&lt;&gt;"", subscriptions[[#This Row],[end_date]] &lt; subscriptions[[#This Row],[start_date]]), 1, 0)</f>
        <v>0</v>
      </c>
      <c r="I13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2">
        <f>IF(
  AND(subscriptions[[#This Row],[end_before_start]]=0, subscriptions[[#This Row],[status_end_mismatch]]=0),
  1,
  0
)</f>
        <v>1</v>
      </c>
    </row>
    <row r="1393" spans="1:10" x14ac:dyDescent="0.3">
      <c r="A1393">
        <v>5123439</v>
      </c>
      <c r="B1393">
        <v>775987</v>
      </c>
      <c r="C1393">
        <v>1009</v>
      </c>
      <c r="D1393" s="1">
        <v>45151</v>
      </c>
      <c r="E1393" s="1"/>
      <c r="F1393" t="s">
        <v>3480</v>
      </c>
      <c r="G1393" t="str">
        <f>IF(ISNA(_xlfn.XLOOKUP(subscriptions[[#This Row],[customer_id]], customers[customer_id], customers[customer_id])), "NO", "YES")</f>
        <v>YES</v>
      </c>
      <c r="H1393">
        <f>IF(AND(subscriptions[[#This Row],[end_date]]&lt;&gt;"", subscriptions[[#This Row],[end_date]] &lt; subscriptions[[#This Row],[start_date]]), 1, 0)</f>
        <v>0</v>
      </c>
      <c r="I13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3">
        <f>IF(
  AND(subscriptions[[#This Row],[end_before_start]]=0, subscriptions[[#This Row],[status_end_mismatch]]=0),
  1,
  0
)</f>
        <v>1</v>
      </c>
    </row>
    <row r="1394" spans="1:10" x14ac:dyDescent="0.3">
      <c r="A1394">
        <v>3405239</v>
      </c>
      <c r="B1394">
        <v>825846</v>
      </c>
      <c r="C1394">
        <v>1002</v>
      </c>
      <c r="D1394" s="1">
        <v>45212</v>
      </c>
      <c r="E1394" s="1"/>
      <c r="F1394" t="s">
        <v>3480</v>
      </c>
      <c r="G1394" t="str">
        <f>IF(ISNA(_xlfn.XLOOKUP(subscriptions[[#This Row],[customer_id]], customers[customer_id], customers[customer_id])), "NO", "YES")</f>
        <v>YES</v>
      </c>
      <c r="H1394">
        <f>IF(AND(subscriptions[[#This Row],[end_date]]&lt;&gt;"", subscriptions[[#This Row],[end_date]] &lt; subscriptions[[#This Row],[start_date]]), 1, 0)</f>
        <v>0</v>
      </c>
      <c r="I13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4">
        <f>IF(
  AND(subscriptions[[#This Row],[end_before_start]]=0, subscriptions[[#This Row],[status_end_mismatch]]=0),
  1,
  0
)</f>
        <v>1</v>
      </c>
    </row>
    <row r="1395" spans="1:10" x14ac:dyDescent="0.3">
      <c r="A1395">
        <v>2092722</v>
      </c>
      <c r="B1395">
        <v>136332</v>
      </c>
      <c r="C1395">
        <v>1000</v>
      </c>
      <c r="D1395" s="1">
        <v>45401</v>
      </c>
      <c r="E1395" s="1"/>
      <c r="F1395" t="s">
        <v>3480</v>
      </c>
      <c r="G1395" t="str">
        <f>IF(ISNA(_xlfn.XLOOKUP(subscriptions[[#This Row],[customer_id]], customers[customer_id], customers[customer_id])), "NO", "YES")</f>
        <v>YES</v>
      </c>
      <c r="H1395">
        <f>IF(AND(subscriptions[[#This Row],[end_date]]&lt;&gt;"", subscriptions[[#This Row],[end_date]] &lt; subscriptions[[#This Row],[start_date]]), 1, 0)</f>
        <v>0</v>
      </c>
      <c r="I13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5">
        <f>IF(
  AND(subscriptions[[#This Row],[end_before_start]]=0, subscriptions[[#This Row],[status_end_mismatch]]=0),
  1,
  0
)</f>
        <v>1</v>
      </c>
    </row>
    <row r="1396" spans="1:10" x14ac:dyDescent="0.3">
      <c r="A1396">
        <v>1292960</v>
      </c>
      <c r="B1396">
        <v>495129</v>
      </c>
      <c r="C1396">
        <v>1007</v>
      </c>
      <c r="D1396" s="1">
        <v>44909</v>
      </c>
      <c r="E1396" s="1">
        <v>45103</v>
      </c>
      <c r="F1396" t="s">
        <v>3479</v>
      </c>
      <c r="G1396" t="str">
        <f>IF(ISNA(_xlfn.XLOOKUP(subscriptions[[#This Row],[customer_id]], customers[customer_id], customers[customer_id])), "NO", "YES")</f>
        <v>YES</v>
      </c>
      <c r="H1396">
        <f>IF(AND(subscriptions[[#This Row],[end_date]]&lt;&gt;"", subscriptions[[#This Row],[end_date]] &lt; subscriptions[[#This Row],[start_date]]), 1, 0)</f>
        <v>0</v>
      </c>
      <c r="I13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6">
        <f>IF(
  AND(subscriptions[[#This Row],[end_before_start]]=0, subscriptions[[#This Row],[status_end_mismatch]]=0),
  1,
  0
)</f>
        <v>1</v>
      </c>
    </row>
    <row r="1397" spans="1:10" x14ac:dyDescent="0.3">
      <c r="A1397">
        <v>7213813</v>
      </c>
      <c r="B1397">
        <v>188374</v>
      </c>
      <c r="C1397">
        <v>1004</v>
      </c>
      <c r="D1397" s="1">
        <v>44640</v>
      </c>
      <c r="E1397" s="1"/>
      <c r="F1397" t="s">
        <v>3480</v>
      </c>
      <c r="G1397" t="str">
        <f>IF(ISNA(_xlfn.XLOOKUP(subscriptions[[#This Row],[customer_id]], customers[customer_id], customers[customer_id])), "NO", "YES")</f>
        <v>YES</v>
      </c>
      <c r="H1397">
        <f>IF(AND(subscriptions[[#This Row],[end_date]]&lt;&gt;"", subscriptions[[#This Row],[end_date]] &lt; subscriptions[[#This Row],[start_date]]), 1, 0)</f>
        <v>0</v>
      </c>
      <c r="I13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7">
        <f>IF(
  AND(subscriptions[[#This Row],[end_before_start]]=0, subscriptions[[#This Row],[status_end_mismatch]]=0),
  1,
  0
)</f>
        <v>1</v>
      </c>
    </row>
    <row r="1398" spans="1:10" x14ac:dyDescent="0.3">
      <c r="A1398">
        <v>2741350</v>
      </c>
      <c r="B1398">
        <v>170394</v>
      </c>
      <c r="C1398">
        <v>1001</v>
      </c>
      <c r="D1398" s="1">
        <v>45040</v>
      </c>
      <c r="E1398" s="1"/>
      <c r="F1398" t="s">
        <v>3480</v>
      </c>
      <c r="G1398" t="str">
        <f>IF(ISNA(_xlfn.XLOOKUP(subscriptions[[#This Row],[customer_id]], customers[customer_id], customers[customer_id])), "NO", "YES")</f>
        <v>YES</v>
      </c>
      <c r="H1398">
        <f>IF(AND(subscriptions[[#This Row],[end_date]]&lt;&gt;"", subscriptions[[#This Row],[end_date]] &lt; subscriptions[[#This Row],[start_date]]), 1, 0)</f>
        <v>0</v>
      </c>
      <c r="I13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8">
        <f>IF(
  AND(subscriptions[[#This Row],[end_before_start]]=0, subscriptions[[#This Row],[status_end_mismatch]]=0),
  1,
  0
)</f>
        <v>1</v>
      </c>
    </row>
    <row r="1399" spans="1:10" x14ac:dyDescent="0.3">
      <c r="A1399">
        <v>1057394</v>
      </c>
      <c r="B1399">
        <v>593002</v>
      </c>
      <c r="C1399">
        <v>1003</v>
      </c>
      <c r="D1399" s="1">
        <v>44681</v>
      </c>
      <c r="E1399" s="1">
        <v>45001</v>
      </c>
      <c r="F1399" t="s">
        <v>3479</v>
      </c>
      <c r="G1399" t="str">
        <f>IF(ISNA(_xlfn.XLOOKUP(subscriptions[[#This Row],[customer_id]], customers[customer_id], customers[customer_id])), "NO", "YES")</f>
        <v>YES</v>
      </c>
      <c r="H1399">
        <f>IF(AND(subscriptions[[#This Row],[end_date]]&lt;&gt;"", subscriptions[[#This Row],[end_date]] &lt; subscriptions[[#This Row],[start_date]]), 1, 0)</f>
        <v>0</v>
      </c>
      <c r="I13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399">
        <f>IF(
  AND(subscriptions[[#This Row],[end_before_start]]=0, subscriptions[[#This Row],[status_end_mismatch]]=0),
  1,
  0
)</f>
        <v>1</v>
      </c>
    </row>
    <row r="1400" spans="1:10" x14ac:dyDescent="0.3">
      <c r="A1400">
        <v>3007261</v>
      </c>
      <c r="B1400">
        <v>666692</v>
      </c>
      <c r="C1400">
        <v>1008</v>
      </c>
      <c r="D1400" s="1">
        <v>45021</v>
      </c>
      <c r="E1400" s="1">
        <v>45069</v>
      </c>
      <c r="F1400" t="s">
        <v>3479</v>
      </c>
      <c r="G1400" t="str">
        <f>IF(ISNA(_xlfn.XLOOKUP(subscriptions[[#This Row],[customer_id]], customers[customer_id], customers[customer_id])), "NO", "YES")</f>
        <v>YES</v>
      </c>
      <c r="H1400">
        <f>IF(AND(subscriptions[[#This Row],[end_date]]&lt;&gt;"", subscriptions[[#This Row],[end_date]] &lt; subscriptions[[#This Row],[start_date]]), 1, 0)</f>
        <v>0</v>
      </c>
      <c r="I14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0">
        <f>IF(
  AND(subscriptions[[#This Row],[end_before_start]]=0, subscriptions[[#This Row],[status_end_mismatch]]=0),
  1,
  0
)</f>
        <v>1</v>
      </c>
    </row>
    <row r="1401" spans="1:10" x14ac:dyDescent="0.3">
      <c r="A1401">
        <v>2240239</v>
      </c>
      <c r="B1401">
        <v>969993</v>
      </c>
      <c r="C1401">
        <v>1007</v>
      </c>
      <c r="D1401" s="1">
        <v>44602</v>
      </c>
      <c r="E1401" s="1">
        <v>44875</v>
      </c>
      <c r="F1401" t="s">
        <v>3479</v>
      </c>
      <c r="G1401" t="str">
        <f>IF(ISNA(_xlfn.XLOOKUP(subscriptions[[#This Row],[customer_id]], customers[customer_id], customers[customer_id])), "NO", "YES")</f>
        <v>YES</v>
      </c>
      <c r="H1401">
        <f>IF(AND(subscriptions[[#This Row],[end_date]]&lt;&gt;"", subscriptions[[#This Row],[end_date]] &lt; subscriptions[[#This Row],[start_date]]), 1, 0)</f>
        <v>0</v>
      </c>
      <c r="I14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1">
        <f>IF(
  AND(subscriptions[[#This Row],[end_before_start]]=0, subscriptions[[#This Row],[status_end_mismatch]]=0),
  1,
  0
)</f>
        <v>1</v>
      </c>
    </row>
    <row r="1402" spans="1:10" x14ac:dyDescent="0.3">
      <c r="A1402">
        <v>7476923</v>
      </c>
      <c r="B1402">
        <v>542563</v>
      </c>
      <c r="C1402">
        <v>1006</v>
      </c>
      <c r="D1402" s="1">
        <v>45140</v>
      </c>
      <c r="E1402" s="1">
        <v>45368</v>
      </c>
      <c r="F1402" t="s">
        <v>3479</v>
      </c>
      <c r="G1402" t="str">
        <f>IF(ISNA(_xlfn.XLOOKUP(subscriptions[[#This Row],[customer_id]], customers[customer_id], customers[customer_id])), "NO", "YES")</f>
        <v>YES</v>
      </c>
      <c r="H1402">
        <f>IF(AND(subscriptions[[#This Row],[end_date]]&lt;&gt;"", subscriptions[[#This Row],[end_date]] &lt; subscriptions[[#This Row],[start_date]]), 1, 0)</f>
        <v>0</v>
      </c>
      <c r="I140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2">
        <f>IF(
  AND(subscriptions[[#This Row],[end_before_start]]=0, subscriptions[[#This Row],[status_end_mismatch]]=0),
  1,
  0
)</f>
        <v>1</v>
      </c>
    </row>
    <row r="1403" spans="1:10" x14ac:dyDescent="0.3">
      <c r="A1403">
        <v>8544230</v>
      </c>
      <c r="B1403">
        <v>982023</v>
      </c>
      <c r="C1403">
        <v>1006</v>
      </c>
      <c r="D1403" s="1">
        <v>45048</v>
      </c>
      <c r="E1403" s="1">
        <v>45391</v>
      </c>
      <c r="F1403" t="s">
        <v>3479</v>
      </c>
      <c r="G1403" t="str">
        <f>IF(ISNA(_xlfn.XLOOKUP(subscriptions[[#This Row],[customer_id]], customers[customer_id], customers[customer_id])), "NO", "YES")</f>
        <v>YES</v>
      </c>
      <c r="H1403">
        <f>IF(AND(subscriptions[[#This Row],[end_date]]&lt;&gt;"", subscriptions[[#This Row],[end_date]] &lt; subscriptions[[#This Row],[start_date]]), 1, 0)</f>
        <v>0</v>
      </c>
      <c r="I140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3">
        <f>IF(
  AND(subscriptions[[#This Row],[end_before_start]]=0, subscriptions[[#This Row],[status_end_mismatch]]=0),
  1,
  0
)</f>
        <v>1</v>
      </c>
    </row>
    <row r="1404" spans="1:10" x14ac:dyDescent="0.3">
      <c r="A1404">
        <v>5195013</v>
      </c>
      <c r="B1404">
        <v>189856</v>
      </c>
      <c r="C1404">
        <v>1007</v>
      </c>
      <c r="D1404" s="1">
        <v>45268</v>
      </c>
      <c r="E1404" s="1">
        <v>45623</v>
      </c>
      <c r="F1404" t="s">
        <v>3479</v>
      </c>
      <c r="G1404" t="str">
        <f>IF(ISNA(_xlfn.XLOOKUP(subscriptions[[#This Row],[customer_id]], customers[customer_id], customers[customer_id])), "NO", "YES")</f>
        <v>YES</v>
      </c>
      <c r="H1404">
        <f>IF(AND(subscriptions[[#This Row],[end_date]]&lt;&gt;"", subscriptions[[#This Row],[end_date]] &lt; subscriptions[[#This Row],[start_date]]), 1, 0)</f>
        <v>0</v>
      </c>
      <c r="I140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4">
        <f>IF(
  AND(subscriptions[[#This Row],[end_before_start]]=0, subscriptions[[#This Row],[status_end_mismatch]]=0),
  1,
  0
)</f>
        <v>1</v>
      </c>
    </row>
    <row r="1405" spans="1:10" x14ac:dyDescent="0.3">
      <c r="A1405">
        <v>8633369</v>
      </c>
      <c r="B1405">
        <v>388820</v>
      </c>
      <c r="C1405">
        <v>1004</v>
      </c>
      <c r="D1405" s="1">
        <v>45543</v>
      </c>
      <c r="E1405" s="1">
        <v>45651</v>
      </c>
      <c r="F1405" t="s">
        <v>3479</v>
      </c>
      <c r="G1405" t="str">
        <f>IF(ISNA(_xlfn.XLOOKUP(subscriptions[[#This Row],[customer_id]], customers[customer_id], customers[customer_id])), "NO", "YES")</f>
        <v>YES</v>
      </c>
      <c r="H1405">
        <f>IF(AND(subscriptions[[#This Row],[end_date]]&lt;&gt;"", subscriptions[[#This Row],[end_date]] &lt; subscriptions[[#This Row],[start_date]]), 1, 0)</f>
        <v>0</v>
      </c>
      <c r="I140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5">
        <f>IF(
  AND(subscriptions[[#This Row],[end_before_start]]=0, subscriptions[[#This Row],[status_end_mismatch]]=0),
  1,
  0
)</f>
        <v>1</v>
      </c>
    </row>
    <row r="1406" spans="1:10" x14ac:dyDescent="0.3">
      <c r="A1406">
        <v>8620600</v>
      </c>
      <c r="B1406">
        <v>825846</v>
      </c>
      <c r="C1406">
        <v>1004</v>
      </c>
      <c r="D1406" s="1">
        <v>45299</v>
      </c>
      <c r="E1406" s="1"/>
      <c r="F1406" t="s">
        <v>3480</v>
      </c>
      <c r="G1406" t="str">
        <f>IF(ISNA(_xlfn.XLOOKUP(subscriptions[[#This Row],[customer_id]], customers[customer_id], customers[customer_id])), "NO", "YES")</f>
        <v>YES</v>
      </c>
      <c r="H1406">
        <f>IF(AND(subscriptions[[#This Row],[end_date]]&lt;&gt;"", subscriptions[[#This Row],[end_date]] &lt; subscriptions[[#This Row],[start_date]]), 1, 0)</f>
        <v>0</v>
      </c>
      <c r="I140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6">
        <f>IF(
  AND(subscriptions[[#This Row],[end_before_start]]=0, subscriptions[[#This Row],[status_end_mismatch]]=0),
  1,
  0
)</f>
        <v>1</v>
      </c>
    </row>
    <row r="1407" spans="1:10" x14ac:dyDescent="0.3">
      <c r="A1407">
        <v>5812771</v>
      </c>
      <c r="B1407">
        <v>114400</v>
      </c>
      <c r="C1407">
        <v>1006</v>
      </c>
      <c r="D1407" s="1">
        <v>44919</v>
      </c>
      <c r="E1407" s="1">
        <v>45147</v>
      </c>
      <c r="F1407" t="s">
        <v>3479</v>
      </c>
      <c r="G1407" t="str">
        <f>IF(ISNA(_xlfn.XLOOKUP(subscriptions[[#This Row],[customer_id]], customers[customer_id], customers[customer_id])), "NO", "YES")</f>
        <v>YES</v>
      </c>
      <c r="H1407">
        <f>IF(AND(subscriptions[[#This Row],[end_date]]&lt;&gt;"", subscriptions[[#This Row],[end_date]] &lt; subscriptions[[#This Row],[start_date]]), 1, 0)</f>
        <v>0</v>
      </c>
      <c r="I140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7">
        <f>IF(
  AND(subscriptions[[#This Row],[end_before_start]]=0, subscriptions[[#This Row],[status_end_mismatch]]=0),
  1,
  0
)</f>
        <v>1</v>
      </c>
    </row>
    <row r="1408" spans="1:10" x14ac:dyDescent="0.3">
      <c r="A1408">
        <v>5315283</v>
      </c>
      <c r="B1408">
        <v>398301</v>
      </c>
      <c r="C1408">
        <v>1004</v>
      </c>
      <c r="D1408" s="1">
        <v>44890</v>
      </c>
      <c r="E1408" s="1"/>
      <c r="F1408" t="s">
        <v>3480</v>
      </c>
      <c r="G1408" t="str">
        <f>IF(ISNA(_xlfn.XLOOKUP(subscriptions[[#This Row],[customer_id]], customers[customer_id], customers[customer_id])), "NO", "YES")</f>
        <v>YES</v>
      </c>
      <c r="H1408">
        <f>IF(AND(subscriptions[[#This Row],[end_date]]&lt;&gt;"", subscriptions[[#This Row],[end_date]] &lt; subscriptions[[#This Row],[start_date]]), 1, 0)</f>
        <v>0</v>
      </c>
      <c r="I140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8">
        <f>IF(
  AND(subscriptions[[#This Row],[end_before_start]]=0, subscriptions[[#This Row],[status_end_mismatch]]=0),
  1,
  0
)</f>
        <v>1</v>
      </c>
    </row>
    <row r="1409" spans="1:10" x14ac:dyDescent="0.3">
      <c r="A1409">
        <v>1351266</v>
      </c>
      <c r="B1409">
        <v>793384</v>
      </c>
      <c r="C1409">
        <v>1009</v>
      </c>
      <c r="D1409" s="1">
        <v>45446</v>
      </c>
      <c r="E1409" s="1">
        <v>45549</v>
      </c>
      <c r="F1409" t="s">
        <v>3479</v>
      </c>
      <c r="G1409" t="str">
        <f>IF(ISNA(_xlfn.XLOOKUP(subscriptions[[#This Row],[customer_id]], customers[customer_id], customers[customer_id])), "NO", "YES")</f>
        <v>YES</v>
      </c>
      <c r="H1409">
        <f>IF(AND(subscriptions[[#This Row],[end_date]]&lt;&gt;"", subscriptions[[#This Row],[end_date]] &lt; subscriptions[[#This Row],[start_date]]), 1, 0)</f>
        <v>0</v>
      </c>
      <c r="I140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09">
        <f>IF(
  AND(subscriptions[[#This Row],[end_before_start]]=0, subscriptions[[#This Row],[status_end_mismatch]]=0),
  1,
  0
)</f>
        <v>1</v>
      </c>
    </row>
    <row r="1410" spans="1:10" x14ac:dyDescent="0.3">
      <c r="A1410">
        <v>1713952</v>
      </c>
      <c r="B1410">
        <v>668787</v>
      </c>
      <c r="C1410">
        <v>1003</v>
      </c>
      <c r="D1410" s="1">
        <v>45503</v>
      </c>
      <c r="E1410" s="1"/>
      <c r="F1410" t="s">
        <v>3480</v>
      </c>
      <c r="G1410" t="str">
        <f>IF(ISNA(_xlfn.XLOOKUP(subscriptions[[#This Row],[customer_id]], customers[customer_id], customers[customer_id])), "NO", "YES")</f>
        <v>YES</v>
      </c>
      <c r="H1410">
        <f>IF(AND(subscriptions[[#This Row],[end_date]]&lt;&gt;"", subscriptions[[#This Row],[end_date]] &lt; subscriptions[[#This Row],[start_date]]), 1, 0)</f>
        <v>0</v>
      </c>
      <c r="I141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0">
        <f>IF(
  AND(subscriptions[[#This Row],[end_before_start]]=0, subscriptions[[#This Row],[status_end_mismatch]]=0),
  1,
  0
)</f>
        <v>1</v>
      </c>
    </row>
    <row r="1411" spans="1:10" x14ac:dyDescent="0.3">
      <c r="A1411">
        <v>4808186</v>
      </c>
      <c r="B1411">
        <v>664570</v>
      </c>
      <c r="C1411">
        <v>1001</v>
      </c>
      <c r="D1411" s="1">
        <v>45385</v>
      </c>
      <c r="E1411" s="1"/>
      <c r="F1411" t="s">
        <v>3480</v>
      </c>
      <c r="G1411" t="str">
        <f>IF(ISNA(_xlfn.XLOOKUP(subscriptions[[#This Row],[customer_id]], customers[customer_id], customers[customer_id])), "NO", "YES")</f>
        <v>YES</v>
      </c>
      <c r="H1411">
        <f>IF(AND(subscriptions[[#This Row],[end_date]]&lt;&gt;"", subscriptions[[#This Row],[end_date]] &lt; subscriptions[[#This Row],[start_date]]), 1, 0)</f>
        <v>0</v>
      </c>
      <c r="I141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1">
        <f>IF(
  AND(subscriptions[[#This Row],[end_before_start]]=0, subscriptions[[#This Row],[status_end_mismatch]]=0),
  1,
  0
)</f>
        <v>1</v>
      </c>
    </row>
    <row r="1412" spans="1:10" x14ac:dyDescent="0.3">
      <c r="A1412">
        <v>6921373</v>
      </c>
      <c r="B1412">
        <v>905625</v>
      </c>
      <c r="C1412">
        <v>1001</v>
      </c>
      <c r="D1412" s="1">
        <v>44988</v>
      </c>
      <c r="E1412" s="1">
        <v>45233</v>
      </c>
      <c r="F1412" t="s">
        <v>3479</v>
      </c>
      <c r="G1412" t="str">
        <f>IF(ISNA(_xlfn.XLOOKUP(subscriptions[[#This Row],[customer_id]], customers[customer_id], customers[customer_id])), "NO", "YES")</f>
        <v>YES</v>
      </c>
      <c r="H1412">
        <f>IF(AND(subscriptions[[#This Row],[end_date]]&lt;&gt;"", subscriptions[[#This Row],[end_date]] &lt; subscriptions[[#This Row],[start_date]]), 1, 0)</f>
        <v>0</v>
      </c>
      <c r="I141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2">
        <f>IF(
  AND(subscriptions[[#This Row],[end_before_start]]=0, subscriptions[[#This Row],[status_end_mismatch]]=0),
  1,
  0
)</f>
        <v>1</v>
      </c>
    </row>
    <row r="1413" spans="1:10" x14ac:dyDescent="0.3">
      <c r="A1413">
        <v>8008273</v>
      </c>
      <c r="B1413">
        <v>348041</v>
      </c>
      <c r="C1413">
        <v>1001</v>
      </c>
      <c r="D1413" s="1">
        <v>45505</v>
      </c>
      <c r="E1413" s="1">
        <v>45645</v>
      </c>
      <c r="F1413" t="s">
        <v>3479</v>
      </c>
      <c r="G1413" t="str">
        <f>IF(ISNA(_xlfn.XLOOKUP(subscriptions[[#This Row],[customer_id]], customers[customer_id], customers[customer_id])), "NO", "YES")</f>
        <v>YES</v>
      </c>
      <c r="H1413">
        <f>IF(AND(subscriptions[[#This Row],[end_date]]&lt;&gt;"", subscriptions[[#This Row],[end_date]] &lt; subscriptions[[#This Row],[start_date]]), 1, 0)</f>
        <v>0</v>
      </c>
      <c r="I141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3">
        <f>IF(
  AND(subscriptions[[#This Row],[end_before_start]]=0, subscriptions[[#This Row],[status_end_mismatch]]=0),
  1,
  0
)</f>
        <v>1</v>
      </c>
    </row>
    <row r="1414" spans="1:10" x14ac:dyDescent="0.3">
      <c r="A1414">
        <v>8776527</v>
      </c>
      <c r="B1414">
        <v>668787</v>
      </c>
      <c r="C1414">
        <v>1006</v>
      </c>
      <c r="D1414" s="1">
        <v>45306</v>
      </c>
      <c r="E1414" s="1"/>
      <c r="F1414" t="s">
        <v>3480</v>
      </c>
      <c r="G1414" t="str">
        <f>IF(ISNA(_xlfn.XLOOKUP(subscriptions[[#This Row],[customer_id]], customers[customer_id], customers[customer_id])), "NO", "YES")</f>
        <v>YES</v>
      </c>
      <c r="H1414">
        <f>IF(AND(subscriptions[[#This Row],[end_date]]&lt;&gt;"", subscriptions[[#This Row],[end_date]] &lt; subscriptions[[#This Row],[start_date]]), 1, 0)</f>
        <v>0</v>
      </c>
      <c r="I141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4">
        <f>IF(
  AND(subscriptions[[#This Row],[end_before_start]]=0, subscriptions[[#This Row],[status_end_mismatch]]=0),
  1,
  0
)</f>
        <v>1</v>
      </c>
    </row>
    <row r="1415" spans="1:10" x14ac:dyDescent="0.3">
      <c r="A1415">
        <v>7692147</v>
      </c>
      <c r="B1415">
        <v>248989</v>
      </c>
      <c r="C1415">
        <v>1007</v>
      </c>
      <c r="D1415" s="1">
        <v>44834</v>
      </c>
      <c r="E1415" s="1">
        <v>44969</v>
      </c>
      <c r="F1415" t="s">
        <v>3479</v>
      </c>
      <c r="G1415" t="str">
        <f>IF(ISNA(_xlfn.XLOOKUP(subscriptions[[#This Row],[customer_id]], customers[customer_id], customers[customer_id])), "NO", "YES")</f>
        <v>YES</v>
      </c>
      <c r="H1415">
        <f>IF(AND(subscriptions[[#This Row],[end_date]]&lt;&gt;"", subscriptions[[#This Row],[end_date]] &lt; subscriptions[[#This Row],[start_date]]), 1, 0)</f>
        <v>0</v>
      </c>
      <c r="I141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5">
        <f>IF(
  AND(subscriptions[[#This Row],[end_before_start]]=0, subscriptions[[#This Row],[status_end_mismatch]]=0),
  1,
  0
)</f>
        <v>1</v>
      </c>
    </row>
    <row r="1416" spans="1:10" x14ac:dyDescent="0.3">
      <c r="A1416">
        <v>5127314</v>
      </c>
      <c r="B1416">
        <v>255362</v>
      </c>
      <c r="C1416">
        <v>1002</v>
      </c>
      <c r="D1416" s="1">
        <v>45006</v>
      </c>
      <c r="E1416" s="1">
        <v>45327</v>
      </c>
      <c r="F1416" t="s">
        <v>3479</v>
      </c>
      <c r="G1416" t="str">
        <f>IF(ISNA(_xlfn.XLOOKUP(subscriptions[[#This Row],[customer_id]], customers[customer_id], customers[customer_id])), "NO", "YES")</f>
        <v>YES</v>
      </c>
      <c r="H1416">
        <f>IF(AND(subscriptions[[#This Row],[end_date]]&lt;&gt;"", subscriptions[[#This Row],[end_date]] &lt; subscriptions[[#This Row],[start_date]]), 1, 0)</f>
        <v>0</v>
      </c>
      <c r="I141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6">
        <f>IF(
  AND(subscriptions[[#This Row],[end_before_start]]=0, subscriptions[[#This Row],[status_end_mismatch]]=0),
  1,
  0
)</f>
        <v>1</v>
      </c>
    </row>
    <row r="1417" spans="1:10" x14ac:dyDescent="0.3">
      <c r="A1417">
        <v>4264878</v>
      </c>
      <c r="B1417">
        <v>978157</v>
      </c>
      <c r="C1417">
        <v>1006</v>
      </c>
      <c r="D1417" s="1">
        <v>45306</v>
      </c>
      <c r="E1417" s="1">
        <v>45616</v>
      </c>
      <c r="F1417" t="s">
        <v>3479</v>
      </c>
      <c r="G1417" t="str">
        <f>IF(ISNA(_xlfn.XLOOKUP(subscriptions[[#This Row],[customer_id]], customers[customer_id], customers[customer_id])), "NO", "YES")</f>
        <v>YES</v>
      </c>
      <c r="H1417">
        <f>IF(AND(subscriptions[[#This Row],[end_date]]&lt;&gt;"", subscriptions[[#This Row],[end_date]] &lt; subscriptions[[#This Row],[start_date]]), 1, 0)</f>
        <v>0</v>
      </c>
      <c r="I141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7">
        <f>IF(
  AND(subscriptions[[#This Row],[end_before_start]]=0, subscriptions[[#This Row],[status_end_mismatch]]=0),
  1,
  0
)</f>
        <v>1</v>
      </c>
    </row>
    <row r="1418" spans="1:10" x14ac:dyDescent="0.3">
      <c r="A1418">
        <v>7848595</v>
      </c>
      <c r="B1418">
        <v>980103</v>
      </c>
      <c r="C1418">
        <v>1006</v>
      </c>
      <c r="D1418" s="1">
        <v>45329</v>
      </c>
      <c r="E1418" s="1">
        <v>45468</v>
      </c>
      <c r="F1418" t="s">
        <v>3479</v>
      </c>
      <c r="G1418" t="str">
        <f>IF(ISNA(_xlfn.XLOOKUP(subscriptions[[#This Row],[customer_id]], customers[customer_id], customers[customer_id])), "NO", "YES")</f>
        <v>YES</v>
      </c>
      <c r="H1418">
        <f>IF(AND(subscriptions[[#This Row],[end_date]]&lt;&gt;"", subscriptions[[#This Row],[end_date]] &lt; subscriptions[[#This Row],[start_date]]), 1, 0)</f>
        <v>0</v>
      </c>
      <c r="I141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8">
        <f>IF(
  AND(subscriptions[[#This Row],[end_before_start]]=0, subscriptions[[#This Row],[status_end_mismatch]]=0),
  1,
  0
)</f>
        <v>1</v>
      </c>
    </row>
    <row r="1419" spans="1:10" x14ac:dyDescent="0.3">
      <c r="A1419">
        <v>7590586</v>
      </c>
      <c r="B1419">
        <v>520106</v>
      </c>
      <c r="C1419">
        <v>1002</v>
      </c>
      <c r="D1419" s="1">
        <v>44851</v>
      </c>
      <c r="E1419" s="1"/>
      <c r="F1419" t="s">
        <v>3480</v>
      </c>
      <c r="G1419" t="str">
        <f>IF(ISNA(_xlfn.XLOOKUP(subscriptions[[#This Row],[customer_id]], customers[customer_id], customers[customer_id])), "NO", "YES")</f>
        <v>YES</v>
      </c>
      <c r="H1419">
        <f>IF(AND(subscriptions[[#This Row],[end_date]]&lt;&gt;"", subscriptions[[#This Row],[end_date]] &lt; subscriptions[[#This Row],[start_date]]), 1, 0)</f>
        <v>0</v>
      </c>
      <c r="I141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19">
        <f>IF(
  AND(subscriptions[[#This Row],[end_before_start]]=0, subscriptions[[#This Row],[status_end_mismatch]]=0),
  1,
  0
)</f>
        <v>1</v>
      </c>
    </row>
    <row r="1420" spans="1:10" x14ac:dyDescent="0.3">
      <c r="A1420">
        <v>8588667</v>
      </c>
      <c r="B1420">
        <v>356622</v>
      </c>
      <c r="C1420">
        <v>1008</v>
      </c>
      <c r="D1420" s="1">
        <v>45177</v>
      </c>
      <c r="E1420" s="1">
        <v>45526</v>
      </c>
      <c r="F1420" t="s">
        <v>3479</v>
      </c>
      <c r="G1420" t="str">
        <f>IF(ISNA(_xlfn.XLOOKUP(subscriptions[[#This Row],[customer_id]], customers[customer_id], customers[customer_id])), "NO", "YES")</f>
        <v>YES</v>
      </c>
      <c r="H1420">
        <f>IF(AND(subscriptions[[#This Row],[end_date]]&lt;&gt;"", subscriptions[[#This Row],[end_date]] &lt; subscriptions[[#This Row],[start_date]]), 1, 0)</f>
        <v>0</v>
      </c>
      <c r="I142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0">
        <f>IF(
  AND(subscriptions[[#This Row],[end_before_start]]=0, subscriptions[[#This Row],[status_end_mismatch]]=0),
  1,
  0
)</f>
        <v>1</v>
      </c>
    </row>
    <row r="1421" spans="1:10" x14ac:dyDescent="0.3">
      <c r="A1421">
        <v>7914190</v>
      </c>
      <c r="B1421">
        <v>470141</v>
      </c>
      <c r="C1421">
        <v>1007</v>
      </c>
      <c r="D1421" s="1">
        <v>44666</v>
      </c>
      <c r="E1421" s="1"/>
      <c r="F1421" t="s">
        <v>3480</v>
      </c>
      <c r="G1421" t="str">
        <f>IF(ISNA(_xlfn.XLOOKUP(subscriptions[[#This Row],[customer_id]], customers[customer_id], customers[customer_id])), "NO", "YES")</f>
        <v>YES</v>
      </c>
      <c r="H1421">
        <f>IF(AND(subscriptions[[#This Row],[end_date]]&lt;&gt;"", subscriptions[[#This Row],[end_date]] &lt; subscriptions[[#This Row],[start_date]]), 1, 0)</f>
        <v>0</v>
      </c>
      <c r="I142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1">
        <f>IF(
  AND(subscriptions[[#This Row],[end_before_start]]=0, subscriptions[[#This Row],[status_end_mismatch]]=0),
  1,
  0
)</f>
        <v>1</v>
      </c>
    </row>
    <row r="1422" spans="1:10" x14ac:dyDescent="0.3">
      <c r="A1422">
        <v>6665383</v>
      </c>
      <c r="B1422">
        <v>741194</v>
      </c>
      <c r="C1422">
        <v>1001</v>
      </c>
      <c r="D1422" s="1">
        <v>44882</v>
      </c>
      <c r="E1422" s="1">
        <v>45176</v>
      </c>
      <c r="F1422" t="s">
        <v>3479</v>
      </c>
      <c r="G1422" t="str">
        <f>IF(ISNA(_xlfn.XLOOKUP(subscriptions[[#This Row],[customer_id]], customers[customer_id], customers[customer_id])), "NO", "YES")</f>
        <v>YES</v>
      </c>
      <c r="H1422">
        <f>IF(AND(subscriptions[[#This Row],[end_date]]&lt;&gt;"", subscriptions[[#This Row],[end_date]] &lt; subscriptions[[#This Row],[start_date]]), 1, 0)</f>
        <v>0</v>
      </c>
      <c r="I142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2">
        <f>IF(
  AND(subscriptions[[#This Row],[end_before_start]]=0, subscriptions[[#This Row],[status_end_mismatch]]=0),
  1,
  0
)</f>
        <v>1</v>
      </c>
    </row>
    <row r="1423" spans="1:10" x14ac:dyDescent="0.3">
      <c r="A1423">
        <v>8244130</v>
      </c>
      <c r="B1423">
        <v>225151</v>
      </c>
      <c r="C1423">
        <v>1002</v>
      </c>
      <c r="D1423" s="1">
        <v>44931</v>
      </c>
      <c r="E1423" s="1">
        <v>44973</v>
      </c>
      <c r="F1423" t="s">
        <v>3479</v>
      </c>
      <c r="G1423" t="str">
        <f>IF(ISNA(_xlfn.XLOOKUP(subscriptions[[#This Row],[customer_id]], customers[customer_id], customers[customer_id])), "NO", "YES")</f>
        <v>YES</v>
      </c>
      <c r="H1423">
        <f>IF(AND(subscriptions[[#This Row],[end_date]]&lt;&gt;"", subscriptions[[#This Row],[end_date]] &lt; subscriptions[[#This Row],[start_date]]), 1, 0)</f>
        <v>0</v>
      </c>
      <c r="I142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3">
        <f>IF(
  AND(subscriptions[[#This Row],[end_before_start]]=0, subscriptions[[#This Row],[status_end_mismatch]]=0),
  1,
  0
)</f>
        <v>1</v>
      </c>
    </row>
    <row r="1424" spans="1:10" x14ac:dyDescent="0.3">
      <c r="A1424">
        <v>4463711</v>
      </c>
      <c r="B1424">
        <v>612977</v>
      </c>
      <c r="C1424">
        <v>1001</v>
      </c>
      <c r="D1424" s="1">
        <v>45352</v>
      </c>
      <c r="E1424" s="1"/>
      <c r="F1424" t="s">
        <v>3480</v>
      </c>
      <c r="G1424" t="str">
        <f>IF(ISNA(_xlfn.XLOOKUP(subscriptions[[#This Row],[customer_id]], customers[customer_id], customers[customer_id])), "NO", "YES")</f>
        <v>YES</v>
      </c>
      <c r="H1424">
        <f>IF(AND(subscriptions[[#This Row],[end_date]]&lt;&gt;"", subscriptions[[#This Row],[end_date]] &lt; subscriptions[[#This Row],[start_date]]), 1, 0)</f>
        <v>0</v>
      </c>
      <c r="I142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4">
        <f>IF(
  AND(subscriptions[[#This Row],[end_before_start]]=0, subscriptions[[#This Row],[status_end_mismatch]]=0),
  1,
  0
)</f>
        <v>1</v>
      </c>
    </row>
    <row r="1425" spans="1:10" x14ac:dyDescent="0.3">
      <c r="A1425">
        <v>3891398</v>
      </c>
      <c r="B1425">
        <v>349556</v>
      </c>
      <c r="C1425">
        <v>1004</v>
      </c>
      <c r="D1425" s="1">
        <v>45121</v>
      </c>
      <c r="E1425" s="1">
        <v>45499</v>
      </c>
      <c r="F1425" t="s">
        <v>3479</v>
      </c>
      <c r="G1425" t="str">
        <f>IF(ISNA(_xlfn.XLOOKUP(subscriptions[[#This Row],[customer_id]], customers[customer_id], customers[customer_id])), "NO", "YES")</f>
        <v>YES</v>
      </c>
      <c r="H1425">
        <f>IF(AND(subscriptions[[#This Row],[end_date]]&lt;&gt;"", subscriptions[[#This Row],[end_date]] &lt; subscriptions[[#This Row],[start_date]]), 1, 0)</f>
        <v>0</v>
      </c>
      <c r="I142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5">
        <f>IF(
  AND(subscriptions[[#This Row],[end_before_start]]=0, subscriptions[[#This Row],[status_end_mismatch]]=0),
  1,
  0
)</f>
        <v>1</v>
      </c>
    </row>
    <row r="1426" spans="1:10" x14ac:dyDescent="0.3">
      <c r="A1426">
        <v>3614824</v>
      </c>
      <c r="B1426">
        <v>677079</v>
      </c>
      <c r="C1426">
        <v>1007</v>
      </c>
      <c r="D1426" s="1">
        <v>45385</v>
      </c>
      <c r="E1426" s="1"/>
      <c r="F1426" t="s">
        <v>3480</v>
      </c>
      <c r="G1426" t="str">
        <f>IF(ISNA(_xlfn.XLOOKUP(subscriptions[[#This Row],[customer_id]], customers[customer_id], customers[customer_id])), "NO", "YES")</f>
        <v>YES</v>
      </c>
      <c r="H1426">
        <f>IF(AND(subscriptions[[#This Row],[end_date]]&lt;&gt;"", subscriptions[[#This Row],[end_date]] &lt; subscriptions[[#This Row],[start_date]]), 1, 0)</f>
        <v>0</v>
      </c>
      <c r="I142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6">
        <f>IF(
  AND(subscriptions[[#This Row],[end_before_start]]=0, subscriptions[[#This Row],[status_end_mismatch]]=0),
  1,
  0
)</f>
        <v>1</v>
      </c>
    </row>
    <row r="1427" spans="1:10" x14ac:dyDescent="0.3">
      <c r="A1427">
        <v>4318696</v>
      </c>
      <c r="B1427">
        <v>885342</v>
      </c>
      <c r="C1427">
        <v>1001</v>
      </c>
      <c r="D1427" s="1">
        <v>44870</v>
      </c>
      <c r="E1427" s="1"/>
      <c r="F1427" t="s">
        <v>3480</v>
      </c>
      <c r="G1427" t="str">
        <f>IF(ISNA(_xlfn.XLOOKUP(subscriptions[[#This Row],[customer_id]], customers[customer_id], customers[customer_id])), "NO", "YES")</f>
        <v>YES</v>
      </c>
      <c r="H1427">
        <f>IF(AND(subscriptions[[#This Row],[end_date]]&lt;&gt;"", subscriptions[[#This Row],[end_date]] &lt; subscriptions[[#This Row],[start_date]]), 1, 0)</f>
        <v>0</v>
      </c>
      <c r="I142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7">
        <f>IF(
  AND(subscriptions[[#This Row],[end_before_start]]=0, subscriptions[[#This Row],[status_end_mismatch]]=0),
  1,
  0
)</f>
        <v>1</v>
      </c>
    </row>
    <row r="1428" spans="1:10" x14ac:dyDescent="0.3">
      <c r="A1428">
        <v>8861463</v>
      </c>
      <c r="B1428">
        <v>694116</v>
      </c>
      <c r="C1428">
        <v>1002</v>
      </c>
      <c r="D1428" s="1">
        <v>45065</v>
      </c>
      <c r="E1428" s="1">
        <v>45161</v>
      </c>
      <c r="F1428" t="s">
        <v>3479</v>
      </c>
      <c r="G1428" t="str">
        <f>IF(ISNA(_xlfn.XLOOKUP(subscriptions[[#This Row],[customer_id]], customers[customer_id], customers[customer_id])), "NO", "YES")</f>
        <v>YES</v>
      </c>
      <c r="H1428">
        <f>IF(AND(subscriptions[[#This Row],[end_date]]&lt;&gt;"", subscriptions[[#This Row],[end_date]] &lt; subscriptions[[#This Row],[start_date]]), 1, 0)</f>
        <v>0</v>
      </c>
      <c r="I142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8">
        <f>IF(
  AND(subscriptions[[#This Row],[end_before_start]]=0, subscriptions[[#This Row],[status_end_mismatch]]=0),
  1,
  0
)</f>
        <v>1</v>
      </c>
    </row>
    <row r="1429" spans="1:10" x14ac:dyDescent="0.3">
      <c r="A1429">
        <v>9165219</v>
      </c>
      <c r="B1429">
        <v>581037</v>
      </c>
      <c r="C1429">
        <v>1000</v>
      </c>
      <c r="D1429" s="1">
        <v>45209</v>
      </c>
      <c r="E1429" s="1">
        <v>45552</v>
      </c>
      <c r="F1429" t="s">
        <v>3479</v>
      </c>
      <c r="G1429" t="str">
        <f>IF(ISNA(_xlfn.XLOOKUP(subscriptions[[#This Row],[customer_id]], customers[customer_id], customers[customer_id])), "NO", "YES")</f>
        <v>YES</v>
      </c>
      <c r="H1429">
        <f>IF(AND(subscriptions[[#This Row],[end_date]]&lt;&gt;"", subscriptions[[#This Row],[end_date]] &lt; subscriptions[[#This Row],[start_date]]), 1, 0)</f>
        <v>0</v>
      </c>
      <c r="I142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29">
        <f>IF(
  AND(subscriptions[[#This Row],[end_before_start]]=0, subscriptions[[#This Row],[status_end_mismatch]]=0),
  1,
  0
)</f>
        <v>1</v>
      </c>
    </row>
    <row r="1430" spans="1:10" x14ac:dyDescent="0.3">
      <c r="A1430">
        <v>9901791</v>
      </c>
      <c r="B1430">
        <v>670027</v>
      </c>
      <c r="C1430">
        <v>1008</v>
      </c>
      <c r="D1430" s="1">
        <v>44634</v>
      </c>
      <c r="E1430" s="1">
        <v>44697</v>
      </c>
      <c r="F1430" t="s">
        <v>3479</v>
      </c>
      <c r="G1430" t="str">
        <f>IF(ISNA(_xlfn.XLOOKUP(subscriptions[[#This Row],[customer_id]], customers[customer_id], customers[customer_id])), "NO", "YES")</f>
        <v>YES</v>
      </c>
      <c r="H1430">
        <f>IF(AND(subscriptions[[#This Row],[end_date]]&lt;&gt;"", subscriptions[[#This Row],[end_date]] &lt; subscriptions[[#This Row],[start_date]]), 1, 0)</f>
        <v>0</v>
      </c>
      <c r="I143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0">
        <f>IF(
  AND(subscriptions[[#This Row],[end_before_start]]=0, subscriptions[[#This Row],[status_end_mismatch]]=0),
  1,
  0
)</f>
        <v>1</v>
      </c>
    </row>
    <row r="1431" spans="1:10" x14ac:dyDescent="0.3">
      <c r="A1431">
        <v>2438647</v>
      </c>
      <c r="B1431">
        <v>906584</v>
      </c>
      <c r="C1431">
        <v>1008</v>
      </c>
      <c r="D1431" s="1">
        <v>44605</v>
      </c>
      <c r="E1431" s="1"/>
      <c r="F1431" t="s">
        <v>3480</v>
      </c>
      <c r="G1431" t="str">
        <f>IF(ISNA(_xlfn.XLOOKUP(subscriptions[[#This Row],[customer_id]], customers[customer_id], customers[customer_id])), "NO", "YES")</f>
        <v>YES</v>
      </c>
      <c r="H1431">
        <f>IF(AND(subscriptions[[#This Row],[end_date]]&lt;&gt;"", subscriptions[[#This Row],[end_date]] &lt; subscriptions[[#This Row],[start_date]]), 1, 0)</f>
        <v>0</v>
      </c>
      <c r="I143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1">
        <f>IF(
  AND(subscriptions[[#This Row],[end_before_start]]=0, subscriptions[[#This Row],[status_end_mismatch]]=0),
  1,
  0
)</f>
        <v>1</v>
      </c>
    </row>
    <row r="1432" spans="1:10" x14ac:dyDescent="0.3">
      <c r="A1432">
        <v>1885043</v>
      </c>
      <c r="B1432">
        <v>522317</v>
      </c>
      <c r="C1432">
        <v>1006</v>
      </c>
      <c r="D1432" s="1">
        <v>45240</v>
      </c>
      <c r="E1432" s="1">
        <v>45430</v>
      </c>
      <c r="F1432" t="s">
        <v>3479</v>
      </c>
      <c r="G1432" t="str">
        <f>IF(ISNA(_xlfn.XLOOKUP(subscriptions[[#This Row],[customer_id]], customers[customer_id], customers[customer_id])), "NO", "YES")</f>
        <v>YES</v>
      </c>
      <c r="H1432">
        <f>IF(AND(subscriptions[[#This Row],[end_date]]&lt;&gt;"", subscriptions[[#This Row],[end_date]] &lt; subscriptions[[#This Row],[start_date]]), 1, 0)</f>
        <v>0</v>
      </c>
      <c r="I143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2">
        <f>IF(
  AND(subscriptions[[#This Row],[end_before_start]]=0, subscriptions[[#This Row],[status_end_mismatch]]=0),
  1,
  0
)</f>
        <v>1</v>
      </c>
    </row>
    <row r="1433" spans="1:10" x14ac:dyDescent="0.3">
      <c r="A1433">
        <v>6984371</v>
      </c>
      <c r="B1433">
        <v>844756</v>
      </c>
      <c r="C1433">
        <v>1007</v>
      </c>
      <c r="D1433" s="1">
        <v>44977</v>
      </c>
      <c r="E1433" s="1">
        <v>45116</v>
      </c>
      <c r="F1433" t="s">
        <v>3479</v>
      </c>
      <c r="G1433" t="str">
        <f>IF(ISNA(_xlfn.XLOOKUP(subscriptions[[#This Row],[customer_id]], customers[customer_id], customers[customer_id])), "NO", "YES")</f>
        <v>YES</v>
      </c>
      <c r="H1433">
        <f>IF(AND(subscriptions[[#This Row],[end_date]]&lt;&gt;"", subscriptions[[#This Row],[end_date]] &lt; subscriptions[[#This Row],[start_date]]), 1, 0)</f>
        <v>0</v>
      </c>
      <c r="I143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3">
        <f>IF(
  AND(subscriptions[[#This Row],[end_before_start]]=0, subscriptions[[#This Row],[status_end_mismatch]]=0),
  1,
  0
)</f>
        <v>1</v>
      </c>
    </row>
    <row r="1434" spans="1:10" x14ac:dyDescent="0.3">
      <c r="A1434">
        <v>6160031</v>
      </c>
      <c r="B1434">
        <v>597643</v>
      </c>
      <c r="C1434">
        <v>1007</v>
      </c>
      <c r="D1434" s="1">
        <v>44697</v>
      </c>
      <c r="E1434" s="1"/>
      <c r="F1434" t="s">
        <v>3480</v>
      </c>
      <c r="G1434" t="str">
        <f>IF(ISNA(_xlfn.XLOOKUP(subscriptions[[#This Row],[customer_id]], customers[customer_id], customers[customer_id])), "NO", "YES")</f>
        <v>YES</v>
      </c>
      <c r="H1434">
        <f>IF(AND(subscriptions[[#This Row],[end_date]]&lt;&gt;"", subscriptions[[#This Row],[end_date]] &lt; subscriptions[[#This Row],[start_date]]), 1, 0)</f>
        <v>0</v>
      </c>
      <c r="I143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4">
        <f>IF(
  AND(subscriptions[[#This Row],[end_before_start]]=0, subscriptions[[#This Row],[status_end_mismatch]]=0),
  1,
  0
)</f>
        <v>1</v>
      </c>
    </row>
    <row r="1435" spans="1:10" x14ac:dyDescent="0.3">
      <c r="A1435">
        <v>6293212</v>
      </c>
      <c r="B1435">
        <v>417508</v>
      </c>
      <c r="C1435">
        <v>1008</v>
      </c>
      <c r="D1435" s="1">
        <v>45476</v>
      </c>
      <c r="E1435" s="1"/>
      <c r="F1435" t="s">
        <v>3480</v>
      </c>
      <c r="G1435" t="str">
        <f>IF(ISNA(_xlfn.XLOOKUP(subscriptions[[#This Row],[customer_id]], customers[customer_id], customers[customer_id])), "NO", "YES")</f>
        <v>YES</v>
      </c>
      <c r="H1435">
        <f>IF(AND(subscriptions[[#This Row],[end_date]]&lt;&gt;"", subscriptions[[#This Row],[end_date]] &lt; subscriptions[[#This Row],[start_date]]), 1, 0)</f>
        <v>0</v>
      </c>
      <c r="I143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5">
        <f>IF(
  AND(subscriptions[[#This Row],[end_before_start]]=0, subscriptions[[#This Row],[status_end_mismatch]]=0),
  1,
  0
)</f>
        <v>1</v>
      </c>
    </row>
    <row r="1436" spans="1:10" x14ac:dyDescent="0.3">
      <c r="A1436">
        <v>3939670</v>
      </c>
      <c r="B1436">
        <v>143182</v>
      </c>
      <c r="C1436">
        <v>1002</v>
      </c>
      <c r="D1436" s="1">
        <v>45155</v>
      </c>
      <c r="E1436" s="1"/>
      <c r="F1436" t="s">
        <v>3480</v>
      </c>
      <c r="G1436" t="str">
        <f>IF(ISNA(_xlfn.XLOOKUP(subscriptions[[#This Row],[customer_id]], customers[customer_id], customers[customer_id])), "NO", "YES")</f>
        <v>YES</v>
      </c>
      <c r="H1436">
        <f>IF(AND(subscriptions[[#This Row],[end_date]]&lt;&gt;"", subscriptions[[#This Row],[end_date]] &lt; subscriptions[[#This Row],[start_date]]), 1, 0)</f>
        <v>0</v>
      </c>
      <c r="I143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6">
        <f>IF(
  AND(subscriptions[[#This Row],[end_before_start]]=0, subscriptions[[#This Row],[status_end_mismatch]]=0),
  1,
  0
)</f>
        <v>1</v>
      </c>
    </row>
    <row r="1437" spans="1:10" x14ac:dyDescent="0.3">
      <c r="A1437">
        <v>3681207</v>
      </c>
      <c r="B1437">
        <v>844943</v>
      </c>
      <c r="C1437">
        <v>1005</v>
      </c>
      <c r="D1437" s="1">
        <v>44873</v>
      </c>
      <c r="E1437" s="1"/>
      <c r="F1437" t="s">
        <v>3480</v>
      </c>
      <c r="G1437" t="str">
        <f>IF(ISNA(_xlfn.XLOOKUP(subscriptions[[#This Row],[customer_id]], customers[customer_id], customers[customer_id])), "NO", "YES")</f>
        <v>YES</v>
      </c>
      <c r="H1437">
        <f>IF(AND(subscriptions[[#This Row],[end_date]]&lt;&gt;"", subscriptions[[#This Row],[end_date]] &lt; subscriptions[[#This Row],[start_date]]), 1, 0)</f>
        <v>0</v>
      </c>
      <c r="I143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7">
        <f>IF(
  AND(subscriptions[[#This Row],[end_before_start]]=0, subscriptions[[#This Row],[status_end_mismatch]]=0),
  1,
  0
)</f>
        <v>1</v>
      </c>
    </row>
    <row r="1438" spans="1:10" x14ac:dyDescent="0.3">
      <c r="A1438">
        <v>2987101</v>
      </c>
      <c r="B1438">
        <v>784607</v>
      </c>
      <c r="C1438">
        <v>1000</v>
      </c>
      <c r="D1438" s="1">
        <v>45401</v>
      </c>
      <c r="E1438" s="1"/>
      <c r="F1438" t="s">
        <v>3480</v>
      </c>
      <c r="G1438" t="str">
        <f>IF(ISNA(_xlfn.XLOOKUP(subscriptions[[#This Row],[customer_id]], customers[customer_id], customers[customer_id])), "NO", "YES")</f>
        <v>YES</v>
      </c>
      <c r="H1438">
        <f>IF(AND(subscriptions[[#This Row],[end_date]]&lt;&gt;"", subscriptions[[#This Row],[end_date]] &lt; subscriptions[[#This Row],[start_date]]), 1, 0)</f>
        <v>0</v>
      </c>
      <c r="I143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8">
        <f>IF(
  AND(subscriptions[[#This Row],[end_before_start]]=0, subscriptions[[#This Row],[status_end_mismatch]]=0),
  1,
  0
)</f>
        <v>1</v>
      </c>
    </row>
    <row r="1439" spans="1:10" x14ac:dyDescent="0.3">
      <c r="A1439">
        <v>8878038</v>
      </c>
      <c r="B1439">
        <v>715517</v>
      </c>
      <c r="C1439">
        <v>1000</v>
      </c>
      <c r="D1439" s="1">
        <v>45137</v>
      </c>
      <c r="E1439" s="1">
        <v>45294</v>
      </c>
      <c r="F1439" t="s">
        <v>3479</v>
      </c>
      <c r="G1439" t="str">
        <f>IF(ISNA(_xlfn.XLOOKUP(subscriptions[[#This Row],[customer_id]], customers[customer_id], customers[customer_id])), "NO", "YES")</f>
        <v>YES</v>
      </c>
      <c r="H1439">
        <f>IF(AND(subscriptions[[#This Row],[end_date]]&lt;&gt;"", subscriptions[[#This Row],[end_date]] &lt; subscriptions[[#This Row],[start_date]]), 1, 0)</f>
        <v>0</v>
      </c>
      <c r="I143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39">
        <f>IF(
  AND(subscriptions[[#This Row],[end_before_start]]=0, subscriptions[[#This Row],[status_end_mismatch]]=0),
  1,
  0
)</f>
        <v>1</v>
      </c>
    </row>
    <row r="1440" spans="1:10" x14ac:dyDescent="0.3">
      <c r="A1440">
        <v>2901872</v>
      </c>
      <c r="B1440">
        <v>485456</v>
      </c>
      <c r="C1440">
        <v>1000</v>
      </c>
      <c r="D1440" s="1">
        <v>44862</v>
      </c>
      <c r="E1440" s="1">
        <v>44941</v>
      </c>
      <c r="F1440" t="s">
        <v>3479</v>
      </c>
      <c r="G1440" t="str">
        <f>IF(ISNA(_xlfn.XLOOKUP(subscriptions[[#This Row],[customer_id]], customers[customer_id], customers[customer_id])), "NO", "YES")</f>
        <v>YES</v>
      </c>
      <c r="H1440">
        <f>IF(AND(subscriptions[[#This Row],[end_date]]&lt;&gt;"", subscriptions[[#This Row],[end_date]] &lt; subscriptions[[#This Row],[start_date]]), 1, 0)</f>
        <v>0</v>
      </c>
      <c r="I144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0">
        <f>IF(
  AND(subscriptions[[#This Row],[end_before_start]]=0, subscriptions[[#This Row],[status_end_mismatch]]=0),
  1,
  0
)</f>
        <v>1</v>
      </c>
    </row>
    <row r="1441" spans="1:10" x14ac:dyDescent="0.3">
      <c r="A1441">
        <v>1660659</v>
      </c>
      <c r="B1441">
        <v>501393</v>
      </c>
      <c r="C1441">
        <v>1000</v>
      </c>
      <c r="D1441" s="1">
        <v>44839</v>
      </c>
      <c r="E1441" s="1">
        <v>45111</v>
      </c>
      <c r="F1441" t="s">
        <v>3479</v>
      </c>
      <c r="G1441" t="str">
        <f>IF(ISNA(_xlfn.XLOOKUP(subscriptions[[#This Row],[customer_id]], customers[customer_id], customers[customer_id])), "NO", "YES")</f>
        <v>YES</v>
      </c>
      <c r="H1441">
        <f>IF(AND(subscriptions[[#This Row],[end_date]]&lt;&gt;"", subscriptions[[#This Row],[end_date]] &lt; subscriptions[[#This Row],[start_date]]), 1, 0)</f>
        <v>0</v>
      </c>
      <c r="I144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1">
        <f>IF(
  AND(subscriptions[[#This Row],[end_before_start]]=0, subscriptions[[#This Row],[status_end_mismatch]]=0),
  1,
  0
)</f>
        <v>1</v>
      </c>
    </row>
    <row r="1442" spans="1:10" x14ac:dyDescent="0.3">
      <c r="A1442">
        <v>7364768</v>
      </c>
      <c r="B1442">
        <v>132653</v>
      </c>
      <c r="C1442">
        <v>1000</v>
      </c>
      <c r="D1442" s="1">
        <v>45538</v>
      </c>
      <c r="E1442" s="1"/>
      <c r="F1442" t="s">
        <v>3480</v>
      </c>
      <c r="G1442" t="str">
        <f>IF(ISNA(_xlfn.XLOOKUP(subscriptions[[#This Row],[customer_id]], customers[customer_id], customers[customer_id])), "NO", "YES")</f>
        <v>YES</v>
      </c>
      <c r="H1442">
        <f>IF(AND(subscriptions[[#This Row],[end_date]]&lt;&gt;"", subscriptions[[#This Row],[end_date]] &lt; subscriptions[[#This Row],[start_date]]), 1, 0)</f>
        <v>0</v>
      </c>
      <c r="I144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2">
        <f>IF(
  AND(subscriptions[[#This Row],[end_before_start]]=0, subscriptions[[#This Row],[status_end_mismatch]]=0),
  1,
  0
)</f>
        <v>1</v>
      </c>
    </row>
    <row r="1443" spans="1:10" x14ac:dyDescent="0.3">
      <c r="A1443">
        <v>1334774</v>
      </c>
      <c r="B1443">
        <v>985249</v>
      </c>
      <c r="C1443">
        <v>1008</v>
      </c>
      <c r="D1443" s="1">
        <v>45304</v>
      </c>
      <c r="E1443" s="1">
        <v>45633</v>
      </c>
      <c r="F1443" t="s">
        <v>3479</v>
      </c>
      <c r="G1443" t="str">
        <f>IF(ISNA(_xlfn.XLOOKUP(subscriptions[[#This Row],[customer_id]], customers[customer_id], customers[customer_id])), "NO", "YES")</f>
        <v>YES</v>
      </c>
      <c r="H1443">
        <f>IF(AND(subscriptions[[#This Row],[end_date]]&lt;&gt;"", subscriptions[[#This Row],[end_date]] &lt; subscriptions[[#This Row],[start_date]]), 1, 0)</f>
        <v>0</v>
      </c>
      <c r="I144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3">
        <f>IF(
  AND(subscriptions[[#This Row],[end_before_start]]=0, subscriptions[[#This Row],[status_end_mismatch]]=0),
  1,
  0
)</f>
        <v>1</v>
      </c>
    </row>
    <row r="1444" spans="1:10" x14ac:dyDescent="0.3">
      <c r="A1444">
        <v>4050662</v>
      </c>
      <c r="B1444">
        <v>525581</v>
      </c>
      <c r="C1444">
        <v>1000</v>
      </c>
      <c r="D1444" s="1">
        <v>45478</v>
      </c>
      <c r="E1444" s="1">
        <v>45636</v>
      </c>
      <c r="F1444" t="s">
        <v>3479</v>
      </c>
      <c r="G1444" t="str">
        <f>IF(ISNA(_xlfn.XLOOKUP(subscriptions[[#This Row],[customer_id]], customers[customer_id], customers[customer_id])), "NO", "YES")</f>
        <v>YES</v>
      </c>
      <c r="H1444">
        <f>IF(AND(subscriptions[[#This Row],[end_date]]&lt;&gt;"", subscriptions[[#This Row],[end_date]] &lt; subscriptions[[#This Row],[start_date]]), 1, 0)</f>
        <v>0</v>
      </c>
      <c r="I144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4">
        <f>IF(
  AND(subscriptions[[#This Row],[end_before_start]]=0, subscriptions[[#This Row],[status_end_mismatch]]=0),
  1,
  0
)</f>
        <v>1</v>
      </c>
    </row>
    <row r="1445" spans="1:10" x14ac:dyDescent="0.3">
      <c r="A1445">
        <v>6768490</v>
      </c>
      <c r="B1445">
        <v>117072</v>
      </c>
      <c r="C1445">
        <v>1001</v>
      </c>
      <c r="D1445" s="1">
        <v>45257</v>
      </c>
      <c r="E1445" s="1">
        <v>45476</v>
      </c>
      <c r="F1445" t="s">
        <v>3479</v>
      </c>
      <c r="G1445" t="str">
        <f>IF(ISNA(_xlfn.XLOOKUP(subscriptions[[#This Row],[customer_id]], customers[customer_id], customers[customer_id])), "NO", "YES")</f>
        <v>YES</v>
      </c>
      <c r="H1445">
        <f>IF(AND(subscriptions[[#This Row],[end_date]]&lt;&gt;"", subscriptions[[#This Row],[end_date]] &lt; subscriptions[[#This Row],[start_date]]), 1, 0)</f>
        <v>0</v>
      </c>
      <c r="I144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5">
        <f>IF(
  AND(subscriptions[[#This Row],[end_before_start]]=0, subscriptions[[#This Row],[status_end_mismatch]]=0),
  1,
  0
)</f>
        <v>1</v>
      </c>
    </row>
    <row r="1446" spans="1:10" x14ac:dyDescent="0.3">
      <c r="A1446">
        <v>2155782</v>
      </c>
      <c r="B1446">
        <v>493247</v>
      </c>
      <c r="C1446">
        <v>1005</v>
      </c>
      <c r="D1446" s="1">
        <v>44924</v>
      </c>
      <c r="E1446" s="1"/>
      <c r="F1446" t="s">
        <v>3480</v>
      </c>
      <c r="G1446" t="str">
        <f>IF(ISNA(_xlfn.XLOOKUP(subscriptions[[#This Row],[customer_id]], customers[customer_id], customers[customer_id])), "NO", "YES")</f>
        <v>YES</v>
      </c>
      <c r="H1446">
        <f>IF(AND(subscriptions[[#This Row],[end_date]]&lt;&gt;"", subscriptions[[#This Row],[end_date]] &lt; subscriptions[[#This Row],[start_date]]), 1, 0)</f>
        <v>0</v>
      </c>
      <c r="I144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6">
        <f>IF(
  AND(subscriptions[[#This Row],[end_before_start]]=0, subscriptions[[#This Row],[status_end_mismatch]]=0),
  1,
  0
)</f>
        <v>1</v>
      </c>
    </row>
    <row r="1447" spans="1:10" x14ac:dyDescent="0.3">
      <c r="A1447">
        <v>6034918</v>
      </c>
      <c r="B1447">
        <v>295646</v>
      </c>
      <c r="C1447">
        <v>1006</v>
      </c>
      <c r="D1447" s="1">
        <v>45368</v>
      </c>
      <c r="E1447" s="1">
        <v>45454</v>
      </c>
      <c r="F1447" t="s">
        <v>3479</v>
      </c>
      <c r="G1447" t="str">
        <f>IF(ISNA(_xlfn.XLOOKUP(subscriptions[[#This Row],[customer_id]], customers[customer_id], customers[customer_id])), "NO", "YES")</f>
        <v>YES</v>
      </c>
      <c r="H1447">
        <f>IF(AND(subscriptions[[#This Row],[end_date]]&lt;&gt;"", subscriptions[[#This Row],[end_date]] &lt; subscriptions[[#This Row],[start_date]]), 1, 0)</f>
        <v>0</v>
      </c>
      <c r="I144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7">
        <f>IF(
  AND(subscriptions[[#This Row],[end_before_start]]=0, subscriptions[[#This Row],[status_end_mismatch]]=0),
  1,
  0
)</f>
        <v>1</v>
      </c>
    </row>
    <row r="1448" spans="1:10" x14ac:dyDescent="0.3">
      <c r="A1448">
        <v>4307323</v>
      </c>
      <c r="B1448">
        <v>432006</v>
      </c>
      <c r="C1448">
        <v>1007</v>
      </c>
      <c r="D1448" s="1">
        <v>45218</v>
      </c>
      <c r="E1448" s="1"/>
      <c r="F1448" t="s">
        <v>3480</v>
      </c>
      <c r="G1448" t="str">
        <f>IF(ISNA(_xlfn.XLOOKUP(subscriptions[[#This Row],[customer_id]], customers[customer_id], customers[customer_id])), "NO", "YES")</f>
        <v>YES</v>
      </c>
      <c r="H1448">
        <f>IF(AND(subscriptions[[#This Row],[end_date]]&lt;&gt;"", subscriptions[[#This Row],[end_date]] &lt; subscriptions[[#This Row],[start_date]]), 1, 0)</f>
        <v>0</v>
      </c>
      <c r="I144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8">
        <f>IF(
  AND(subscriptions[[#This Row],[end_before_start]]=0, subscriptions[[#This Row],[status_end_mismatch]]=0),
  1,
  0
)</f>
        <v>1</v>
      </c>
    </row>
    <row r="1449" spans="1:10" x14ac:dyDescent="0.3">
      <c r="A1449">
        <v>2393728</v>
      </c>
      <c r="B1449">
        <v>378085</v>
      </c>
      <c r="C1449">
        <v>1003</v>
      </c>
      <c r="D1449" s="1">
        <v>45288</v>
      </c>
      <c r="E1449" s="1">
        <v>45571</v>
      </c>
      <c r="F1449" t="s">
        <v>3479</v>
      </c>
      <c r="G1449" t="str">
        <f>IF(ISNA(_xlfn.XLOOKUP(subscriptions[[#This Row],[customer_id]], customers[customer_id], customers[customer_id])), "NO", "YES")</f>
        <v>YES</v>
      </c>
      <c r="H1449">
        <f>IF(AND(subscriptions[[#This Row],[end_date]]&lt;&gt;"", subscriptions[[#This Row],[end_date]] &lt; subscriptions[[#This Row],[start_date]]), 1, 0)</f>
        <v>0</v>
      </c>
      <c r="I144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49">
        <f>IF(
  AND(subscriptions[[#This Row],[end_before_start]]=0, subscriptions[[#This Row],[status_end_mismatch]]=0),
  1,
  0
)</f>
        <v>1</v>
      </c>
    </row>
    <row r="1450" spans="1:10" x14ac:dyDescent="0.3">
      <c r="A1450">
        <v>1267689</v>
      </c>
      <c r="B1450">
        <v>688730</v>
      </c>
      <c r="C1450">
        <v>1001</v>
      </c>
      <c r="D1450" s="1">
        <v>45417</v>
      </c>
      <c r="E1450" s="1">
        <v>45633</v>
      </c>
      <c r="F1450" t="s">
        <v>3479</v>
      </c>
      <c r="G1450" t="str">
        <f>IF(ISNA(_xlfn.XLOOKUP(subscriptions[[#This Row],[customer_id]], customers[customer_id], customers[customer_id])), "NO", "YES")</f>
        <v>YES</v>
      </c>
      <c r="H1450">
        <f>IF(AND(subscriptions[[#This Row],[end_date]]&lt;&gt;"", subscriptions[[#This Row],[end_date]] &lt; subscriptions[[#This Row],[start_date]]), 1, 0)</f>
        <v>0</v>
      </c>
      <c r="I145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0">
        <f>IF(
  AND(subscriptions[[#This Row],[end_before_start]]=0, subscriptions[[#This Row],[status_end_mismatch]]=0),
  1,
  0
)</f>
        <v>1</v>
      </c>
    </row>
    <row r="1451" spans="1:10" x14ac:dyDescent="0.3">
      <c r="A1451">
        <v>5239867</v>
      </c>
      <c r="B1451">
        <v>301774</v>
      </c>
      <c r="C1451">
        <v>1006</v>
      </c>
      <c r="D1451" s="1">
        <v>44955</v>
      </c>
      <c r="E1451" s="1"/>
      <c r="F1451" t="s">
        <v>3480</v>
      </c>
      <c r="G1451" t="str">
        <f>IF(ISNA(_xlfn.XLOOKUP(subscriptions[[#This Row],[customer_id]], customers[customer_id], customers[customer_id])), "NO", "YES")</f>
        <v>YES</v>
      </c>
      <c r="H1451">
        <f>IF(AND(subscriptions[[#This Row],[end_date]]&lt;&gt;"", subscriptions[[#This Row],[end_date]] &lt; subscriptions[[#This Row],[start_date]]), 1, 0)</f>
        <v>0</v>
      </c>
      <c r="I145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1">
        <f>IF(
  AND(subscriptions[[#This Row],[end_before_start]]=0, subscriptions[[#This Row],[status_end_mismatch]]=0),
  1,
  0
)</f>
        <v>1</v>
      </c>
    </row>
    <row r="1452" spans="1:10" x14ac:dyDescent="0.3">
      <c r="A1452">
        <v>9731393</v>
      </c>
      <c r="B1452">
        <v>531066</v>
      </c>
      <c r="C1452">
        <v>1003</v>
      </c>
      <c r="D1452" s="1">
        <v>44610</v>
      </c>
      <c r="E1452" s="1"/>
      <c r="F1452" t="s">
        <v>3480</v>
      </c>
      <c r="G1452" t="str">
        <f>IF(ISNA(_xlfn.XLOOKUP(subscriptions[[#This Row],[customer_id]], customers[customer_id], customers[customer_id])), "NO", "YES")</f>
        <v>YES</v>
      </c>
      <c r="H1452">
        <f>IF(AND(subscriptions[[#This Row],[end_date]]&lt;&gt;"", subscriptions[[#This Row],[end_date]] &lt; subscriptions[[#This Row],[start_date]]), 1, 0)</f>
        <v>0</v>
      </c>
      <c r="I145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2">
        <f>IF(
  AND(subscriptions[[#This Row],[end_before_start]]=0, subscriptions[[#This Row],[status_end_mismatch]]=0),
  1,
  0
)</f>
        <v>1</v>
      </c>
    </row>
    <row r="1453" spans="1:10" x14ac:dyDescent="0.3">
      <c r="A1453">
        <v>3799814</v>
      </c>
      <c r="B1453">
        <v>420214</v>
      </c>
      <c r="C1453">
        <v>1000</v>
      </c>
      <c r="D1453" s="1">
        <v>44668</v>
      </c>
      <c r="E1453" s="1">
        <v>45056</v>
      </c>
      <c r="F1453" t="s">
        <v>3479</v>
      </c>
      <c r="G1453" t="str">
        <f>IF(ISNA(_xlfn.XLOOKUP(subscriptions[[#This Row],[customer_id]], customers[customer_id], customers[customer_id])), "NO", "YES")</f>
        <v>YES</v>
      </c>
      <c r="H1453">
        <f>IF(AND(subscriptions[[#This Row],[end_date]]&lt;&gt;"", subscriptions[[#This Row],[end_date]] &lt; subscriptions[[#This Row],[start_date]]), 1, 0)</f>
        <v>0</v>
      </c>
      <c r="I145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3">
        <f>IF(
  AND(subscriptions[[#This Row],[end_before_start]]=0, subscriptions[[#This Row],[status_end_mismatch]]=0),
  1,
  0
)</f>
        <v>1</v>
      </c>
    </row>
    <row r="1454" spans="1:10" x14ac:dyDescent="0.3">
      <c r="A1454">
        <v>6144500</v>
      </c>
      <c r="B1454">
        <v>806423</v>
      </c>
      <c r="C1454">
        <v>1005</v>
      </c>
      <c r="D1454" s="1">
        <v>45100</v>
      </c>
      <c r="E1454" s="1"/>
      <c r="F1454" t="s">
        <v>3480</v>
      </c>
      <c r="G1454" t="str">
        <f>IF(ISNA(_xlfn.XLOOKUP(subscriptions[[#This Row],[customer_id]], customers[customer_id], customers[customer_id])), "NO", "YES")</f>
        <v>YES</v>
      </c>
      <c r="H1454">
        <f>IF(AND(subscriptions[[#This Row],[end_date]]&lt;&gt;"", subscriptions[[#This Row],[end_date]] &lt; subscriptions[[#This Row],[start_date]]), 1, 0)</f>
        <v>0</v>
      </c>
      <c r="I145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4">
        <f>IF(
  AND(subscriptions[[#This Row],[end_before_start]]=0, subscriptions[[#This Row],[status_end_mismatch]]=0),
  1,
  0
)</f>
        <v>1</v>
      </c>
    </row>
    <row r="1455" spans="1:10" x14ac:dyDescent="0.3">
      <c r="A1455">
        <v>8263690</v>
      </c>
      <c r="B1455">
        <v>908977</v>
      </c>
      <c r="C1455">
        <v>1005</v>
      </c>
      <c r="D1455" s="1">
        <v>45253</v>
      </c>
      <c r="E1455" s="1"/>
      <c r="F1455" t="s">
        <v>3480</v>
      </c>
      <c r="G1455" t="str">
        <f>IF(ISNA(_xlfn.XLOOKUP(subscriptions[[#This Row],[customer_id]], customers[customer_id], customers[customer_id])), "NO", "YES")</f>
        <v>YES</v>
      </c>
      <c r="H1455">
        <f>IF(AND(subscriptions[[#This Row],[end_date]]&lt;&gt;"", subscriptions[[#This Row],[end_date]] &lt; subscriptions[[#This Row],[start_date]]), 1, 0)</f>
        <v>0</v>
      </c>
      <c r="I145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5">
        <f>IF(
  AND(subscriptions[[#This Row],[end_before_start]]=0, subscriptions[[#This Row],[status_end_mismatch]]=0),
  1,
  0
)</f>
        <v>1</v>
      </c>
    </row>
    <row r="1456" spans="1:10" x14ac:dyDescent="0.3">
      <c r="A1456">
        <v>8685433</v>
      </c>
      <c r="B1456">
        <v>880900</v>
      </c>
      <c r="C1456">
        <v>1008</v>
      </c>
      <c r="D1456" s="1">
        <v>44726</v>
      </c>
      <c r="E1456" s="1"/>
      <c r="F1456" t="s">
        <v>3480</v>
      </c>
      <c r="G1456" t="str">
        <f>IF(ISNA(_xlfn.XLOOKUP(subscriptions[[#This Row],[customer_id]], customers[customer_id], customers[customer_id])), "NO", "YES")</f>
        <v>YES</v>
      </c>
      <c r="H1456">
        <f>IF(AND(subscriptions[[#This Row],[end_date]]&lt;&gt;"", subscriptions[[#This Row],[end_date]] &lt; subscriptions[[#This Row],[start_date]]), 1, 0)</f>
        <v>0</v>
      </c>
      <c r="I145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6">
        <f>IF(
  AND(subscriptions[[#This Row],[end_before_start]]=0, subscriptions[[#This Row],[status_end_mismatch]]=0),
  1,
  0
)</f>
        <v>1</v>
      </c>
    </row>
    <row r="1457" spans="1:10" x14ac:dyDescent="0.3">
      <c r="A1457">
        <v>1526365</v>
      </c>
      <c r="B1457">
        <v>575755</v>
      </c>
      <c r="C1457">
        <v>1006</v>
      </c>
      <c r="D1457" s="1">
        <v>44829</v>
      </c>
      <c r="E1457" s="1">
        <v>45178</v>
      </c>
      <c r="F1457" t="s">
        <v>3479</v>
      </c>
      <c r="G1457" t="str">
        <f>IF(ISNA(_xlfn.XLOOKUP(subscriptions[[#This Row],[customer_id]], customers[customer_id], customers[customer_id])), "NO", "YES")</f>
        <v>YES</v>
      </c>
      <c r="H1457">
        <f>IF(AND(subscriptions[[#This Row],[end_date]]&lt;&gt;"", subscriptions[[#This Row],[end_date]] &lt; subscriptions[[#This Row],[start_date]]), 1, 0)</f>
        <v>0</v>
      </c>
      <c r="I145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7">
        <f>IF(
  AND(subscriptions[[#This Row],[end_before_start]]=0, subscriptions[[#This Row],[status_end_mismatch]]=0),
  1,
  0
)</f>
        <v>1</v>
      </c>
    </row>
    <row r="1458" spans="1:10" x14ac:dyDescent="0.3">
      <c r="A1458">
        <v>1179145</v>
      </c>
      <c r="B1458">
        <v>921945</v>
      </c>
      <c r="C1458">
        <v>1004</v>
      </c>
      <c r="D1458" s="1">
        <v>44601</v>
      </c>
      <c r="E1458" s="1"/>
      <c r="F1458" t="s">
        <v>3480</v>
      </c>
      <c r="G1458" t="str">
        <f>IF(ISNA(_xlfn.XLOOKUP(subscriptions[[#This Row],[customer_id]], customers[customer_id], customers[customer_id])), "NO", "YES")</f>
        <v>YES</v>
      </c>
      <c r="H1458">
        <f>IF(AND(subscriptions[[#This Row],[end_date]]&lt;&gt;"", subscriptions[[#This Row],[end_date]] &lt; subscriptions[[#This Row],[start_date]]), 1, 0)</f>
        <v>0</v>
      </c>
      <c r="I145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8">
        <f>IF(
  AND(subscriptions[[#This Row],[end_before_start]]=0, subscriptions[[#This Row],[status_end_mismatch]]=0),
  1,
  0
)</f>
        <v>1</v>
      </c>
    </row>
    <row r="1459" spans="1:10" x14ac:dyDescent="0.3">
      <c r="A1459">
        <v>4349443</v>
      </c>
      <c r="B1459">
        <v>393328</v>
      </c>
      <c r="C1459">
        <v>1002</v>
      </c>
      <c r="D1459" s="1">
        <v>45524</v>
      </c>
      <c r="E1459" s="1"/>
      <c r="F1459" t="s">
        <v>3480</v>
      </c>
      <c r="G1459" t="str">
        <f>IF(ISNA(_xlfn.XLOOKUP(subscriptions[[#This Row],[customer_id]], customers[customer_id], customers[customer_id])), "NO", "YES")</f>
        <v>YES</v>
      </c>
      <c r="H1459">
        <f>IF(AND(subscriptions[[#This Row],[end_date]]&lt;&gt;"", subscriptions[[#This Row],[end_date]] &lt; subscriptions[[#This Row],[start_date]]), 1, 0)</f>
        <v>0</v>
      </c>
      <c r="I145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59">
        <f>IF(
  AND(subscriptions[[#This Row],[end_before_start]]=0, subscriptions[[#This Row],[status_end_mismatch]]=0),
  1,
  0
)</f>
        <v>1</v>
      </c>
    </row>
    <row r="1460" spans="1:10" x14ac:dyDescent="0.3">
      <c r="A1460">
        <v>1603697</v>
      </c>
      <c r="B1460">
        <v>731661</v>
      </c>
      <c r="C1460">
        <v>1002</v>
      </c>
      <c r="D1460" s="1">
        <v>45115</v>
      </c>
      <c r="E1460" s="1">
        <v>45316</v>
      </c>
      <c r="F1460" t="s">
        <v>3479</v>
      </c>
      <c r="G1460" t="str">
        <f>IF(ISNA(_xlfn.XLOOKUP(subscriptions[[#This Row],[customer_id]], customers[customer_id], customers[customer_id])), "NO", "YES")</f>
        <v>YES</v>
      </c>
      <c r="H1460">
        <f>IF(AND(subscriptions[[#This Row],[end_date]]&lt;&gt;"", subscriptions[[#This Row],[end_date]] &lt; subscriptions[[#This Row],[start_date]]), 1, 0)</f>
        <v>0</v>
      </c>
      <c r="I146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0">
        <f>IF(
  AND(subscriptions[[#This Row],[end_before_start]]=0, subscriptions[[#This Row],[status_end_mismatch]]=0),
  1,
  0
)</f>
        <v>1</v>
      </c>
    </row>
    <row r="1461" spans="1:10" x14ac:dyDescent="0.3">
      <c r="A1461">
        <v>7153780</v>
      </c>
      <c r="B1461">
        <v>111691</v>
      </c>
      <c r="C1461">
        <v>1006</v>
      </c>
      <c r="D1461" s="1">
        <v>45431</v>
      </c>
      <c r="E1461" s="1"/>
      <c r="F1461" t="s">
        <v>3480</v>
      </c>
      <c r="G1461" t="str">
        <f>IF(ISNA(_xlfn.XLOOKUP(subscriptions[[#This Row],[customer_id]], customers[customer_id], customers[customer_id])), "NO", "YES")</f>
        <v>YES</v>
      </c>
      <c r="H1461">
        <f>IF(AND(subscriptions[[#This Row],[end_date]]&lt;&gt;"", subscriptions[[#This Row],[end_date]] &lt; subscriptions[[#This Row],[start_date]]), 1, 0)</f>
        <v>0</v>
      </c>
      <c r="I146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1">
        <f>IF(
  AND(subscriptions[[#This Row],[end_before_start]]=0, subscriptions[[#This Row],[status_end_mismatch]]=0),
  1,
  0
)</f>
        <v>1</v>
      </c>
    </row>
    <row r="1462" spans="1:10" x14ac:dyDescent="0.3">
      <c r="A1462">
        <v>6739966</v>
      </c>
      <c r="B1462">
        <v>939482</v>
      </c>
      <c r="C1462">
        <v>1006</v>
      </c>
      <c r="D1462" s="1">
        <v>44833</v>
      </c>
      <c r="E1462" s="1">
        <v>45231</v>
      </c>
      <c r="F1462" t="s">
        <v>3479</v>
      </c>
      <c r="G1462" t="str">
        <f>IF(ISNA(_xlfn.XLOOKUP(subscriptions[[#This Row],[customer_id]], customers[customer_id], customers[customer_id])), "NO", "YES")</f>
        <v>YES</v>
      </c>
      <c r="H1462">
        <f>IF(AND(subscriptions[[#This Row],[end_date]]&lt;&gt;"", subscriptions[[#This Row],[end_date]] &lt; subscriptions[[#This Row],[start_date]]), 1, 0)</f>
        <v>0</v>
      </c>
      <c r="I146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2">
        <f>IF(
  AND(subscriptions[[#This Row],[end_before_start]]=0, subscriptions[[#This Row],[status_end_mismatch]]=0),
  1,
  0
)</f>
        <v>1</v>
      </c>
    </row>
    <row r="1463" spans="1:10" x14ac:dyDescent="0.3">
      <c r="A1463">
        <v>5388717</v>
      </c>
      <c r="B1463">
        <v>936587</v>
      </c>
      <c r="C1463">
        <v>1002</v>
      </c>
      <c r="D1463" s="1">
        <v>44957</v>
      </c>
      <c r="E1463" s="1"/>
      <c r="F1463" t="s">
        <v>3480</v>
      </c>
      <c r="G1463" t="str">
        <f>IF(ISNA(_xlfn.XLOOKUP(subscriptions[[#This Row],[customer_id]], customers[customer_id], customers[customer_id])), "NO", "YES")</f>
        <v>YES</v>
      </c>
      <c r="H1463">
        <f>IF(AND(subscriptions[[#This Row],[end_date]]&lt;&gt;"", subscriptions[[#This Row],[end_date]] &lt; subscriptions[[#This Row],[start_date]]), 1, 0)</f>
        <v>0</v>
      </c>
      <c r="I146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3">
        <f>IF(
  AND(subscriptions[[#This Row],[end_before_start]]=0, subscriptions[[#This Row],[status_end_mismatch]]=0),
  1,
  0
)</f>
        <v>1</v>
      </c>
    </row>
    <row r="1464" spans="1:10" x14ac:dyDescent="0.3">
      <c r="A1464">
        <v>5474022</v>
      </c>
      <c r="B1464">
        <v>335426</v>
      </c>
      <c r="C1464">
        <v>1006</v>
      </c>
      <c r="D1464" s="1">
        <v>44732</v>
      </c>
      <c r="E1464" s="1">
        <v>45105</v>
      </c>
      <c r="F1464" t="s">
        <v>3479</v>
      </c>
      <c r="G1464" t="str">
        <f>IF(ISNA(_xlfn.XLOOKUP(subscriptions[[#This Row],[customer_id]], customers[customer_id], customers[customer_id])), "NO", "YES")</f>
        <v>YES</v>
      </c>
      <c r="H1464">
        <f>IF(AND(subscriptions[[#This Row],[end_date]]&lt;&gt;"", subscriptions[[#This Row],[end_date]] &lt; subscriptions[[#This Row],[start_date]]), 1, 0)</f>
        <v>0</v>
      </c>
      <c r="I146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4">
        <f>IF(
  AND(subscriptions[[#This Row],[end_before_start]]=0, subscriptions[[#This Row],[status_end_mismatch]]=0),
  1,
  0
)</f>
        <v>1</v>
      </c>
    </row>
    <row r="1465" spans="1:10" x14ac:dyDescent="0.3">
      <c r="A1465">
        <v>2422629</v>
      </c>
      <c r="B1465">
        <v>202170</v>
      </c>
      <c r="C1465">
        <v>1005</v>
      </c>
      <c r="D1465" s="1">
        <v>45214</v>
      </c>
      <c r="E1465" s="1">
        <v>45302</v>
      </c>
      <c r="F1465" t="s">
        <v>3479</v>
      </c>
      <c r="G1465" t="str">
        <f>IF(ISNA(_xlfn.XLOOKUP(subscriptions[[#This Row],[customer_id]], customers[customer_id], customers[customer_id])), "NO", "YES")</f>
        <v>YES</v>
      </c>
      <c r="H1465">
        <f>IF(AND(subscriptions[[#This Row],[end_date]]&lt;&gt;"", subscriptions[[#This Row],[end_date]] &lt; subscriptions[[#This Row],[start_date]]), 1, 0)</f>
        <v>0</v>
      </c>
      <c r="I146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5">
        <f>IF(
  AND(subscriptions[[#This Row],[end_before_start]]=0, subscriptions[[#This Row],[status_end_mismatch]]=0),
  1,
  0
)</f>
        <v>1</v>
      </c>
    </row>
    <row r="1466" spans="1:10" x14ac:dyDescent="0.3">
      <c r="A1466">
        <v>1386001</v>
      </c>
      <c r="B1466">
        <v>622584</v>
      </c>
      <c r="C1466">
        <v>1007</v>
      </c>
      <c r="D1466" s="1">
        <v>44825</v>
      </c>
      <c r="E1466" s="1">
        <v>44909</v>
      </c>
      <c r="F1466" t="s">
        <v>3479</v>
      </c>
      <c r="G1466" t="str">
        <f>IF(ISNA(_xlfn.XLOOKUP(subscriptions[[#This Row],[customer_id]], customers[customer_id], customers[customer_id])), "NO", "YES")</f>
        <v>YES</v>
      </c>
      <c r="H1466">
        <f>IF(AND(subscriptions[[#This Row],[end_date]]&lt;&gt;"", subscriptions[[#This Row],[end_date]] &lt; subscriptions[[#This Row],[start_date]]), 1, 0)</f>
        <v>0</v>
      </c>
      <c r="I146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6">
        <f>IF(
  AND(subscriptions[[#This Row],[end_before_start]]=0, subscriptions[[#This Row],[status_end_mismatch]]=0),
  1,
  0
)</f>
        <v>1</v>
      </c>
    </row>
    <row r="1467" spans="1:10" x14ac:dyDescent="0.3">
      <c r="A1467">
        <v>5076209</v>
      </c>
      <c r="B1467">
        <v>675191</v>
      </c>
      <c r="C1467">
        <v>1007</v>
      </c>
      <c r="D1467" s="1">
        <v>44714</v>
      </c>
      <c r="E1467" s="1"/>
      <c r="F1467" t="s">
        <v>3480</v>
      </c>
      <c r="G1467" t="str">
        <f>IF(ISNA(_xlfn.XLOOKUP(subscriptions[[#This Row],[customer_id]], customers[customer_id], customers[customer_id])), "NO", "YES")</f>
        <v>YES</v>
      </c>
      <c r="H1467">
        <f>IF(AND(subscriptions[[#This Row],[end_date]]&lt;&gt;"", subscriptions[[#This Row],[end_date]] &lt; subscriptions[[#This Row],[start_date]]), 1, 0)</f>
        <v>0</v>
      </c>
      <c r="I146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7">
        <f>IF(
  AND(subscriptions[[#This Row],[end_before_start]]=0, subscriptions[[#This Row],[status_end_mismatch]]=0),
  1,
  0
)</f>
        <v>1</v>
      </c>
    </row>
    <row r="1468" spans="1:10" x14ac:dyDescent="0.3">
      <c r="A1468">
        <v>2089834</v>
      </c>
      <c r="B1468">
        <v>988843</v>
      </c>
      <c r="C1468">
        <v>1007</v>
      </c>
      <c r="D1468" s="1">
        <v>44877</v>
      </c>
      <c r="E1468" s="1"/>
      <c r="F1468" t="s">
        <v>3480</v>
      </c>
      <c r="G1468" t="str">
        <f>IF(ISNA(_xlfn.XLOOKUP(subscriptions[[#This Row],[customer_id]], customers[customer_id], customers[customer_id])), "NO", "YES")</f>
        <v>YES</v>
      </c>
      <c r="H1468">
        <f>IF(AND(subscriptions[[#This Row],[end_date]]&lt;&gt;"", subscriptions[[#This Row],[end_date]] &lt; subscriptions[[#This Row],[start_date]]), 1, 0)</f>
        <v>0</v>
      </c>
      <c r="I146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8">
        <f>IF(
  AND(subscriptions[[#This Row],[end_before_start]]=0, subscriptions[[#This Row],[status_end_mismatch]]=0),
  1,
  0
)</f>
        <v>1</v>
      </c>
    </row>
    <row r="1469" spans="1:10" x14ac:dyDescent="0.3">
      <c r="A1469">
        <v>4975282</v>
      </c>
      <c r="B1469">
        <v>861253</v>
      </c>
      <c r="C1469">
        <v>1006</v>
      </c>
      <c r="D1469" s="1">
        <v>44740</v>
      </c>
      <c r="E1469" s="1">
        <v>44774</v>
      </c>
      <c r="F1469" t="s">
        <v>3479</v>
      </c>
      <c r="G1469" t="str">
        <f>IF(ISNA(_xlfn.XLOOKUP(subscriptions[[#This Row],[customer_id]], customers[customer_id], customers[customer_id])), "NO", "YES")</f>
        <v>YES</v>
      </c>
      <c r="H1469">
        <f>IF(AND(subscriptions[[#This Row],[end_date]]&lt;&gt;"", subscriptions[[#This Row],[end_date]] &lt; subscriptions[[#This Row],[start_date]]), 1, 0)</f>
        <v>0</v>
      </c>
      <c r="I146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69">
        <f>IF(
  AND(subscriptions[[#This Row],[end_before_start]]=0, subscriptions[[#This Row],[status_end_mismatch]]=0),
  1,
  0
)</f>
        <v>1</v>
      </c>
    </row>
    <row r="1470" spans="1:10" x14ac:dyDescent="0.3">
      <c r="A1470">
        <v>1225606</v>
      </c>
      <c r="B1470">
        <v>224249</v>
      </c>
      <c r="C1470">
        <v>1007</v>
      </c>
      <c r="D1470" s="1">
        <v>45260</v>
      </c>
      <c r="E1470" s="1">
        <v>45606</v>
      </c>
      <c r="F1470" t="s">
        <v>3479</v>
      </c>
      <c r="G1470" t="str">
        <f>IF(ISNA(_xlfn.XLOOKUP(subscriptions[[#This Row],[customer_id]], customers[customer_id], customers[customer_id])), "NO", "YES")</f>
        <v>YES</v>
      </c>
      <c r="H1470">
        <f>IF(AND(subscriptions[[#This Row],[end_date]]&lt;&gt;"", subscriptions[[#This Row],[end_date]] &lt; subscriptions[[#This Row],[start_date]]), 1, 0)</f>
        <v>0</v>
      </c>
      <c r="I147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0">
        <f>IF(
  AND(subscriptions[[#This Row],[end_before_start]]=0, subscriptions[[#This Row],[status_end_mismatch]]=0),
  1,
  0
)</f>
        <v>1</v>
      </c>
    </row>
    <row r="1471" spans="1:10" x14ac:dyDescent="0.3">
      <c r="A1471">
        <v>2180827</v>
      </c>
      <c r="B1471">
        <v>995420</v>
      </c>
      <c r="C1471">
        <v>1007</v>
      </c>
      <c r="D1471" s="1">
        <v>44881</v>
      </c>
      <c r="E1471" s="1"/>
      <c r="F1471" t="s">
        <v>3480</v>
      </c>
      <c r="G1471" t="str">
        <f>IF(ISNA(_xlfn.XLOOKUP(subscriptions[[#This Row],[customer_id]], customers[customer_id], customers[customer_id])), "NO", "YES")</f>
        <v>YES</v>
      </c>
      <c r="H1471">
        <f>IF(AND(subscriptions[[#This Row],[end_date]]&lt;&gt;"", subscriptions[[#This Row],[end_date]] &lt; subscriptions[[#This Row],[start_date]]), 1, 0)</f>
        <v>0</v>
      </c>
      <c r="I147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1">
        <f>IF(
  AND(subscriptions[[#This Row],[end_before_start]]=0, subscriptions[[#This Row],[status_end_mismatch]]=0),
  1,
  0
)</f>
        <v>1</v>
      </c>
    </row>
    <row r="1472" spans="1:10" x14ac:dyDescent="0.3">
      <c r="A1472">
        <v>8730320</v>
      </c>
      <c r="B1472">
        <v>237935</v>
      </c>
      <c r="C1472">
        <v>1008</v>
      </c>
      <c r="D1472" s="1">
        <v>45239</v>
      </c>
      <c r="E1472" s="1">
        <v>45323</v>
      </c>
      <c r="F1472" t="s">
        <v>3479</v>
      </c>
      <c r="G1472" t="str">
        <f>IF(ISNA(_xlfn.XLOOKUP(subscriptions[[#This Row],[customer_id]], customers[customer_id], customers[customer_id])), "NO", "YES")</f>
        <v>YES</v>
      </c>
      <c r="H1472">
        <f>IF(AND(subscriptions[[#This Row],[end_date]]&lt;&gt;"", subscriptions[[#This Row],[end_date]] &lt; subscriptions[[#This Row],[start_date]]), 1, 0)</f>
        <v>0</v>
      </c>
      <c r="I147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2">
        <f>IF(
  AND(subscriptions[[#This Row],[end_before_start]]=0, subscriptions[[#This Row],[status_end_mismatch]]=0),
  1,
  0
)</f>
        <v>1</v>
      </c>
    </row>
    <row r="1473" spans="1:10" x14ac:dyDescent="0.3">
      <c r="A1473">
        <v>3046457</v>
      </c>
      <c r="B1473">
        <v>104502</v>
      </c>
      <c r="C1473">
        <v>1007</v>
      </c>
      <c r="D1473" s="1">
        <v>44677</v>
      </c>
      <c r="E1473" s="1">
        <v>44809</v>
      </c>
      <c r="F1473" t="s">
        <v>3479</v>
      </c>
      <c r="G1473" t="str">
        <f>IF(ISNA(_xlfn.XLOOKUP(subscriptions[[#This Row],[customer_id]], customers[customer_id], customers[customer_id])), "NO", "YES")</f>
        <v>YES</v>
      </c>
      <c r="H1473">
        <f>IF(AND(subscriptions[[#This Row],[end_date]]&lt;&gt;"", subscriptions[[#This Row],[end_date]] &lt; subscriptions[[#This Row],[start_date]]), 1, 0)</f>
        <v>0</v>
      </c>
      <c r="I147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3">
        <f>IF(
  AND(subscriptions[[#This Row],[end_before_start]]=0, subscriptions[[#This Row],[status_end_mismatch]]=0),
  1,
  0
)</f>
        <v>1</v>
      </c>
    </row>
    <row r="1474" spans="1:10" x14ac:dyDescent="0.3">
      <c r="A1474">
        <v>2361565</v>
      </c>
      <c r="B1474">
        <v>152046</v>
      </c>
      <c r="C1474">
        <v>1007</v>
      </c>
      <c r="D1474" s="1">
        <v>44942</v>
      </c>
      <c r="E1474" s="1"/>
      <c r="F1474" t="s">
        <v>3480</v>
      </c>
      <c r="G1474" t="str">
        <f>IF(ISNA(_xlfn.XLOOKUP(subscriptions[[#This Row],[customer_id]], customers[customer_id], customers[customer_id])), "NO", "YES")</f>
        <v>YES</v>
      </c>
      <c r="H1474">
        <f>IF(AND(subscriptions[[#This Row],[end_date]]&lt;&gt;"", subscriptions[[#This Row],[end_date]] &lt; subscriptions[[#This Row],[start_date]]), 1, 0)</f>
        <v>0</v>
      </c>
      <c r="I147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4">
        <f>IF(
  AND(subscriptions[[#This Row],[end_before_start]]=0, subscriptions[[#This Row],[status_end_mismatch]]=0),
  1,
  0
)</f>
        <v>1</v>
      </c>
    </row>
    <row r="1475" spans="1:10" x14ac:dyDescent="0.3">
      <c r="A1475">
        <v>2536556</v>
      </c>
      <c r="B1475">
        <v>289592</v>
      </c>
      <c r="C1475">
        <v>1005</v>
      </c>
      <c r="D1475" s="1">
        <v>44569</v>
      </c>
      <c r="E1475" s="1"/>
      <c r="F1475" t="s">
        <v>3480</v>
      </c>
      <c r="G1475" t="str">
        <f>IF(ISNA(_xlfn.XLOOKUP(subscriptions[[#This Row],[customer_id]], customers[customer_id], customers[customer_id])), "NO", "YES")</f>
        <v>YES</v>
      </c>
      <c r="H1475">
        <f>IF(AND(subscriptions[[#This Row],[end_date]]&lt;&gt;"", subscriptions[[#This Row],[end_date]] &lt; subscriptions[[#This Row],[start_date]]), 1, 0)</f>
        <v>0</v>
      </c>
      <c r="I147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5">
        <f>IF(
  AND(subscriptions[[#This Row],[end_before_start]]=0, subscriptions[[#This Row],[status_end_mismatch]]=0),
  1,
  0
)</f>
        <v>1</v>
      </c>
    </row>
    <row r="1476" spans="1:10" x14ac:dyDescent="0.3">
      <c r="A1476">
        <v>4910362</v>
      </c>
      <c r="B1476">
        <v>228093</v>
      </c>
      <c r="C1476">
        <v>1005</v>
      </c>
      <c r="D1476" s="1">
        <v>44992</v>
      </c>
      <c r="E1476" s="1"/>
      <c r="F1476" t="s">
        <v>3480</v>
      </c>
      <c r="G1476" t="str">
        <f>IF(ISNA(_xlfn.XLOOKUP(subscriptions[[#This Row],[customer_id]], customers[customer_id], customers[customer_id])), "NO", "YES")</f>
        <v>YES</v>
      </c>
      <c r="H1476">
        <f>IF(AND(subscriptions[[#This Row],[end_date]]&lt;&gt;"", subscriptions[[#This Row],[end_date]] &lt; subscriptions[[#This Row],[start_date]]), 1, 0)</f>
        <v>0</v>
      </c>
      <c r="I147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6">
        <f>IF(
  AND(subscriptions[[#This Row],[end_before_start]]=0, subscriptions[[#This Row],[status_end_mismatch]]=0),
  1,
  0
)</f>
        <v>1</v>
      </c>
    </row>
    <row r="1477" spans="1:10" x14ac:dyDescent="0.3">
      <c r="A1477">
        <v>2332311</v>
      </c>
      <c r="B1477">
        <v>166803</v>
      </c>
      <c r="C1477">
        <v>1002</v>
      </c>
      <c r="D1477" s="1">
        <v>45354</v>
      </c>
      <c r="E1477" s="1"/>
      <c r="F1477" t="s">
        <v>3480</v>
      </c>
      <c r="G1477" t="str">
        <f>IF(ISNA(_xlfn.XLOOKUP(subscriptions[[#This Row],[customer_id]], customers[customer_id], customers[customer_id])), "NO", "YES")</f>
        <v>YES</v>
      </c>
      <c r="H1477">
        <f>IF(AND(subscriptions[[#This Row],[end_date]]&lt;&gt;"", subscriptions[[#This Row],[end_date]] &lt; subscriptions[[#This Row],[start_date]]), 1, 0)</f>
        <v>0</v>
      </c>
      <c r="I147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7">
        <f>IF(
  AND(subscriptions[[#This Row],[end_before_start]]=0, subscriptions[[#This Row],[status_end_mismatch]]=0),
  1,
  0
)</f>
        <v>1</v>
      </c>
    </row>
    <row r="1478" spans="1:10" x14ac:dyDescent="0.3">
      <c r="A1478">
        <v>9880742</v>
      </c>
      <c r="B1478">
        <v>664570</v>
      </c>
      <c r="C1478">
        <v>1004</v>
      </c>
      <c r="D1478" s="1">
        <v>44956</v>
      </c>
      <c r="E1478" s="1"/>
      <c r="F1478" t="s">
        <v>3480</v>
      </c>
      <c r="G1478" t="str">
        <f>IF(ISNA(_xlfn.XLOOKUP(subscriptions[[#This Row],[customer_id]], customers[customer_id], customers[customer_id])), "NO", "YES")</f>
        <v>YES</v>
      </c>
      <c r="H1478">
        <f>IF(AND(subscriptions[[#This Row],[end_date]]&lt;&gt;"", subscriptions[[#This Row],[end_date]] &lt; subscriptions[[#This Row],[start_date]]), 1, 0)</f>
        <v>0</v>
      </c>
      <c r="I147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8">
        <f>IF(
  AND(subscriptions[[#This Row],[end_before_start]]=0, subscriptions[[#This Row],[status_end_mismatch]]=0),
  1,
  0
)</f>
        <v>1</v>
      </c>
    </row>
    <row r="1479" spans="1:10" x14ac:dyDescent="0.3">
      <c r="A1479">
        <v>4310140</v>
      </c>
      <c r="B1479">
        <v>934904</v>
      </c>
      <c r="C1479">
        <v>1000</v>
      </c>
      <c r="D1479" s="1">
        <v>45576</v>
      </c>
      <c r="E1479" s="1">
        <v>45642</v>
      </c>
      <c r="F1479" t="s">
        <v>3479</v>
      </c>
      <c r="G1479" t="str">
        <f>IF(ISNA(_xlfn.XLOOKUP(subscriptions[[#This Row],[customer_id]], customers[customer_id], customers[customer_id])), "NO", "YES")</f>
        <v>YES</v>
      </c>
      <c r="H1479">
        <f>IF(AND(subscriptions[[#This Row],[end_date]]&lt;&gt;"", subscriptions[[#This Row],[end_date]] &lt; subscriptions[[#This Row],[start_date]]), 1, 0)</f>
        <v>0</v>
      </c>
      <c r="I147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79">
        <f>IF(
  AND(subscriptions[[#This Row],[end_before_start]]=0, subscriptions[[#This Row],[status_end_mismatch]]=0),
  1,
  0
)</f>
        <v>1</v>
      </c>
    </row>
    <row r="1480" spans="1:10" x14ac:dyDescent="0.3">
      <c r="A1480">
        <v>5832903</v>
      </c>
      <c r="B1480">
        <v>193520</v>
      </c>
      <c r="C1480">
        <v>1007</v>
      </c>
      <c r="D1480" s="1">
        <v>44687</v>
      </c>
      <c r="E1480" s="1"/>
      <c r="F1480" t="s">
        <v>3480</v>
      </c>
      <c r="G1480" t="str">
        <f>IF(ISNA(_xlfn.XLOOKUP(subscriptions[[#This Row],[customer_id]], customers[customer_id], customers[customer_id])), "NO", "YES")</f>
        <v>YES</v>
      </c>
      <c r="H1480">
        <f>IF(AND(subscriptions[[#This Row],[end_date]]&lt;&gt;"", subscriptions[[#This Row],[end_date]] &lt; subscriptions[[#This Row],[start_date]]), 1, 0)</f>
        <v>0</v>
      </c>
      <c r="I148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0">
        <f>IF(
  AND(subscriptions[[#This Row],[end_before_start]]=0, subscriptions[[#This Row],[status_end_mismatch]]=0),
  1,
  0
)</f>
        <v>1</v>
      </c>
    </row>
    <row r="1481" spans="1:10" x14ac:dyDescent="0.3">
      <c r="A1481">
        <v>9515853</v>
      </c>
      <c r="B1481">
        <v>112210</v>
      </c>
      <c r="C1481">
        <v>1000</v>
      </c>
      <c r="D1481" s="1">
        <v>44574</v>
      </c>
      <c r="E1481" s="1"/>
      <c r="F1481" t="s">
        <v>3480</v>
      </c>
      <c r="G1481" t="str">
        <f>IF(ISNA(_xlfn.XLOOKUP(subscriptions[[#This Row],[customer_id]], customers[customer_id], customers[customer_id])), "NO", "YES")</f>
        <v>YES</v>
      </c>
      <c r="H1481">
        <f>IF(AND(subscriptions[[#This Row],[end_date]]&lt;&gt;"", subscriptions[[#This Row],[end_date]] &lt; subscriptions[[#This Row],[start_date]]), 1, 0)</f>
        <v>0</v>
      </c>
      <c r="I148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1">
        <f>IF(
  AND(subscriptions[[#This Row],[end_before_start]]=0, subscriptions[[#This Row],[status_end_mismatch]]=0),
  1,
  0
)</f>
        <v>1</v>
      </c>
    </row>
    <row r="1482" spans="1:10" x14ac:dyDescent="0.3">
      <c r="A1482">
        <v>4317199</v>
      </c>
      <c r="B1482">
        <v>399628</v>
      </c>
      <c r="C1482">
        <v>1006</v>
      </c>
      <c r="D1482" s="1">
        <v>45101</v>
      </c>
      <c r="E1482" s="1"/>
      <c r="F1482" t="s">
        <v>3480</v>
      </c>
      <c r="G1482" t="str">
        <f>IF(ISNA(_xlfn.XLOOKUP(subscriptions[[#This Row],[customer_id]], customers[customer_id], customers[customer_id])), "NO", "YES")</f>
        <v>YES</v>
      </c>
      <c r="H1482">
        <f>IF(AND(subscriptions[[#This Row],[end_date]]&lt;&gt;"", subscriptions[[#This Row],[end_date]] &lt; subscriptions[[#This Row],[start_date]]), 1, 0)</f>
        <v>0</v>
      </c>
      <c r="I148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2">
        <f>IF(
  AND(subscriptions[[#This Row],[end_before_start]]=0, subscriptions[[#This Row],[status_end_mismatch]]=0),
  1,
  0
)</f>
        <v>1</v>
      </c>
    </row>
    <row r="1483" spans="1:10" x14ac:dyDescent="0.3">
      <c r="A1483">
        <v>4176691</v>
      </c>
      <c r="B1483">
        <v>663051</v>
      </c>
      <c r="C1483">
        <v>1005</v>
      </c>
      <c r="D1483" s="1">
        <v>44815</v>
      </c>
      <c r="E1483" s="1">
        <v>44883</v>
      </c>
      <c r="F1483" t="s">
        <v>3479</v>
      </c>
      <c r="G1483" t="str">
        <f>IF(ISNA(_xlfn.XLOOKUP(subscriptions[[#This Row],[customer_id]], customers[customer_id], customers[customer_id])), "NO", "YES")</f>
        <v>YES</v>
      </c>
      <c r="H1483">
        <f>IF(AND(subscriptions[[#This Row],[end_date]]&lt;&gt;"", subscriptions[[#This Row],[end_date]] &lt; subscriptions[[#This Row],[start_date]]), 1, 0)</f>
        <v>0</v>
      </c>
      <c r="I148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3">
        <f>IF(
  AND(subscriptions[[#This Row],[end_before_start]]=0, subscriptions[[#This Row],[status_end_mismatch]]=0),
  1,
  0
)</f>
        <v>1</v>
      </c>
    </row>
    <row r="1484" spans="1:10" x14ac:dyDescent="0.3">
      <c r="A1484">
        <v>4157447</v>
      </c>
      <c r="B1484">
        <v>639292</v>
      </c>
      <c r="C1484">
        <v>1001</v>
      </c>
      <c r="D1484" s="1">
        <v>44945</v>
      </c>
      <c r="E1484" s="1">
        <v>45091</v>
      </c>
      <c r="F1484" t="s">
        <v>3479</v>
      </c>
      <c r="G1484" t="str">
        <f>IF(ISNA(_xlfn.XLOOKUP(subscriptions[[#This Row],[customer_id]], customers[customer_id], customers[customer_id])), "NO", "YES")</f>
        <v>YES</v>
      </c>
      <c r="H1484">
        <f>IF(AND(subscriptions[[#This Row],[end_date]]&lt;&gt;"", subscriptions[[#This Row],[end_date]] &lt; subscriptions[[#This Row],[start_date]]), 1, 0)</f>
        <v>0</v>
      </c>
      <c r="I148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4">
        <f>IF(
  AND(subscriptions[[#This Row],[end_before_start]]=0, subscriptions[[#This Row],[status_end_mismatch]]=0),
  1,
  0
)</f>
        <v>1</v>
      </c>
    </row>
    <row r="1485" spans="1:10" x14ac:dyDescent="0.3">
      <c r="A1485">
        <v>3725015</v>
      </c>
      <c r="B1485">
        <v>249375</v>
      </c>
      <c r="C1485">
        <v>1009</v>
      </c>
      <c r="D1485" s="1">
        <v>45370</v>
      </c>
      <c r="E1485" s="1">
        <v>45648</v>
      </c>
      <c r="F1485" t="s">
        <v>3479</v>
      </c>
      <c r="G1485" t="str">
        <f>IF(ISNA(_xlfn.XLOOKUP(subscriptions[[#This Row],[customer_id]], customers[customer_id], customers[customer_id])), "NO", "YES")</f>
        <v>YES</v>
      </c>
      <c r="H1485">
        <f>IF(AND(subscriptions[[#This Row],[end_date]]&lt;&gt;"", subscriptions[[#This Row],[end_date]] &lt; subscriptions[[#This Row],[start_date]]), 1, 0)</f>
        <v>0</v>
      </c>
      <c r="I148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5">
        <f>IF(
  AND(subscriptions[[#This Row],[end_before_start]]=0, subscriptions[[#This Row],[status_end_mismatch]]=0),
  1,
  0
)</f>
        <v>1</v>
      </c>
    </row>
    <row r="1486" spans="1:10" x14ac:dyDescent="0.3">
      <c r="A1486">
        <v>7916943</v>
      </c>
      <c r="B1486">
        <v>791309</v>
      </c>
      <c r="C1486">
        <v>1000</v>
      </c>
      <c r="D1486" s="1">
        <v>45146</v>
      </c>
      <c r="E1486" s="1"/>
      <c r="F1486" t="s">
        <v>3480</v>
      </c>
      <c r="G1486" t="str">
        <f>IF(ISNA(_xlfn.XLOOKUP(subscriptions[[#This Row],[customer_id]], customers[customer_id], customers[customer_id])), "NO", "YES")</f>
        <v>YES</v>
      </c>
      <c r="H1486">
        <f>IF(AND(subscriptions[[#This Row],[end_date]]&lt;&gt;"", subscriptions[[#This Row],[end_date]] &lt; subscriptions[[#This Row],[start_date]]), 1, 0)</f>
        <v>0</v>
      </c>
      <c r="I148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6">
        <f>IF(
  AND(subscriptions[[#This Row],[end_before_start]]=0, subscriptions[[#This Row],[status_end_mismatch]]=0),
  1,
  0
)</f>
        <v>1</v>
      </c>
    </row>
    <row r="1487" spans="1:10" x14ac:dyDescent="0.3">
      <c r="A1487">
        <v>5210238</v>
      </c>
      <c r="B1487">
        <v>447148</v>
      </c>
      <c r="C1487">
        <v>1002</v>
      </c>
      <c r="D1487" s="1">
        <v>45268</v>
      </c>
      <c r="E1487" s="1">
        <v>45569</v>
      </c>
      <c r="F1487" t="s">
        <v>3479</v>
      </c>
      <c r="G1487" t="str">
        <f>IF(ISNA(_xlfn.XLOOKUP(subscriptions[[#This Row],[customer_id]], customers[customer_id], customers[customer_id])), "NO", "YES")</f>
        <v>YES</v>
      </c>
      <c r="H1487">
        <f>IF(AND(subscriptions[[#This Row],[end_date]]&lt;&gt;"", subscriptions[[#This Row],[end_date]] &lt; subscriptions[[#This Row],[start_date]]), 1, 0)</f>
        <v>0</v>
      </c>
      <c r="I148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7">
        <f>IF(
  AND(subscriptions[[#This Row],[end_before_start]]=0, subscriptions[[#This Row],[status_end_mismatch]]=0),
  1,
  0
)</f>
        <v>1</v>
      </c>
    </row>
    <row r="1488" spans="1:10" x14ac:dyDescent="0.3">
      <c r="A1488">
        <v>1117156</v>
      </c>
      <c r="B1488">
        <v>631297</v>
      </c>
      <c r="C1488">
        <v>1002</v>
      </c>
      <c r="D1488" s="1">
        <v>45077</v>
      </c>
      <c r="E1488" s="1"/>
      <c r="F1488" t="s">
        <v>3480</v>
      </c>
      <c r="G1488" t="str">
        <f>IF(ISNA(_xlfn.XLOOKUP(subscriptions[[#This Row],[customer_id]], customers[customer_id], customers[customer_id])), "NO", "YES")</f>
        <v>YES</v>
      </c>
      <c r="H1488">
        <f>IF(AND(subscriptions[[#This Row],[end_date]]&lt;&gt;"", subscriptions[[#This Row],[end_date]] &lt; subscriptions[[#This Row],[start_date]]), 1, 0)</f>
        <v>0</v>
      </c>
      <c r="I148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8">
        <f>IF(
  AND(subscriptions[[#This Row],[end_before_start]]=0, subscriptions[[#This Row],[status_end_mismatch]]=0),
  1,
  0
)</f>
        <v>1</v>
      </c>
    </row>
    <row r="1489" spans="1:10" x14ac:dyDescent="0.3">
      <c r="A1489">
        <v>3705563</v>
      </c>
      <c r="B1489">
        <v>885342</v>
      </c>
      <c r="C1489">
        <v>1001</v>
      </c>
      <c r="D1489" s="1">
        <v>44694</v>
      </c>
      <c r="E1489" s="1"/>
      <c r="F1489" t="s">
        <v>3480</v>
      </c>
      <c r="G1489" t="str">
        <f>IF(ISNA(_xlfn.XLOOKUP(subscriptions[[#This Row],[customer_id]], customers[customer_id], customers[customer_id])), "NO", "YES")</f>
        <v>YES</v>
      </c>
      <c r="H1489">
        <f>IF(AND(subscriptions[[#This Row],[end_date]]&lt;&gt;"", subscriptions[[#This Row],[end_date]] &lt; subscriptions[[#This Row],[start_date]]), 1, 0)</f>
        <v>0</v>
      </c>
      <c r="I148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89">
        <f>IF(
  AND(subscriptions[[#This Row],[end_before_start]]=0, subscriptions[[#This Row],[status_end_mismatch]]=0),
  1,
  0
)</f>
        <v>1</v>
      </c>
    </row>
    <row r="1490" spans="1:10" x14ac:dyDescent="0.3">
      <c r="A1490">
        <v>9286653</v>
      </c>
      <c r="B1490">
        <v>200195</v>
      </c>
      <c r="C1490">
        <v>1003</v>
      </c>
      <c r="D1490" s="1">
        <v>45266</v>
      </c>
      <c r="E1490" s="1">
        <v>45326</v>
      </c>
      <c r="F1490" t="s">
        <v>3479</v>
      </c>
      <c r="G1490" t="str">
        <f>IF(ISNA(_xlfn.XLOOKUP(subscriptions[[#This Row],[customer_id]], customers[customer_id], customers[customer_id])), "NO", "YES")</f>
        <v>YES</v>
      </c>
      <c r="H1490">
        <f>IF(AND(subscriptions[[#This Row],[end_date]]&lt;&gt;"", subscriptions[[#This Row],[end_date]] &lt; subscriptions[[#This Row],[start_date]]), 1, 0)</f>
        <v>0</v>
      </c>
      <c r="I149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0">
        <f>IF(
  AND(subscriptions[[#This Row],[end_before_start]]=0, subscriptions[[#This Row],[status_end_mismatch]]=0),
  1,
  0
)</f>
        <v>1</v>
      </c>
    </row>
    <row r="1491" spans="1:10" x14ac:dyDescent="0.3">
      <c r="A1491">
        <v>8215793</v>
      </c>
      <c r="B1491">
        <v>644951</v>
      </c>
      <c r="C1491">
        <v>1005</v>
      </c>
      <c r="D1491" s="1">
        <v>44725</v>
      </c>
      <c r="E1491" s="1">
        <v>45121</v>
      </c>
      <c r="F1491" t="s">
        <v>3479</v>
      </c>
      <c r="G1491" t="str">
        <f>IF(ISNA(_xlfn.XLOOKUP(subscriptions[[#This Row],[customer_id]], customers[customer_id], customers[customer_id])), "NO", "YES")</f>
        <v>YES</v>
      </c>
      <c r="H1491">
        <f>IF(AND(subscriptions[[#This Row],[end_date]]&lt;&gt;"", subscriptions[[#This Row],[end_date]] &lt; subscriptions[[#This Row],[start_date]]), 1, 0)</f>
        <v>0</v>
      </c>
      <c r="I149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1">
        <f>IF(
  AND(subscriptions[[#This Row],[end_before_start]]=0, subscriptions[[#This Row],[status_end_mismatch]]=0),
  1,
  0
)</f>
        <v>1</v>
      </c>
    </row>
    <row r="1492" spans="1:10" x14ac:dyDescent="0.3">
      <c r="A1492">
        <v>8481497</v>
      </c>
      <c r="B1492">
        <v>524035</v>
      </c>
      <c r="C1492">
        <v>1000</v>
      </c>
      <c r="D1492" s="1">
        <v>44586</v>
      </c>
      <c r="E1492" s="1">
        <v>44961</v>
      </c>
      <c r="F1492" t="s">
        <v>3479</v>
      </c>
      <c r="G1492" t="str">
        <f>IF(ISNA(_xlfn.XLOOKUP(subscriptions[[#This Row],[customer_id]], customers[customer_id], customers[customer_id])), "NO", "YES")</f>
        <v>YES</v>
      </c>
      <c r="H1492">
        <f>IF(AND(subscriptions[[#This Row],[end_date]]&lt;&gt;"", subscriptions[[#This Row],[end_date]] &lt; subscriptions[[#This Row],[start_date]]), 1, 0)</f>
        <v>0</v>
      </c>
      <c r="I1492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2">
        <f>IF(
  AND(subscriptions[[#This Row],[end_before_start]]=0, subscriptions[[#This Row],[status_end_mismatch]]=0),
  1,
  0
)</f>
        <v>1</v>
      </c>
    </row>
    <row r="1493" spans="1:10" x14ac:dyDescent="0.3">
      <c r="A1493">
        <v>2480282</v>
      </c>
      <c r="B1493">
        <v>593002</v>
      </c>
      <c r="C1493">
        <v>1003</v>
      </c>
      <c r="D1493" s="1">
        <v>45214</v>
      </c>
      <c r="E1493" s="1"/>
      <c r="F1493" t="s">
        <v>3480</v>
      </c>
      <c r="G1493" t="str">
        <f>IF(ISNA(_xlfn.XLOOKUP(subscriptions[[#This Row],[customer_id]], customers[customer_id], customers[customer_id])), "NO", "YES")</f>
        <v>YES</v>
      </c>
      <c r="H1493">
        <f>IF(AND(subscriptions[[#This Row],[end_date]]&lt;&gt;"", subscriptions[[#This Row],[end_date]] &lt; subscriptions[[#This Row],[start_date]]), 1, 0)</f>
        <v>0</v>
      </c>
      <c r="I1493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3">
        <f>IF(
  AND(subscriptions[[#This Row],[end_before_start]]=0, subscriptions[[#This Row],[status_end_mismatch]]=0),
  1,
  0
)</f>
        <v>1</v>
      </c>
    </row>
    <row r="1494" spans="1:10" x14ac:dyDescent="0.3">
      <c r="A1494">
        <v>7064624</v>
      </c>
      <c r="B1494">
        <v>384263</v>
      </c>
      <c r="C1494">
        <v>1005</v>
      </c>
      <c r="D1494" s="1">
        <v>44696</v>
      </c>
      <c r="E1494" s="1"/>
      <c r="F1494" t="s">
        <v>3480</v>
      </c>
      <c r="G1494" t="str">
        <f>IF(ISNA(_xlfn.XLOOKUP(subscriptions[[#This Row],[customer_id]], customers[customer_id], customers[customer_id])), "NO", "YES")</f>
        <v>YES</v>
      </c>
      <c r="H1494">
        <f>IF(AND(subscriptions[[#This Row],[end_date]]&lt;&gt;"", subscriptions[[#This Row],[end_date]] &lt; subscriptions[[#This Row],[start_date]]), 1, 0)</f>
        <v>0</v>
      </c>
      <c r="I1494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4">
        <f>IF(
  AND(subscriptions[[#This Row],[end_before_start]]=0, subscriptions[[#This Row],[status_end_mismatch]]=0),
  1,
  0
)</f>
        <v>1</v>
      </c>
    </row>
    <row r="1495" spans="1:10" x14ac:dyDescent="0.3">
      <c r="A1495">
        <v>6353005</v>
      </c>
      <c r="B1495">
        <v>509593</v>
      </c>
      <c r="C1495">
        <v>1009</v>
      </c>
      <c r="D1495" s="1">
        <v>45485</v>
      </c>
      <c r="E1495" s="1"/>
      <c r="F1495" t="s">
        <v>3480</v>
      </c>
      <c r="G1495" t="str">
        <f>IF(ISNA(_xlfn.XLOOKUP(subscriptions[[#This Row],[customer_id]], customers[customer_id], customers[customer_id])), "NO", "YES")</f>
        <v>YES</v>
      </c>
      <c r="H1495">
        <f>IF(AND(subscriptions[[#This Row],[end_date]]&lt;&gt;"", subscriptions[[#This Row],[end_date]] &lt; subscriptions[[#This Row],[start_date]]), 1, 0)</f>
        <v>0</v>
      </c>
      <c r="I1495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5">
        <f>IF(
  AND(subscriptions[[#This Row],[end_before_start]]=0, subscriptions[[#This Row],[status_end_mismatch]]=0),
  1,
  0
)</f>
        <v>1</v>
      </c>
    </row>
    <row r="1496" spans="1:10" x14ac:dyDescent="0.3">
      <c r="A1496">
        <v>9060593</v>
      </c>
      <c r="B1496">
        <v>513927</v>
      </c>
      <c r="C1496">
        <v>1002</v>
      </c>
      <c r="D1496" s="1">
        <v>45320</v>
      </c>
      <c r="E1496" s="1"/>
      <c r="F1496" t="s">
        <v>3480</v>
      </c>
      <c r="G1496" t="str">
        <f>IF(ISNA(_xlfn.XLOOKUP(subscriptions[[#This Row],[customer_id]], customers[customer_id], customers[customer_id])), "NO", "YES")</f>
        <v>YES</v>
      </c>
      <c r="H1496">
        <f>IF(AND(subscriptions[[#This Row],[end_date]]&lt;&gt;"", subscriptions[[#This Row],[end_date]] &lt; subscriptions[[#This Row],[start_date]]), 1, 0)</f>
        <v>0</v>
      </c>
      <c r="I1496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6">
        <f>IF(
  AND(subscriptions[[#This Row],[end_before_start]]=0, subscriptions[[#This Row],[status_end_mismatch]]=0),
  1,
  0
)</f>
        <v>1</v>
      </c>
    </row>
    <row r="1497" spans="1:10" x14ac:dyDescent="0.3">
      <c r="A1497">
        <v>9205525</v>
      </c>
      <c r="B1497">
        <v>967182</v>
      </c>
      <c r="C1497">
        <v>1006</v>
      </c>
      <c r="D1497" s="1">
        <v>45203</v>
      </c>
      <c r="E1497" s="1"/>
      <c r="F1497" t="s">
        <v>3480</v>
      </c>
      <c r="G1497" t="str">
        <f>IF(ISNA(_xlfn.XLOOKUP(subscriptions[[#This Row],[customer_id]], customers[customer_id], customers[customer_id])), "NO", "YES")</f>
        <v>YES</v>
      </c>
      <c r="H1497">
        <f>IF(AND(subscriptions[[#This Row],[end_date]]&lt;&gt;"", subscriptions[[#This Row],[end_date]] &lt; subscriptions[[#This Row],[start_date]]), 1, 0)</f>
        <v>0</v>
      </c>
      <c r="I1497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7">
        <f>IF(
  AND(subscriptions[[#This Row],[end_before_start]]=0, subscriptions[[#This Row],[status_end_mismatch]]=0),
  1,
  0
)</f>
        <v>1</v>
      </c>
    </row>
    <row r="1498" spans="1:10" x14ac:dyDescent="0.3">
      <c r="A1498">
        <v>4192453</v>
      </c>
      <c r="B1498">
        <v>791609</v>
      </c>
      <c r="C1498">
        <v>1006</v>
      </c>
      <c r="D1498" s="1">
        <v>45029</v>
      </c>
      <c r="E1498" s="1"/>
      <c r="F1498" t="s">
        <v>3480</v>
      </c>
      <c r="G1498" t="str">
        <f>IF(ISNA(_xlfn.XLOOKUP(subscriptions[[#This Row],[customer_id]], customers[customer_id], customers[customer_id])), "NO", "YES")</f>
        <v>YES</v>
      </c>
      <c r="H1498">
        <f>IF(AND(subscriptions[[#This Row],[end_date]]&lt;&gt;"", subscriptions[[#This Row],[end_date]] &lt; subscriptions[[#This Row],[start_date]]), 1, 0)</f>
        <v>0</v>
      </c>
      <c r="I1498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8">
        <f>IF(
  AND(subscriptions[[#This Row],[end_before_start]]=0, subscriptions[[#This Row],[status_end_mismatch]]=0),
  1,
  0
)</f>
        <v>1</v>
      </c>
    </row>
    <row r="1499" spans="1:10" x14ac:dyDescent="0.3">
      <c r="A1499">
        <v>1716378</v>
      </c>
      <c r="B1499">
        <v>420214</v>
      </c>
      <c r="C1499">
        <v>1006</v>
      </c>
      <c r="D1499" s="1">
        <v>45284</v>
      </c>
      <c r="E1499" s="1"/>
      <c r="F1499" t="s">
        <v>3480</v>
      </c>
      <c r="G1499" t="str">
        <f>IF(ISNA(_xlfn.XLOOKUP(subscriptions[[#This Row],[customer_id]], customers[customer_id], customers[customer_id])), "NO", "YES")</f>
        <v>YES</v>
      </c>
      <c r="H1499">
        <f>IF(AND(subscriptions[[#This Row],[end_date]]&lt;&gt;"", subscriptions[[#This Row],[end_date]] &lt; subscriptions[[#This Row],[start_date]]), 1, 0)</f>
        <v>0</v>
      </c>
      <c r="I1499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499">
        <f>IF(
  AND(subscriptions[[#This Row],[end_before_start]]=0, subscriptions[[#This Row],[status_end_mismatch]]=0),
  1,
  0
)</f>
        <v>1</v>
      </c>
    </row>
    <row r="1500" spans="1:10" x14ac:dyDescent="0.3">
      <c r="A1500">
        <v>8745037</v>
      </c>
      <c r="B1500">
        <v>126240</v>
      </c>
      <c r="C1500">
        <v>1005</v>
      </c>
      <c r="D1500" s="1">
        <v>45226</v>
      </c>
      <c r="E1500" s="1">
        <v>45462</v>
      </c>
      <c r="F1500" t="s">
        <v>3479</v>
      </c>
      <c r="G1500" t="str">
        <f>IF(ISNA(_xlfn.XLOOKUP(subscriptions[[#This Row],[customer_id]], customers[customer_id], customers[customer_id])), "NO", "YES")</f>
        <v>YES</v>
      </c>
      <c r="H1500">
        <f>IF(AND(subscriptions[[#This Row],[end_date]]&lt;&gt;"", subscriptions[[#This Row],[end_date]] &lt; subscriptions[[#This Row],[start_date]]), 1, 0)</f>
        <v>0</v>
      </c>
      <c r="I1500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00">
        <f>IF(
  AND(subscriptions[[#This Row],[end_before_start]]=0, subscriptions[[#This Row],[status_end_mismatch]]=0),
  1,
  0
)</f>
        <v>1</v>
      </c>
    </row>
    <row r="1501" spans="1:10" x14ac:dyDescent="0.3">
      <c r="A1501">
        <v>8778317</v>
      </c>
      <c r="B1501">
        <v>584617</v>
      </c>
      <c r="C1501">
        <v>1000</v>
      </c>
      <c r="D1501" s="1">
        <v>45513</v>
      </c>
      <c r="E1501" s="1"/>
      <c r="F1501" t="s">
        <v>3480</v>
      </c>
      <c r="G1501" t="str">
        <f>IF(ISNA(_xlfn.XLOOKUP(subscriptions[[#This Row],[customer_id]], customers[customer_id], customers[customer_id])), "NO", "YES")</f>
        <v>YES</v>
      </c>
      <c r="H1501">
        <f>IF(AND(subscriptions[[#This Row],[end_date]]&lt;&gt;"", subscriptions[[#This Row],[end_date]] &lt; subscriptions[[#This Row],[start_date]]), 1, 0)</f>
        <v>0</v>
      </c>
      <c r="I1501">
        <f>IF(
  OR(
    AND(subscriptions[[#This Row],[status]]="active", subscriptions[[#This Row],[end_date]]&lt;&gt;""),
    AND(subscriptions[[#This Row],[status]]="churned", subscriptions[[#This Row],[end_date]]="")
  ),
  1,
  0
)</f>
        <v>0</v>
      </c>
      <c r="J1501">
        <f>IF(
  AND(subscriptions[[#This Row],[end_before_start]]=0, subscriptions[[#This Row],[status_end_mismatch]]=0),
  1,
  0
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2E54-208E-4BE8-A7DE-A8719D4C1324}">
  <dimension ref="A1:K3501"/>
  <sheetViews>
    <sheetView workbookViewId="0">
      <selection activeCell="K1" sqref="K1:K1048576"/>
    </sheetView>
  </sheetViews>
  <sheetFormatPr defaultRowHeight="14.4" x14ac:dyDescent="0.3"/>
  <cols>
    <col min="1" max="1" width="13" bestFit="1" customWidth="1"/>
    <col min="2" max="2" width="16.21875" bestFit="1" customWidth="1"/>
    <col min="3" max="3" width="15.109375" bestFit="1" customWidth="1"/>
    <col min="4" max="4" width="9.5546875" bestFit="1" customWidth="1"/>
    <col min="5" max="5" width="19.5546875" hidden="1" customWidth="1"/>
    <col min="6" max="6" width="15.5546875" bestFit="1" customWidth="1"/>
    <col min="7" max="7" width="14.6640625" bestFit="1" customWidth="1"/>
    <col min="8" max="8" width="13.21875" hidden="1" customWidth="1"/>
    <col min="9" max="9" width="11" hidden="1" customWidth="1"/>
    <col min="10" max="10" width="16.109375" hidden="1" customWidth="1"/>
    <col min="11" max="11" width="17.77734375" hidden="1" customWidth="1"/>
  </cols>
  <sheetData>
    <row r="1" spans="1:11" x14ac:dyDescent="0.3">
      <c r="A1" t="s">
        <v>3481</v>
      </c>
      <c r="B1" t="s">
        <v>3475</v>
      </c>
      <c r="C1" t="s">
        <v>3482</v>
      </c>
      <c r="D1" t="s">
        <v>3483</v>
      </c>
      <c r="E1" t="s">
        <v>3498</v>
      </c>
      <c r="F1" t="s">
        <v>3499</v>
      </c>
      <c r="G1" t="s">
        <v>3500</v>
      </c>
      <c r="H1" t="s">
        <v>3501</v>
      </c>
      <c r="I1" t="s">
        <v>3502</v>
      </c>
      <c r="J1" t="s">
        <v>3503</v>
      </c>
      <c r="K1" t="s">
        <v>3504</v>
      </c>
    </row>
    <row r="2" spans="1:11" x14ac:dyDescent="0.3">
      <c r="A2">
        <v>29070042</v>
      </c>
      <c r="B2">
        <v>8266453</v>
      </c>
      <c r="C2" s="1">
        <v>45364</v>
      </c>
      <c r="D2">
        <v>1490</v>
      </c>
      <c r="E2">
        <f>IF(
  ISNA(
    _xlfn.XLOOKUP(
      payments_raw[[#This Row],[subscription_id]],
      subscriptions[subscription_id],
      subscriptions[subscription_id]
    )
  ),
  0,
  1
)</f>
        <v>1</v>
      </c>
      <c r="F2" s="1">
        <f>_xlfn.XLOOKUP(payments_raw[[#This Row],[subscription_id]], subscriptions[subscription_id], subscriptions[start_date])</f>
        <v>44970</v>
      </c>
      <c r="G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" s="2">
        <f>IF(payments_raw[[#This Row],[payment_date]] &lt; payments_raw[[#This Row],[sub_start_date]], 1, 0)</f>
        <v>0</v>
      </c>
      <c r="I2" s="2">
        <f>IF(AND(payments_raw[[#This Row],[sub_end_date]]&lt;&gt;"", payments_raw[[#This Row],[payment_date]] &gt; payments_raw[[#This Row],[sub_end_date]]), 1, 0)</f>
        <v>0</v>
      </c>
      <c r="J2" s="2">
        <f>IF(payments_raw[[#This Row],[amount]] &lt;= 0, 1, 0)</f>
        <v>0</v>
      </c>
      <c r="K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" spans="1:11" x14ac:dyDescent="0.3">
      <c r="A3">
        <v>13285625</v>
      </c>
      <c r="B3">
        <v>3457722</v>
      </c>
      <c r="C3" s="1">
        <v>44997</v>
      </c>
      <c r="D3">
        <v>149</v>
      </c>
      <c r="E3">
        <f>IF(
  ISNA(
    _xlfn.XLOOKUP(
      payments_raw[[#This Row],[subscription_id]],
      subscriptions[subscription_id],
      subscriptions[subscription_id]
    )
  ),
  0,
  1
)</f>
        <v>1</v>
      </c>
      <c r="F3" s="1">
        <f>_xlfn.XLOOKUP(payments_raw[[#This Row],[subscription_id]], subscriptions[subscription_id], subscriptions[start_date])</f>
        <v>44855</v>
      </c>
      <c r="G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" s="2">
        <f>IF(payments_raw[[#This Row],[payment_date]] &lt; payments_raw[[#This Row],[sub_start_date]], 1, 0)</f>
        <v>0</v>
      </c>
      <c r="I3" s="2">
        <f>IF(AND(payments_raw[[#This Row],[sub_end_date]]&lt;&gt;"", payments_raw[[#This Row],[payment_date]] &gt; payments_raw[[#This Row],[sub_end_date]]), 1, 0)</f>
        <v>0</v>
      </c>
      <c r="J3" s="2">
        <f>IF(payments_raw[[#This Row],[amount]] &lt;= 0, 1, 0)</f>
        <v>0</v>
      </c>
      <c r="K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" spans="1:11" x14ac:dyDescent="0.3">
      <c r="A4">
        <v>61198338</v>
      </c>
      <c r="B4">
        <v>3376783</v>
      </c>
      <c r="C4" s="1">
        <v>45213</v>
      </c>
      <c r="D4">
        <v>149</v>
      </c>
      <c r="E4">
        <f>IF(
  ISNA(
    _xlfn.XLOOKUP(
      payments_raw[[#This Row],[subscription_id]],
      subscriptions[subscription_id],
      subscriptions[subscription_id]
    )
  ),
  0,
  1
)</f>
        <v>1</v>
      </c>
      <c r="F4" s="1">
        <f>_xlfn.XLOOKUP(payments_raw[[#This Row],[subscription_id]], subscriptions[subscription_id], subscriptions[start_date])</f>
        <v>45175</v>
      </c>
      <c r="G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4" s="2">
        <f>IF(payments_raw[[#This Row],[payment_date]] &lt; payments_raw[[#This Row],[sub_start_date]], 1, 0)</f>
        <v>0</v>
      </c>
      <c r="I4" s="2">
        <f>IF(AND(payments_raw[[#This Row],[sub_end_date]]&lt;&gt;"", payments_raw[[#This Row],[payment_date]] &gt; payments_raw[[#This Row],[sub_end_date]]), 1, 0)</f>
        <v>0</v>
      </c>
      <c r="J4" s="2">
        <f>IF(payments_raw[[#This Row],[amount]] &lt;= 0, 1, 0)</f>
        <v>0</v>
      </c>
      <c r="K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" spans="1:11" x14ac:dyDescent="0.3">
      <c r="A5">
        <v>11872359</v>
      </c>
      <c r="B5">
        <v>6196562</v>
      </c>
      <c r="C5" s="1">
        <v>45203</v>
      </c>
      <c r="D5">
        <v>19</v>
      </c>
      <c r="E5">
        <f>IF(
  ISNA(
    _xlfn.XLOOKUP(
      payments_raw[[#This Row],[subscription_id]],
      subscriptions[subscription_id],
      subscriptions[subscription_id]
    )
  ),
  0,
  1
)</f>
        <v>1</v>
      </c>
      <c r="F5" s="1">
        <f>_xlfn.XLOOKUP(payments_raw[[#This Row],[subscription_id]], subscriptions[subscription_id], subscriptions[start_date])</f>
        <v>44981</v>
      </c>
      <c r="G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45345</v>
      </c>
      <c r="H5" s="2">
        <f>IF(payments_raw[[#This Row],[payment_date]] &lt; payments_raw[[#This Row],[sub_start_date]], 1, 0)</f>
        <v>0</v>
      </c>
      <c r="I5" s="2">
        <f>IF(AND(payments_raw[[#This Row],[sub_end_date]]&lt;&gt;"", payments_raw[[#This Row],[payment_date]] &gt; payments_raw[[#This Row],[sub_end_date]]), 1, 0)</f>
        <v>0</v>
      </c>
      <c r="J5" s="2">
        <f>IF(payments_raw[[#This Row],[amount]] &lt;= 0, 1, 0)</f>
        <v>0</v>
      </c>
      <c r="K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" spans="1:11" x14ac:dyDescent="0.3">
      <c r="A6">
        <v>98821543</v>
      </c>
      <c r="B6">
        <v>2945459</v>
      </c>
      <c r="C6" s="1">
        <v>45528</v>
      </c>
      <c r="D6">
        <v>1490</v>
      </c>
      <c r="E6">
        <f>IF(
  ISNA(
    _xlfn.XLOOKUP(
      payments_raw[[#This Row],[subscription_id]],
      subscriptions[subscription_id],
      subscriptions[subscription_id]
    )
  ),
  0,
  1
)</f>
        <v>1</v>
      </c>
      <c r="F6" s="1">
        <f>_xlfn.XLOOKUP(payments_raw[[#This Row],[subscription_id]], subscriptions[subscription_id], subscriptions[start_date])</f>
        <v>45484</v>
      </c>
      <c r="G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" s="2">
        <f>IF(payments_raw[[#This Row],[payment_date]] &lt; payments_raw[[#This Row],[sub_start_date]], 1, 0)</f>
        <v>0</v>
      </c>
      <c r="I6" s="2">
        <f>IF(AND(payments_raw[[#This Row],[sub_end_date]]&lt;&gt;"", payments_raw[[#This Row],[payment_date]] &gt; payments_raw[[#This Row],[sub_end_date]]), 1, 0)</f>
        <v>0</v>
      </c>
      <c r="J6" s="2">
        <f>IF(payments_raw[[#This Row],[amount]] &lt;= 0, 1, 0)</f>
        <v>0</v>
      </c>
      <c r="K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" spans="1:11" x14ac:dyDescent="0.3">
      <c r="A7">
        <v>34683931</v>
      </c>
      <c r="B7">
        <v>2084084</v>
      </c>
      <c r="C7" s="1">
        <v>45276</v>
      </c>
      <c r="D7">
        <v>2242.5</v>
      </c>
      <c r="E7">
        <f>IF(
  ISNA(
    _xlfn.XLOOKUP(
      payments_raw[[#This Row],[subscription_id]],
      subscriptions[subscription_id],
      subscriptions[subscription_id]
    )
  ),
  0,
  1
)</f>
        <v>1</v>
      </c>
      <c r="F7" s="1">
        <f>_xlfn.XLOOKUP(payments_raw[[#This Row],[subscription_id]], subscriptions[subscription_id], subscriptions[start_date])</f>
        <v>45165</v>
      </c>
      <c r="G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" s="2">
        <f>IF(payments_raw[[#This Row],[payment_date]] &lt; payments_raw[[#This Row],[sub_start_date]], 1, 0)</f>
        <v>0</v>
      </c>
      <c r="I7" s="2">
        <f>IF(AND(payments_raw[[#This Row],[sub_end_date]]&lt;&gt;"", payments_raw[[#This Row],[payment_date]] &gt; payments_raw[[#This Row],[sub_end_date]]), 1, 0)</f>
        <v>0</v>
      </c>
      <c r="J7" s="2">
        <f>IF(payments_raw[[#This Row],[amount]] &lt;= 0, 1, 0)</f>
        <v>0</v>
      </c>
      <c r="K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" spans="1:11" x14ac:dyDescent="0.3">
      <c r="A8">
        <v>73389452</v>
      </c>
      <c r="B8">
        <v>7288704</v>
      </c>
      <c r="C8" s="1">
        <v>44723</v>
      </c>
      <c r="D8">
        <v>79</v>
      </c>
      <c r="E8">
        <f>IF(
  ISNA(
    _xlfn.XLOOKUP(
      payments_raw[[#This Row],[subscription_id]],
      subscriptions[subscription_id],
      subscriptions[subscription_id]
    )
  ),
  0,
  1
)</f>
        <v>1</v>
      </c>
      <c r="F8" s="1">
        <f>_xlfn.XLOOKUP(payments_raw[[#This Row],[subscription_id]], subscriptions[subscription_id], subscriptions[start_date])</f>
        <v>44704</v>
      </c>
      <c r="G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44830</v>
      </c>
      <c r="H8" s="2">
        <f>IF(payments_raw[[#This Row],[payment_date]] &lt; payments_raw[[#This Row],[sub_start_date]], 1, 0)</f>
        <v>0</v>
      </c>
      <c r="I8" s="2">
        <f>IF(AND(payments_raw[[#This Row],[sub_end_date]]&lt;&gt;"", payments_raw[[#This Row],[payment_date]] &gt; payments_raw[[#This Row],[sub_end_date]]), 1, 0)</f>
        <v>0</v>
      </c>
      <c r="J8" s="2">
        <f>IF(payments_raw[[#This Row],[amount]] &lt;= 0, 1, 0)</f>
        <v>0</v>
      </c>
      <c r="K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" spans="1:11" x14ac:dyDescent="0.3">
      <c r="A9">
        <v>36542426</v>
      </c>
      <c r="B9">
        <v>2728894</v>
      </c>
      <c r="C9" s="1">
        <v>44754</v>
      </c>
      <c r="D9">
        <v>19</v>
      </c>
      <c r="E9">
        <f>IF(
  ISNA(
    _xlfn.XLOOKUP(
      payments_raw[[#This Row],[subscription_id]],
      subscriptions[subscription_id],
      subscriptions[subscription_id]
    )
  ),
  0,
  1
)</f>
        <v>1</v>
      </c>
      <c r="F9" s="1">
        <f>_xlfn.XLOOKUP(payments_raw[[#This Row],[subscription_id]], subscriptions[subscription_id], subscriptions[start_date])</f>
        <v>44743</v>
      </c>
      <c r="G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45081</v>
      </c>
      <c r="H9" s="2">
        <f>IF(payments_raw[[#This Row],[payment_date]] &lt; payments_raw[[#This Row],[sub_start_date]], 1, 0)</f>
        <v>0</v>
      </c>
      <c r="I9" s="2">
        <f>IF(AND(payments_raw[[#This Row],[sub_end_date]]&lt;&gt;"", payments_raw[[#This Row],[payment_date]] &gt; payments_raw[[#This Row],[sub_end_date]]), 1, 0)</f>
        <v>0</v>
      </c>
      <c r="J9" s="2">
        <f>IF(payments_raw[[#This Row],[amount]] &lt;= 0, 1, 0)</f>
        <v>0</v>
      </c>
      <c r="K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" spans="1:11" x14ac:dyDescent="0.3">
      <c r="A10">
        <v>31248859</v>
      </c>
      <c r="B10">
        <v>1675388</v>
      </c>
      <c r="C10" s="1">
        <v>45145</v>
      </c>
      <c r="D10">
        <v>190</v>
      </c>
      <c r="E10">
        <f>IF(
  ISNA(
    _xlfn.XLOOKUP(
      payments_raw[[#This Row],[subscription_id]],
      subscriptions[subscription_id],
      subscriptions[subscription_id]
    )
  ),
  0,
  1
)</f>
        <v>1</v>
      </c>
      <c r="F10" s="1">
        <f>_xlfn.XLOOKUP(payments_raw[[#This Row],[subscription_id]], subscriptions[subscription_id], subscriptions[start_date])</f>
        <v>44835</v>
      </c>
      <c r="G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" s="2">
        <f>IF(payments_raw[[#This Row],[payment_date]] &lt; payments_raw[[#This Row],[sub_start_date]], 1, 0)</f>
        <v>0</v>
      </c>
      <c r="I10" s="2">
        <f>IF(AND(payments_raw[[#This Row],[sub_end_date]]&lt;&gt;"", payments_raw[[#This Row],[payment_date]] &gt; payments_raw[[#This Row],[sub_end_date]]), 1, 0)</f>
        <v>0</v>
      </c>
      <c r="J10" s="2">
        <f>IF(payments_raw[[#This Row],[amount]] &lt;= 0, 1, 0)</f>
        <v>0</v>
      </c>
      <c r="K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" spans="1:11" x14ac:dyDescent="0.3">
      <c r="A11">
        <v>83729641</v>
      </c>
      <c r="B11">
        <v>3860246</v>
      </c>
      <c r="C11" s="1">
        <v>45397</v>
      </c>
      <c r="D11">
        <v>2990</v>
      </c>
      <c r="E11">
        <f>IF(
  ISNA(
    _xlfn.XLOOKUP(
      payments_raw[[#This Row],[subscription_id]],
      subscriptions[subscription_id],
      subscriptions[subscription_id]
    )
  ),
  0,
  1
)</f>
        <v>1</v>
      </c>
      <c r="F11" s="1">
        <f>_xlfn.XLOOKUP(payments_raw[[#This Row],[subscription_id]], subscriptions[subscription_id], subscriptions[start_date])</f>
        <v>45326</v>
      </c>
      <c r="G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45529</v>
      </c>
      <c r="H11" s="2">
        <f>IF(payments_raw[[#This Row],[payment_date]] &lt; payments_raw[[#This Row],[sub_start_date]], 1, 0)</f>
        <v>0</v>
      </c>
      <c r="I11" s="2">
        <f>IF(AND(payments_raw[[#This Row],[sub_end_date]]&lt;&gt;"", payments_raw[[#This Row],[payment_date]] &gt; payments_raw[[#This Row],[sub_end_date]]), 1, 0)</f>
        <v>0</v>
      </c>
      <c r="J11" s="2">
        <f>IF(payments_raw[[#This Row],[amount]] &lt;= 0, 1, 0)</f>
        <v>0</v>
      </c>
      <c r="K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" spans="1:11" x14ac:dyDescent="0.3">
      <c r="A12">
        <v>75301591</v>
      </c>
      <c r="B12">
        <v>3578194</v>
      </c>
      <c r="C12" s="1">
        <v>45272</v>
      </c>
      <c r="D12">
        <v>2990</v>
      </c>
      <c r="E12">
        <f>IF(
  ISNA(
    _xlfn.XLOOKUP(
      payments_raw[[#This Row],[subscription_id]],
      subscriptions[subscription_id],
      subscriptions[subscription_id]
    )
  ),
  0,
  1
)</f>
        <v>1</v>
      </c>
      <c r="F12" s="1">
        <f>_xlfn.XLOOKUP(payments_raw[[#This Row],[subscription_id]], subscriptions[subscription_id], subscriptions[start_date])</f>
        <v>44651</v>
      </c>
      <c r="G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" s="2">
        <f>IF(payments_raw[[#This Row],[payment_date]] &lt; payments_raw[[#This Row],[sub_start_date]], 1, 0)</f>
        <v>0</v>
      </c>
      <c r="I12" s="2">
        <f>IF(AND(payments_raw[[#This Row],[sub_end_date]]&lt;&gt;"", payments_raw[[#This Row],[payment_date]] &gt; payments_raw[[#This Row],[sub_end_date]]), 1, 0)</f>
        <v>0</v>
      </c>
      <c r="J12" s="2">
        <f>IF(payments_raw[[#This Row],[amount]] &lt;= 0, 1, 0)</f>
        <v>0</v>
      </c>
      <c r="K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" spans="1:11" x14ac:dyDescent="0.3">
      <c r="A13">
        <v>68096981</v>
      </c>
      <c r="B13">
        <v>1854070</v>
      </c>
      <c r="C13" s="1">
        <v>45538</v>
      </c>
      <c r="D13">
        <v>39</v>
      </c>
      <c r="E13">
        <f>IF(
  ISNA(
    _xlfn.XLOOKUP(
      payments_raw[[#This Row],[subscription_id]],
      subscriptions[subscription_id],
      subscriptions[subscription_id]
    )
  ),
  0,
  1
)</f>
        <v>1</v>
      </c>
      <c r="F13" s="1">
        <f>_xlfn.XLOOKUP(payments_raw[[#This Row],[subscription_id]], subscriptions[subscription_id], subscriptions[start_date])</f>
        <v>45427</v>
      </c>
      <c r="G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" s="2">
        <f>IF(payments_raw[[#This Row],[payment_date]] &lt; payments_raw[[#This Row],[sub_start_date]], 1, 0)</f>
        <v>0</v>
      </c>
      <c r="I13" s="2">
        <f>IF(AND(payments_raw[[#This Row],[sub_end_date]]&lt;&gt;"", payments_raw[[#This Row],[payment_date]] &gt; payments_raw[[#This Row],[sub_end_date]]), 1, 0)</f>
        <v>0</v>
      </c>
      <c r="J13" s="2">
        <f>IF(payments_raw[[#This Row],[amount]] &lt;= 0, 1, 0)</f>
        <v>0</v>
      </c>
      <c r="K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" spans="1:11" x14ac:dyDescent="0.3">
      <c r="A14">
        <v>31450764</v>
      </c>
      <c r="B14">
        <v>1996431</v>
      </c>
      <c r="C14" s="1">
        <v>45346</v>
      </c>
      <c r="D14">
        <v>2990</v>
      </c>
      <c r="E14">
        <f>IF(
  ISNA(
    _xlfn.XLOOKUP(
      payments_raw[[#This Row],[subscription_id]],
      subscriptions[subscription_id],
      subscriptions[subscription_id]
    )
  ),
  0,
  1
)</f>
        <v>1</v>
      </c>
      <c r="F14" s="1">
        <f>_xlfn.XLOOKUP(payments_raw[[#This Row],[subscription_id]], subscriptions[subscription_id], subscriptions[start_date])</f>
        <v>44847</v>
      </c>
      <c r="G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" s="2">
        <f>IF(payments_raw[[#This Row],[payment_date]] &lt; payments_raw[[#This Row],[sub_start_date]], 1, 0)</f>
        <v>0</v>
      </c>
      <c r="I14" s="2">
        <f>IF(AND(payments_raw[[#This Row],[sub_end_date]]&lt;&gt;"", payments_raw[[#This Row],[payment_date]] &gt; payments_raw[[#This Row],[sub_end_date]]), 1, 0)</f>
        <v>0</v>
      </c>
      <c r="J14" s="2">
        <f>IF(payments_raw[[#This Row],[amount]] &lt;= 0, 1, 0)</f>
        <v>0</v>
      </c>
      <c r="K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" spans="1:11" x14ac:dyDescent="0.3">
      <c r="A15">
        <v>18020907</v>
      </c>
      <c r="B15">
        <v>3919201</v>
      </c>
      <c r="C15" s="1">
        <v>45438</v>
      </c>
      <c r="D15">
        <v>79</v>
      </c>
      <c r="E15">
        <f>IF(
  ISNA(
    _xlfn.XLOOKUP(
      payments_raw[[#This Row],[subscription_id]],
      subscriptions[subscription_id],
      subscriptions[subscription_id]
    )
  ),
  0,
  1
)</f>
        <v>1</v>
      </c>
      <c r="F15" s="1">
        <f>_xlfn.XLOOKUP(payments_raw[[#This Row],[subscription_id]], subscriptions[subscription_id], subscriptions[start_date])</f>
        <v>45348</v>
      </c>
      <c r="G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45593</v>
      </c>
      <c r="H15" s="2">
        <f>IF(payments_raw[[#This Row],[payment_date]] &lt; payments_raw[[#This Row],[sub_start_date]], 1, 0)</f>
        <v>0</v>
      </c>
      <c r="I15" s="2">
        <f>IF(AND(payments_raw[[#This Row],[sub_end_date]]&lt;&gt;"", payments_raw[[#This Row],[payment_date]] &gt; payments_raw[[#This Row],[sub_end_date]]), 1, 0)</f>
        <v>0</v>
      </c>
      <c r="J15" s="2">
        <f>IF(payments_raw[[#This Row],[amount]] &lt;= 0, 1, 0)</f>
        <v>0</v>
      </c>
      <c r="K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" spans="1:11" x14ac:dyDescent="0.3">
      <c r="A16">
        <v>18979981</v>
      </c>
      <c r="B16">
        <v>6105140</v>
      </c>
      <c r="C16" s="1">
        <v>45046</v>
      </c>
      <c r="D16">
        <v>39</v>
      </c>
      <c r="E16">
        <f>IF(
  ISNA(
    _xlfn.XLOOKUP(
      payments_raw[[#This Row],[subscription_id]],
      subscriptions[subscription_id],
      subscriptions[subscription_id]
    )
  ),
  0,
  1
)</f>
        <v>1</v>
      </c>
      <c r="F16" s="1">
        <f>_xlfn.XLOOKUP(payments_raw[[#This Row],[subscription_id]], subscriptions[subscription_id], subscriptions[start_date])</f>
        <v>44715</v>
      </c>
      <c r="G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" s="2">
        <f>IF(payments_raw[[#This Row],[payment_date]] &lt; payments_raw[[#This Row],[sub_start_date]], 1, 0)</f>
        <v>0</v>
      </c>
      <c r="I16" s="2">
        <f>IF(AND(payments_raw[[#This Row],[sub_end_date]]&lt;&gt;"", payments_raw[[#This Row],[payment_date]] &gt; payments_raw[[#This Row],[sub_end_date]]), 1, 0)</f>
        <v>0</v>
      </c>
      <c r="J16" s="2">
        <f>IF(payments_raw[[#This Row],[amount]] &lt;= 0, 1, 0)</f>
        <v>0</v>
      </c>
      <c r="K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" spans="1:11" x14ac:dyDescent="0.3">
      <c r="A17">
        <v>91579904</v>
      </c>
      <c r="B17">
        <v>1179053</v>
      </c>
      <c r="C17" s="1">
        <v>45259</v>
      </c>
      <c r="D17">
        <v>79</v>
      </c>
      <c r="E17">
        <f>IF(
  ISNA(
    _xlfn.XLOOKUP(
      payments_raw[[#This Row],[subscription_id]],
      subscriptions[subscription_id],
      subscriptions[subscription_id]
    )
  ),
  0,
  1
)</f>
        <v>1</v>
      </c>
      <c r="F17" s="1">
        <f>_xlfn.XLOOKUP(payments_raw[[#This Row],[subscription_id]], subscriptions[subscription_id], subscriptions[start_date])</f>
        <v>44963</v>
      </c>
      <c r="G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" s="2">
        <f>IF(payments_raw[[#This Row],[payment_date]] &lt; payments_raw[[#This Row],[sub_start_date]], 1, 0)</f>
        <v>0</v>
      </c>
      <c r="I17" s="2">
        <f>IF(AND(payments_raw[[#This Row],[sub_end_date]]&lt;&gt;"", payments_raw[[#This Row],[payment_date]] &gt; payments_raw[[#This Row],[sub_end_date]]), 1, 0)</f>
        <v>0</v>
      </c>
      <c r="J17" s="2">
        <f>IF(payments_raw[[#This Row],[amount]] &lt;= 0, 1, 0)</f>
        <v>0</v>
      </c>
      <c r="K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" spans="1:11" x14ac:dyDescent="0.3">
      <c r="A18">
        <v>79627150</v>
      </c>
      <c r="B18">
        <v>5307726</v>
      </c>
      <c r="C18" s="1">
        <v>45645</v>
      </c>
      <c r="D18">
        <v>790</v>
      </c>
      <c r="E18">
        <f>IF(
  ISNA(
    _xlfn.XLOOKUP(
      payments_raw[[#This Row],[subscription_id]],
      subscriptions[subscription_id],
      subscriptions[subscription_id]
    )
  ),
  0,
  1
)</f>
        <v>1</v>
      </c>
      <c r="F18" s="1">
        <f>_xlfn.XLOOKUP(payments_raw[[#This Row],[subscription_id]], subscriptions[subscription_id], subscriptions[start_date])</f>
        <v>44633</v>
      </c>
      <c r="G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" s="2">
        <f>IF(payments_raw[[#This Row],[payment_date]] &lt; payments_raw[[#This Row],[sub_start_date]], 1, 0)</f>
        <v>0</v>
      </c>
      <c r="I18" s="2">
        <f>IF(AND(payments_raw[[#This Row],[sub_end_date]]&lt;&gt;"", payments_raw[[#This Row],[payment_date]] &gt; payments_raw[[#This Row],[sub_end_date]]), 1, 0)</f>
        <v>0</v>
      </c>
      <c r="J18" s="2">
        <f>IF(payments_raw[[#This Row],[amount]] &lt;= 0, 1, 0)</f>
        <v>0</v>
      </c>
      <c r="K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" spans="1:11" x14ac:dyDescent="0.3">
      <c r="A19">
        <v>65880935</v>
      </c>
      <c r="B19">
        <v>3998561</v>
      </c>
      <c r="C19" s="1">
        <v>45413</v>
      </c>
      <c r="D19">
        <v>14.25</v>
      </c>
      <c r="E19">
        <f>IF(
  ISNA(
    _xlfn.XLOOKUP(
      payments_raw[[#This Row],[subscription_id]],
      subscriptions[subscription_id],
      subscriptions[subscription_id]
    )
  ),
  0,
  1
)</f>
        <v>1</v>
      </c>
      <c r="F19" s="1">
        <f>_xlfn.XLOOKUP(payments_raw[[#This Row],[subscription_id]], subscriptions[subscription_id], subscriptions[start_date])</f>
        <v>45162</v>
      </c>
      <c r="G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" s="2">
        <f>IF(payments_raw[[#This Row],[payment_date]] &lt; payments_raw[[#This Row],[sub_start_date]], 1, 0)</f>
        <v>0</v>
      </c>
      <c r="I19" s="2">
        <f>IF(AND(payments_raw[[#This Row],[sub_end_date]]&lt;&gt;"", payments_raw[[#This Row],[payment_date]] &gt; payments_raw[[#This Row],[sub_end_date]]), 1, 0)</f>
        <v>0</v>
      </c>
      <c r="J19" s="2">
        <f>IF(payments_raw[[#This Row],[amount]] &lt;= 0, 1, 0)</f>
        <v>0</v>
      </c>
      <c r="K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" spans="1:11" x14ac:dyDescent="0.3">
      <c r="A20">
        <v>94759650</v>
      </c>
      <c r="B20">
        <v>7291774</v>
      </c>
      <c r="C20" s="1">
        <v>44845</v>
      </c>
      <c r="D20">
        <v>149</v>
      </c>
      <c r="E20">
        <f>IF(
  ISNA(
    _xlfn.XLOOKUP(
      payments_raw[[#This Row],[subscription_id]],
      subscriptions[subscription_id],
      subscriptions[subscription_id]
    )
  ),
  0,
  1
)</f>
        <v>1</v>
      </c>
      <c r="F20" s="1">
        <f>_xlfn.XLOOKUP(payments_raw[[#This Row],[subscription_id]], subscriptions[subscription_id], subscriptions[start_date])</f>
        <v>44683</v>
      </c>
      <c r="G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" s="2">
        <f>IF(payments_raw[[#This Row],[payment_date]] &lt; payments_raw[[#This Row],[sub_start_date]], 1, 0)</f>
        <v>0</v>
      </c>
      <c r="I20" s="2">
        <f>IF(AND(payments_raw[[#This Row],[sub_end_date]]&lt;&gt;"", payments_raw[[#This Row],[payment_date]] &gt; payments_raw[[#This Row],[sub_end_date]]), 1, 0)</f>
        <v>0</v>
      </c>
      <c r="J20" s="2">
        <f>IF(payments_raw[[#This Row],[amount]] &lt;= 0, 1, 0)</f>
        <v>0</v>
      </c>
      <c r="K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" spans="1:11" x14ac:dyDescent="0.3">
      <c r="A21">
        <v>51689626</v>
      </c>
      <c r="B21">
        <v>9347047</v>
      </c>
      <c r="C21" s="1">
        <v>44848</v>
      </c>
      <c r="D21">
        <v>390</v>
      </c>
      <c r="E21">
        <f>IF(
  ISNA(
    _xlfn.XLOOKUP(
      payments_raw[[#This Row],[subscription_id]],
      subscriptions[subscription_id],
      subscriptions[subscription_id]
    )
  ),
  0,
  1
)</f>
        <v>1</v>
      </c>
      <c r="F21" s="1">
        <f>_xlfn.XLOOKUP(payments_raw[[#This Row],[subscription_id]], subscriptions[subscription_id], subscriptions[start_date])</f>
        <v>44761</v>
      </c>
      <c r="G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21" s="2">
        <f>IF(payments_raw[[#This Row],[payment_date]] &lt; payments_raw[[#This Row],[sub_start_date]], 1, 0)</f>
        <v>0</v>
      </c>
      <c r="I21" s="2">
        <f>IF(AND(payments_raw[[#This Row],[sub_end_date]]&lt;&gt;"", payments_raw[[#This Row],[payment_date]] &gt; payments_raw[[#This Row],[sub_end_date]]), 1, 0)</f>
        <v>0</v>
      </c>
      <c r="J21" s="2">
        <f>IF(payments_raw[[#This Row],[amount]] &lt;= 0, 1, 0)</f>
        <v>0</v>
      </c>
      <c r="K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" spans="1:11" x14ac:dyDescent="0.3">
      <c r="A22">
        <v>92091154</v>
      </c>
      <c r="B22">
        <v>4158231</v>
      </c>
      <c r="C22" s="1">
        <v>45135</v>
      </c>
      <c r="D22">
        <v>299</v>
      </c>
      <c r="E22">
        <f>IF(
  ISNA(
    _xlfn.XLOOKUP(
      payments_raw[[#This Row],[subscription_id]],
      subscriptions[subscription_id],
      subscriptions[subscription_id]
    )
  ),
  0,
  1
)</f>
        <v>1</v>
      </c>
      <c r="F22" s="1">
        <f>_xlfn.XLOOKUP(payments_raw[[#This Row],[subscription_id]], subscriptions[subscription_id], subscriptions[start_date])</f>
        <v>45120</v>
      </c>
      <c r="G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45240</v>
      </c>
      <c r="H22" s="2">
        <f>IF(payments_raw[[#This Row],[payment_date]] &lt; payments_raw[[#This Row],[sub_start_date]], 1, 0)</f>
        <v>0</v>
      </c>
      <c r="I22" s="2">
        <f>IF(AND(payments_raw[[#This Row],[sub_end_date]]&lt;&gt;"", payments_raw[[#This Row],[payment_date]] &gt; payments_raw[[#This Row],[sub_end_date]]), 1, 0)</f>
        <v>0</v>
      </c>
      <c r="J22" s="2">
        <f>IF(payments_raw[[#This Row],[amount]] &lt;= 0, 1, 0)</f>
        <v>0</v>
      </c>
      <c r="K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" spans="1:11" x14ac:dyDescent="0.3">
      <c r="A23">
        <v>81086637</v>
      </c>
      <c r="B23">
        <v>3071382</v>
      </c>
      <c r="C23" s="1">
        <v>45266</v>
      </c>
      <c r="D23">
        <v>299</v>
      </c>
      <c r="E23">
        <f>IF(
  ISNA(
    _xlfn.XLOOKUP(
      payments_raw[[#This Row],[subscription_id]],
      subscriptions[subscription_id],
      subscriptions[subscription_id]
    )
  ),
  0,
  1
)</f>
        <v>1</v>
      </c>
      <c r="F23" s="1">
        <f>_xlfn.XLOOKUP(payments_raw[[#This Row],[subscription_id]], subscriptions[subscription_id], subscriptions[start_date])</f>
        <v>45122</v>
      </c>
      <c r="G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45513</v>
      </c>
      <c r="H23" s="2">
        <f>IF(payments_raw[[#This Row],[payment_date]] &lt; payments_raw[[#This Row],[sub_start_date]], 1, 0)</f>
        <v>0</v>
      </c>
      <c r="I23" s="2">
        <f>IF(AND(payments_raw[[#This Row],[sub_end_date]]&lt;&gt;"", payments_raw[[#This Row],[payment_date]] &gt; payments_raw[[#This Row],[sub_end_date]]), 1, 0)</f>
        <v>0</v>
      </c>
      <c r="J23" s="2">
        <f>IF(payments_raw[[#This Row],[amount]] &lt;= 0, 1, 0)</f>
        <v>0</v>
      </c>
      <c r="K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" spans="1:11" x14ac:dyDescent="0.3">
      <c r="A24">
        <v>60110818</v>
      </c>
      <c r="B24">
        <v>4458774</v>
      </c>
      <c r="C24" s="1">
        <v>45643</v>
      </c>
      <c r="D24">
        <v>299</v>
      </c>
      <c r="E24">
        <f>IF(
  ISNA(
    _xlfn.XLOOKUP(
      payments_raw[[#This Row],[subscription_id]],
      subscriptions[subscription_id],
      subscriptions[subscription_id]
    )
  ),
  0,
  1
)</f>
        <v>1</v>
      </c>
      <c r="F24" s="1">
        <f>_xlfn.XLOOKUP(payments_raw[[#This Row],[subscription_id]], subscriptions[subscription_id], subscriptions[start_date])</f>
        <v>45467</v>
      </c>
      <c r="G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" s="2">
        <f>IF(payments_raw[[#This Row],[payment_date]] &lt; payments_raw[[#This Row],[sub_start_date]], 1, 0)</f>
        <v>0</v>
      </c>
      <c r="I24" s="2">
        <f>IF(AND(payments_raw[[#This Row],[sub_end_date]]&lt;&gt;"", payments_raw[[#This Row],[payment_date]] &gt; payments_raw[[#This Row],[sub_end_date]]), 1, 0)</f>
        <v>0</v>
      </c>
      <c r="J24" s="2">
        <f>IF(payments_raw[[#This Row],[amount]] &lt;= 0, 1, 0)</f>
        <v>0</v>
      </c>
      <c r="K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" spans="1:11" x14ac:dyDescent="0.3">
      <c r="A25">
        <v>59602515</v>
      </c>
      <c r="B25">
        <v>8263690</v>
      </c>
      <c r="C25" s="1">
        <v>45542</v>
      </c>
      <c r="D25">
        <v>790</v>
      </c>
      <c r="E25">
        <f>IF(
  ISNA(
    _xlfn.XLOOKUP(
      payments_raw[[#This Row],[subscription_id]],
      subscriptions[subscription_id],
      subscriptions[subscription_id]
    )
  ),
  0,
  1
)</f>
        <v>1</v>
      </c>
      <c r="F25" s="1">
        <f>_xlfn.XLOOKUP(payments_raw[[#This Row],[subscription_id]], subscriptions[subscription_id], subscriptions[start_date])</f>
        <v>45253</v>
      </c>
      <c r="G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" s="2">
        <f>IF(payments_raw[[#This Row],[payment_date]] &lt; payments_raw[[#This Row],[sub_start_date]], 1, 0)</f>
        <v>0</v>
      </c>
      <c r="I25" s="2">
        <f>IF(AND(payments_raw[[#This Row],[sub_end_date]]&lt;&gt;"", payments_raw[[#This Row],[payment_date]] &gt; payments_raw[[#This Row],[sub_end_date]]), 1, 0)</f>
        <v>0</v>
      </c>
      <c r="J25" s="2">
        <f>IF(payments_raw[[#This Row],[amount]] &lt;= 0, 1, 0)</f>
        <v>0</v>
      </c>
      <c r="K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" spans="1:11" x14ac:dyDescent="0.3">
      <c r="A26">
        <v>18472493</v>
      </c>
      <c r="B26">
        <v>8075570</v>
      </c>
      <c r="C26" s="1">
        <v>44947</v>
      </c>
      <c r="D26">
        <v>190</v>
      </c>
      <c r="E26">
        <f>IF(
  ISNA(
    _xlfn.XLOOKUP(
      payments_raw[[#This Row],[subscription_id]],
      subscriptions[subscription_id],
      subscriptions[subscription_id]
    )
  ),
  0,
  1
)</f>
        <v>1</v>
      </c>
      <c r="F26" s="1">
        <f>_xlfn.XLOOKUP(payments_raw[[#This Row],[subscription_id]], subscriptions[subscription_id], subscriptions[start_date])</f>
        <v>44929</v>
      </c>
      <c r="G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" s="2">
        <f>IF(payments_raw[[#This Row],[payment_date]] &lt; payments_raw[[#This Row],[sub_start_date]], 1, 0)</f>
        <v>0</v>
      </c>
      <c r="I26" s="2">
        <f>IF(AND(payments_raw[[#This Row],[sub_end_date]]&lt;&gt;"", payments_raw[[#This Row],[payment_date]] &gt; payments_raw[[#This Row],[sub_end_date]]), 1, 0)</f>
        <v>0</v>
      </c>
      <c r="J26" s="2">
        <f>IF(payments_raw[[#This Row],[amount]] &lt;= 0, 1, 0)</f>
        <v>0</v>
      </c>
      <c r="K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" spans="1:11" x14ac:dyDescent="0.3">
      <c r="A27">
        <v>65968870</v>
      </c>
      <c r="B27">
        <v>1576194</v>
      </c>
      <c r="C27" s="1">
        <v>45343</v>
      </c>
      <c r="D27">
        <v>79</v>
      </c>
      <c r="E27">
        <f>IF(
  ISNA(
    _xlfn.XLOOKUP(
      payments_raw[[#This Row],[subscription_id]],
      subscriptions[subscription_id],
      subscriptions[subscription_id]
    )
  ),
  0,
  1
)</f>
        <v>1</v>
      </c>
      <c r="F27" s="1">
        <f>_xlfn.XLOOKUP(payments_raw[[#This Row],[subscription_id]], subscriptions[subscription_id], subscriptions[start_date])</f>
        <v>45217</v>
      </c>
      <c r="G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" s="2">
        <f>IF(payments_raw[[#This Row],[payment_date]] &lt; payments_raw[[#This Row],[sub_start_date]], 1, 0)</f>
        <v>0</v>
      </c>
      <c r="I27" s="2">
        <f>IF(AND(payments_raw[[#This Row],[sub_end_date]]&lt;&gt;"", payments_raw[[#This Row],[payment_date]] &gt; payments_raw[[#This Row],[sub_end_date]]), 1, 0)</f>
        <v>0</v>
      </c>
      <c r="J27" s="2">
        <f>IF(payments_raw[[#This Row],[amount]] &lt;= 0, 1, 0)</f>
        <v>0</v>
      </c>
      <c r="K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" spans="1:11" x14ac:dyDescent="0.3">
      <c r="A28">
        <v>53781905</v>
      </c>
      <c r="B28">
        <v>8654679</v>
      </c>
      <c r="C28" s="1">
        <v>45041</v>
      </c>
      <c r="D28">
        <v>2990</v>
      </c>
      <c r="E28">
        <f>IF(
  ISNA(
    _xlfn.XLOOKUP(
      payments_raw[[#This Row],[subscription_id]],
      subscriptions[subscription_id],
      subscriptions[subscription_id]
    )
  ),
  0,
  1
)</f>
        <v>1</v>
      </c>
      <c r="F28" s="1">
        <f>_xlfn.XLOOKUP(payments_raw[[#This Row],[subscription_id]], subscriptions[subscription_id], subscriptions[start_date])</f>
        <v>44563</v>
      </c>
      <c r="G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" s="2">
        <f>IF(payments_raw[[#This Row],[payment_date]] &lt; payments_raw[[#This Row],[sub_start_date]], 1, 0)</f>
        <v>0</v>
      </c>
      <c r="I28" s="2">
        <f>IF(AND(payments_raw[[#This Row],[sub_end_date]]&lt;&gt;"", payments_raw[[#This Row],[payment_date]] &gt; payments_raw[[#This Row],[sub_end_date]]), 1, 0)</f>
        <v>0</v>
      </c>
      <c r="J28" s="2">
        <f>IF(payments_raw[[#This Row],[amount]] &lt;= 0, 1, 0)</f>
        <v>0</v>
      </c>
      <c r="K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" spans="1:11" x14ac:dyDescent="0.3">
      <c r="A29">
        <v>51948011</v>
      </c>
      <c r="B29">
        <v>8339925</v>
      </c>
      <c r="C29" s="1">
        <v>45202</v>
      </c>
      <c r="D29">
        <v>79</v>
      </c>
      <c r="E29">
        <f>IF(
  ISNA(
    _xlfn.XLOOKUP(
      payments_raw[[#This Row],[subscription_id]],
      subscriptions[subscription_id],
      subscriptions[subscription_id]
    )
  ),
  0,
  1
)</f>
        <v>1</v>
      </c>
      <c r="F29" s="1">
        <f>_xlfn.XLOOKUP(payments_raw[[#This Row],[subscription_id]], subscriptions[subscription_id], subscriptions[start_date])</f>
        <v>45142</v>
      </c>
      <c r="G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45222</v>
      </c>
      <c r="H29" s="2">
        <f>IF(payments_raw[[#This Row],[payment_date]] &lt; payments_raw[[#This Row],[sub_start_date]], 1, 0)</f>
        <v>0</v>
      </c>
      <c r="I29" s="2">
        <f>IF(AND(payments_raw[[#This Row],[sub_end_date]]&lt;&gt;"", payments_raw[[#This Row],[payment_date]] &gt; payments_raw[[#This Row],[sub_end_date]]), 1, 0)</f>
        <v>0</v>
      </c>
      <c r="J29" s="2">
        <f>IF(payments_raw[[#This Row],[amount]] &lt;= 0, 1, 0)</f>
        <v>0</v>
      </c>
      <c r="K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" spans="1:11" x14ac:dyDescent="0.3">
      <c r="A30">
        <v>84490268</v>
      </c>
      <c r="B30">
        <v>1115482</v>
      </c>
      <c r="C30" s="1">
        <v>44715</v>
      </c>
      <c r="D30">
        <v>299</v>
      </c>
      <c r="E30">
        <f>IF(
  ISNA(
    _xlfn.XLOOKUP(
      payments_raw[[#This Row],[subscription_id]],
      subscriptions[subscription_id],
      subscriptions[subscription_id]
    )
  ),
  0,
  1
)</f>
        <v>1</v>
      </c>
      <c r="F30" s="1">
        <f>_xlfn.XLOOKUP(payments_raw[[#This Row],[subscription_id]], subscriptions[subscription_id], subscriptions[start_date])</f>
        <v>44628</v>
      </c>
      <c r="G3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30" s="2">
        <f>IF(payments_raw[[#This Row],[payment_date]] &lt; payments_raw[[#This Row],[sub_start_date]], 1, 0)</f>
        <v>0</v>
      </c>
      <c r="I30" s="2">
        <f>IF(AND(payments_raw[[#This Row],[sub_end_date]]&lt;&gt;"", payments_raw[[#This Row],[payment_date]] &gt; payments_raw[[#This Row],[sub_end_date]]), 1, 0)</f>
        <v>0</v>
      </c>
      <c r="J30" s="2">
        <f>IF(payments_raw[[#This Row],[amount]] &lt;= 0, 1, 0)</f>
        <v>0</v>
      </c>
      <c r="K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" spans="1:11" x14ac:dyDescent="0.3">
      <c r="A31">
        <v>54434217</v>
      </c>
      <c r="B31">
        <v>9184459</v>
      </c>
      <c r="C31" s="1">
        <v>45627</v>
      </c>
      <c r="D31">
        <v>390</v>
      </c>
      <c r="E31">
        <f>IF(
  ISNA(
    _xlfn.XLOOKUP(
      payments_raw[[#This Row],[subscription_id]],
      subscriptions[subscription_id],
      subscriptions[subscription_id]
    )
  ),
  0,
  1
)</f>
        <v>1</v>
      </c>
      <c r="F31" s="1">
        <f>_xlfn.XLOOKUP(payments_raw[[#This Row],[subscription_id]], subscriptions[subscription_id], subscriptions[start_date])</f>
        <v>45449</v>
      </c>
      <c r="G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31" s="2">
        <f>IF(payments_raw[[#This Row],[payment_date]] &lt; payments_raw[[#This Row],[sub_start_date]], 1, 0)</f>
        <v>0</v>
      </c>
      <c r="I31" s="2">
        <f>IF(AND(payments_raw[[#This Row],[sub_end_date]]&lt;&gt;"", payments_raw[[#This Row],[payment_date]] &gt; payments_raw[[#This Row],[sub_end_date]]), 1, 0)</f>
        <v>0</v>
      </c>
      <c r="J31" s="2">
        <f>IF(payments_raw[[#This Row],[amount]] &lt;= 0, 1, 0)</f>
        <v>0</v>
      </c>
      <c r="K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" spans="1:11" x14ac:dyDescent="0.3">
      <c r="A32">
        <v>27063481</v>
      </c>
      <c r="B32">
        <v>9234422</v>
      </c>
      <c r="C32" s="1">
        <v>45485</v>
      </c>
      <c r="D32">
        <v>299</v>
      </c>
      <c r="E32">
        <f>IF(
  ISNA(
    _xlfn.XLOOKUP(
      payments_raw[[#This Row],[subscription_id]],
      subscriptions[subscription_id],
      subscriptions[subscription_id]
    )
  ),
  0,
  1
)</f>
        <v>1</v>
      </c>
      <c r="F32" s="1">
        <f>_xlfn.XLOOKUP(payments_raw[[#This Row],[subscription_id]], subscriptions[subscription_id], subscriptions[start_date])</f>
        <v>45444</v>
      </c>
      <c r="G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45542</v>
      </c>
      <c r="H32" s="2">
        <f>IF(payments_raw[[#This Row],[payment_date]] &lt; payments_raw[[#This Row],[sub_start_date]], 1, 0)</f>
        <v>0</v>
      </c>
      <c r="I32" s="2">
        <f>IF(AND(payments_raw[[#This Row],[sub_end_date]]&lt;&gt;"", payments_raw[[#This Row],[payment_date]] &gt; payments_raw[[#This Row],[sub_end_date]]), 1, 0)</f>
        <v>0</v>
      </c>
      <c r="J32" s="2">
        <f>IF(payments_raw[[#This Row],[amount]] &lt;= 0, 1, 0)</f>
        <v>0</v>
      </c>
      <c r="K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" spans="1:11" x14ac:dyDescent="0.3">
      <c r="A33">
        <v>86809444</v>
      </c>
      <c r="B33">
        <v>3426728</v>
      </c>
      <c r="C33" s="1">
        <v>45601</v>
      </c>
      <c r="D33">
        <v>79</v>
      </c>
      <c r="E33">
        <f>IF(
  ISNA(
    _xlfn.XLOOKUP(
      payments_raw[[#This Row],[subscription_id]],
      subscriptions[subscription_id],
      subscriptions[subscription_id]
    )
  ),
  0,
  1
)</f>
        <v>1</v>
      </c>
      <c r="F33" s="1">
        <f>_xlfn.XLOOKUP(payments_raw[[#This Row],[subscription_id]], subscriptions[subscription_id], subscriptions[start_date])</f>
        <v>45572</v>
      </c>
      <c r="G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" s="2">
        <f>IF(payments_raw[[#This Row],[payment_date]] &lt; payments_raw[[#This Row],[sub_start_date]], 1, 0)</f>
        <v>0</v>
      </c>
      <c r="I33" s="2">
        <f>IF(AND(payments_raw[[#This Row],[sub_end_date]]&lt;&gt;"", payments_raw[[#This Row],[payment_date]] &gt; payments_raw[[#This Row],[sub_end_date]]), 1, 0)</f>
        <v>0</v>
      </c>
      <c r="J33" s="2">
        <f>IF(payments_raw[[#This Row],[amount]] &lt;= 0, 1, 0)</f>
        <v>0</v>
      </c>
      <c r="K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" spans="1:11" x14ac:dyDescent="0.3">
      <c r="A34">
        <v>91790554</v>
      </c>
      <c r="B34">
        <v>6111027</v>
      </c>
      <c r="C34" s="1">
        <v>44876</v>
      </c>
      <c r="D34">
        <v>2990</v>
      </c>
      <c r="E34">
        <f>IF(
  ISNA(
    _xlfn.XLOOKUP(
      payments_raw[[#This Row],[subscription_id]],
      subscriptions[subscription_id],
      subscriptions[subscription_id]
    )
  ),
  0,
  1
)</f>
        <v>1</v>
      </c>
      <c r="F34" s="1">
        <f>_xlfn.XLOOKUP(payments_raw[[#This Row],[subscription_id]], subscriptions[subscription_id], subscriptions[start_date])</f>
        <v>44755</v>
      </c>
      <c r="G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45011</v>
      </c>
      <c r="H34" s="2">
        <f>IF(payments_raw[[#This Row],[payment_date]] &lt; payments_raw[[#This Row],[sub_start_date]], 1, 0)</f>
        <v>0</v>
      </c>
      <c r="I34" s="2">
        <f>IF(AND(payments_raw[[#This Row],[sub_end_date]]&lt;&gt;"", payments_raw[[#This Row],[payment_date]] &gt; payments_raw[[#This Row],[sub_end_date]]), 1, 0)</f>
        <v>0</v>
      </c>
      <c r="J34" s="2">
        <f>IF(payments_raw[[#This Row],[amount]] &lt;= 0, 1, 0)</f>
        <v>0</v>
      </c>
      <c r="K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" spans="1:11" x14ac:dyDescent="0.3">
      <c r="A35">
        <v>43433510</v>
      </c>
      <c r="B35">
        <v>1765250</v>
      </c>
      <c r="C35" s="1">
        <v>45549</v>
      </c>
      <c r="D35">
        <v>299</v>
      </c>
      <c r="E35">
        <f>IF(
  ISNA(
    _xlfn.XLOOKUP(
      payments_raw[[#This Row],[subscription_id]],
      subscriptions[subscription_id],
      subscriptions[subscription_id]
    )
  ),
  0,
  1
)</f>
        <v>1</v>
      </c>
      <c r="F35" s="1">
        <f>_xlfn.XLOOKUP(payments_raw[[#This Row],[subscription_id]], subscriptions[subscription_id], subscriptions[start_date])</f>
        <v>45049</v>
      </c>
      <c r="G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" s="2">
        <f>IF(payments_raw[[#This Row],[payment_date]] &lt; payments_raw[[#This Row],[sub_start_date]], 1, 0)</f>
        <v>0</v>
      </c>
      <c r="I35" s="2">
        <f>IF(AND(payments_raw[[#This Row],[sub_end_date]]&lt;&gt;"", payments_raw[[#This Row],[payment_date]] &gt; payments_raw[[#This Row],[sub_end_date]]), 1, 0)</f>
        <v>0</v>
      </c>
      <c r="J35" s="2">
        <f>IF(payments_raw[[#This Row],[amount]] &lt;= 0, 1, 0)</f>
        <v>0</v>
      </c>
      <c r="K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" spans="1:11" x14ac:dyDescent="0.3">
      <c r="A36">
        <v>12603460</v>
      </c>
      <c r="B36">
        <v>3371985</v>
      </c>
      <c r="C36" s="1">
        <v>45212</v>
      </c>
      <c r="D36">
        <v>2990</v>
      </c>
      <c r="E36">
        <f>IF(
  ISNA(
    _xlfn.XLOOKUP(
      payments_raw[[#This Row],[subscription_id]],
      subscriptions[subscription_id],
      subscriptions[subscription_id]
    )
  ),
  0,
  1
)</f>
        <v>1</v>
      </c>
      <c r="F36" s="1">
        <f>_xlfn.XLOOKUP(payments_raw[[#This Row],[subscription_id]], subscriptions[subscription_id], subscriptions[start_date])</f>
        <v>45052</v>
      </c>
      <c r="G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45333</v>
      </c>
      <c r="H36" s="2">
        <f>IF(payments_raw[[#This Row],[payment_date]] &lt; payments_raw[[#This Row],[sub_start_date]], 1, 0)</f>
        <v>0</v>
      </c>
      <c r="I36" s="2">
        <f>IF(AND(payments_raw[[#This Row],[sub_end_date]]&lt;&gt;"", payments_raw[[#This Row],[payment_date]] &gt; payments_raw[[#This Row],[sub_end_date]]), 1, 0)</f>
        <v>0</v>
      </c>
      <c r="J36" s="2">
        <f>IF(payments_raw[[#This Row],[amount]] &lt;= 0, 1, 0)</f>
        <v>0</v>
      </c>
      <c r="K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" spans="1:11" x14ac:dyDescent="0.3">
      <c r="A37">
        <v>22828887</v>
      </c>
      <c r="B37">
        <v>1965457</v>
      </c>
      <c r="C37" s="1">
        <v>45469</v>
      </c>
      <c r="D37">
        <v>390</v>
      </c>
      <c r="E37">
        <f>IF(
  ISNA(
    _xlfn.XLOOKUP(
      payments_raw[[#This Row],[subscription_id]],
      subscriptions[subscription_id],
      subscriptions[subscription_id]
    )
  ),
  0,
  1
)</f>
        <v>1</v>
      </c>
      <c r="F37" s="1">
        <f>_xlfn.XLOOKUP(payments_raw[[#This Row],[subscription_id]], subscriptions[subscription_id], subscriptions[start_date])</f>
        <v>45273</v>
      </c>
      <c r="G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" s="2">
        <f>IF(payments_raw[[#This Row],[payment_date]] &lt; payments_raw[[#This Row],[sub_start_date]], 1, 0)</f>
        <v>0</v>
      </c>
      <c r="I37" s="2">
        <f>IF(AND(payments_raw[[#This Row],[sub_end_date]]&lt;&gt;"", payments_raw[[#This Row],[payment_date]] &gt; payments_raw[[#This Row],[sub_end_date]]), 1, 0)</f>
        <v>0</v>
      </c>
      <c r="J37" s="2">
        <f>IF(payments_raw[[#This Row],[amount]] &lt;= 0, 1, 0)</f>
        <v>0</v>
      </c>
      <c r="K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" spans="1:11" x14ac:dyDescent="0.3">
      <c r="A38">
        <v>93699114</v>
      </c>
      <c r="B38">
        <v>7383812</v>
      </c>
      <c r="C38" s="1">
        <v>45146</v>
      </c>
      <c r="D38">
        <v>224.25</v>
      </c>
      <c r="E38">
        <f>IF(
  ISNA(
    _xlfn.XLOOKUP(
      payments_raw[[#This Row],[subscription_id]],
      subscriptions[subscription_id],
      subscriptions[subscription_id]
    )
  ),
  0,
  1
)</f>
        <v>1</v>
      </c>
      <c r="F38" s="1">
        <f>_xlfn.XLOOKUP(payments_raw[[#This Row],[subscription_id]], subscriptions[subscription_id], subscriptions[start_date])</f>
        <v>44817</v>
      </c>
      <c r="G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" s="2">
        <f>IF(payments_raw[[#This Row],[payment_date]] &lt; payments_raw[[#This Row],[sub_start_date]], 1, 0)</f>
        <v>0</v>
      </c>
      <c r="I38" s="2">
        <f>IF(AND(payments_raw[[#This Row],[sub_end_date]]&lt;&gt;"", payments_raw[[#This Row],[payment_date]] &gt; payments_raw[[#This Row],[sub_end_date]]), 1, 0)</f>
        <v>0</v>
      </c>
      <c r="J38" s="2">
        <f>IF(payments_raw[[#This Row],[amount]] &lt;= 0, 1, 0)</f>
        <v>0</v>
      </c>
      <c r="K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" spans="1:11" x14ac:dyDescent="0.3">
      <c r="A39">
        <v>72101101</v>
      </c>
      <c r="B39">
        <v>3636248</v>
      </c>
      <c r="C39" s="1">
        <v>45364</v>
      </c>
      <c r="D39">
        <v>224.25</v>
      </c>
      <c r="E39">
        <f>IF(
  ISNA(
    _xlfn.XLOOKUP(
      payments_raw[[#This Row],[subscription_id]],
      subscriptions[subscription_id],
      subscriptions[subscription_id]
    )
  ),
  0,
  1
)</f>
        <v>1</v>
      </c>
      <c r="F39" s="1">
        <f>_xlfn.XLOOKUP(payments_raw[[#This Row],[subscription_id]], subscriptions[subscription_id], subscriptions[start_date])</f>
        <v>45228</v>
      </c>
      <c r="G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45500</v>
      </c>
      <c r="H39" s="2">
        <f>IF(payments_raw[[#This Row],[payment_date]] &lt; payments_raw[[#This Row],[sub_start_date]], 1, 0)</f>
        <v>0</v>
      </c>
      <c r="I39" s="2">
        <f>IF(AND(payments_raw[[#This Row],[sub_end_date]]&lt;&gt;"", payments_raw[[#This Row],[payment_date]] &gt; payments_raw[[#This Row],[sub_end_date]]), 1, 0)</f>
        <v>0</v>
      </c>
      <c r="J39" s="2">
        <f>IF(payments_raw[[#This Row],[amount]] &lt;= 0, 1, 0)</f>
        <v>0</v>
      </c>
      <c r="K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" spans="1:11" x14ac:dyDescent="0.3">
      <c r="A40">
        <v>35928411</v>
      </c>
      <c r="B40">
        <v>8660865</v>
      </c>
      <c r="C40" s="1">
        <v>45363</v>
      </c>
      <c r="D40">
        <v>19</v>
      </c>
      <c r="E40">
        <f>IF(
  ISNA(
    _xlfn.XLOOKUP(
      payments_raw[[#This Row],[subscription_id]],
      subscriptions[subscription_id],
      subscriptions[subscription_id]
    )
  ),
  0,
  1
)</f>
        <v>1</v>
      </c>
      <c r="F40" s="1">
        <f>_xlfn.XLOOKUP(payments_raw[[#This Row],[subscription_id]], subscriptions[subscription_id], subscriptions[start_date])</f>
        <v>45081</v>
      </c>
      <c r="G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" s="2">
        <f>IF(payments_raw[[#This Row],[payment_date]] &lt; payments_raw[[#This Row],[sub_start_date]], 1, 0)</f>
        <v>0</v>
      </c>
      <c r="I40" s="2">
        <f>IF(AND(payments_raw[[#This Row],[sub_end_date]]&lt;&gt;"", payments_raw[[#This Row],[payment_date]] &gt; payments_raw[[#This Row],[sub_end_date]]), 1, 0)</f>
        <v>0</v>
      </c>
      <c r="J40" s="2">
        <f>IF(payments_raw[[#This Row],[amount]] &lt;= 0, 1, 0)</f>
        <v>0</v>
      </c>
      <c r="K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" spans="1:11" x14ac:dyDescent="0.3">
      <c r="A41">
        <v>58826054</v>
      </c>
      <c r="B41">
        <v>3017289</v>
      </c>
      <c r="C41" s="1">
        <v>45561</v>
      </c>
      <c r="D41">
        <v>299</v>
      </c>
      <c r="E41">
        <f>IF(
  ISNA(
    _xlfn.XLOOKUP(
      payments_raw[[#This Row],[subscription_id]],
      subscriptions[subscription_id],
      subscriptions[subscription_id]
    )
  ),
  0,
  1
)</f>
        <v>1</v>
      </c>
      <c r="F41" s="1">
        <f>_xlfn.XLOOKUP(payments_raw[[#This Row],[subscription_id]], subscriptions[subscription_id], subscriptions[start_date])</f>
        <v>45453</v>
      </c>
      <c r="G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41" s="2">
        <f>IF(payments_raw[[#This Row],[payment_date]] &lt; payments_raw[[#This Row],[sub_start_date]], 1, 0)</f>
        <v>0</v>
      </c>
      <c r="I41" s="2">
        <f>IF(AND(payments_raw[[#This Row],[sub_end_date]]&lt;&gt;"", payments_raw[[#This Row],[payment_date]] &gt; payments_raw[[#This Row],[sub_end_date]]), 1, 0)</f>
        <v>0</v>
      </c>
      <c r="J41" s="2">
        <f>IF(payments_raw[[#This Row],[amount]] &lt;= 0, 1, 0)</f>
        <v>0</v>
      </c>
      <c r="K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" spans="1:11" x14ac:dyDescent="0.3">
      <c r="A42">
        <v>73585237</v>
      </c>
      <c r="B42">
        <v>9834402</v>
      </c>
      <c r="C42" s="1">
        <v>45530</v>
      </c>
      <c r="D42">
        <v>190</v>
      </c>
      <c r="E42">
        <f>IF(
  ISNA(
    _xlfn.XLOOKUP(
      payments_raw[[#This Row],[subscription_id]],
      subscriptions[subscription_id],
      subscriptions[subscription_id]
    )
  ),
  0,
  1
)</f>
        <v>1</v>
      </c>
      <c r="F42" s="1">
        <f>_xlfn.XLOOKUP(payments_raw[[#This Row],[subscription_id]], subscriptions[subscription_id], subscriptions[start_date])</f>
        <v>45467</v>
      </c>
      <c r="G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42" s="2">
        <f>IF(payments_raw[[#This Row],[payment_date]] &lt; payments_raw[[#This Row],[sub_start_date]], 1, 0)</f>
        <v>0</v>
      </c>
      <c r="I42" s="2">
        <f>IF(AND(payments_raw[[#This Row],[sub_end_date]]&lt;&gt;"", payments_raw[[#This Row],[payment_date]] &gt; payments_raw[[#This Row],[sub_end_date]]), 1, 0)</f>
        <v>0</v>
      </c>
      <c r="J42" s="2">
        <f>IF(payments_raw[[#This Row],[amount]] &lt;= 0, 1, 0)</f>
        <v>0</v>
      </c>
      <c r="K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" spans="1:11" x14ac:dyDescent="0.3">
      <c r="A43">
        <v>10409797</v>
      </c>
      <c r="B43">
        <v>3547579</v>
      </c>
      <c r="C43" s="1">
        <v>44840</v>
      </c>
      <c r="D43">
        <v>79</v>
      </c>
      <c r="E43">
        <f>IF(
  ISNA(
    _xlfn.XLOOKUP(
      payments_raw[[#This Row],[subscription_id]],
      subscriptions[subscription_id],
      subscriptions[subscription_id]
    )
  ),
  0,
  1
)</f>
        <v>1</v>
      </c>
      <c r="F43" s="1">
        <f>_xlfn.XLOOKUP(payments_raw[[#This Row],[subscription_id]], subscriptions[subscription_id], subscriptions[start_date])</f>
        <v>44757</v>
      </c>
      <c r="G4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44987</v>
      </c>
      <c r="H43" s="2">
        <f>IF(payments_raw[[#This Row],[payment_date]] &lt; payments_raw[[#This Row],[sub_start_date]], 1, 0)</f>
        <v>0</v>
      </c>
      <c r="I43" s="2">
        <f>IF(AND(payments_raw[[#This Row],[sub_end_date]]&lt;&gt;"", payments_raw[[#This Row],[payment_date]] &gt; payments_raw[[#This Row],[sub_end_date]]), 1, 0)</f>
        <v>0</v>
      </c>
      <c r="J43" s="2">
        <f>IF(payments_raw[[#This Row],[amount]] &lt;= 0, 1, 0)</f>
        <v>0</v>
      </c>
      <c r="K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" spans="1:11" x14ac:dyDescent="0.3">
      <c r="A44">
        <v>93302571</v>
      </c>
      <c r="B44">
        <v>6415010</v>
      </c>
      <c r="C44" s="1">
        <v>45582</v>
      </c>
      <c r="D44">
        <v>79</v>
      </c>
      <c r="E44">
        <f>IF(
  ISNA(
    _xlfn.XLOOKUP(
      payments_raw[[#This Row],[subscription_id]],
      subscriptions[subscription_id],
      subscriptions[subscription_id]
    )
  ),
  0,
  1
)</f>
        <v>1</v>
      </c>
      <c r="F44" s="1">
        <f>_xlfn.XLOOKUP(payments_raw[[#This Row],[subscription_id]], subscriptions[subscription_id], subscriptions[start_date])</f>
        <v>44594</v>
      </c>
      <c r="G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" s="2">
        <f>IF(payments_raw[[#This Row],[payment_date]] &lt; payments_raw[[#This Row],[sub_start_date]], 1, 0)</f>
        <v>0</v>
      </c>
      <c r="I44" s="2">
        <f>IF(AND(payments_raw[[#This Row],[sub_end_date]]&lt;&gt;"", payments_raw[[#This Row],[payment_date]] &gt; payments_raw[[#This Row],[sub_end_date]]), 1, 0)</f>
        <v>0</v>
      </c>
      <c r="J44" s="2">
        <f>IF(payments_raw[[#This Row],[amount]] &lt;= 0, 1, 0)</f>
        <v>0</v>
      </c>
      <c r="K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" spans="1:11" x14ac:dyDescent="0.3">
      <c r="A45">
        <v>46608900</v>
      </c>
      <c r="B45">
        <v>5088275</v>
      </c>
      <c r="C45" s="1">
        <v>44767</v>
      </c>
      <c r="D45">
        <v>2990</v>
      </c>
      <c r="E45">
        <f>IF(
  ISNA(
    _xlfn.XLOOKUP(
      payments_raw[[#This Row],[subscription_id]],
      subscriptions[subscription_id],
      subscriptions[subscription_id]
    )
  ),
  0,
  1
)</f>
        <v>1</v>
      </c>
      <c r="F45" s="1">
        <f>_xlfn.XLOOKUP(payments_raw[[#This Row],[subscription_id]], subscriptions[subscription_id], subscriptions[start_date])</f>
        <v>44604</v>
      </c>
      <c r="G4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44881</v>
      </c>
      <c r="H45" s="2">
        <f>IF(payments_raw[[#This Row],[payment_date]] &lt; payments_raw[[#This Row],[sub_start_date]], 1, 0)</f>
        <v>0</v>
      </c>
      <c r="I45" s="2">
        <f>IF(AND(payments_raw[[#This Row],[sub_end_date]]&lt;&gt;"", payments_raw[[#This Row],[payment_date]] &gt; payments_raw[[#This Row],[sub_end_date]]), 1, 0)</f>
        <v>0</v>
      </c>
      <c r="J45" s="2">
        <f>IF(payments_raw[[#This Row],[amount]] &lt;= 0, 1, 0)</f>
        <v>0</v>
      </c>
      <c r="K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" spans="1:11" x14ac:dyDescent="0.3">
      <c r="A46">
        <v>52166952</v>
      </c>
      <c r="B46">
        <v>1336020</v>
      </c>
      <c r="C46" s="1">
        <v>45390</v>
      </c>
      <c r="D46">
        <v>299</v>
      </c>
      <c r="E46">
        <f>IF(
  ISNA(
    _xlfn.XLOOKUP(
      payments_raw[[#This Row],[subscription_id]],
      subscriptions[subscription_id],
      subscriptions[subscription_id]
    )
  ),
  0,
  1
)</f>
        <v>1</v>
      </c>
      <c r="F46" s="1">
        <f>_xlfn.XLOOKUP(payments_raw[[#This Row],[subscription_id]], subscriptions[subscription_id], subscriptions[start_date])</f>
        <v>44771</v>
      </c>
      <c r="G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" s="2">
        <f>IF(payments_raw[[#This Row],[payment_date]] &lt; payments_raw[[#This Row],[sub_start_date]], 1, 0)</f>
        <v>0</v>
      </c>
      <c r="I46" s="2">
        <f>IF(AND(payments_raw[[#This Row],[sub_end_date]]&lt;&gt;"", payments_raw[[#This Row],[payment_date]] &gt; payments_raw[[#This Row],[sub_end_date]]), 1, 0)</f>
        <v>0</v>
      </c>
      <c r="J46" s="2">
        <f>IF(payments_raw[[#This Row],[amount]] &lt;= 0, 1, 0)</f>
        <v>0</v>
      </c>
      <c r="K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" spans="1:11" x14ac:dyDescent="0.3">
      <c r="A47">
        <v>36851375</v>
      </c>
      <c r="B47">
        <v>1765250</v>
      </c>
      <c r="C47" s="1">
        <v>45241</v>
      </c>
      <c r="D47">
        <v>299</v>
      </c>
      <c r="E47">
        <f>IF(
  ISNA(
    _xlfn.XLOOKUP(
      payments_raw[[#This Row],[subscription_id]],
      subscriptions[subscription_id],
      subscriptions[subscription_id]
    )
  ),
  0,
  1
)</f>
        <v>1</v>
      </c>
      <c r="F47" s="1">
        <f>_xlfn.XLOOKUP(payments_raw[[#This Row],[subscription_id]], subscriptions[subscription_id], subscriptions[start_date])</f>
        <v>45049</v>
      </c>
      <c r="G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" s="2">
        <f>IF(payments_raw[[#This Row],[payment_date]] &lt; payments_raw[[#This Row],[sub_start_date]], 1, 0)</f>
        <v>0</v>
      </c>
      <c r="I47" s="2">
        <f>IF(AND(payments_raw[[#This Row],[sub_end_date]]&lt;&gt;"", payments_raw[[#This Row],[payment_date]] &gt; payments_raw[[#This Row],[sub_end_date]]), 1, 0)</f>
        <v>0</v>
      </c>
      <c r="J47" s="2">
        <f>IF(payments_raw[[#This Row],[amount]] &lt;= 0, 1, 0)</f>
        <v>0</v>
      </c>
      <c r="K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" spans="1:11" x14ac:dyDescent="0.3">
      <c r="A48">
        <v>90206794</v>
      </c>
      <c r="B48">
        <v>6059400</v>
      </c>
      <c r="C48" s="1">
        <v>45458</v>
      </c>
      <c r="D48">
        <v>19</v>
      </c>
      <c r="E48">
        <f>IF(
  ISNA(
    _xlfn.XLOOKUP(
      payments_raw[[#This Row],[subscription_id]],
      subscriptions[subscription_id],
      subscriptions[subscription_id]
    )
  ),
  0,
  1
)</f>
        <v>1</v>
      </c>
      <c r="F48" s="1">
        <f>_xlfn.XLOOKUP(payments_raw[[#This Row],[subscription_id]], subscriptions[subscription_id], subscriptions[start_date])</f>
        <v>45149</v>
      </c>
      <c r="G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8" s="2">
        <f>IF(payments_raw[[#This Row],[payment_date]] &lt; payments_raw[[#This Row],[sub_start_date]], 1, 0)</f>
        <v>0</v>
      </c>
      <c r="I48" s="2">
        <f>IF(AND(payments_raw[[#This Row],[sub_end_date]]&lt;&gt;"", payments_raw[[#This Row],[payment_date]] &gt; payments_raw[[#This Row],[sub_end_date]]), 1, 0)</f>
        <v>0</v>
      </c>
      <c r="J48" s="2">
        <f>IF(payments_raw[[#This Row],[amount]] &lt;= 0, 1, 0)</f>
        <v>0</v>
      </c>
      <c r="K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" spans="1:11" x14ac:dyDescent="0.3">
      <c r="A49">
        <v>18128621</v>
      </c>
      <c r="B49">
        <v>5352802</v>
      </c>
      <c r="C49" s="1">
        <v>44962</v>
      </c>
      <c r="D49">
        <v>39</v>
      </c>
      <c r="E49">
        <f>IF(
  ISNA(
    _xlfn.XLOOKUP(
      payments_raw[[#This Row],[subscription_id]],
      subscriptions[subscription_id],
      subscriptions[subscription_id]
    )
  ),
  0,
  1
)</f>
        <v>1</v>
      </c>
      <c r="F49" s="1">
        <f>_xlfn.XLOOKUP(payments_raw[[#This Row],[subscription_id]], subscriptions[subscription_id], subscriptions[start_date])</f>
        <v>44938</v>
      </c>
      <c r="G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45015</v>
      </c>
      <c r="H49" s="2">
        <f>IF(payments_raw[[#This Row],[payment_date]] &lt; payments_raw[[#This Row],[sub_start_date]], 1, 0)</f>
        <v>0</v>
      </c>
      <c r="I49" s="2">
        <f>IF(AND(payments_raw[[#This Row],[sub_end_date]]&lt;&gt;"", payments_raw[[#This Row],[payment_date]] &gt; payments_raw[[#This Row],[sub_end_date]]), 1, 0)</f>
        <v>0</v>
      </c>
      <c r="J49" s="2">
        <f>IF(payments_raw[[#This Row],[amount]] &lt;= 0, 1, 0)</f>
        <v>0</v>
      </c>
      <c r="K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" spans="1:11" x14ac:dyDescent="0.3">
      <c r="A50">
        <v>77663082</v>
      </c>
      <c r="B50">
        <v>3459356</v>
      </c>
      <c r="C50" s="1">
        <v>45361</v>
      </c>
      <c r="D50">
        <v>39</v>
      </c>
      <c r="E50">
        <f>IF(
  ISNA(
    _xlfn.XLOOKUP(
      payments_raw[[#This Row],[subscription_id]],
      subscriptions[subscription_id],
      subscriptions[subscription_id]
    )
  ),
  0,
  1
)</f>
        <v>1</v>
      </c>
      <c r="F50" s="1">
        <f>_xlfn.XLOOKUP(payments_raw[[#This Row],[subscription_id]], subscriptions[subscription_id], subscriptions[start_date])</f>
        <v>45217</v>
      </c>
      <c r="G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" s="2">
        <f>IF(payments_raw[[#This Row],[payment_date]] &lt; payments_raw[[#This Row],[sub_start_date]], 1, 0)</f>
        <v>0</v>
      </c>
      <c r="I50" s="2">
        <f>IF(AND(payments_raw[[#This Row],[sub_end_date]]&lt;&gt;"", payments_raw[[#This Row],[payment_date]] &gt; payments_raw[[#This Row],[sub_end_date]]), 1, 0)</f>
        <v>0</v>
      </c>
      <c r="J50" s="2">
        <f>IF(payments_raw[[#This Row],[amount]] &lt;= 0, 1, 0)</f>
        <v>0</v>
      </c>
      <c r="K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" spans="1:11" x14ac:dyDescent="0.3">
      <c r="A51">
        <v>60467061</v>
      </c>
      <c r="B51">
        <v>7735054</v>
      </c>
      <c r="C51" s="1">
        <v>45030</v>
      </c>
      <c r="D51">
        <v>19</v>
      </c>
      <c r="E51">
        <f>IF(
  ISNA(
    _xlfn.XLOOKUP(
      payments_raw[[#This Row],[subscription_id]],
      subscriptions[subscription_id],
      subscriptions[subscription_id]
    )
  ),
  0,
  1
)</f>
        <v>1</v>
      </c>
      <c r="F51" s="1">
        <f>_xlfn.XLOOKUP(payments_raw[[#This Row],[subscription_id]], subscriptions[subscription_id], subscriptions[start_date])</f>
        <v>44814</v>
      </c>
      <c r="G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51" s="2">
        <f>IF(payments_raw[[#This Row],[payment_date]] &lt; payments_raw[[#This Row],[sub_start_date]], 1, 0)</f>
        <v>0</v>
      </c>
      <c r="I51" s="2">
        <f>IF(AND(payments_raw[[#This Row],[sub_end_date]]&lt;&gt;"", payments_raw[[#This Row],[payment_date]] &gt; payments_raw[[#This Row],[sub_end_date]]), 1, 0)</f>
        <v>0</v>
      </c>
      <c r="J51" s="2">
        <f>IF(payments_raw[[#This Row],[amount]] &lt;= 0, 1, 0)</f>
        <v>0</v>
      </c>
      <c r="K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" spans="1:11" x14ac:dyDescent="0.3">
      <c r="A52">
        <v>11464854</v>
      </c>
      <c r="B52">
        <v>4097522</v>
      </c>
      <c r="C52" s="1">
        <v>45330</v>
      </c>
      <c r="D52">
        <v>79</v>
      </c>
      <c r="E52">
        <f>IF(
  ISNA(
    _xlfn.XLOOKUP(
      payments_raw[[#This Row],[subscription_id]],
      subscriptions[subscription_id],
      subscriptions[subscription_id]
    )
  ),
  0,
  1
)</f>
        <v>1</v>
      </c>
      <c r="F52" s="1">
        <f>_xlfn.XLOOKUP(payments_raw[[#This Row],[subscription_id]], subscriptions[subscription_id], subscriptions[start_date])</f>
        <v>45178</v>
      </c>
      <c r="G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2" s="2">
        <f>IF(payments_raw[[#This Row],[payment_date]] &lt; payments_raw[[#This Row],[sub_start_date]], 1, 0)</f>
        <v>0</v>
      </c>
      <c r="I52" s="2">
        <f>IF(AND(payments_raw[[#This Row],[sub_end_date]]&lt;&gt;"", payments_raw[[#This Row],[payment_date]] &gt; payments_raw[[#This Row],[sub_end_date]]), 1, 0)</f>
        <v>0</v>
      </c>
      <c r="J52" s="2">
        <f>IF(payments_raw[[#This Row],[amount]] &lt;= 0, 1, 0)</f>
        <v>0</v>
      </c>
      <c r="K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" spans="1:11" x14ac:dyDescent="0.3">
      <c r="A53">
        <v>29335352</v>
      </c>
      <c r="B53">
        <v>5715786</v>
      </c>
      <c r="C53" s="1">
        <v>45517</v>
      </c>
      <c r="D53">
        <v>2691</v>
      </c>
      <c r="E53">
        <f>IF(
  ISNA(
    _xlfn.XLOOKUP(
      payments_raw[[#This Row],[subscription_id]],
      subscriptions[subscription_id],
      subscriptions[subscription_id]
    )
  ),
  0,
  1
)</f>
        <v>1</v>
      </c>
      <c r="F53" s="1">
        <f>_xlfn.XLOOKUP(payments_raw[[#This Row],[subscription_id]], subscriptions[subscription_id], subscriptions[start_date])</f>
        <v>45366</v>
      </c>
      <c r="G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" s="2">
        <f>IF(payments_raw[[#This Row],[payment_date]] &lt; payments_raw[[#This Row],[sub_start_date]], 1, 0)</f>
        <v>0</v>
      </c>
      <c r="I53" s="2">
        <f>IF(AND(payments_raw[[#This Row],[sub_end_date]]&lt;&gt;"", payments_raw[[#This Row],[payment_date]] &gt; payments_raw[[#This Row],[sub_end_date]]), 1, 0)</f>
        <v>0</v>
      </c>
      <c r="J53" s="2">
        <f>IF(payments_raw[[#This Row],[amount]] &lt;= 0, 1, 0)</f>
        <v>0</v>
      </c>
      <c r="K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" spans="1:11" x14ac:dyDescent="0.3">
      <c r="A54">
        <v>96434643</v>
      </c>
      <c r="B54">
        <v>9593404</v>
      </c>
      <c r="C54" s="1">
        <v>45541</v>
      </c>
      <c r="D54">
        <v>592.5</v>
      </c>
      <c r="E54">
        <f>IF(
  ISNA(
    _xlfn.XLOOKUP(
      payments_raw[[#This Row],[subscription_id]],
      subscriptions[subscription_id],
      subscriptions[subscription_id]
    )
  ),
  0,
  1
)</f>
        <v>1</v>
      </c>
      <c r="F54" s="1">
        <f>_xlfn.XLOOKUP(payments_raw[[#This Row],[subscription_id]], subscriptions[subscription_id], subscriptions[start_date])</f>
        <v>45326</v>
      </c>
      <c r="G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" s="2">
        <f>IF(payments_raw[[#This Row],[payment_date]] &lt; payments_raw[[#This Row],[sub_start_date]], 1, 0)</f>
        <v>0</v>
      </c>
      <c r="I54" s="2">
        <f>IF(AND(payments_raw[[#This Row],[sub_end_date]]&lt;&gt;"", payments_raw[[#This Row],[payment_date]] &gt; payments_raw[[#This Row],[sub_end_date]]), 1, 0)</f>
        <v>0</v>
      </c>
      <c r="J54" s="2">
        <f>IF(payments_raw[[#This Row],[amount]] &lt;= 0, 1, 0)</f>
        <v>0</v>
      </c>
      <c r="K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" spans="1:11" x14ac:dyDescent="0.3">
      <c r="A55">
        <v>29812515</v>
      </c>
      <c r="B55">
        <v>4322585</v>
      </c>
      <c r="C55" s="1">
        <v>45275</v>
      </c>
      <c r="D55">
        <v>790</v>
      </c>
      <c r="E55">
        <f>IF(
  ISNA(
    _xlfn.XLOOKUP(
      payments_raw[[#This Row],[subscription_id]],
      subscriptions[subscription_id],
      subscriptions[subscription_id]
    )
  ),
  0,
  1
)</f>
        <v>1</v>
      </c>
      <c r="F55" s="1">
        <f>_xlfn.XLOOKUP(payments_raw[[#This Row],[subscription_id]], subscriptions[subscription_id], subscriptions[start_date])</f>
        <v>45161</v>
      </c>
      <c r="G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45409</v>
      </c>
      <c r="H55" s="2">
        <f>IF(payments_raw[[#This Row],[payment_date]] &lt; payments_raw[[#This Row],[sub_start_date]], 1, 0)</f>
        <v>0</v>
      </c>
      <c r="I55" s="2">
        <f>IF(AND(payments_raw[[#This Row],[sub_end_date]]&lt;&gt;"", payments_raw[[#This Row],[payment_date]] &gt; payments_raw[[#This Row],[sub_end_date]]), 1, 0)</f>
        <v>0</v>
      </c>
      <c r="J55" s="2">
        <f>IF(payments_raw[[#This Row],[amount]] &lt;= 0, 1, 0)</f>
        <v>0</v>
      </c>
      <c r="K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" spans="1:11" x14ac:dyDescent="0.3">
      <c r="A56">
        <v>84526321</v>
      </c>
      <c r="B56">
        <v>2348021</v>
      </c>
      <c r="C56" s="1">
        <v>44968</v>
      </c>
      <c r="D56">
        <v>39</v>
      </c>
      <c r="E56">
        <f>IF(
  ISNA(
    _xlfn.XLOOKUP(
      payments_raw[[#This Row],[subscription_id]],
      subscriptions[subscription_id],
      subscriptions[subscription_id]
    )
  ),
  0,
  1
)</f>
        <v>1</v>
      </c>
      <c r="F56" s="1">
        <f>_xlfn.XLOOKUP(payments_raw[[#This Row],[subscription_id]], subscriptions[subscription_id], subscriptions[start_date])</f>
        <v>44948</v>
      </c>
      <c r="G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45062</v>
      </c>
      <c r="H56" s="2">
        <f>IF(payments_raw[[#This Row],[payment_date]] &lt; payments_raw[[#This Row],[sub_start_date]], 1, 0)</f>
        <v>0</v>
      </c>
      <c r="I56" s="2">
        <f>IF(AND(payments_raw[[#This Row],[sub_end_date]]&lt;&gt;"", payments_raw[[#This Row],[payment_date]] &gt; payments_raw[[#This Row],[sub_end_date]]), 1, 0)</f>
        <v>0</v>
      </c>
      <c r="J56" s="2">
        <f>IF(payments_raw[[#This Row],[amount]] &lt;= 0, 1, 0)</f>
        <v>0</v>
      </c>
      <c r="K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" spans="1:11" x14ac:dyDescent="0.3">
      <c r="A57">
        <v>52156045</v>
      </c>
      <c r="B57">
        <v>7550021</v>
      </c>
      <c r="C57" s="1">
        <v>45027</v>
      </c>
      <c r="D57">
        <v>190</v>
      </c>
      <c r="E57">
        <f>IF(
  ISNA(
    _xlfn.XLOOKUP(
      payments_raw[[#This Row],[subscription_id]],
      subscriptions[subscription_id],
      subscriptions[subscription_id]
    )
  ),
  0,
  1
)</f>
        <v>1</v>
      </c>
      <c r="F57" s="1">
        <f>_xlfn.XLOOKUP(payments_raw[[#This Row],[subscription_id]], subscriptions[subscription_id], subscriptions[start_date])</f>
        <v>44917</v>
      </c>
      <c r="G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7" s="2">
        <f>IF(payments_raw[[#This Row],[payment_date]] &lt; payments_raw[[#This Row],[sub_start_date]], 1, 0)</f>
        <v>0</v>
      </c>
      <c r="I57" s="2">
        <f>IF(AND(payments_raw[[#This Row],[sub_end_date]]&lt;&gt;"", payments_raw[[#This Row],[payment_date]] &gt; payments_raw[[#This Row],[sub_end_date]]), 1, 0)</f>
        <v>0</v>
      </c>
      <c r="J57" s="2">
        <f>IF(payments_raw[[#This Row],[amount]] &lt;= 0, 1, 0)</f>
        <v>0</v>
      </c>
      <c r="K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" spans="1:11" x14ac:dyDescent="0.3">
      <c r="A58">
        <v>71195665</v>
      </c>
      <c r="B58">
        <v>2334575</v>
      </c>
      <c r="C58" s="1">
        <v>45269</v>
      </c>
      <c r="D58">
        <v>790</v>
      </c>
      <c r="E58">
        <f>IF(
  ISNA(
    _xlfn.XLOOKUP(
      payments_raw[[#This Row],[subscription_id]],
      subscriptions[subscription_id],
      subscriptions[subscription_id]
    )
  ),
  0,
  1
)</f>
        <v>1</v>
      </c>
      <c r="F58" s="1">
        <f>_xlfn.XLOOKUP(payments_raw[[#This Row],[subscription_id]], subscriptions[subscription_id], subscriptions[start_date])</f>
        <v>45128</v>
      </c>
      <c r="G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58" s="2">
        <f>IF(payments_raw[[#This Row],[payment_date]] &lt; payments_raw[[#This Row],[sub_start_date]], 1, 0)</f>
        <v>0</v>
      </c>
      <c r="I58" s="2">
        <f>IF(AND(payments_raw[[#This Row],[sub_end_date]]&lt;&gt;"", payments_raw[[#This Row],[payment_date]] &gt; payments_raw[[#This Row],[sub_end_date]]), 1, 0)</f>
        <v>0</v>
      </c>
      <c r="J58" s="2">
        <f>IF(payments_raw[[#This Row],[amount]] &lt;= 0, 1, 0)</f>
        <v>0</v>
      </c>
      <c r="K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" spans="1:11" x14ac:dyDescent="0.3">
      <c r="A59">
        <v>91408752</v>
      </c>
      <c r="B59">
        <v>3371985</v>
      </c>
      <c r="C59" s="1">
        <v>45284</v>
      </c>
      <c r="D59">
        <v>2990</v>
      </c>
      <c r="E59">
        <f>IF(
  ISNA(
    _xlfn.XLOOKUP(
      payments_raw[[#This Row],[subscription_id]],
      subscriptions[subscription_id],
      subscriptions[subscription_id]
    )
  ),
  0,
  1
)</f>
        <v>1</v>
      </c>
      <c r="F59" s="1">
        <f>_xlfn.XLOOKUP(payments_raw[[#This Row],[subscription_id]], subscriptions[subscription_id], subscriptions[start_date])</f>
        <v>45052</v>
      </c>
      <c r="G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45333</v>
      </c>
      <c r="H59" s="2">
        <f>IF(payments_raw[[#This Row],[payment_date]] &lt; payments_raw[[#This Row],[sub_start_date]], 1, 0)</f>
        <v>0</v>
      </c>
      <c r="I59" s="2">
        <f>IF(AND(payments_raw[[#This Row],[sub_end_date]]&lt;&gt;"", payments_raw[[#This Row],[payment_date]] &gt; payments_raw[[#This Row],[sub_end_date]]), 1, 0)</f>
        <v>0</v>
      </c>
      <c r="J59" s="2">
        <f>IF(payments_raw[[#This Row],[amount]] &lt;= 0, 1, 0)</f>
        <v>0</v>
      </c>
      <c r="K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" spans="1:11" x14ac:dyDescent="0.3">
      <c r="A60">
        <v>88716058</v>
      </c>
      <c r="B60">
        <v>4271952</v>
      </c>
      <c r="C60" s="1">
        <v>45194</v>
      </c>
      <c r="D60">
        <v>790</v>
      </c>
      <c r="E60">
        <f>IF(
  ISNA(
    _xlfn.XLOOKUP(
      payments_raw[[#This Row],[subscription_id]],
      subscriptions[subscription_id],
      subscriptions[subscription_id]
    )
  ),
  0,
  1
)</f>
        <v>1</v>
      </c>
      <c r="F60" s="1">
        <f>_xlfn.XLOOKUP(payments_raw[[#This Row],[subscription_id]], subscriptions[subscription_id], subscriptions[start_date])</f>
        <v>45162</v>
      </c>
      <c r="G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60" s="2">
        <f>IF(payments_raw[[#This Row],[payment_date]] &lt; payments_raw[[#This Row],[sub_start_date]], 1, 0)</f>
        <v>0</v>
      </c>
      <c r="I60" s="2">
        <f>IF(AND(payments_raw[[#This Row],[sub_end_date]]&lt;&gt;"", payments_raw[[#This Row],[payment_date]] &gt; payments_raw[[#This Row],[sub_end_date]]), 1, 0)</f>
        <v>0</v>
      </c>
      <c r="J60" s="2">
        <f>IF(payments_raw[[#This Row],[amount]] &lt;= 0, 1, 0)</f>
        <v>0</v>
      </c>
      <c r="K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" spans="1:11" x14ac:dyDescent="0.3">
      <c r="A61">
        <v>12275825</v>
      </c>
      <c r="B61">
        <v>5166404</v>
      </c>
      <c r="C61" s="1">
        <v>45240</v>
      </c>
      <c r="D61">
        <v>142.5</v>
      </c>
      <c r="E61">
        <f>IF(
  ISNA(
    _xlfn.XLOOKUP(
      payments_raw[[#This Row],[subscription_id]],
      subscriptions[subscription_id],
      subscriptions[subscription_id]
    )
  ),
  0,
  1
)</f>
        <v>1</v>
      </c>
      <c r="F61" s="1">
        <f>_xlfn.XLOOKUP(payments_raw[[#This Row],[subscription_id]], subscriptions[subscription_id], subscriptions[start_date])</f>
        <v>45177</v>
      </c>
      <c r="G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" s="2">
        <f>IF(payments_raw[[#This Row],[payment_date]] &lt; payments_raw[[#This Row],[sub_start_date]], 1, 0)</f>
        <v>0</v>
      </c>
      <c r="I61" s="2">
        <f>IF(AND(payments_raw[[#This Row],[sub_end_date]]&lt;&gt;"", payments_raw[[#This Row],[payment_date]] &gt; payments_raw[[#This Row],[sub_end_date]]), 1, 0)</f>
        <v>0</v>
      </c>
      <c r="J61" s="2">
        <f>IF(payments_raw[[#This Row],[amount]] &lt;= 0, 1, 0)</f>
        <v>0</v>
      </c>
      <c r="K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" spans="1:11" x14ac:dyDescent="0.3">
      <c r="A62">
        <v>84165377</v>
      </c>
      <c r="B62">
        <v>7408577</v>
      </c>
      <c r="C62" s="1">
        <v>45333</v>
      </c>
      <c r="D62">
        <v>19</v>
      </c>
      <c r="E62">
        <f>IF(
  ISNA(
    _xlfn.XLOOKUP(
      payments_raw[[#This Row],[subscription_id]],
      subscriptions[subscription_id],
      subscriptions[subscription_id]
    )
  ),
  0,
  1
)</f>
        <v>1</v>
      </c>
      <c r="F62" s="1">
        <f>_xlfn.XLOOKUP(payments_raw[[#This Row],[subscription_id]], subscriptions[subscription_id], subscriptions[start_date])</f>
        <v>45089</v>
      </c>
      <c r="G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45443</v>
      </c>
      <c r="H62" s="2">
        <f>IF(payments_raw[[#This Row],[payment_date]] &lt; payments_raw[[#This Row],[sub_start_date]], 1, 0)</f>
        <v>0</v>
      </c>
      <c r="I62" s="2">
        <f>IF(AND(payments_raw[[#This Row],[sub_end_date]]&lt;&gt;"", payments_raw[[#This Row],[payment_date]] &gt; payments_raw[[#This Row],[sub_end_date]]), 1, 0)</f>
        <v>0</v>
      </c>
      <c r="J62" s="2">
        <f>IF(payments_raw[[#This Row],[amount]] &lt;= 0, 1, 0)</f>
        <v>0</v>
      </c>
      <c r="K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" spans="1:11" x14ac:dyDescent="0.3">
      <c r="A63">
        <v>52314652</v>
      </c>
      <c r="B63">
        <v>9880742</v>
      </c>
      <c r="C63" s="1">
        <v>45340</v>
      </c>
      <c r="D63">
        <v>79</v>
      </c>
      <c r="E63">
        <f>IF(
  ISNA(
    _xlfn.XLOOKUP(
      payments_raw[[#This Row],[subscription_id]],
      subscriptions[subscription_id],
      subscriptions[subscription_id]
    )
  ),
  0,
  1
)</f>
        <v>1</v>
      </c>
      <c r="F63" s="1">
        <f>_xlfn.XLOOKUP(payments_raw[[#This Row],[subscription_id]], subscriptions[subscription_id], subscriptions[start_date])</f>
        <v>44956</v>
      </c>
      <c r="G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" s="2">
        <f>IF(payments_raw[[#This Row],[payment_date]] &lt; payments_raw[[#This Row],[sub_start_date]], 1, 0)</f>
        <v>0</v>
      </c>
      <c r="I63" s="2">
        <f>IF(AND(payments_raw[[#This Row],[sub_end_date]]&lt;&gt;"", payments_raw[[#This Row],[payment_date]] &gt; payments_raw[[#This Row],[sub_end_date]]), 1, 0)</f>
        <v>0</v>
      </c>
      <c r="J63" s="2">
        <f>IF(payments_raw[[#This Row],[amount]] &lt;= 0, 1, 0)</f>
        <v>0</v>
      </c>
      <c r="K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" spans="1:11" x14ac:dyDescent="0.3">
      <c r="A64">
        <v>94408232</v>
      </c>
      <c r="B64">
        <v>8282586</v>
      </c>
      <c r="C64" s="1">
        <v>45464</v>
      </c>
      <c r="D64">
        <v>790</v>
      </c>
      <c r="E64">
        <f>IF(
  ISNA(
    _xlfn.XLOOKUP(
      payments_raw[[#This Row],[subscription_id]],
      subscriptions[subscription_id],
      subscriptions[subscription_id]
    )
  ),
  0,
  1
)</f>
        <v>1</v>
      </c>
      <c r="F64" s="1">
        <f>_xlfn.XLOOKUP(payments_raw[[#This Row],[subscription_id]], subscriptions[subscription_id], subscriptions[start_date])</f>
        <v>45437</v>
      </c>
      <c r="G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45496</v>
      </c>
      <c r="H64" s="2">
        <f>IF(payments_raw[[#This Row],[payment_date]] &lt; payments_raw[[#This Row],[sub_start_date]], 1, 0)</f>
        <v>0</v>
      </c>
      <c r="I64" s="2">
        <f>IF(AND(payments_raw[[#This Row],[sub_end_date]]&lt;&gt;"", payments_raw[[#This Row],[payment_date]] &gt; payments_raw[[#This Row],[sub_end_date]]), 1, 0)</f>
        <v>0</v>
      </c>
      <c r="J64" s="2">
        <f>IF(payments_raw[[#This Row],[amount]] &lt;= 0, 1, 0)</f>
        <v>0</v>
      </c>
      <c r="K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" spans="1:11" x14ac:dyDescent="0.3">
      <c r="A65">
        <v>63088171</v>
      </c>
      <c r="B65">
        <v>5795781</v>
      </c>
      <c r="C65" s="1">
        <v>45582</v>
      </c>
      <c r="D65">
        <v>39</v>
      </c>
      <c r="E65">
        <f>IF(
  ISNA(
    _xlfn.XLOOKUP(
      payments_raw[[#This Row],[subscription_id]],
      subscriptions[subscription_id],
      subscriptions[subscription_id]
    )
  ),
  0,
  1
)</f>
        <v>1</v>
      </c>
      <c r="F65" s="1">
        <f>_xlfn.XLOOKUP(payments_raw[[#This Row],[subscription_id]], subscriptions[subscription_id], subscriptions[start_date])</f>
        <v>45571</v>
      </c>
      <c r="G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45606</v>
      </c>
      <c r="H65" s="2">
        <f>IF(payments_raw[[#This Row],[payment_date]] &lt; payments_raw[[#This Row],[sub_start_date]], 1, 0)</f>
        <v>0</v>
      </c>
      <c r="I65" s="2">
        <f>IF(AND(payments_raw[[#This Row],[sub_end_date]]&lt;&gt;"", payments_raw[[#This Row],[payment_date]] &gt; payments_raw[[#This Row],[sub_end_date]]), 1, 0)</f>
        <v>0</v>
      </c>
      <c r="J65" s="2">
        <f>IF(payments_raw[[#This Row],[amount]] &lt;= 0, 1, 0)</f>
        <v>0</v>
      </c>
      <c r="K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" spans="1:11" x14ac:dyDescent="0.3">
      <c r="A66">
        <v>14635073</v>
      </c>
      <c r="B66">
        <v>8375951</v>
      </c>
      <c r="C66" s="1">
        <v>44978</v>
      </c>
      <c r="D66">
        <v>1490</v>
      </c>
      <c r="E66">
        <f>IF(
  ISNA(
    _xlfn.XLOOKUP(
      payments_raw[[#This Row],[subscription_id]],
      subscriptions[subscription_id],
      subscriptions[subscription_id]
    )
  ),
  0,
  1
)</f>
        <v>1</v>
      </c>
      <c r="F66" s="1">
        <f>_xlfn.XLOOKUP(payments_raw[[#This Row],[subscription_id]], subscriptions[subscription_id], subscriptions[start_date])</f>
        <v>44814</v>
      </c>
      <c r="G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66" s="2">
        <f>IF(payments_raw[[#This Row],[payment_date]] &lt; payments_raw[[#This Row],[sub_start_date]], 1, 0)</f>
        <v>0</v>
      </c>
      <c r="I66" s="2">
        <f>IF(AND(payments_raw[[#This Row],[sub_end_date]]&lt;&gt;"", payments_raw[[#This Row],[payment_date]] &gt; payments_raw[[#This Row],[sub_end_date]]), 1, 0)</f>
        <v>0</v>
      </c>
      <c r="J66" s="2">
        <f>IF(payments_raw[[#This Row],[amount]] &lt;= 0, 1, 0)</f>
        <v>0</v>
      </c>
      <c r="K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" spans="1:11" x14ac:dyDescent="0.3">
      <c r="A67">
        <v>85915813</v>
      </c>
      <c r="B67">
        <v>7590586</v>
      </c>
      <c r="C67" s="1">
        <v>45625</v>
      </c>
      <c r="D67">
        <v>39</v>
      </c>
      <c r="E67">
        <f>IF(
  ISNA(
    _xlfn.XLOOKUP(
      payments_raw[[#This Row],[subscription_id]],
      subscriptions[subscription_id],
      subscriptions[subscription_id]
    )
  ),
  0,
  1
)</f>
        <v>1</v>
      </c>
      <c r="F67" s="1">
        <f>_xlfn.XLOOKUP(payments_raw[[#This Row],[subscription_id]], subscriptions[subscription_id], subscriptions[start_date])</f>
        <v>44851</v>
      </c>
      <c r="G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7" s="2">
        <f>IF(payments_raw[[#This Row],[payment_date]] &lt; payments_raw[[#This Row],[sub_start_date]], 1, 0)</f>
        <v>0</v>
      </c>
      <c r="I67" s="2">
        <f>IF(AND(payments_raw[[#This Row],[sub_end_date]]&lt;&gt;"", payments_raw[[#This Row],[payment_date]] &gt; payments_raw[[#This Row],[sub_end_date]]), 1, 0)</f>
        <v>0</v>
      </c>
      <c r="J67" s="2">
        <f>IF(payments_raw[[#This Row],[amount]] &lt;= 0, 1, 0)</f>
        <v>0</v>
      </c>
      <c r="K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" spans="1:11" x14ac:dyDescent="0.3">
      <c r="A68">
        <v>78680335</v>
      </c>
      <c r="B68">
        <v>7021076</v>
      </c>
      <c r="C68" s="1">
        <v>44692</v>
      </c>
      <c r="D68">
        <v>299</v>
      </c>
      <c r="E68">
        <f>IF(
  ISNA(
    _xlfn.XLOOKUP(
      payments_raw[[#This Row],[subscription_id]],
      subscriptions[subscription_id],
      subscriptions[subscription_id]
    )
  ),
  0,
  1
)</f>
        <v>1</v>
      </c>
      <c r="F68" s="1">
        <f>_xlfn.XLOOKUP(payments_raw[[#This Row],[subscription_id]], subscriptions[subscription_id], subscriptions[start_date])</f>
        <v>44578</v>
      </c>
      <c r="G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" s="2">
        <f>IF(payments_raw[[#This Row],[payment_date]] &lt; payments_raw[[#This Row],[sub_start_date]], 1, 0)</f>
        <v>0</v>
      </c>
      <c r="I68" s="2">
        <f>IF(AND(payments_raw[[#This Row],[sub_end_date]]&lt;&gt;"", payments_raw[[#This Row],[payment_date]] &gt; payments_raw[[#This Row],[sub_end_date]]), 1, 0)</f>
        <v>0</v>
      </c>
      <c r="J68" s="2">
        <f>IF(payments_raw[[#This Row],[amount]] &lt;= 0, 1, 0)</f>
        <v>0</v>
      </c>
      <c r="K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" spans="1:11" x14ac:dyDescent="0.3">
      <c r="A69">
        <v>27698856</v>
      </c>
      <c r="B69">
        <v>4271952</v>
      </c>
      <c r="C69" s="1">
        <v>45289</v>
      </c>
      <c r="D69">
        <v>395</v>
      </c>
      <c r="E69">
        <f>IF(
  ISNA(
    _xlfn.XLOOKUP(
      payments_raw[[#This Row],[subscription_id]],
      subscriptions[subscription_id],
      subscriptions[subscription_id]
    )
  ),
  0,
  1
)</f>
        <v>1</v>
      </c>
      <c r="F69" s="1">
        <f>_xlfn.XLOOKUP(payments_raw[[#This Row],[subscription_id]], subscriptions[subscription_id], subscriptions[start_date])</f>
        <v>45162</v>
      </c>
      <c r="G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69" s="2">
        <f>IF(payments_raw[[#This Row],[payment_date]] &lt; payments_raw[[#This Row],[sub_start_date]], 1, 0)</f>
        <v>0</v>
      </c>
      <c r="I69" s="2">
        <f>IF(AND(payments_raw[[#This Row],[sub_end_date]]&lt;&gt;"", payments_raw[[#This Row],[payment_date]] &gt; payments_raw[[#This Row],[sub_end_date]]), 1, 0)</f>
        <v>0</v>
      </c>
      <c r="J69" s="2">
        <f>IF(payments_raw[[#This Row],[amount]] &lt;= 0, 1, 0)</f>
        <v>0</v>
      </c>
      <c r="K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" spans="1:11" x14ac:dyDescent="0.3">
      <c r="A70">
        <v>28778595</v>
      </c>
      <c r="B70">
        <v>6422262</v>
      </c>
      <c r="C70" s="1">
        <v>45135</v>
      </c>
      <c r="D70">
        <v>39</v>
      </c>
      <c r="E70">
        <f>IF(
  ISNA(
    _xlfn.XLOOKUP(
      payments_raw[[#This Row],[subscription_id]],
      subscriptions[subscription_id],
      subscriptions[subscription_id]
    )
  ),
  0,
  1
)</f>
        <v>1</v>
      </c>
      <c r="F70" s="1">
        <f>_xlfn.XLOOKUP(payments_raw[[#This Row],[subscription_id]], subscriptions[subscription_id], subscriptions[start_date])</f>
        <v>45097</v>
      </c>
      <c r="G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70" s="2">
        <f>IF(payments_raw[[#This Row],[payment_date]] &lt; payments_raw[[#This Row],[sub_start_date]], 1, 0)</f>
        <v>0</v>
      </c>
      <c r="I70" s="2">
        <f>IF(AND(payments_raw[[#This Row],[sub_end_date]]&lt;&gt;"", payments_raw[[#This Row],[payment_date]] &gt; payments_raw[[#This Row],[sub_end_date]]), 1, 0)</f>
        <v>0</v>
      </c>
      <c r="J70" s="2">
        <f>IF(payments_raw[[#This Row],[amount]] &lt;= 0, 1, 0)</f>
        <v>0</v>
      </c>
      <c r="K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" spans="1:11" x14ac:dyDescent="0.3">
      <c r="A71">
        <v>31928724</v>
      </c>
      <c r="B71">
        <v>5621624</v>
      </c>
      <c r="C71" s="1">
        <v>45597</v>
      </c>
      <c r="D71">
        <v>790</v>
      </c>
      <c r="E71">
        <f>IF(
  ISNA(
    _xlfn.XLOOKUP(
      payments_raw[[#This Row],[subscription_id]],
      subscriptions[subscription_id],
      subscriptions[subscription_id]
    )
  ),
  0,
  1
)</f>
        <v>1</v>
      </c>
      <c r="F71" s="1">
        <f>_xlfn.XLOOKUP(payments_raw[[#This Row],[subscription_id]], subscriptions[subscription_id], subscriptions[start_date])</f>
        <v>45232</v>
      </c>
      <c r="G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1" s="2">
        <f>IF(payments_raw[[#This Row],[payment_date]] &lt; payments_raw[[#This Row],[sub_start_date]], 1, 0)</f>
        <v>0</v>
      </c>
      <c r="I71" s="2">
        <f>IF(AND(payments_raw[[#This Row],[sub_end_date]]&lt;&gt;"", payments_raw[[#This Row],[payment_date]] &gt; payments_raw[[#This Row],[sub_end_date]]), 1, 0)</f>
        <v>0</v>
      </c>
      <c r="J71" s="2">
        <f>IF(payments_raw[[#This Row],[amount]] &lt;= 0, 1, 0)</f>
        <v>0</v>
      </c>
      <c r="K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" spans="1:11" x14ac:dyDescent="0.3">
      <c r="A72">
        <v>58360919</v>
      </c>
      <c r="B72">
        <v>6955771</v>
      </c>
      <c r="C72" s="1">
        <v>45291</v>
      </c>
      <c r="D72">
        <v>2990</v>
      </c>
      <c r="E72">
        <f>IF(
  ISNA(
    _xlfn.XLOOKUP(
      payments_raw[[#This Row],[subscription_id]],
      subscriptions[subscription_id],
      subscriptions[subscription_id]
    )
  ),
  0,
  1
)</f>
        <v>1</v>
      </c>
      <c r="F72" s="1">
        <f>_xlfn.XLOOKUP(payments_raw[[#This Row],[subscription_id]], subscriptions[subscription_id], subscriptions[start_date])</f>
        <v>45200</v>
      </c>
      <c r="G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72" s="2">
        <f>IF(payments_raw[[#This Row],[payment_date]] &lt; payments_raw[[#This Row],[sub_start_date]], 1, 0)</f>
        <v>0</v>
      </c>
      <c r="I72" s="2">
        <f>IF(AND(payments_raw[[#This Row],[sub_end_date]]&lt;&gt;"", payments_raw[[#This Row],[payment_date]] &gt; payments_raw[[#This Row],[sub_end_date]]), 1, 0)</f>
        <v>0</v>
      </c>
      <c r="J72" s="2">
        <f>IF(payments_raw[[#This Row],[amount]] &lt;= 0, 1, 0)</f>
        <v>0</v>
      </c>
      <c r="K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" spans="1:11" x14ac:dyDescent="0.3">
      <c r="A73">
        <v>65383843</v>
      </c>
      <c r="B73">
        <v>7741225</v>
      </c>
      <c r="C73" s="1">
        <v>45197</v>
      </c>
      <c r="D73">
        <v>390</v>
      </c>
      <c r="E73">
        <f>IF(
  ISNA(
    _xlfn.XLOOKUP(
      payments_raw[[#This Row],[subscription_id]],
      subscriptions[subscription_id],
      subscriptions[subscription_id]
    )
  ),
  0,
  1
)</f>
        <v>1</v>
      </c>
      <c r="F73" s="1">
        <f>_xlfn.XLOOKUP(payments_raw[[#This Row],[subscription_id]], subscriptions[subscription_id], subscriptions[start_date])</f>
        <v>44846</v>
      </c>
      <c r="G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" s="2">
        <f>IF(payments_raw[[#This Row],[payment_date]] &lt; payments_raw[[#This Row],[sub_start_date]], 1, 0)</f>
        <v>0</v>
      </c>
      <c r="I73" s="2">
        <f>IF(AND(payments_raw[[#This Row],[sub_end_date]]&lt;&gt;"", payments_raw[[#This Row],[payment_date]] &gt; payments_raw[[#This Row],[sub_end_date]]), 1, 0)</f>
        <v>0</v>
      </c>
      <c r="J73" s="2">
        <f>IF(payments_raw[[#This Row],[amount]] &lt;= 0, 1, 0)</f>
        <v>0</v>
      </c>
      <c r="K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" spans="1:11" x14ac:dyDescent="0.3">
      <c r="A74">
        <v>76096285</v>
      </c>
      <c r="B74">
        <v>7550021</v>
      </c>
      <c r="C74" s="1">
        <v>45327</v>
      </c>
      <c r="D74">
        <v>190</v>
      </c>
      <c r="E74">
        <f>IF(
  ISNA(
    _xlfn.XLOOKUP(
      payments_raw[[#This Row],[subscription_id]],
      subscriptions[subscription_id],
      subscriptions[subscription_id]
    )
  ),
  0,
  1
)</f>
        <v>1</v>
      </c>
      <c r="F74" s="1">
        <f>_xlfn.XLOOKUP(payments_raw[[#This Row],[subscription_id]], subscriptions[subscription_id], subscriptions[start_date])</f>
        <v>44917</v>
      </c>
      <c r="G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" s="2">
        <f>IF(payments_raw[[#This Row],[payment_date]] &lt; payments_raw[[#This Row],[sub_start_date]], 1, 0)</f>
        <v>0</v>
      </c>
      <c r="I74" s="2">
        <f>IF(AND(payments_raw[[#This Row],[sub_end_date]]&lt;&gt;"", payments_raw[[#This Row],[payment_date]] &gt; payments_raw[[#This Row],[sub_end_date]]), 1, 0)</f>
        <v>0</v>
      </c>
      <c r="J74" s="2">
        <f>IF(payments_raw[[#This Row],[amount]] &lt;= 0, 1, 0)</f>
        <v>0</v>
      </c>
      <c r="K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" spans="1:11" x14ac:dyDescent="0.3">
      <c r="A75">
        <v>80421269</v>
      </c>
      <c r="B75">
        <v>5601485</v>
      </c>
      <c r="C75" s="1">
        <v>45515</v>
      </c>
      <c r="D75">
        <v>190</v>
      </c>
      <c r="E75">
        <f>IF(
  ISNA(
    _xlfn.XLOOKUP(
      payments_raw[[#This Row],[subscription_id]],
      subscriptions[subscription_id],
      subscriptions[subscription_id]
    )
  ),
  0,
  1
)</f>
        <v>1</v>
      </c>
      <c r="F75" s="1">
        <f>_xlfn.XLOOKUP(payments_raw[[#This Row],[subscription_id]], subscriptions[subscription_id], subscriptions[start_date])</f>
        <v>45302</v>
      </c>
      <c r="G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" s="2">
        <f>IF(payments_raw[[#This Row],[payment_date]] &lt; payments_raw[[#This Row],[sub_start_date]], 1, 0)</f>
        <v>0</v>
      </c>
      <c r="I75" s="2">
        <f>IF(AND(payments_raw[[#This Row],[sub_end_date]]&lt;&gt;"", payments_raw[[#This Row],[payment_date]] &gt; payments_raw[[#This Row],[sub_end_date]]), 1, 0)</f>
        <v>0</v>
      </c>
      <c r="J75" s="2">
        <f>IF(payments_raw[[#This Row],[amount]] &lt;= 0, 1, 0)</f>
        <v>0</v>
      </c>
      <c r="K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" spans="1:11" x14ac:dyDescent="0.3">
      <c r="A76">
        <v>63148900</v>
      </c>
      <c r="B76">
        <v>3547556</v>
      </c>
      <c r="C76" s="1">
        <v>45141</v>
      </c>
      <c r="D76">
        <v>190</v>
      </c>
      <c r="E76">
        <f>IF(
  ISNA(
    _xlfn.XLOOKUP(
      payments_raw[[#This Row],[subscription_id]],
      subscriptions[subscription_id],
      subscriptions[subscription_id]
    )
  ),
  0,
  1
)</f>
        <v>1</v>
      </c>
      <c r="F76" s="1">
        <f>_xlfn.XLOOKUP(payments_raw[[#This Row],[subscription_id]], subscriptions[subscription_id], subscriptions[start_date])</f>
        <v>44983</v>
      </c>
      <c r="G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6" s="2">
        <f>IF(payments_raw[[#This Row],[payment_date]] &lt; payments_raw[[#This Row],[sub_start_date]], 1, 0)</f>
        <v>0</v>
      </c>
      <c r="I76" s="2">
        <f>IF(AND(payments_raw[[#This Row],[sub_end_date]]&lt;&gt;"", payments_raw[[#This Row],[payment_date]] &gt; payments_raw[[#This Row],[sub_end_date]]), 1, 0)</f>
        <v>0</v>
      </c>
      <c r="J76" s="2">
        <f>IF(payments_raw[[#This Row],[amount]] &lt;= 0, 1, 0)</f>
        <v>0</v>
      </c>
      <c r="K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" spans="1:11" x14ac:dyDescent="0.3">
      <c r="A77">
        <v>22008959</v>
      </c>
      <c r="B77">
        <v>2426723</v>
      </c>
      <c r="C77" s="1">
        <v>45486</v>
      </c>
      <c r="D77">
        <v>190</v>
      </c>
      <c r="E77">
        <f>IF(
  ISNA(
    _xlfn.XLOOKUP(
      payments_raw[[#This Row],[subscription_id]],
      subscriptions[subscription_id],
      subscriptions[subscription_id]
    )
  ),
  0,
  1
)</f>
        <v>1</v>
      </c>
      <c r="F77" s="1">
        <f>_xlfn.XLOOKUP(payments_raw[[#This Row],[subscription_id]], subscriptions[subscription_id], subscriptions[start_date])</f>
        <v>44653</v>
      </c>
      <c r="G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7" s="2">
        <f>IF(payments_raw[[#This Row],[payment_date]] &lt; payments_raw[[#This Row],[sub_start_date]], 1, 0)</f>
        <v>0</v>
      </c>
      <c r="I77" s="2">
        <f>IF(AND(payments_raw[[#This Row],[sub_end_date]]&lt;&gt;"", payments_raw[[#This Row],[payment_date]] &gt; payments_raw[[#This Row],[sub_end_date]]), 1, 0)</f>
        <v>0</v>
      </c>
      <c r="J77" s="2">
        <f>IF(payments_raw[[#This Row],[amount]] &lt;= 0, 1, 0)</f>
        <v>0</v>
      </c>
      <c r="K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" spans="1:11" x14ac:dyDescent="0.3">
      <c r="A78">
        <v>31348733</v>
      </c>
      <c r="B78">
        <v>6701061</v>
      </c>
      <c r="C78" s="1">
        <v>45520</v>
      </c>
      <c r="D78">
        <v>19</v>
      </c>
      <c r="E78">
        <f>IF(
  ISNA(
    _xlfn.XLOOKUP(
      payments_raw[[#This Row],[subscription_id]],
      subscriptions[subscription_id],
      subscriptions[subscription_id]
    )
  ),
  0,
  1
)</f>
        <v>1</v>
      </c>
      <c r="F78" s="1">
        <f>_xlfn.XLOOKUP(payments_raw[[#This Row],[subscription_id]], subscriptions[subscription_id], subscriptions[start_date])</f>
        <v>45491</v>
      </c>
      <c r="G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8" s="2">
        <f>IF(payments_raw[[#This Row],[payment_date]] &lt; payments_raw[[#This Row],[sub_start_date]], 1, 0)</f>
        <v>0</v>
      </c>
      <c r="I78" s="2">
        <f>IF(AND(payments_raw[[#This Row],[sub_end_date]]&lt;&gt;"", payments_raw[[#This Row],[payment_date]] &gt; payments_raw[[#This Row],[sub_end_date]]), 1, 0)</f>
        <v>0</v>
      </c>
      <c r="J78" s="2">
        <f>IF(payments_raw[[#This Row],[amount]] &lt;= 0, 1, 0)</f>
        <v>0</v>
      </c>
      <c r="K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" spans="1:11" x14ac:dyDescent="0.3">
      <c r="A79">
        <v>44997902</v>
      </c>
      <c r="B79">
        <v>9753488</v>
      </c>
      <c r="C79" s="1">
        <v>45482</v>
      </c>
      <c r="D79">
        <v>2990</v>
      </c>
      <c r="E79">
        <f>IF(
  ISNA(
    _xlfn.XLOOKUP(
      payments_raw[[#This Row],[subscription_id]],
      subscriptions[subscription_id],
      subscriptions[subscription_id]
    )
  ),
  0,
  1
)</f>
        <v>1</v>
      </c>
      <c r="F79" s="1">
        <f>_xlfn.XLOOKUP(payments_raw[[#This Row],[subscription_id]], subscriptions[subscription_id], subscriptions[start_date])</f>
        <v>45424</v>
      </c>
      <c r="G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79" s="2">
        <f>IF(payments_raw[[#This Row],[payment_date]] &lt; payments_raw[[#This Row],[sub_start_date]], 1, 0)</f>
        <v>0</v>
      </c>
      <c r="I79" s="2">
        <f>IF(AND(payments_raw[[#This Row],[sub_end_date]]&lt;&gt;"", payments_raw[[#This Row],[payment_date]] &gt; payments_raw[[#This Row],[sub_end_date]]), 1, 0)</f>
        <v>0</v>
      </c>
      <c r="J79" s="2">
        <f>IF(payments_raw[[#This Row],[amount]] &lt;= 0, 1, 0)</f>
        <v>0</v>
      </c>
      <c r="K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" spans="1:11" x14ac:dyDescent="0.3">
      <c r="A80">
        <v>96538031</v>
      </c>
      <c r="B80">
        <v>3999685</v>
      </c>
      <c r="C80" s="1">
        <v>45045</v>
      </c>
      <c r="D80">
        <v>1490</v>
      </c>
      <c r="E80">
        <f>IF(
  ISNA(
    _xlfn.XLOOKUP(
      payments_raw[[#This Row],[subscription_id]],
      subscriptions[subscription_id],
      subscriptions[subscription_id]
    )
  ),
  0,
  1
)</f>
        <v>1</v>
      </c>
      <c r="F80" s="1">
        <f>_xlfn.XLOOKUP(payments_raw[[#This Row],[subscription_id]], subscriptions[subscription_id], subscriptions[start_date])</f>
        <v>44696</v>
      </c>
      <c r="G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80" s="2">
        <f>IF(payments_raw[[#This Row],[payment_date]] &lt; payments_raw[[#This Row],[sub_start_date]], 1, 0)</f>
        <v>0</v>
      </c>
      <c r="I80" s="2">
        <f>IF(AND(payments_raw[[#This Row],[sub_end_date]]&lt;&gt;"", payments_raw[[#This Row],[payment_date]] &gt; payments_raw[[#This Row],[sub_end_date]]), 1, 0)</f>
        <v>0</v>
      </c>
      <c r="J80" s="2">
        <f>IF(payments_raw[[#This Row],[amount]] &lt;= 0, 1, 0)</f>
        <v>0</v>
      </c>
      <c r="K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" spans="1:11" x14ac:dyDescent="0.3">
      <c r="A81">
        <v>17044162</v>
      </c>
      <c r="B81">
        <v>6955771</v>
      </c>
      <c r="C81" s="1">
        <v>45364</v>
      </c>
      <c r="D81">
        <v>2990</v>
      </c>
      <c r="E81">
        <f>IF(
  ISNA(
    _xlfn.XLOOKUP(
      payments_raw[[#This Row],[subscription_id]],
      subscriptions[subscription_id],
      subscriptions[subscription_id]
    )
  ),
  0,
  1
)</f>
        <v>1</v>
      </c>
      <c r="F81" s="1">
        <f>_xlfn.XLOOKUP(payments_raw[[#This Row],[subscription_id]], subscriptions[subscription_id], subscriptions[start_date])</f>
        <v>45200</v>
      </c>
      <c r="G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81" s="2">
        <f>IF(payments_raw[[#This Row],[payment_date]] &lt; payments_raw[[#This Row],[sub_start_date]], 1, 0)</f>
        <v>0</v>
      </c>
      <c r="I81" s="2">
        <f>IF(AND(payments_raw[[#This Row],[sub_end_date]]&lt;&gt;"", payments_raw[[#This Row],[payment_date]] &gt; payments_raw[[#This Row],[sub_end_date]]), 1, 0)</f>
        <v>0</v>
      </c>
      <c r="J81" s="2">
        <f>IF(payments_raw[[#This Row],[amount]] &lt;= 0, 1, 0)</f>
        <v>0</v>
      </c>
      <c r="K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" spans="1:11" x14ac:dyDescent="0.3">
      <c r="A82">
        <v>40268764</v>
      </c>
      <c r="B82">
        <v>6394902</v>
      </c>
      <c r="C82" s="1">
        <v>45528</v>
      </c>
      <c r="D82">
        <v>9.5</v>
      </c>
      <c r="E82">
        <f>IF(
  ISNA(
    _xlfn.XLOOKUP(
      payments_raw[[#This Row],[subscription_id]],
      subscriptions[subscription_id],
      subscriptions[subscription_id]
    )
  ),
  0,
  1
)</f>
        <v>1</v>
      </c>
      <c r="F82" s="1">
        <f>_xlfn.XLOOKUP(payments_raw[[#This Row],[subscription_id]], subscriptions[subscription_id], subscriptions[start_date])</f>
        <v>45038</v>
      </c>
      <c r="G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" s="2">
        <f>IF(payments_raw[[#This Row],[payment_date]] &lt; payments_raw[[#This Row],[sub_start_date]], 1, 0)</f>
        <v>0</v>
      </c>
      <c r="I82" s="2">
        <f>IF(AND(payments_raw[[#This Row],[sub_end_date]]&lt;&gt;"", payments_raw[[#This Row],[payment_date]] &gt; payments_raw[[#This Row],[sub_end_date]]), 1, 0)</f>
        <v>0</v>
      </c>
      <c r="J82" s="2">
        <f>IF(payments_raw[[#This Row],[amount]] &lt;= 0, 1, 0)</f>
        <v>0</v>
      </c>
      <c r="K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" spans="1:11" x14ac:dyDescent="0.3">
      <c r="A83">
        <v>41227854</v>
      </c>
      <c r="B83">
        <v>5432538</v>
      </c>
      <c r="C83" s="1">
        <v>45227</v>
      </c>
      <c r="D83">
        <v>149</v>
      </c>
      <c r="E83">
        <f>IF(
  ISNA(
    _xlfn.XLOOKUP(
      payments_raw[[#This Row],[subscription_id]],
      subscriptions[subscription_id],
      subscriptions[subscription_id]
    )
  ),
  0,
  1
)</f>
        <v>1</v>
      </c>
      <c r="F83" s="1">
        <f>_xlfn.XLOOKUP(payments_raw[[#This Row],[subscription_id]], subscriptions[subscription_id], subscriptions[start_date])</f>
        <v>45071</v>
      </c>
      <c r="G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" s="2">
        <f>IF(payments_raw[[#This Row],[payment_date]] &lt; payments_raw[[#This Row],[sub_start_date]], 1, 0)</f>
        <v>0</v>
      </c>
      <c r="I83" s="2">
        <f>IF(AND(payments_raw[[#This Row],[sub_end_date]]&lt;&gt;"", payments_raw[[#This Row],[payment_date]] &gt; payments_raw[[#This Row],[sub_end_date]]), 1, 0)</f>
        <v>0</v>
      </c>
      <c r="J83" s="2">
        <f>IF(payments_raw[[#This Row],[amount]] &lt;= 0, 1, 0)</f>
        <v>0</v>
      </c>
      <c r="K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" spans="1:11" x14ac:dyDescent="0.3">
      <c r="A84">
        <v>28478172</v>
      </c>
      <c r="B84">
        <v>2696557</v>
      </c>
      <c r="C84" s="1">
        <v>45600</v>
      </c>
      <c r="D84">
        <v>790</v>
      </c>
      <c r="E84">
        <f>IF(
  ISNA(
    _xlfn.XLOOKUP(
      payments_raw[[#This Row],[subscription_id]],
      subscriptions[subscription_id],
      subscriptions[subscription_id]
    )
  ),
  0,
  1
)</f>
        <v>1</v>
      </c>
      <c r="F84" s="1">
        <f>_xlfn.XLOOKUP(payments_raw[[#This Row],[subscription_id]], subscriptions[subscription_id], subscriptions[start_date])</f>
        <v>45344</v>
      </c>
      <c r="G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4" s="2">
        <f>IF(payments_raw[[#This Row],[payment_date]] &lt; payments_raw[[#This Row],[sub_start_date]], 1, 0)</f>
        <v>0</v>
      </c>
      <c r="I84" s="2">
        <f>IF(AND(payments_raw[[#This Row],[sub_end_date]]&lt;&gt;"", payments_raw[[#This Row],[payment_date]] &gt; payments_raw[[#This Row],[sub_end_date]]), 1, 0)</f>
        <v>0</v>
      </c>
      <c r="J84" s="2">
        <f>IF(payments_raw[[#This Row],[amount]] &lt;= 0, 1, 0)</f>
        <v>0</v>
      </c>
      <c r="K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" spans="1:11" x14ac:dyDescent="0.3">
      <c r="A85">
        <v>62012760</v>
      </c>
      <c r="B85">
        <v>8494305</v>
      </c>
      <c r="C85" s="1">
        <v>45622</v>
      </c>
      <c r="D85">
        <v>39</v>
      </c>
      <c r="E85">
        <f>IF(
  ISNA(
    _xlfn.XLOOKUP(
      payments_raw[[#This Row],[subscription_id]],
      subscriptions[subscription_id],
      subscriptions[subscription_id]
    )
  ),
  0,
  1
)</f>
        <v>1</v>
      </c>
      <c r="F85" s="1">
        <f>_xlfn.XLOOKUP(payments_raw[[#This Row],[subscription_id]], subscriptions[subscription_id], subscriptions[start_date])</f>
        <v>45541</v>
      </c>
      <c r="G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85" s="2">
        <f>IF(payments_raw[[#This Row],[payment_date]] &lt; payments_raw[[#This Row],[sub_start_date]], 1, 0)</f>
        <v>0</v>
      </c>
      <c r="I85" s="2">
        <f>IF(AND(payments_raw[[#This Row],[sub_end_date]]&lt;&gt;"", payments_raw[[#This Row],[payment_date]] &gt; payments_raw[[#This Row],[sub_end_date]]), 1, 0)</f>
        <v>0</v>
      </c>
      <c r="J85" s="2">
        <f>IF(payments_raw[[#This Row],[amount]] &lt;= 0, 1, 0)</f>
        <v>0</v>
      </c>
      <c r="K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" spans="1:11" x14ac:dyDescent="0.3">
      <c r="A86">
        <v>12584460</v>
      </c>
      <c r="B86">
        <v>5837546</v>
      </c>
      <c r="C86" s="1">
        <v>45574</v>
      </c>
      <c r="D86">
        <v>39</v>
      </c>
      <c r="E86">
        <f>IF(
  ISNA(
    _xlfn.XLOOKUP(
      payments_raw[[#This Row],[subscription_id]],
      subscriptions[subscription_id],
      subscriptions[subscription_id]
    )
  ),
  0,
  1
)</f>
        <v>1</v>
      </c>
      <c r="F86" s="1">
        <f>_xlfn.XLOOKUP(payments_raw[[#This Row],[subscription_id]], subscriptions[subscription_id], subscriptions[start_date])</f>
        <v>45444</v>
      </c>
      <c r="G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" s="2">
        <f>IF(payments_raw[[#This Row],[payment_date]] &lt; payments_raw[[#This Row],[sub_start_date]], 1, 0)</f>
        <v>0</v>
      </c>
      <c r="I86" s="2">
        <f>IF(AND(payments_raw[[#This Row],[sub_end_date]]&lt;&gt;"", payments_raw[[#This Row],[payment_date]] &gt; payments_raw[[#This Row],[sub_end_date]]), 1, 0)</f>
        <v>0</v>
      </c>
      <c r="J86" s="2">
        <f>IF(payments_raw[[#This Row],[amount]] &lt;= 0, 1, 0)</f>
        <v>0</v>
      </c>
      <c r="K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" spans="1:11" x14ac:dyDescent="0.3">
      <c r="A87">
        <v>76065625</v>
      </c>
      <c r="B87">
        <v>5731917</v>
      </c>
      <c r="C87" s="1">
        <v>44653</v>
      </c>
      <c r="D87">
        <v>790</v>
      </c>
      <c r="E87">
        <f>IF(
  ISNA(
    _xlfn.XLOOKUP(
      payments_raw[[#This Row],[subscription_id]],
      subscriptions[subscription_id],
      subscriptions[subscription_id]
    )
  ),
  0,
  1
)</f>
        <v>1</v>
      </c>
      <c r="F87" s="1">
        <f>_xlfn.XLOOKUP(payments_raw[[#This Row],[subscription_id]], subscriptions[subscription_id], subscriptions[start_date])</f>
        <v>44605</v>
      </c>
      <c r="G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" s="2">
        <f>IF(payments_raw[[#This Row],[payment_date]] &lt; payments_raw[[#This Row],[sub_start_date]], 1, 0)</f>
        <v>0</v>
      </c>
      <c r="I87" s="2">
        <f>IF(AND(payments_raw[[#This Row],[sub_end_date]]&lt;&gt;"", payments_raw[[#This Row],[payment_date]] &gt; payments_raw[[#This Row],[sub_end_date]]), 1, 0)</f>
        <v>0</v>
      </c>
      <c r="J87" s="2">
        <f>IF(payments_raw[[#This Row],[amount]] &lt;= 0, 1, 0)</f>
        <v>0</v>
      </c>
      <c r="K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" spans="1:11" x14ac:dyDescent="0.3">
      <c r="A88">
        <v>65692131</v>
      </c>
      <c r="B88">
        <v>4264878</v>
      </c>
      <c r="C88" s="1">
        <v>45587</v>
      </c>
      <c r="D88">
        <v>74.5</v>
      </c>
      <c r="E88">
        <f>IF(
  ISNA(
    _xlfn.XLOOKUP(
      payments_raw[[#This Row],[subscription_id]],
      subscriptions[subscription_id],
      subscriptions[subscription_id]
    )
  ),
  0,
  1
)</f>
        <v>1</v>
      </c>
      <c r="F88" s="1">
        <f>_xlfn.XLOOKUP(payments_raw[[#This Row],[subscription_id]], subscriptions[subscription_id], subscriptions[start_date])</f>
        <v>45306</v>
      </c>
      <c r="G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45616</v>
      </c>
      <c r="H88" s="2">
        <f>IF(payments_raw[[#This Row],[payment_date]] &lt; payments_raw[[#This Row],[sub_start_date]], 1, 0)</f>
        <v>0</v>
      </c>
      <c r="I88" s="2">
        <f>IF(AND(payments_raw[[#This Row],[sub_end_date]]&lt;&gt;"", payments_raw[[#This Row],[payment_date]] &gt; payments_raw[[#This Row],[sub_end_date]]), 1, 0)</f>
        <v>0</v>
      </c>
      <c r="J88" s="2">
        <f>IF(payments_raw[[#This Row],[amount]] &lt;= 0, 1, 0)</f>
        <v>0</v>
      </c>
      <c r="K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" spans="1:11" x14ac:dyDescent="0.3">
      <c r="A89">
        <v>89143988</v>
      </c>
      <c r="B89">
        <v>2457333</v>
      </c>
      <c r="C89" s="1">
        <v>44860</v>
      </c>
      <c r="D89">
        <v>149</v>
      </c>
      <c r="E89">
        <f>IF(
  ISNA(
    _xlfn.XLOOKUP(
      payments_raw[[#This Row],[subscription_id]],
      subscriptions[subscription_id],
      subscriptions[subscription_id]
    )
  ),
  0,
  1
)</f>
        <v>1</v>
      </c>
      <c r="F89" s="1">
        <f>_xlfn.XLOOKUP(payments_raw[[#This Row],[subscription_id]], subscriptions[subscription_id], subscriptions[start_date])</f>
        <v>44842</v>
      </c>
      <c r="G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89" s="2">
        <f>IF(payments_raw[[#This Row],[payment_date]] &lt; payments_raw[[#This Row],[sub_start_date]], 1, 0)</f>
        <v>0</v>
      </c>
      <c r="I89" s="2">
        <f>IF(AND(payments_raw[[#This Row],[sub_end_date]]&lt;&gt;"", payments_raw[[#This Row],[payment_date]] &gt; payments_raw[[#This Row],[sub_end_date]]), 1, 0)</f>
        <v>0</v>
      </c>
      <c r="J89" s="2">
        <f>IF(payments_raw[[#This Row],[amount]] &lt;= 0, 1, 0)</f>
        <v>0</v>
      </c>
      <c r="K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" spans="1:11" x14ac:dyDescent="0.3">
      <c r="A90">
        <v>88213929</v>
      </c>
      <c r="B90">
        <v>9442389</v>
      </c>
      <c r="C90" s="1">
        <v>45496</v>
      </c>
      <c r="D90">
        <v>35.1</v>
      </c>
      <c r="E90">
        <f>IF(
  ISNA(
    _xlfn.XLOOKUP(
      payments_raw[[#This Row],[subscription_id]],
      subscriptions[subscription_id],
      subscriptions[subscription_id]
    )
  ),
  0,
  1
)</f>
        <v>1</v>
      </c>
      <c r="F90" s="1">
        <f>_xlfn.XLOOKUP(payments_raw[[#This Row],[subscription_id]], subscriptions[subscription_id], subscriptions[start_date])</f>
        <v>44993</v>
      </c>
      <c r="G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" s="2">
        <f>IF(payments_raw[[#This Row],[payment_date]] &lt; payments_raw[[#This Row],[sub_start_date]], 1, 0)</f>
        <v>0</v>
      </c>
      <c r="I90" s="2">
        <f>IF(AND(payments_raw[[#This Row],[sub_end_date]]&lt;&gt;"", payments_raw[[#This Row],[payment_date]] &gt; payments_raw[[#This Row],[sub_end_date]]), 1, 0)</f>
        <v>0</v>
      </c>
      <c r="J90" s="2">
        <f>IF(payments_raw[[#This Row],[amount]] &lt;= 0, 1, 0)</f>
        <v>0</v>
      </c>
      <c r="K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" spans="1:11" x14ac:dyDescent="0.3">
      <c r="A91">
        <v>20821631</v>
      </c>
      <c r="B91">
        <v>8588667</v>
      </c>
      <c r="C91" s="1">
        <v>45474</v>
      </c>
      <c r="D91">
        <v>299</v>
      </c>
      <c r="E91">
        <f>IF(
  ISNA(
    _xlfn.XLOOKUP(
      payments_raw[[#This Row],[subscription_id]],
      subscriptions[subscription_id],
      subscriptions[subscription_id]
    )
  ),
  0,
  1
)</f>
        <v>1</v>
      </c>
      <c r="F91" s="1">
        <f>_xlfn.XLOOKUP(payments_raw[[#This Row],[subscription_id]], subscriptions[subscription_id], subscriptions[start_date])</f>
        <v>45177</v>
      </c>
      <c r="G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45526</v>
      </c>
      <c r="H91" s="2">
        <f>IF(payments_raw[[#This Row],[payment_date]] &lt; payments_raw[[#This Row],[sub_start_date]], 1, 0)</f>
        <v>0</v>
      </c>
      <c r="I91" s="2">
        <f>IF(AND(payments_raw[[#This Row],[sub_end_date]]&lt;&gt;"", payments_raw[[#This Row],[payment_date]] &gt; payments_raw[[#This Row],[sub_end_date]]), 1, 0)</f>
        <v>0</v>
      </c>
      <c r="J91" s="2">
        <f>IF(payments_raw[[#This Row],[amount]] &lt;= 0, 1, 0)</f>
        <v>0</v>
      </c>
      <c r="K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" spans="1:11" x14ac:dyDescent="0.3">
      <c r="A92">
        <v>78336772</v>
      </c>
      <c r="B92">
        <v>4719408</v>
      </c>
      <c r="C92" s="1">
        <v>45138</v>
      </c>
      <c r="D92">
        <v>2990</v>
      </c>
      <c r="E92">
        <f>IF(
  ISNA(
    _xlfn.XLOOKUP(
      payments_raw[[#This Row],[subscription_id]],
      subscriptions[subscription_id],
      subscriptions[subscription_id]
    )
  ),
  0,
  1
)</f>
        <v>1</v>
      </c>
      <c r="F92" s="1">
        <f>_xlfn.XLOOKUP(payments_raw[[#This Row],[subscription_id]], subscriptions[subscription_id], subscriptions[start_date])</f>
        <v>44926</v>
      </c>
      <c r="G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45144</v>
      </c>
      <c r="H92" s="2">
        <f>IF(payments_raw[[#This Row],[payment_date]] &lt; payments_raw[[#This Row],[sub_start_date]], 1, 0)</f>
        <v>0</v>
      </c>
      <c r="I92" s="2">
        <f>IF(AND(payments_raw[[#This Row],[sub_end_date]]&lt;&gt;"", payments_raw[[#This Row],[payment_date]] &gt; payments_raw[[#This Row],[sub_end_date]]), 1, 0)</f>
        <v>0</v>
      </c>
      <c r="J92" s="2">
        <f>IF(payments_raw[[#This Row],[amount]] &lt;= 0, 1, 0)</f>
        <v>0</v>
      </c>
      <c r="K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" spans="1:11" x14ac:dyDescent="0.3">
      <c r="A93">
        <v>38558624</v>
      </c>
      <c r="B93">
        <v>3421636</v>
      </c>
      <c r="C93" s="1">
        <v>45473</v>
      </c>
      <c r="D93">
        <v>190</v>
      </c>
      <c r="E93">
        <f>IF(
  ISNA(
    _xlfn.XLOOKUP(
      payments_raw[[#This Row],[subscription_id]],
      subscriptions[subscription_id],
      subscriptions[subscription_id]
    )
  ),
  0,
  1
)</f>
        <v>1</v>
      </c>
      <c r="F93" s="1">
        <f>_xlfn.XLOOKUP(payments_raw[[#This Row],[subscription_id]], subscriptions[subscription_id], subscriptions[start_date])</f>
        <v>45396</v>
      </c>
      <c r="G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" s="2">
        <f>IF(payments_raw[[#This Row],[payment_date]] &lt; payments_raw[[#This Row],[sub_start_date]], 1, 0)</f>
        <v>0</v>
      </c>
      <c r="I93" s="2">
        <f>IF(AND(payments_raw[[#This Row],[sub_end_date]]&lt;&gt;"", payments_raw[[#This Row],[payment_date]] &gt; payments_raw[[#This Row],[sub_end_date]]), 1, 0)</f>
        <v>0</v>
      </c>
      <c r="J93" s="2">
        <f>IF(payments_raw[[#This Row],[amount]] &lt;= 0, 1, 0)</f>
        <v>0</v>
      </c>
      <c r="K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" spans="1:11" x14ac:dyDescent="0.3">
      <c r="A94">
        <v>94245755</v>
      </c>
      <c r="B94">
        <v>4273103</v>
      </c>
      <c r="C94" s="1">
        <v>45512</v>
      </c>
      <c r="D94">
        <v>790</v>
      </c>
      <c r="E94">
        <f>IF(
  ISNA(
    _xlfn.XLOOKUP(
      payments_raw[[#This Row],[subscription_id]],
      subscriptions[subscription_id],
      subscriptions[subscription_id]
    )
  ),
  0,
  1
)</f>
        <v>1</v>
      </c>
      <c r="F94" s="1">
        <f>_xlfn.XLOOKUP(payments_raw[[#This Row],[subscription_id]], subscriptions[subscription_id], subscriptions[start_date])</f>
        <v>45368</v>
      </c>
      <c r="G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" s="2">
        <f>IF(payments_raw[[#This Row],[payment_date]] &lt; payments_raw[[#This Row],[sub_start_date]], 1, 0)</f>
        <v>0</v>
      </c>
      <c r="I94" s="2">
        <f>IF(AND(payments_raw[[#This Row],[sub_end_date]]&lt;&gt;"", payments_raw[[#This Row],[payment_date]] &gt; payments_raw[[#This Row],[sub_end_date]]), 1, 0)</f>
        <v>0</v>
      </c>
      <c r="J94" s="2">
        <f>IF(payments_raw[[#This Row],[amount]] &lt;= 0, 1, 0)</f>
        <v>0</v>
      </c>
      <c r="K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" spans="1:11" x14ac:dyDescent="0.3">
      <c r="A95">
        <v>60237773</v>
      </c>
      <c r="B95">
        <v>7951217</v>
      </c>
      <c r="C95" s="1">
        <v>45350</v>
      </c>
      <c r="D95">
        <v>390</v>
      </c>
      <c r="E95">
        <f>IF(
  ISNA(
    _xlfn.XLOOKUP(
      payments_raw[[#This Row],[subscription_id]],
      subscriptions[subscription_id],
      subscriptions[subscription_id]
    )
  ),
  0,
  1
)</f>
        <v>1</v>
      </c>
      <c r="F95" s="1">
        <f>_xlfn.XLOOKUP(payments_raw[[#This Row],[subscription_id]], subscriptions[subscription_id], subscriptions[start_date])</f>
        <v>44827</v>
      </c>
      <c r="G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" s="2">
        <f>IF(payments_raw[[#This Row],[payment_date]] &lt; payments_raw[[#This Row],[sub_start_date]], 1, 0)</f>
        <v>0</v>
      </c>
      <c r="I95" s="2">
        <f>IF(AND(payments_raw[[#This Row],[sub_end_date]]&lt;&gt;"", payments_raw[[#This Row],[payment_date]] &gt; payments_raw[[#This Row],[sub_end_date]]), 1, 0)</f>
        <v>0</v>
      </c>
      <c r="J95" s="2">
        <f>IF(payments_raw[[#This Row],[amount]] &lt;= 0, 1, 0)</f>
        <v>0</v>
      </c>
      <c r="K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" spans="1:11" x14ac:dyDescent="0.3">
      <c r="A96">
        <v>37056403</v>
      </c>
      <c r="B96">
        <v>7905652</v>
      </c>
      <c r="C96" s="1">
        <v>45516</v>
      </c>
      <c r="D96">
        <v>149</v>
      </c>
      <c r="E96">
        <f>IF(
  ISNA(
    _xlfn.XLOOKUP(
      payments_raw[[#This Row],[subscription_id]],
      subscriptions[subscription_id],
      subscriptions[subscription_id]
    )
  ),
  0,
  1
)</f>
        <v>1</v>
      </c>
      <c r="F96" s="1">
        <f>_xlfn.XLOOKUP(payments_raw[[#This Row],[subscription_id]], subscriptions[subscription_id], subscriptions[start_date])</f>
        <v>44744</v>
      </c>
      <c r="G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6" s="2">
        <f>IF(payments_raw[[#This Row],[payment_date]] &lt; payments_raw[[#This Row],[sub_start_date]], 1, 0)</f>
        <v>0</v>
      </c>
      <c r="I96" s="2">
        <f>IF(AND(payments_raw[[#This Row],[sub_end_date]]&lt;&gt;"", payments_raw[[#This Row],[payment_date]] &gt; payments_raw[[#This Row],[sub_end_date]]), 1, 0)</f>
        <v>0</v>
      </c>
      <c r="J96" s="2">
        <f>IF(payments_raw[[#This Row],[amount]] &lt;= 0, 1, 0)</f>
        <v>0</v>
      </c>
      <c r="K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" spans="1:11" x14ac:dyDescent="0.3">
      <c r="A97">
        <v>54893916</v>
      </c>
      <c r="B97">
        <v>6323988</v>
      </c>
      <c r="C97" s="1">
        <v>44847</v>
      </c>
      <c r="D97">
        <v>39</v>
      </c>
      <c r="E97">
        <f>IF(
  ISNA(
    _xlfn.XLOOKUP(
      payments_raw[[#This Row],[subscription_id]],
      subscriptions[subscription_id],
      subscriptions[subscription_id]
    )
  ),
  0,
  1
)</f>
        <v>1</v>
      </c>
      <c r="F97" s="1">
        <f>_xlfn.XLOOKUP(payments_raw[[#This Row],[subscription_id]], subscriptions[subscription_id], subscriptions[start_date])</f>
        <v>44647</v>
      </c>
      <c r="G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" s="2">
        <f>IF(payments_raw[[#This Row],[payment_date]] &lt; payments_raw[[#This Row],[sub_start_date]], 1, 0)</f>
        <v>0</v>
      </c>
      <c r="I97" s="2">
        <f>IF(AND(payments_raw[[#This Row],[sub_end_date]]&lt;&gt;"", payments_raw[[#This Row],[payment_date]] &gt; payments_raw[[#This Row],[sub_end_date]]), 1, 0)</f>
        <v>0</v>
      </c>
      <c r="J97" s="2">
        <f>IF(payments_raw[[#This Row],[amount]] &lt;= 0, 1, 0)</f>
        <v>0</v>
      </c>
      <c r="K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" spans="1:11" x14ac:dyDescent="0.3">
      <c r="A98">
        <v>44942491</v>
      </c>
      <c r="B98">
        <v>2780388</v>
      </c>
      <c r="C98" s="1">
        <v>45086</v>
      </c>
      <c r="D98">
        <v>2990</v>
      </c>
      <c r="E98">
        <f>IF(
  ISNA(
    _xlfn.XLOOKUP(
      payments_raw[[#This Row],[subscription_id]],
      subscriptions[subscription_id],
      subscriptions[subscription_id]
    )
  ),
  0,
  1
)</f>
        <v>1</v>
      </c>
      <c r="F98" s="1">
        <f>_xlfn.XLOOKUP(payments_raw[[#This Row],[subscription_id]], subscriptions[subscription_id], subscriptions[start_date])</f>
        <v>45036</v>
      </c>
      <c r="G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98" s="2">
        <f>IF(payments_raw[[#This Row],[payment_date]] &lt; payments_raw[[#This Row],[sub_start_date]], 1, 0)</f>
        <v>0</v>
      </c>
      <c r="I98" s="2">
        <f>IF(AND(payments_raw[[#This Row],[sub_end_date]]&lt;&gt;"", payments_raw[[#This Row],[payment_date]] &gt; payments_raw[[#This Row],[sub_end_date]]), 1, 0)</f>
        <v>0</v>
      </c>
      <c r="J98" s="2">
        <f>IF(payments_raw[[#This Row],[amount]] &lt;= 0, 1, 0)</f>
        <v>0</v>
      </c>
      <c r="K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" spans="1:11" x14ac:dyDescent="0.3">
      <c r="A99">
        <v>48303287</v>
      </c>
      <c r="B99">
        <v>9451778</v>
      </c>
      <c r="C99" s="1">
        <v>45574</v>
      </c>
      <c r="D99">
        <v>171</v>
      </c>
      <c r="E99">
        <f>IF(
  ISNA(
    _xlfn.XLOOKUP(
      payments_raw[[#This Row],[subscription_id]],
      subscriptions[subscription_id],
      subscriptions[subscription_id]
    )
  ),
  0,
  1
)</f>
        <v>1</v>
      </c>
      <c r="F99" s="1">
        <f>_xlfn.XLOOKUP(payments_raw[[#This Row],[subscription_id]], subscriptions[subscription_id], subscriptions[start_date])</f>
        <v>45112</v>
      </c>
      <c r="G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9" s="2">
        <f>IF(payments_raw[[#This Row],[payment_date]] &lt; payments_raw[[#This Row],[sub_start_date]], 1, 0)</f>
        <v>0</v>
      </c>
      <c r="I99" s="2">
        <f>IF(AND(payments_raw[[#This Row],[sub_end_date]]&lt;&gt;"", payments_raw[[#This Row],[payment_date]] &gt; payments_raw[[#This Row],[sub_end_date]]), 1, 0)</f>
        <v>0</v>
      </c>
      <c r="J99" s="2">
        <f>IF(payments_raw[[#This Row],[amount]] &lt;= 0, 1, 0)</f>
        <v>0</v>
      </c>
      <c r="K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" spans="1:11" x14ac:dyDescent="0.3">
      <c r="A100">
        <v>97430584</v>
      </c>
      <c r="B100">
        <v>6821657</v>
      </c>
      <c r="C100" s="1">
        <v>45495</v>
      </c>
      <c r="D100">
        <v>2990</v>
      </c>
      <c r="E100">
        <f>IF(
  ISNA(
    _xlfn.XLOOKUP(
      payments_raw[[#This Row],[subscription_id]],
      subscriptions[subscription_id],
      subscriptions[subscription_id]
    )
  ),
  0,
  1
)</f>
        <v>1</v>
      </c>
      <c r="F100" s="1">
        <f>_xlfn.XLOOKUP(payments_raw[[#This Row],[subscription_id]], subscriptions[subscription_id], subscriptions[start_date])</f>
        <v>45152</v>
      </c>
      <c r="G1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0" s="2">
        <f>IF(payments_raw[[#This Row],[payment_date]] &lt; payments_raw[[#This Row],[sub_start_date]], 1, 0)</f>
        <v>0</v>
      </c>
      <c r="I100" s="2">
        <f>IF(AND(payments_raw[[#This Row],[sub_end_date]]&lt;&gt;"", payments_raw[[#This Row],[payment_date]] &gt; payments_raw[[#This Row],[sub_end_date]]), 1, 0)</f>
        <v>0</v>
      </c>
      <c r="J100" s="2">
        <f>IF(payments_raw[[#This Row],[amount]] &lt;= 0, 1, 0)</f>
        <v>0</v>
      </c>
      <c r="K1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" spans="1:11" x14ac:dyDescent="0.3">
      <c r="A101">
        <v>64450900</v>
      </c>
      <c r="B101">
        <v>4361005</v>
      </c>
      <c r="C101" s="1">
        <v>45392</v>
      </c>
      <c r="D101">
        <v>190</v>
      </c>
      <c r="E101">
        <f>IF(
  ISNA(
    _xlfn.XLOOKUP(
      payments_raw[[#This Row],[subscription_id]],
      subscriptions[subscription_id],
      subscriptions[subscription_id]
    )
  ),
  0,
  1
)</f>
        <v>1</v>
      </c>
      <c r="F101" s="1">
        <f>_xlfn.XLOOKUP(payments_raw[[#This Row],[subscription_id]], subscriptions[subscription_id], subscriptions[start_date])</f>
        <v>45288</v>
      </c>
      <c r="G1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101" s="2">
        <f>IF(payments_raw[[#This Row],[payment_date]] &lt; payments_raw[[#This Row],[sub_start_date]], 1, 0)</f>
        <v>0</v>
      </c>
      <c r="I101" s="2">
        <f>IF(AND(payments_raw[[#This Row],[sub_end_date]]&lt;&gt;"", payments_raw[[#This Row],[payment_date]] &gt; payments_raw[[#This Row],[sub_end_date]]), 1, 0)</f>
        <v>0</v>
      </c>
      <c r="J101" s="2">
        <f>IF(payments_raw[[#This Row],[amount]] &lt;= 0, 1, 0)</f>
        <v>0</v>
      </c>
      <c r="K1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" spans="1:11" x14ac:dyDescent="0.3">
      <c r="A102">
        <v>15591522</v>
      </c>
      <c r="B102">
        <v>2550417</v>
      </c>
      <c r="C102" s="1">
        <v>45614</v>
      </c>
      <c r="D102">
        <v>190</v>
      </c>
      <c r="E102">
        <f>IF(
  ISNA(
    _xlfn.XLOOKUP(
      payments_raw[[#This Row],[subscription_id]],
      subscriptions[subscription_id],
      subscriptions[subscription_id]
    )
  ),
  0,
  1
)</f>
        <v>1</v>
      </c>
      <c r="F102" s="1">
        <f>_xlfn.XLOOKUP(payments_raw[[#This Row],[subscription_id]], subscriptions[subscription_id], subscriptions[start_date])</f>
        <v>45565</v>
      </c>
      <c r="G1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2" s="2">
        <f>IF(payments_raw[[#This Row],[payment_date]] &lt; payments_raw[[#This Row],[sub_start_date]], 1, 0)</f>
        <v>0</v>
      </c>
      <c r="I102" s="2">
        <f>IF(AND(payments_raw[[#This Row],[sub_end_date]]&lt;&gt;"", payments_raw[[#This Row],[payment_date]] &gt; payments_raw[[#This Row],[sub_end_date]]), 1, 0)</f>
        <v>0</v>
      </c>
      <c r="J102" s="2">
        <f>IF(payments_raw[[#This Row],[amount]] &lt;= 0, 1, 0)</f>
        <v>0</v>
      </c>
      <c r="K1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" spans="1:11" x14ac:dyDescent="0.3">
      <c r="A103">
        <v>37592908</v>
      </c>
      <c r="B103">
        <v>2693039</v>
      </c>
      <c r="C103" s="1">
        <v>45007</v>
      </c>
      <c r="D103">
        <v>299</v>
      </c>
      <c r="E103">
        <f>IF(
  ISNA(
    _xlfn.XLOOKUP(
      payments_raw[[#This Row],[subscription_id]],
      subscriptions[subscription_id],
      subscriptions[subscription_id]
    )
  ),
  0,
  1
)</f>
        <v>1</v>
      </c>
      <c r="F103" s="1">
        <f>_xlfn.XLOOKUP(payments_raw[[#This Row],[subscription_id]], subscriptions[subscription_id], subscriptions[start_date])</f>
        <v>44803</v>
      </c>
      <c r="G1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" s="2">
        <f>IF(payments_raw[[#This Row],[payment_date]] &lt; payments_raw[[#This Row],[sub_start_date]], 1, 0)</f>
        <v>0</v>
      </c>
      <c r="I103" s="2">
        <f>IF(AND(payments_raw[[#This Row],[sub_end_date]]&lt;&gt;"", payments_raw[[#This Row],[payment_date]] &gt; payments_raw[[#This Row],[sub_end_date]]), 1, 0)</f>
        <v>0</v>
      </c>
      <c r="J103" s="2">
        <f>IF(payments_raw[[#This Row],[amount]] &lt;= 0, 1, 0)</f>
        <v>0</v>
      </c>
      <c r="K1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" spans="1:11" x14ac:dyDescent="0.3">
      <c r="A104">
        <v>50078726</v>
      </c>
      <c r="B104">
        <v>3567729</v>
      </c>
      <c r="C104" s="1">
        <v>44727</v>
      </c>
      <c r="D104">
        <v>79</v>
      </c>
      <c r="E104">
        <f>IF(
  ISNA(
    _xlfn.XLOOKUP(
      payments_raw[[#This Row],[subscription_id]],
      subscriptions[subscription_id],
      subscriptions[subscription_id]
    )
  ),
  0,
  1
)</f>
        <v>1</v>
      </c>
      <c r="F104" s="1">
        <f>_xlfn.XLOOKUP(payments_raw[[#This Row],[subscription_id]], subscriptions[subscription_id], subscriptions[start_date])</f>
        <v>44618</v>
      </c>
      <c r="G10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44926</v>
      </c>
      <c r="H104" s="2">
        <f>IF(payments_raw[[#This Row],[payment_date]] &lt; payments_raw[[#This Row],[sub_start_date]], 1, 0)</f>
        <v>0</v>
      </c>
      <c r="I104" s="2">
        <f>IF(AND(payments_raw[[#This Row],[sub_end_date]]&lt;&gt;"", payments_raw[[#This Row],[payment_date]] &gt; payments_raw[[#This Row],[sub_end_date]]), 1, 0)</f>
        <v>0</v>
      </c>
      <c r="J104" s="2">
        <f>IF(payments_raw[[#This Row],[amount]] &lt;= 0, 1, 0)</f>
        <v>0</v>
      </c>
      <c r="K1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" spans="1:11" x14ac:dyDescent="0.3">
      <c r="A105">
        <v>50717713</v>
      </c>
      <c r="B105">
        <v>3138306</v>
      </c>
      <c r="C105" s="1">
        <v>45477</v>
      </c>
      <c r="D105">
        <v>149</v>
      </c>
      <c r="E105">
        <f>IF(
  ISNA(
    _xlfn.XLOOKUP(
      payments_raw[[#This Row],[subscription_id]],
      subscriptions[subscription_id],
      subscriptions[subscription_id]
    )
  ),
  0,
  1
)</f>
        <v>1</v>
      </c>
      <c r="F105" s="1">
        <f>_xlfn.XLOOKUP(payments_raw[[#This Row],[subscription_id]], subscriptions[subscription_id], subscriptions[start_date])</f>
        <v>45385</v>
      </c>
      <c r="G1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105" s="2">
        <f>IF(payments_raw[[#This Row],[payment_date]] &lt; payments_raw[[#This Row],[sub_start_date]], 1, 0)</f>
        <v>0</v>
      </c>
      <c r="I105" s="2">
        <f>IF(AND(payments_raw[[#This Row],[sub_end_date]]&lt;&gt;"", payments_raw[[#This Row],[payment_date]] &gt; payments_raw[[#This Row],[sub_end_date]]), 1, 0)</f>
        <v>0</v>
      </c>
      <c r="J105" s="2">
        <f>IF(payments_raw[[#This Row],[amount]] &lt;= 0, 1, 0)</f>
        <v>0</v>
      </c>
      <c r="K1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" spans="1:11" x14ac:dyDescent="0.3">
      <c r="A106">
        <v>96950282</v>
      </c>
      <c r="B106">
        <v>3675009</v>
      </c>
      <c r="C106" s="1">
        <v>45580</v>
      </c>
      <c r="D106">
        <v>79</v>
      </c>
      <c r="E106">
        <f>IF(
  ISNA(
    _xlfn.XLOOKUP(
      payments_raw[[#This Row],[subscription_id]],
      subscriptions[subscription_id],
      subscriptions[subscription_id]
    )
  ),
  0,
  1
)</f>
        <v>1</v>
      </c>
      <c r="F106" s="1">
        <f>_xlfn.XLOOKUP(payments_raw[[#This Row],[subscription_id]], subscriptions[subscription_id], subscriptions[start_date])</f>
        <v>45420</v>
      </c>
      <c r="G1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" s="2">
        <f>IF(payments_raw[[#This Row],[payment_date]] &lt; payments_raw[[#This Row],[sub_start_date]], 1, 0)</f>
        <v>0</v>
      </c>
      <c r="I106" s="2">
        <f>IF(AND(payments_raw[[#This Row],[sub_end_date]]&lt;&gt;"", payments_raw[[#This Row],[payment_date]] &gt; payments_raw[[#This Row],[sub_end_date]]), 1, 0)</f>
        <v>0</v>
      </c>
      <c r="J106" s="2">
        <f>IF(payments_raw[[#This Row],[amount]] &lt;= 0, 1, 0)</f>
        <v>0</v>
      </c>
      <c r="K1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" spans="1:11" x14ac:dyDescent="0.3">
      <c r="A107">
        <v>43867505</v>
      </c>
      <c r="B107">
        <v>2668347</v>
      </c>
      <c r="C107" s="1">
        <v>45339</v>
      </c>
      <c r="D107">
        <v>390</v>
      </c>
      <c r="E107">
        <f>IF(
  ISNA(
    _xlfn.XLOOKUP(
      payments_raw[[#This Row],[subscription_id]],
      subscriptions[subscription_id],
      subscriptions[subscription_id]
    )
  ),
  0,
  1
)</f>
        <v>1</v>
      </c>
      <c r="F107" s="1">
        <f>_xlfn.XLOOKUP(payments_raw[[#This Row],[subscription_id]], subscriptions[subscription_id], subscriptions[start_date])</f>
        <v>45228</v>
      </c>
      <c r="G1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" s="2">
        <f>IF(payments_raw[[#This Row],[payment_date]] &lt; payments_raw[[#This Row],[sub_start_date]], 1, 0)</f>
        <v>0</v>
      </c>
      <c r="I107" s="2">
        <f>IF(AND(payments_raw[[#This Row],[sub_end_date]]&lt;&gt;"", payments_raw[[#This Row],[payment_date]] &gt; payments_raw[[#This Row],[sub_end_date]]), 1, 0)</f>
        <v>0</v>
      </c>
      <c r="J107" s="2">
        <f>IF(payments_raw[[#This Row],[amount]] &lt;= 0, 1, 0)</f>
        <v>0</v>
      </c>
      <c r="K1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" spans="1:11" x14ac:dyDescent="0.3">
      <c r="A108">
        <v>51594284</v>
      </c>
      <c r="B108">
        <v>4860680</v>
      </c>
      <c r="C108" s="1">
        <v>45355</v>
      </c>
      <c r="D108">
        <v>2990</v>
      </c>
      <c r="E108">
        <f>IF(
  ISNA(
    _xlfn.XLOOKUP(
      payments_raw[[#This Row],[subscription_id]],
      subscriptions[subscription_id],
      subscriptions[subscription_id]
    )
  ),
  0,
  1
)</f>
        <v>1</v>
      </c>
      <c r="F108" s="1">
        <f>_xlfn.XLOOKUP(payments_raw[[#This Row],[subscription_id]], subscriptions[subscription_id], subscriptions[start_date])</f>
        <v>45349</v>
      </c>
      <c r="G1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" s="2">
        <f>IF(payments_raw[[#This Row],[payment_date]] &lt; payments_raw[[#This Row],[sub_start_date]], 1, 0)</f>
        <v>0</v>
      </c>
      <c r="I108" s="2">
        <f>IF(AND(payments_raw[[#This Row],[sub_end_date]]&lt;&gt;"", payments_raw[[#This Row],[payment_date]] &gt; payments_raw[[#This Row],[sub_end_date]]), 1, 0)</f>
        <v>0</v>
      </c>
      <c r="J108" s="2">
        <f>IF(payments_raw[[#This Row],[amount]] &lt;= 0, 1, 0)</f>
        <v>0</v>
      </c>
      <c r="K1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" spans="1:11" x14ac:dyDescent="0.3">
      <c r="A109">
        <v>34282556</v>
      </c>
      <c r="B109">
        <v>5969984</v>
      </c>
      <c r="C109" s="1">
        <v>45612</v>
      </c>
      <c r="D109">
        <v>390</v>
      </c>
      <c r="E109">
        <f>IF(
  ISNA(
    _xlfn.XLOOKUP(
      payments_raw[[#This Row],[subscription_id]],
      subscriptions[subscription_id],
      subscriptions[subscription_id]
    )
  ),
  0,
  1
)</f>
        <v>1</v>
      </c>
      <c r="F109" s="1">
        <f>_xlfn.XLOOKUP(payments_raw[[#This Row],[subscription_id]], subscriptions[subscription_id], subscriptions[start_date])</f>
        <v>44731</v>
      </c>
      <c r="G1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" s="2">
        <f>IF(payments_raw[[#This Row],[payment_date]] &lt; payments_raw[[#This Row],[sub_start_date]], 1, 0)</f>
        <v>0</v>
      </c>
      <c r="I109" s="2">
        <f>IF(AND(payments_raw[[#This Row],[sub_end_date]]&lt;&gt;"", payments_raw[[#This Row],[payment_date]] &gt; payments_raw[[#This Row],[sub_end_date]]), 1, 0)</f>
        <v>0</v>
      </c>
      <c r="J109" s="2">
        <f>IF(payments_raw[[#This Row],[amount]] &lt;= 0, 1, 0)</f>
        <v>0</v>
      </c>
      <c r="K1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" spans="1:11" x14ac:dyDescent="0.3">
      <c r="A110">
        <v>77054198</v>
      </c>
      <c r="B110">
        <v>3012269</v>
      </c>
      <c r="C110" s="1">
        <v>45571</v>
      </c>
      <c r="D110">
        <v>19</v>
      </c>
      <c r="E110">
        <f>IF(
  ISNA(
    _xlfn.XLOOKUP(
      payments_raw[[#This Row],[subscription_id]],
      subscriptions[subscription_id],
      subscriptions[subscription_id]
    )
  ),
  0,
  1
)</f>
        <v>1</v>
      </c>
      <c r="F110" s="1">
        <f>_xlfn.XLOOKUP(payments_raw[[#This Row],[subscription_id]], subscriptions[subscription_id], subscriptions[start_date])</f>
        <v>45472</v>
      </c>
      <c r="G1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45649</v>
      </c>
      <c r="H110" s="2">
        <f>IF(payments_raw[[#This Row],[payment_date]] &lt; payments_raw[[#This Row],[sub_start_date]], 1, 0)</f>
        <v>0</v>
      </c>
      <c r="I110" s="2">
        <f>IF(AND(payments_raw[[#This Row],[sub_end_date]]&lt;&gt;"", payments_raw[[#This Row],[payment_date]] &gt; payments_raw[[#This Row],[sub_end_date]]), 1, 0)</f>
        <v>0</v>
      </c>
      <c r="J110" s="2">
        <f>IF(payments_raw[[#This Row],[amount]] &lt;= 0, 1, 0)</f>
        <v>0</v>
      </c>
      <c r="K1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" spans="1:11" x14ac:dyDescent="0.3">
      <c r="A111">
        <v>71456194</v>
      </c>
      <c r="B111">
        <v>4831434</v>
      </c>
      <c r="C111" s="1">
        <v>45376</v>
      </c>
      <c r="D111">
        <v>190</v>
      </c>
      <c r="E111">
        <f>IF(
  ISNA(
    _xlfn.XLOOKUP(
      payments_raw[[#This Row],[subscription_id]],
      subscriptions[subscription_id],
      subscriptions[subscription_id]
    )
  ),
  0,
  1
)</f>
        <v>1</v>
      </c>
      <c r="F111" s="1">
        <f>_xlfn.XLOOKUP(payments_raw[[#This Row],[subscription_id]], subscriptions[subscription_id], subscriptions[start_date])</f>
        <v>44976</v>
      </c>
      <c r="G1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" s="2">
        <f>IF(payments_raw[[#This Row],[payment_date]] &lt; payments_raw[[#This Row],[sub_start_date]], 1, 0)</f>
        <v>0</v>
      </c>
      <c r="I111" s="2">
        <f>IF(AND(payments_raw[[#This Row],[sub_end_date]]&lt;&gt;"", payments_raw[[#This Row],[payment_date]] &gt; payments_raw[[#This Row],[sub_end_date]]), 1, 0)</f>
        <v>0</v>
      </c>
      <c r="J111" s="2">
        <f>IF(payments_raw[[#This Row],[amount]] &lt;= 0, 1, 0)</f>
        <v>0</v>
      </c>
      <c r="K1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" spans="1:11" x14ac:dyDescent="0.3">
      <c r="A112">
        <v>32180457</v>
      </c>
      <c r="B112">
        <v>8127514</v>
      </c>
      <c r="C112" s="1">
        <v>45368</v>
      </c>
      <c r="D112">
        <v>2990</v>
      </c>
      <c r="E112">
        <f>IF(
  ISNA(
    _xlfn.XLOOKUP(
      payments_raw[[#This Row],[subscription_id]],
      subscriptions[subscription_id],
      subscriptions[subscription_id]
    )
  ),
  0,
  1
)</f>
        <v>1</v>
      </c>
      <c r="F112" s="1">
        <f>_xlfn.XLOOKUP(payments_raw[[#This Row],[subscription_id]], subscriptions[subscription_id], subscriptions[start_date])</f>
        <v>44865</v>
      </c>
      <c r="G1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" s="2">
        <f>IF(payments_raw[[#This Row],[payment_date]] &lt; payments_raw[[#This Row],[sub_start_date]], 1, 0)</f>
        <v>0</v>
      </c>
      <c r="I112" s="2">
        <f>IF(AND(payments_raw[[#This Row],[sub_end_date]]&lt;&gt;"", payments_raw[[#This Row],[payment_date]] &gt; payments_raw[[#This Row],[sub_end_date]]), 1, 0)</f>
        <v>0</v>
      </c>
      <c r="J112" s="2">
        <f>IF(payments_raw[[#This Row],[amount]] &lt;= 0, 1, 0)</f>
        <v>0</v>
      </c>
      <c r="K1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" spans="1:11" x14ac:dyDescent="0.3">
      <c r="A113">
        <v>90093137</v>
      </c>
      <c r="B113">
        <v>2140916</v>
      </c>
      <c r="C113" s="1">
        <v>45277</v>
      </c>
      <c r="D113">
        <v>39</v>
      </c>
      <c r="E113">
        <f>IF(
  ISNA(
    _xlfn.XLOOKUP(
      payments_raw[[#This Row],[subscription_id]],
      subscriptions[subscription_id],
      subscriptions[subscription_id]
    )
  ),
  0,
  1
)</f>
        <v>1</v>
      </c>
      <c r="F113" s="1">
        <f>_xlfn.XLOOKUP(payments_raw[[#This Row],[subscription_id]], subscriptions[subscription_id], subscriptions[start_date])</f>
        <v>45204</v>
      </c>
      <c r="G1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45418</v>
      </c>
      <c r="H113" s="2">
        <f>IF(payments_raw[[#This Row],[payment_date]] &lt; payments_raw[[#This Row],[sub_start_date]], 1, 0)</f>
        <v>0</v>
      </c>
      <c r="I113" s="2">
        <f>IF(AND(payments_raw[[#This Row],[sub_end_date]]&lt;&gt;"", payments_raw[[#This Row],[payment_date]] &gt; payments_raw[[#This Row],[sub_end_date]]), 1, 0)</f>
        <v>0</v>
      </c>
      <c r="J113" s="2">
        <f>IF(payments_raw[[#This Row],[amount]] &lt;= 0, 1, 0)</f>
        <v>0</v>
      </c>
      <c r="K1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" spans="1:11" x14ac:dyDescent="0.3">
      <c r="A114">
        <v>99526487</v>
      </c>
      <c r="B114">
        <v>2772324</v>
      </c>
      <c r="C114" s="1">
        <v>45650</v>
      </c>
      <c r="D114">
        <v>2990</v>
      </c>
      <c r="E114">
        <f>IF(
  ISNA(
    _xlfn.XLOOKUP(
      payments_raw[[#This Row],[subscription_id]],
      subscriptions[subscription_id],
      subscriptions[subscription_id]
    )
  ),
  0,
  1
)</f>
        <v>1</v>
      </c>
      <c r="F114" s="1">
        <f>_xlfn.XLOOKUP(payments_raw[[#This Row],[subscription_id]], subscriptions[subscription_id], subscriptions[start_date])</f>
        <v>45212</v>
      </c>
      <c r="G1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" s="2">
        <f>IF(payments_raw[[#This Row],[payment_date]] &lt; payments_raw[[#This Row],[sub_start_date]], 1, 0)</f>
        <v>0</v>
      </c>
      <c r="I114" s="2">
        <f>IF(AND(payments_raw[[#This Row],[sub_end_date]]&lt;&gt;"", payments_raw[[#This Row],[payment_date]] &gt; payments_raw[[#This Row],[sub_end_date]]), 1, 0)</f>
        <v>0</v>
      </c>
      <c r="J114" s="2">
        <f>IF(payments_raw[[#This Row],[amount]] &lt;= 0, 1, 0)</f>
        <v>0</v>
      </c>
      <c r="K1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" spans="1:11" x14ac:dyDescent="0.3">
      <c r="A115">
        <v>20425244</v>
      </c>
      <c r="B115">
        <v>4910362</v>
      </c>
      <c r="C115" s="1">
        <v>45623</v>
      </c>
      <c r="D115">
        <v>790</v>
      </c>
      <c r="E115">
        <f>IF(
  ISNA(
    _xlfn.XLOOKUP(
      payments_raw[[#This Row],[subscription_id]],
      subscriptions[subscription_id],
      subscriptions[subscription_id]
    )
  ),
  0,
  1
)</f>
        <v>1</v>
      </c>
      <c r="F115" s="1">
        <f>_xlfn.XLOOKUP(payments_raw[[#This Row],[subscription_id]], subscriptions[subscription_id], subscriptions[start_date])</f>
        <v>44992</v>
      </c>
      <c r="G1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5" s="2">
        <f>IF(payments_raw[[#This Row],[payment_date]] &lt; payments_raw[[#This Row],[sub_start_date]], 1, 0)</f>
        <v>0</v>
      </c>
      <c r="I115" s="2">
        <f>IF(AND(payments_raw[[#This Row],[sub_end_date]]&lt;&gt;"", payments_raw[[#This Row],[payment_date]] &gt; payments_raw[[#This Row],[sub_end_date]]), 1, 0)</f>
        <v>0</v>
      </c>
      <c r="J115" s="2">
        <f>IF(payments_raw[[#This Row],[amount]] &lt;= 0, 1, 0)</f>
        <v>0</v>
      </c>
      <c r="K1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" spans="1:11" x14ac:dyDescent="0.3">
      <c r="A116">
        <v>10036337</v>
      </c>
      <c r="B116">
        <v>6783305</v>
      </c>
      <c r="C116" s="1">
        <v>45639</v>
      </c>
      <c r="D116">
        <v>39.5</v>
      </c>
      <c r="E116">
        <f>IF(
  ISNA(
    _xlfn.XLOOKUP(
      payments_raw[[#This Row],[subscription_id]],
      subscriptions[subscription_id],
      subscriptions[subscription_id]
    )
  ),
  0,
  1
)</f>
        <v>1</v>
      </c>
      <c r="F116" s="1">
        <f>_xlfn.XLOOKUP(payments_raw[[#This Row],[subscription_id]], subscriptions[subscription_id], subscriptions[start_date])</f>
        <v>44766</v>
      </c>
      <c r="G1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" s="2">
        <f>IF(payments_raw[[#This Row],[payment_date]] &lt; payments_raw[[#This Row],[sub_start_date]], 1, 0)</f>
        <v>0</v>
      </c>
      <c r="I116" s="2">
        <f>IF(AND(payments_raw[[#This Row],[sub_end_date]]&lt;&gt;"", payments_raw[[#This Row],[payment_date]] &gt; payments_raw[[#This Row],[sub_end_date]]), 1, 0)</f>
        <v>0</v>
      </c>
      <c r="J116" s="2">
        <f>IF(payments_raw[[#This Row],[amount]] &lt;= 0, 1, 0)</f>
        <v>0</v>
      </c>
      <c r="K1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" spans="1:11" x14ac:dyDescent="0.3">
      <c r="A117">
        <v>11504836</v>
      </c>
      <c r="B117">
        <v>4517141</v>
      </c>
      <c r="C117" s="1">
        <v>44948</v>
      </c>
      <c r="D117">
        <v>299</v>
      </c>
      <c r="E117">
        <f>IF(
  ISNA(
    _xlfn.XLOOKUP(
      payments_raw[[#This Row],[subscription_id]],
      subscriptions[subscription_id],
      subscriptions[subscription_id]
    )
  ),
  0,
  1
)</f>
        <v>1</v>
      </c>
      <c r="F117" s="1">
        <f>_xlfn.XLOOKUP(payments_raw[[#This Row],[subscription_id]], subscriptions[subscription_id], subscriptions[start_date])</f>
        <v>44808</v>
      </c>
      <c r="G1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117" s="2">
        <f>IF(payments_raw[[#This Row],[payment_date]] &lt; payments_raw[[#This Row],[sub_start_date]], 1, 0)</f>
        <v>0</v>
      </c>
      <c r="I117" s="2">
        <f>IF(AND(payments_raw[[#This Row],[sub_end_date]]&lt;&gt;"", payments_raw[[#This Row],[payment_date]] &gt; payments_raw[[#This Row],[sub_end_date]]), 1, 0)</f>
        <v>0</v>
      </c>
      <c r="J117" s="2">
        <f>IF(payments_raw[[#This Row],[amount]] &lt;= 0, 1, 0)</f>
        <v>0</v>
      </c>
      <c r="K1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" spans="1:11" x14ac:dyDescent="0.3">
      <c r="A118">
        <v>50727906</v>
      </c>
      <c r="B118">
        <v>5328638</v>
      </c>
      <c r="C118" s="1">
        <v>45582</v>
      </c>
      <c r="D118">
        <v>79</v>
      </c>
      <c r="E118">
        <f>IF(
  ISNA(
    _xlfn.XLOOKUP(
      payments_raw[[#This Row],[subscription_id]],
      subscriptions[subscription_id],
      subscriptions[subscription_id]
    )
  ),
  0,
  1
)</f>
        <v>1</v>
      </c>
      <c r="F118" s="1">
        <f>_xlfn.XLOOKUP(payments_raw[[#This Row],[subscription_id]], subscriptions[subscription_id], subscriptions[start_date])</f>
        <v>45127</v>
      </c>
      <c r="G1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8" s="2">
        <f>IF(payments_raw[[#This Row],[payment_date]] &lt; payments_raw[[#This Row],[sub_start_date]], 1, 0)</f>
        <v>0</v>
      </c>
      <c r="I118" s="2">
        <f>IF(AND(payments_raw[[#This Row],[sub_end_date]]&lt;&gt;"", payments_raw[[#This Row],[payment_date]] &gt; payments_raw[[#This Row],[sub_end_date]]), 1, 0)</f>
        <v>0</v>
      </c>
      <c r="J118" s="2">
        <f>IF(payments_raw[[#This Row],[amount]] &lt;= 0, 1, 0)</f>
        <v>0</v>
      </c>
      <c r="K1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" spans="1:11" x14ac:dyDescent="0.3">
      <c r="A119">
        <v>86250555</v>
      </c>
      <c r="B119">
        <v>3371985</v>
      </c>
      <c r="C119" s="1">
        <v>45133</v>
      </c>
      <c r="D119">
        <v>2242.5</v>
      </c>
      <c r="E119">
        <f>IF(
  ISNA(
    _xlfn.XLOOKUP(
      payments_raw[[#This Row],[subscription_id]],
      subscriptions[subscription_id],
      subscriptions[subscription_id]
    )
  ),
  0,
  1
)</f>
        <v>1</v>
      </c>
      <c r="F119" s="1">
        <f>_xlfn.XLOOKUP(payments_raw[[#This Row],[subscription_id]], subscriptions[subscription_id], subscriptions[start_date])</f>
        <v>45052</v>
      </c>
      <c r="G1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45333</v>
      </c>
      <c r="H119" s="2">
        <f>IF(payments_raw[[#This Row],[payment_date]] &lt; payments_raw[[#This Row],[sub_start_date]], 1, 0)</f>
        <v>0</v>
      </c>
      <c r="I119" s="2">
        <f>IF(AND(payments_raw[[#This Row],[sub_end_date]]&lt;&gt;"", payments_raw[[#This Row],[payment_date]] &gt; payments_raw[[#This Row],[sub_end_date]]), 1, 0)</f>
        <v>0</v>
      </c>
      <c r="J119" s="2">
        <f>IF(payments_raw[[#This Row],[amount]] &lt;= 0, 1, 0)</f>
        <v>0</v>
      </c>
      <c r="K1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" spans="1:11" x14ac:dyDescent="0.3">
      <c r="A120">
        <v>38898236</v>
      </c>
      <c r="B120">
        <v>9451778</v>
      </c>
      <c r="C120" s="1">
        <v>45307</v>
      </c>
      <c r="D120">
        <v>190</v>
      </c>
      <c r="E120">
        <f>IF(
  ISNA(
    _xlfn.XLOOKUP(
      payments_raw[[#This Row],[subscription_id]],
      subscriptions[subscription_id],
      subscriptions[subscription_id]
    )
  ),
  0,
  1
)</f>
        <v>1</v>
      </c>
      <c r="F120" s="1">
        <f>_xlfn.XLOOKUP(payments_raw[[#This Row],[subscription_id]], subscriptions[subscription_id], subscriptions[start_date])</f>
        <v>45112</v>
      </c>
      <c r="G1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" s="2">
        <f>IF(payments_raw[[#This Row],[payment_date]] &lt; payments_raw[[#This Row],[sub_start_date]], 1, 0)</f>
        <v>0</v>
      </c>
      <c r="I120" s="2">
        <f>IF(AND(payments_raw[[#This Row],[sub_end_date]]&lt;&gt;"", payments_raw[[#This Row],[payment_date]] &gt; payments_raw[[#This Row],[sub_end_date]]), 1, 0)</f>
        <v>0</v>
      </c>
      <c r="J120" s="2">
        <f>IF(payments_raw[[#This Row],[amount]] &lt;= 0, 1, 0)</f>
        <v>0</v>
      </c>
      <c r="K1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" spans="1:11" x14ac:dyDescent="0.3">
      <c r="A121">
        <v>60039183</v>
      </c>
      <c r="B121">
        <v>3681207</v>
      </c>
      <c r="C121" s="1">
        <v>44950</v>
      </c>
      <c r="D121">
        <v>790</v>
      </c>
      <c r="E121">
        <f>IF(
  ISNA(
    _xlfn.XLOOKUP(
      payments_raw[[#This Row],[subscription_id]],
      subscriptions[subscription_id],
      subscriptions[subscription_id]
    )
  ),
  0,
  1
)</f>
        <v>1</v>
      </c>
      <c r="F121" s="1">
        <f>_xlfn.XLOOKUP(payments_raw[[#This Row],[subscription_id]], subscriptions[subscription_id], subscriptions[start_date])</f>
        <v>44873</v>
      </c>
      <c r="G1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1" s="2">
        <f>IF(payments_raw[[#This Row],[payment_date]] &lt; payments_raw[[#This Row],[sub_start_date]], 1, 0)</f>
        <v>0</v>
      </c>
      <c r="I121" s="2">
        <f>IF(AND(payments_raw[[#This Row],[sub_end_date]]&lt;&gt;"", payments_raw[[#This Row],[payment_date]] &gt; payments_raw[[#This Row],[sub_end_date]]), 1, 0)</f>
        <v>0</v>
      </c>
      <c r="J121" s="2">
        <f>IF(payments_raw[[#This Row],[amount]] &lt;= 0, 1, 0)</f>
        <v>0</v>
      </c>
      <c r="K1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" spans="1:11" x14ac:dyDescent="0.3">
      <c r="A122">
        <v>97728193</v>
      </c>
      <c r="B122">
        <v>8375951</v>
      </c>
      <c r="C122" s="1">
        <v>44819</v>
      </c>
      <c r="D122">
        <v>1490</v>
      </c>
      <c r="E122">
        <f>IF(
  ISNA(
    _xlfn.XLOOKUP(
      payments_raw[[#This Row],[subscription_id]],
      subscriptions[subscription_id],
      subscriptions[subscription_id]
    )
  ),
  0,
  1
)</f>
        <v>1</v>
      </c>
      <c r="F122" s="1">
        <f>_xlfn.XLOOKUP(payments_raw[[#This Row],[subscription_id]], subscriptions[subscription_id], subscriptions[start_date])</f>
        <v>44814</v>
      </c>
      <c r="G1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122" s="2">
        <f>IF(payments_raw[[#This Row],[payment_date]] &lt; payments_raw[[#This Row],[sub_start_date]], 1, 0)</f>
        <v>0</v>
      </c>
      <c r="I122" s="2">
        <f>IF(AND(payments_raw[[#This Row],[sub_end_date]]&lt;&gt;"", payments_raw[[#This Row],[payment_date]] &gt; payments_raw[[#This Row],[sub_end_date]]), 1, 0)</f>
        <v>0</v>
      </c>
      <c r="J122" s="2">
        <f>IF(payments_raw[[#This Row],[amount]] &lt;= 0, 1, 0)</f>
        <v>0</v>
      </c>
      <c r="K1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" spans="1:11" x14ac:dyDescent="0.3">
      <c r="A123">
        <v>14696647</v>
      </c>
      <c r="B123">
        <v>4524641</v>
      </c>
      <c r="C123" s="1">
        <v>45225</v>
      </c>
      <c r="D123">
        <v>149</v>
      </c>
      <c r="E123">
        <f>IF(
  ISNA(
    _xlfn.XLOOKUP(
      payments_raw[[#This Row],[subscription_id]],
      subscriptions[subscription_id],
      subscriptions[subscription_id]
    )
  ),
  0,
  1
)</f>
        <v>1</v>
      </c>
      <c r="F123" s="1">
        <f>_xlfn.XLOOKUP(payments_raw[[#This Row],[subscription_id]], subscriptions[subscription_id], subscriptions[start_date])</f>
        <v>45103</v>
      </c>
      <c r="G1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" s="2">
        <f>IF(payments_raw[[#This Row],[payment_date]] &lt; payments_raw[[#This Row],[sub_start_date]], 1, 0)</f>
        <v>0</v>
      </c>
      <c r="I123" s="2">
        <f>IF(AND(payments_raw[[#This Row],[sub_end_date]]&lt;&gt;"", payments_raw[[#This Row],[payment_date]] &gt; payments_raw[[#This Row],[sub_end_date]]), 1, 0)</f>
        <v>0</v>
      </c>
      <c r="J123" s="2">
        <f>IF(payments_raw[[#This Row],[amount]] &lt;= 0, 1, 0)</f>
        <v>0</v>
      </c>
      <c r="K1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" spans="1:11" x14ac:dyDescent="0.3">
      <c r="A124">
        <v>45262440</v>
      </c>
      <c r="B124">
        <v>8113264</v>
      </c>
      <c r="C124" s="1">
        <v>45308</v>
      </c>
      <c r="D124">
        <v>39</v>
      </c>
      <c r="E124">
        <f>IF(
  ISNA(
    _xlfn.XLOOKUP(
      payments_raw[[#This Row],[subscription_id]],
      subscriptions[subscription_id],
      subscriptions[subscription_id]
    )
  ),
  0,
  1
)</f>
        <v>1</v>
      </c>
      <c r="F124" s="1">
        <f>_xlfn.XLOOKUP(payments_raw[[#This Row],[subscription_id]], subscriptions[subscription_id], subscriptions[start_date])</f>
        <v>44841</v>
      </c>
      <c r="G1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" s="2">
        <f>IF(payments_raw[[#This Row],[payment_date]] &lt; payments_raw[[#This Row],[sub_start_date]], 1, 0)</f>
        <v>0</v>
      </c>
      <c r="I124" s="2">
        <f>IF(AND(payments_raw[[#This Row],[sub_end_date]]&lt;&gt;"", payments_raw[[#This Row],[payment_date]] &gt; payments_raw[[#This Row],[sub_end_date]]), 1, 0)</f>
        <v>0</v>
      </c>
      <c r="J124" s="2">
        <f>IF(payments_raw[[#This Row],[amount]] &lt;= 0, 1, 0)</f>
        <v>0</v>
      </c>
      <c r="K1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" spans="1:11" x14ac:dyDescent="0.3">
      <c r="A125">
        <v>37469800</v>
      </c>
      <c r="B125">
        <v>2918079</v>
      </c>
      <c r="C125" s="1">
        <v>45255</v>
      </c>
      <c r="D125">
        <v>39</v>
      </c>
      <c r="E125">
        <f>IF(
  ISNA(
    _xlfn.XLOOKUP(
      payments_raw[[#This Row],[subscription_id]],
      subscriptions[subscription_id],
      subscriptions[subscription_id]
    )
  ),
  0,
  1
)</f>
        <v>1</v>
      </c>
      <c r="F125" s="1">
        <f>_xlfn.XLOOKUP(payments_raw[[#This Row],[subscription_id]], subscriptions[subscription_id], subscriptions[start_date])</f>
        <v>45132</v>
      </c>
      <c r="G1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5" s="2">
        <f>IF(payments_raw[[#This Row],[payment_date]] &lt; payments_raw[[#This Row],[sub_start_date]], 1, 0)</f>
        <v>0</v>
      </c>
      <c r="I125" s="2">
        <f>IF(AND(payments_raw[[#This Row],[sub_end_date]]&lt;&gt;"", payments_raw[[#This Row],[payment_date]] &gt; payments_raw[[#This Row],[sub_end_date]]), 1, 0)</f>
        <v>0</v>
      </c>
      <c r="J125" s="2">
        <f>IF(payments_raw[[#This Row],[amount]] &lt;= 0, 1, 0)</f>
        <v>0</v>
      </c>
      <c r="K1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" spans="1:11" x14ac:dyDescent="0.3">
      <c r="A126">
        <v>14075870</v>
      </c>
      <c r="B126">
        <v>6419936</v>
      </c>
      <c r="C126" s="1">
        <v>45310</v>
      </c>
      <c r="D126">
        <v>1490</v>
      </c>
      <c r="E126">
        <f>IF(
  ISNA(
    _xlfn.XLOOKUP(
      payments_raw[[#This Row],[subscription_id]],
      subscriptions[subscription_id],
      subscriptions[subscription_id]
    )
  ),
  0,
  1
)</f>
        <v>1</v>
      </c>
      <c r="F126" s="1">
        <f>_xlfn.XLOOKUP(payments_raw[[#This Row],[subscription_id]], subscriptions[subscription_id], subscriptions[start_date])</f>
        <v>44823</v>
      </c>
      <c r="G1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" s="2">
        <f>IF(payments_raw[[#This Row],[payment_date]] &lt; payments_raw[[#This Row],[sub_start_date]], 1, 0)</f>
        <v>0</v>
      </c>
      <c r="I126" s="2">
        <f>IF(AND(payments_raw[[#This Row],[sub_end_date]]&lt;&gt;"", payments_raw[[#This Row],[payment_date]] &gt; payments_raw[[#This Row],[sub_end_date]]), 1, 0)</f>
        <v>0</v>
      </c>
      <c r="J126" s="2">
        <f>IF(payments_raw[[#This Row],[amount]] &lt;= 0, 1, 0)</f>
        <v>0</v>
      </c>
      <c r="K1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" spans="1:11" x14ac:dyDescent="0.3">
      <c r="A127">
        <v>25111140</v>
      </c>
      <c r="B127">
        <v>6290464</v>
      </c>
      <c r="C127" s="1">
        <v>45055</v>
      </c>
      <c r="D127">
        <v>149</v>
      </c>
      <c r="E127">
        <f>IF(
  ISNA(
    _xlfn.XLOOKUP(
      payments_raw[[#This Row],[subscription_id]],
      subscriptions[subscription_id],
      subscriptions[subscription_id]
    )
  ),
  0,
  1
)</f>
        <v>1</v>
      </c>
      <c r="F127" s="1">
        <f>_xlfn.XLOOKUP(payments_raw[[#This Row],[subscription_id]], subscriptions[subscription_id], subscriptions[start_date])</f>
        <v>45033</v>
      </c>
      <c r="G1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45166</v>
      </c>
      <c r="H127" s="2">
        <f>IF(payments_raw[[#This Row],[payment_date]] &lt; payments_raw[[#This Row],[sub_start_date]], 1, 0)</f>
        <v>0</v>
      </c>
      <c r="I127" s="2">
        <f>IF(AND(payments_raw[[#This Row],[sub_end_date]]&lt;&gt;"", payments_raw[[#This Row],[payment_date]] &gt; payments_raw[[#This Row],[sub_end_date]]), 1, 0)</f>
        <v>0</v>
      </c>
      <c r="J127" s="2">
        <f>IF(payments_raw[[#This Row],[amount]] &lt;= 0, 1, 0)</f>
        <v>0</v>
      </c>
      <c r="K1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" spans="1:11" x14ac:dyDescent="0.3">
      <c r="A128">
        <v>71101892</v>
      </c>
      <c r="B128">
        <v>7476923</v>
      </c>
      <c r="C128" s="1">
        <v>45362</v>
      </c>
      <c r="D128">
        <v>149</v>
      </c>
      <c r="E128">
        <f>IF(
  ISNA(
    _xlfn.XLOOKUP(
      payments_raw[[#This Row],[subscription_id]],
      subscriptions[subscription_id],
      subscriptions[subscription_id]
    )
  ),
  0,
  1
)</f>
        <v>1</v>
      </c>
      <c r="F128" s="1">
        <f>_xlfn.XLOOKUP(payments_raw[[#This Row],[subscription_id]], subscriptions[subscription_id], subscriptions[start_date])</f>
        <v>45140</v>
      </c>
      <c r="G1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45368</v>
      </c>
      <c r="H128" s="2">
        <f>IF(payments_raw[[#This Row],[payment_date]] &lt; payments_raw[[#This Row],[sub_start_date]], 1, 0)</f>
        <v>0</v>
      </c>
      <c r="I128" s="2">
        <f>IF(AND(payments_raw[[#This Row],[sub_end_date]]&lt;&gt;"", payments_raw[[#This Row],[payment_date]] &gt; payments_raw[[#This Row],[sub_end_date]]), 1, 0)</f>
        <v>0</v>
      </c>
      <c r="J128" s="2">
        <f>IF(payments_raw[[#This Row],[amount]] &lt;= 0, 1, 0)</f>
        <v>0</v>
      </c>
      <c r="K1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" spans="1:11" x14ac:dyDescent="0.3">
      <c r="A129">
        <v>84818976</v>
      </c>
      <c r="B129">
        <v>5432538</v>
      </c>
      <c r="C129" s="1">
        <v>45350</v>
      </c>
      <c r="D129">
        <v>149</v>
      </c>
      <c r="E129">
        <f>IF(
  ISNA(
    _xlfn.XLOOKUP(
      payments_raw[[#This Row],[subscription_id]],
      subscriptions[subscription_id],
      subscriptions[subscription_id]
    )
  ),
  0,
  1
)</f>
        <v>1</v>
      </c>
      <c r="F129" s="1">
        <f>_xlfn.XLOOKUP(payments_raw[[#This Row],[subscription_id]], subscriptions[subscription_id], subscriptions[start_date])</f>
        <v>45071</v>
      </c>
      <c r="G1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" s="2">
        <f>IF(payments_raw[[#This Row],[payment_date]] &lt; payments_raw[[#This Row],[sub_start_date]], 1, 0)</f>
        <v>0</v>
      </c>
      <c r="I129" s="2">
        <f>IF(AND(payments_raw[[#This Row],[sub_end_date]]&lt;&gt;"", payments_raw[[#This Row],[payment_date]] &gt; payments_raw[[#This Row],[sub_end_date]]), 1, 0)</f>
        <v>0</v>
      </c>
      <c r="J129" s="2">
        <f>IF(payments_raw[[#This Row],[amount]] &lt;= 0, 1, 0)</f>
        <v>0</v>
      </c>
      <c r="K1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" spans="1:11" x14ac:dyDescent="0.3">
      <c r="A130">
        <v>85595538</v>
      </c>
      <c r="B130">
        <v>9719981</v>
      </c>
      <c r="C130" s="1">
        <v>45507</v>
      </c>
      <c r="D130">
        <v>17.100000000000001</v>
      </c>
      <c r="E130">
        <f>IF(
  ISNA(
    _xlfn.XLOOKUP(
      payments_raw[[#This Row],[subscription_id]],
      subscriptions[subscription_id],
      subscriptions[subscription_id]
    )
  ),
  0,
  1
)</f>
        <v>1</v>
      </c>
      <c r="F130" s="1">
        <f>_xlfn.XLOOKUP(payments_raw[[#This Row],[subscription_id]], subscriptions[subscription_id], subscriptions[start_date])</f>
        <v>45016</v>
      </c>
      <c r="G1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" s="2">
        <f>IF(payments_raw[[#This Row],[payment_date]] &lt; payments_raw[[#This Row],[sub_start_date]], 1, 0)</f>
        <v>0</v>
      </c>
      <c r="I130" s="2">
        <f>IF(AND(payments_raw[[#This Row],[sub_end_date]]&lt;&gt;"", payments_raw[[#This Row],[payment_date]] &gt; payments_raw[[#This Row],[sub_end_date]]), 1, 0)</f>
        <v>0</v>
      </c>
      <c r="J130" s="2">
        <f>IF(payments_raw[[#This Row],[amount]] &lt;= 0, 1, 0)</f>
        <v>0</v>
      </c>
      <c r="K1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" spans="1:11" x14ac:dyDescent="0.3">
      <c r="A131">
        <v>30574887</v>
      </c>
      <c r="B131">
        <v>1914547</v>
      </c>
      <c r="C131" s="1">
        <v>45292</v>
      </c>
      <c r="D131">
        <v>711</v>
      </c>
      <c r="E131">
        <f>IF(
  ISNA(
    _xlfn.XLOOKUP(
      payments_raw[[#This Row],[subscription_id]],
      subscriptions[subscription_id],
      subscriptions[subscription_id]
    )
  ),
  0,
  1
)</f>
        <v>1</v>
      </c>
      <c r="F131" s="1">
        <f>_xlfn.XLOOKUP(payments_raw[[#This Row],[subscription_id]], subscriptions[subscription_id], subscriptions[start_date])</f>
        <v>45182</v>
      </c>
      <c r="G1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" s="2">
        <f>IF(payments_raw[[#This Row],[payment_date]] &lt; payments_raw[[#This Row],[sub_start_date]], 1, 0)</f>
        <v>0</v>
      </c>
      <c r="I131" s="2">
        <f>IF(AND(payments_raw[[#This Row],[sub_end_date]]&lt;&gt;"", payments_raw[[#This Row],[payment_date]] &gt; payments_raw[[#This Row],[sub_end_date]]), 1, 0)</f>
        <v>0</v>
      </c>
      <c r="J131" s="2">
        <f>IF(payments_raw[[#This Row],[amount]] &lt;= 0, 1, 0)</f>
        <v>0</v>
      </c>
      <c r="K1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" spans="1:11" x14ac:dyDescent="0.3">
      <c r="A132">
        <v>60657129</v>
      </c>
      <c r="B132">
        <v>1108226</v>
      </c>
      <c r="C132" s="1">
        <v>45558</v>
      </c>
      <c r="D132">
        <v>2242.5</v>
      </c>
      <c r="E132">
        <f>IF(
  ISNA(
    _xlfn.XLOOKUP(
      payments_raw[[#This Row],[subscription_id]],
      subscriptions[subscription_id],
      subscriptions[subscription_id]
    )
  ),
  0,
  1
)</f>
        <v>1</v>
      </c>
      <c r="F132" s="1">
        <f>_xlfn.XLOOKUP(payments_raw[[#This Row],[subscription_id]], subscriptions[subscription_id], subscriptions[start_date])</f>
        <v>45555</v>
      </c>
      <c r="G1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32" s="2">
        <f>IF(payments_raw[[#This Row],[payment_date]] &lt; payments_raw[[#This Row],[sub_start_date]], 1, 0)</f>
        <v>0</v>
      </c>
      <c r="I132" s="2">
        <f>IF(AND(payments_raw[[#This Row],[sub_end_date]]&lt;&gt;"", payments_raw[[#This Row],[payment_date]] &gt; payments_raw[[#This Row],[sub_end_date]]), 1, 0)</f>
        <v>0</v>
      </c>
      <c r="J132" s="2">
        <f>IF(payments_raw[[#This Row],[amount]] &lt;= 0, 1, 0)</f>
        <v>0</v>
      </c>
      <c r="K1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" spans="1:11" x14ac:dyDescent="0.3">
      <c r="A133">
        <v>72505408</v>
      </c>
      <c r="B133">
        <v>3353339</v>
      </c>
      <c r="C133" s="1">
        <v>44911</v>
      </c>
      <c r="D133">
        <v>390</v>
      </c>
      <c r="E133">
        <f>IF(
  ISNA(
    _xlfn.XLOOKUP(
      payments_raw[[#This Row],[subscription_id]],
      subscriptions[subscription_id],
      subscriptions[subscription_id]
    )
  ),
  0,
  1
)</f>
        <v>1</v>
      </c>
      <c r="F133" s="1">
        <f>_xlfn.XLOOKUP(payments_raw[[#This Row],[subscription_id]], subscriptions[subscription_id], subscriptions[start_date])</f>
        <v>44806</v>
      </c>
      <c r="G1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45054</v>
      </c>
      <c r="H133" s="2">
        <f>IF(payments_raw[[#This Row],[payment_date]] &lt; payments_raw[[#This Row],[sub_start_date]], 1, 0)</f>
        <v>0</v>
      </c>
      <c r="I133" s="2">
        <f>IF(AND(payments_raw[[#This Row],[sub_end_date]]&lt;&gt;"", payments_raw[[#This Row],[payment_date]] &gt; payments_raw[[#This Row],[sub_end_date]]), 1, 0)</f>
        <v>0</v>
      </c>
      <c r="J133" s="2">
        <f>IF(payments_raw[[#This Row],[amount]] &lt;= 0, 1, 0)</f>
        <v>0</v>
      </c>
      <c r="K1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" spans="1:11" x14ac:dyDescent="0.3">
      <c r="A134">
        <v>11780943</v>
      </c>
      <c r="B134">
        <v>6362719</v>
      </c>
      <c r="C134" s="1">
        <v>45382</v>
      </c>
      <c r="D134">
        <v>1490</v>
      </c>
      <c r="E134">
        <f>IF(
  ISNA(
    _xlfn.XLOOKUP(
      payments_raw[[#This Row],[subscription_id]],
      subscriptions[subscription_id],
      subscriptions[subscription_id]
    )
  ),
  0,
  1
)</f>
        <v>1</v>
      </c>
      <c r="F134" s="1">
        <f>_xlfn.XLOOKUP(payments_raw[[#This Row],[subscription_id]], subscriptions[subscription_id], subscriptions[start_date])</f>
        <v>45309</v>
      </c>
      <c r="G1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134" s="2">
        <f>IF(payments_raw[[#This Row],[payment_date]] &lt; payments_raw[[#This Row],[sub_start_date]], 1, 0)</f>
        <v>0</v>
      </c>
      <c r="I134" s="2">
        <f>IF(AND(payments_raw[[#This Row],[sub_end_date]]&lt;&gt;"", payments_raw[[#This Row],[payment_date]] &gt; payments_raw[[#This Row],[sub_end_date]]), 1, 0)</f>
        <v>0</v>
      </c>
      <c r="J134" s="2">
        <f>IF(payments_raw[[#This Row],[amount]] &lt;= 0, 1, 0)</f>
        <v>0</v>
      </c>
      <c r="K1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" spans="1:11" x14ac:dyDescent="0.3">
      <c r="A135">
        <v>98128706</v>
      </c>
      <c r="B135">
        <v>9949336</v>
      </c>
      <c r="C135" s="1">
        <v>44674</v>
      </c>
      <c r="D135">
        <v>2990</v>
      </c>
      <c r="E135">
        <f>IF(
  ISNA(
    _xlfn.XLOOKUP(
      payments_raw[[#This Row],[subscription_id]],
      subscriptions[subscription_id],
      subscriptions[subscription_id]
    )
  ),
  0,
  1
)</f>
        <v>1</v>
      </c>
      <c r="F135" s="1">
        <f>_xlfn.XLOOKUP(payments_raw[[#This Row],[subscription_id]], subscriptions[subscription_id], subscriptions[start_date])</f>
        <v>44642</v>
      </c>
      <c r="G13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135" s="2">
        <f>IF(payments_raw[[#This Row],[payment_date]] &lt; payments_raw[[#This Row],[sub_start_date]], 1, 0)</f>
        <v>0</v>
      </c>
      <c r="I135" s="2">
        <f>IF(AND(payments_raw[[#This Row],[sub_end_date]]&lt;&gt;"", payments_raw[[#This Row],[payment_date]] &gt; payments_raw[[#This Row],[sub_end_date]]), 1, 0)</f>
        <v>0</v>
      </c>
      <c r="J135" s="2">
        <f>IF(payments_raw[[#This Row],[amount]] &lt;= 0, 1, 0)</f>
        <v>0</v>
      </c>
      <c r="K1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" spans="1:11" x14ac:dyDescent="0.3">
      <c r="A136">
        <v>47691414</v>
      </c>
      <c r="B136">
        <v>5548431</v>
      </c>
      <c r="C136" s="1">
        <v>45403</v>
      </c>
      <c r="D136">
        <v>190</v>
      </c>
      <c r="E136">
        <f>IF(
  ISNA(
    _xlfn.XLOOKUP(
      payments_raw[[#This Row],[subscription_id]],
      subscriptions[subscription_id],
      subscriptions[subscription_id]
    )
  ),
  0,
  1
)</f>
        <v>1</v>
      </c>
      <c r="F136" s="1">
        <f>_xlfn.XLOOKUP(payments_raw[[#This Row],[subscription_id]], subscriptions[subscription_id], subscriptions[start_date])</f>
        <v>45222</v>
      </c>
      <c r="G1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45442</v>
      </c>
      <c r="H136" s="2">
        <f>IF(payments_raw[[#This Row],[payment_date]] &lt; payments_raw[[#This Row],[sub_start_date]], 1, 0)</f>
        <v>0</v>
      </c>
      <c r="I136" s="2">
        <f>IF(AND(payments_raw[[#This Row],[sub_end_date]]&lt;&gt;"", payments_raw[[#This Row],[payment_date]] &gt; payments_raw[[#This Row],[sub_end_date]]), 1, 0)</f>
        <v>0</v>
      </c>
      <c r="J136" s="2">
        <f>IF(payments_raw[[#This Row],[amount]] &lt;= 0, 1, 0)</f>
        <v>0</v>
      </c>
      <c r="K1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" spans="1:11" x14ac:dyDescent="0.3">
      <c r="A137">
        <v>74313267</v>
      </c>
      <c r="B137">
        <v>3707912</v>
      </c>
      <c r="C137" s="1">
        <v>45430</v>
      </c>
      <c r="D137">
        <v>149</v>
      </c>
      <c r="E137">
        <f>IF(
  ISNA(
    _xlfn.XLOOKUP(
      payments_raw[[#This Row],[subscription_id]],
      subscriptions[subscription_id],
      subscriptions[subscription_id]
    )
  ),
  0,
  1
)</f>
        <v>1</v>
      </c>
      <c r="F137" s="1">
        <f>_xlfn.XLOOKUP(payments_raw[[#This Row],[subscription_id]], subscriptions[subscription_id], subscriptions[start_date])</f>
        <v>45327</v>
      </c>
      <c r="G1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" s="2">
        <f>IF(payments_raw[[#This Row],[payment_date]] &lt; payments_raw[[#This Row],[sub_start_date]], 1, 0)</f>
        <v>0</v>
      </c>
      <c r="I137" s="2">
        <f>IF(AND(payments_raw[[#This Row],[sub_end_date]]&lt;&gt;"", payments_raw[[#This Row],[payment_date]] &gt; payments_raw[[#This Row],[sub_end_date]]), 1, 0)</f>
        <v>0</v>
      </c>
      <c r="J137" s="2">
        <f>IF(payments_raw[[#This Row],[amount]] &lt;= 0, 1, 0)</f>
        <v>0</v>
      </c>
      <c r="K1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" spans="1:11" x14ac:dyDescent="0.3">
      <c r="A138">
        <v>13276640</v>
      </c>
      <c r="B138">
        <v>3017925</v>
      </c>
      <c r="C138" s="1">
        <v>45510</v>
      </c>
      <c r="D138">
        <v>2990</v>
      </c>
      <c r="E138">
        <f>IF(
  ISNA(
    _xlfn.XLOOKUP(
      payments_raw[[#This Row],[subscription_id]],
      subscriptions[subscription_id],
      subscriptions[subscription_id]
    )
  ),
  0,
  1
)</f>
        <v>1</v>
      </c>
      <c r="F138" s="1">
        <f>_xlfn.XLOOKUP(payments_raw[[#This Row],[subscription_id]], subscriptions[subscription_id], subscriptions[start_date])</f>
        <v>45167</v>
      </c>
      <c r="G1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" s="2">
        <f>IF(payments_raw[[#This Row],[payment_date]] &lt; payments_raw[[#This Row],[sub_start_date]], 1, 0)</f>
        <v>0</v>
      </c>
      <c r="I138" s="2">
        <f>IF(AND(payments_raw[[#This Row],[sub_end_date]]&lt;&gt;"", payments_raw[[#This Row],[payment_date]] &gt; payments_raw[[#This Row],[sub_end_date]]), 1, 0)</f>
        <v>0</v>
      </c>
      <c r="J138" s="2">
        <f>IF(payments_raw[[#This Row],[amount]] &lt;= 0, 1, 0)</f>
        <v>0</v>
      </c>
      <c r="K1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" spans="1:11" x14ac:dyDescent="0.3">
      <c r="A139">
        <v>35242303</v>
      </c>
      <c r="B139">
        <v>6655862</v>
      </c>
      <c r="C139" s="1">
        <v>45330</v>
      </c>
      <c r="D139">
        <v>19</v>
      </c>
      <c r="E139">
        <f>IF(
  ISNA(
    _xlfn.XLOOKUP(
      payments_raw[[#This Row],[subscription_id]],
      subscriptions[subscription_id],
      subscriptions[subscription_id]
    )
  ),
  0,
  1
)</f>
        <v>1</v>
      </c>
      <c r="F139" s="1">
        <f>_xlfn.XLOOKUP(payments_raw[[#This Row],[subscription_id]], subscriptions[subscription_id], subscriptions[start_date])</f>
        <v>45090</v>
      </c>
      <c r="G1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" s="2">
        <f>IF(payments_raw[[#This Row],[payment_date]] &lt; payments_raw[[#This Row],[sub_start_date]], 1, 0)</f>
        <v>0</v>
      </c>
      <c r="I139" s="2">
        <f>IF(AND(payments_raw[[#This Row],[sub_end_date]]&lt;&gt;"", payments_raw[[#This Row],[payment_date]] &gt; payments_raw[[#This Row],[sub_end_date]]), 1, 0)</f>
        <v>0</v>
      </c>
      <c r="J139" s="2">
        <f>IF(payments_raw[[#This Row],[amount]] &lt;= 0, 1, 0)</f>
        <v>0</v>
      </c>
      <c r="K1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" spans="1:11" x14ac:dyDescent="0.3">
      <c r="A140">
        <v>10261534</v>
      </c>
      <c r="B140">
        <v>8230086</v>
      </c>
      <c r="C140" s="1">
        <v>45174</v>
      </c>
      <c r="D140">
        <v>299</v>
      </c>
      <c r="E140">
        <f>IF(
  ISNA(
    _xlfn.XLOOKUP(
      payments_raw[[#This Row],[subscription_id]],
      subscriptions[subscription_id],
      subscriptions[subscription_id]
    )
  ),
  0,
  1
)</f>
        <v>1</v>
      </c>
      <c r="F140" s="1">
        <f>_xlfn.XLOOKUP(payments_raw[[#This Row],[subscription_id]], subscriptions[subscription_id], subscriptions[start_date])</f>
        <v>45129</v>
      </c>
      <c r="G1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" s="2">
        <f>IF(payments_raw[[#This Row],[payment_date]] &lt; payments_raw[[#This Row],[sub_start_date]], 1, 0)</f>
        <v>0</v>
      </c>
      <c r="I140" s="2">
        <f>IF(AND(payments_raw[[#This Row],[sub_end_date]]&lt;&gt;"", payments_raw[[#This Row],[payment_date]] &gt; payments_raw[[#This Row],[sub_end_date]]), 1, 0)</f>
        <v>0</v>
      </c>
      <c r="J140" s="2">
        <f>IF(payments_raw[[#This Row],[amount]] &lt;= 0, 1, 0)</f>
        <v>0</v>
      </c>
      <c r="K1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" spans="1:11" x14ac:dyDescent="0.3">
      <c r="A141">
        <v>68430949</v>
      </c>
      <c r="B141">
        <v>9725395</v>
      </c>
      <c r="C141" s="1">
        <v>45356</v>
      </c>
      <c r="D141">
        <v>1490</v>
      </c>
      <c r="E141">
        <f>IF(
  ISNA(
    _xlfn.XLOOKUP(
      payments_raw[[#This Row],[subscription_id]],
      subscriptions[subscription_id],
      subscriptions[subscription_id]
    )
  ),
  0,
  1
)</f>
        <v>1</v>
      </c>
      <c r="F141" s="1">
        <f>_xlfn.XLOOKUP(payments_raw[[#This Row],[subscription_id]], subscriptions[subscription_id], subscriptions[start_date])</f>
        <v>45106</v>
      </c>
      <c r="G1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45378</v>
      </c>
      <c r="H141" s="2">
        <f>IF(payments_raw[[#This Row],[payment_date]] &lt; payments_raw[[#This Row],[sub_start_date]], 1, 0)</f>
        <v>0</v>
      </c>
      <c r="I141" s="2">
        <f>IF(AND(payments_raw[[#This Row],[sub_end_date]]&lt;&gt;"", payments_raw[[#This Row],[payment_date]] &gt; payments_raw[[#This Row],[sub_end_date]]), 1, 0)</f>
        <v>0</v>
      </c>
      <c r="J141" s="2">
        <f>IF(payments_raw[[#This Row],[amount]] &lt;= 0, 1, 0)</f>
        <v>0</v>
      </c>
      <c r="K1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" spans="1:11" x14ac:dyDescent="0.3">
      <c r="A142">
        <v>16347764</v>
      </c>
      <c r="B142">
        <v>7877413</v>
      </c>
      <c r="C142" s="1">
        <v>45449</v>
      </c>
      <c r="D142">
        <v>149</v>
      </c>
      <c r="E142">
        <f>IF(
  ISNA(
    _xlfn.XLOOKUP(
      payments_raw[[#This Row],[subscription_id]],
      subscriptions[subscription_id],
      subscriptions[subscription_id]
    )
  ),
  0,
  1
)</f>
        <v>1</v>
      </c>
      <c r="F142" s="1">
        <f>_xlfn.XLOOKUP(payments_raw[[#This Row],[subscription_id]], subscriptions[subscription_id], subscriptions[start_date])</f>
        <v>45303</v>
      </c>
      <c r="G1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" s="2">
        <f>IF(payments_raw[[#This Row],[payment_date]] &lt; payments_raw[[#This Row],[sub_start_date]], 1, 0)</f>
        <v>0</v>
      </c>
      <c r="I142" s="2">
        <f>IF(AND(payments_raw[[#This Row],[sub_end_date]]&lt;&gt;"", payments_raw[[#This Row],[payment_date]] &gt; payments_raw[[#This Row],[sub_end_date]]), 1, 0)</f>
        <v>0</v>
      </c>
      <c r="J142" s="2">
        <f>IF(payments_raw[[#This Row],[amount]] &lt;= 0, 1, 0)</f>
        <v>0</v>
      </c>
      <c r="K1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" spans="1:11" x14ac:dyDescent="0.3">
      <c r="A143">
        <v>90268788</v>
      </c>
      <c r="B143">
        <v>3081873</v>
      </c>
      <c r="C143" s="1">
        <v>45033</v>
      </c>
      <c r="D143">
        <v>2990</v>
      </c>
      <c r="E143">
        <f>IF(
  ISNA(
    _xlfn.XLOOKUP(
      payments_raw[[#This Row],[subscription_id]],
      subscriptions[subscription_id],
      subscriptions[subscription_id]
    )
  ),
  0,
  1
)</f>
        <v>1</v>
      </c>
      <c r="F143" s="1">
        <f>_xlfn.XLOOKUP(payments_raw[[#This Row],[subscription_id]], subscriptions[subscription_id], subscriptions[start_date])</f>
        <v>44986</v>
      </c>
      <c r="G1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45076</v>
      </c>
      <c r="H143" s="2">
        <f>IF(payments_raw[[#This Row],[payment_date]] &lt; payments_raw[[#This Row],[sub_start_date]], 1, 0)</f>
        <v>0</v>
      </c>
      <c r="I143" s="2">
        <f>IF(AND(payments_raw[[#This Row],[sub_end_date]]&lt;&gt;"", payments_raw[[#This Row],[payment_date]] &gt; payments_raw[[#This Row],[sub_end_date]]), 1, 0)</f>
        <v>0</v>
      </c>
      <c r="J143" s="2">
        <f>IF(payments_raw[[#This Row],[amount]] &lt;= 0, 1, 0)</f>
        <v>0</v>
      </c>
      <c r="K1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" spans="1:11" x14ac:dyDescent="0.3">
      <c r="A144">
        <v>73414545</v>
      </c>
      <c r="B144">
        <v>4307323</v>
      </c>
      <c r="C144" s="1">
        <v>45496</v>
      </c>
      <c r="D144">
        <v>1490</v>
      </c>
      <c r="E144">
        <f>IF(
  ISNA(
    _xlfn.XLOOKUP(
      payments_raw[[#This Row],[subscription_id]],
      subscriptions[subscription_id],
      subscriptions[subscription_id]
    )
  ),
  0,
  1
)</f>
        <v>1</v>
      </c>
      <c r="F144" s="1">
        <f>_xlfn.XLOOKUP(payments_raw[[#This Row],[subscription_id]], subscriptions[subscription_id], subscriptions[start_date])</f>
        <v>45218</v>
      </c>
      <c r="G1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" s="2">
        <f>IF(payments_raw[[#This Row],[payment_date]] &lt; payments_raw[[#This Row],[sub_start_date]], 1, 0)</f>
        <v>0</v>
      </c>
      <c r="I144" s="2">
        <f>IF(AND(payments_raw[[#This Row],[sub_end_date]]&lt;&gt;"", payments_raw[[#This Row],[payment_date]] &gt; payments_raw[[#This Row],[sub_end_date]]), 1, 0)</f>
        <v>0</v>
      </c>
      <c r="J144" s="2">
        <f>IF(payments_raw[[#This Row],[amount]] &lt;= 0, 1, 0)</f>
        <v>0</v>
      </c>
      <c r="K1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" spans="1:11" x14ac:dyDescent="0.3">
      <c r="A145">
        <v>98395975</v>
      </c>
      <c r="B145">
        <v>4157447</v>
      </c>
      <c r="C145" s="1">
        <v>45040</v>
      </c>
      <c r="D145">
        <v>190</v>
      </c>
      <c r="E145">
        <f>IF(
  ISNA(
    _xlfn.XLOOKUP(
      payments_raw[[#This Row],[subscription_id]],
      subscriptions[subscription_id],
      subscriptions[subscription_id]
    )
  ),
  0,
  1
)</f>
        <v>1</v>
      </c>
      <c r="F145" s="1">
        <f>_xlfn.XLOOKUP(payments_raw[[#This Row],[subscription_id]], subscriptions[subscription_id], subscriptions[start_date])</f>
        <v>44945</v>
      </c>
      <c r="G1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45091</v>
      </c>
      <c r="H145" s="2">
        <f>IF(payments_raw[[#This Row],[payment_date]] &lt; payments_raw[[#This Row],[sub_start_date]], 1, 0)</f>
        <v>0</v>
      </c>
      <c r="I145" s="2">
        <f>IF(AND(payments_raw[[#This Row],[sub_end_date]]&lt;&gt;"", payments_raw[[#This Row],[payment_date]] &gt; payments_raw[[#This Row],[sub_end_date]]), 1, 0)</f>
        <v>0</v>
      </c>
      <c r="J145" s="2">
        <f>IF(payments_raw[[#This Row],[amount]] &lt;= 0, 1, 0)</f>
        <v>0</v>
      </c>
      <c r="K1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" spans="1:11" x14ac:dyDescent="0.3">
      <c r="A146">
        <v>82580520</v>
      </c>
      <c r="B146">
        <v>2979586</v>
      </c>
      <c r="C146" s="1">
        <v>45389</v>
      </c>
      <c r="D146">
        <v>2990</v>
      </c>
      <c r="E146">
        <f>IF(
  ISNA(
    _xlfn.XLOOKUP(
      payments_raw[[#This Row],[subscription_id]],
      subscriptions[subscription_id],
      subscriptions[subscription_id]
    )
  ),
  0,
  1
)</f>
        <v>1</v>
      </c>
      <c r="F146" s="1">
        <f>_xlfn.XLOOKUP(payments_raw[[#This Row],[subscription_id]], subscriptions[subscription_id], subscriptions[start_date])</f>
        <v>45315</v>
      </c>
      <c r="G1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" s="2">
        <f>IF(payments_raw[[#This Row],[payment_date]] &lt; payments_raw[[#This Row],[sub_start_date]], 1, 0)</f>
        <v>0</v>
      </c>
      <c r="I146" s="2">
        <f>IF(AND(payments_raw[[#This Row],[sub_end_date]]&lt;&gt;"", payments_raw[[#This Row],[payment_date]] &gt; payments_raw[[#This Row],[sub_end_date]]), 1, 0)</f>
        <v>0</v>
      </c>
      <c r="J146" s="2">
        <f>IF(payments_raw[[#This Row],[amount]] &lt;= 0, 1, 0)</f>
        <v>0</v>
      </c>
      <c r="K1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" spans="1:11" x14ac:dyDescent="0.3">
      <c r="A147">
        <v>95807297</v>
      </c>
      <c r="B147">
        <v>6209788</v>
      </c>
      <c r="C147" s="1">
        <v>45620</v>
      </c>
      <c r="D147">
        <v>19</v>
      </c>
      <c r="E147">
        <f>IF(
  ISNA(
    _xlfn.XLOOKUP(
      payments_raw[[#This Row],[subscription_id]],
      subscriptions[subscription_id],
      subscriptions[subscription_id]
    )
  ),
  0,
  1
)</f>
        <v>1</v>
      </c>
      <c r="F147" s="1">
        <f>_xlfn.XLOOKUP(payments_raw[[#This Row],[subscription_id]], subscriptions[subscription_id], subscriptions[start_date])</f>
        <v>45598</v>
      </c>
      <c r="G1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147" s="2">
        <f>IF(payments_raw[[#This Row],[payment_date]] &lt; payments_raw[[#This Row],[sub_start_date]], 1, 0)</f>
        <v>0</v>
      </c>
      <c r="I147" s="2">
        <f>IF(AND(payments_raw[[#This Row],[sub_end_date]]&lt;&gt;"", payments_raw[[#This Row],[payment_date]] &gt; payments_raw[[#This Row],[sub_end_date]]), 1, 0)</f>
        <v>0</v>
      </c>
      <c r="J147" s="2">
        <f>IF(payments_raw[[#This Row],[amount]] &lt;= 0, 1, 0)</f>
        <v>0</v>
      </c>
      <c r="K1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" spans="1:11" x14ac:dyDescent="0.3">
      <c r="A148">
        <v>87874708</v>
      </c>
      <c r="B148">
        <v>8382743</v>
      </c>
      <c r="C148" s="1">
        <v>45490</v>
      </c>
      <c r="D148">
        <v>790</v>
      </c>
      <c r="E148">
        <f>IF(
  ISNA(
    _xlfn.XLOOKUP(
      payments_raw[[#This Row],[subscription_id]],
      subscriptions[subscription_id],
      subscriptions[subscription_id]
    )
  ),
  0,
  1
)</f>
        <v>1</v>
      </c>
      <c r="F148" s="1">
        <f>_xlfn.XLOOKUP(payments_raw[[#This Row],[subscription_id]], subscriptions[subscription_id], subscriptions[start_date])</f>
        <v>45439</v>
      </c>
      <c r="G1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45522</v>
      </c>
      <c r="H148" s="2">
        <f>IF(payments_raw[[#This Row],[payment_date]] &lt; payments_raw[[#This Row],[sub_start_date]], 1, 0)</f>
        <v>0</v>
      </c>
      <c r="I148" s="2">
        <f>IF(AND(payments_raw[[#This Row],[sub_end_date]]&lt;&gt;"", payments_raw[[#This Row],[payment_date]] &gt; payments_raw[[#This Row],[sub_end_date]]), 1, 0)</f>
        <v>0</v>
      </c>
      <c r="J148" s="2">
        <f>IF(payments_raw[[#This Row],[amount]] &lt;= 0, 1, 0)</f>
        <v>0</v>
      </c>
      <c r="K1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" spans="1:11" x14ac:dyDescent="0.3">
      <c r="A149">
        <v>56632220</v>
      </c>
      <c r="B149">
        <v>1664254</v>
      </c>
      <c r="C149" s="1">
        <v>45502</v>
      </c>
      <c r="D149">
        <v>790</v>
      </c>
      <c r="E149">
        <f>IF(
  ISNA(
    _xlfn.XLOOKUP(
      payments_raw[[#This Row],[subscription_id]],
      subscriptions[subscription_id],
      subscriptions[subscription_id]
    )
  ),
  0,
  1
)</f>
        <v>1</v>
      </c>
      <c r="F149" s="1">
        <f>_xlfn.XLOOKUP(payments_raw[[#This Row],[subscription_id]], subscriptions[subscription_id], subscriptions[start_date])</f>
        <v>45306</v>
      </c>
      <c r="G1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45541</v>
      </c>
      <c r="H149" s="2">
        <f>IF(payments_raw[[#This Row],[payment_date]] &lt; payments_raw[[#This Row],[sub_start_date]], 1, 0)</f>
        <v>0</v>
      </c>
      <c r="I149" s="2">
        <f>IF(AND(payments_raw[[#This Row],[sub_end_date]]&lt;&gt;"", payments_raw[[#This Row],[payment_date]] &gt; payments_raw[[#This Row],[sub_end_date]]), 1, 0)</f>
        <v>0</v>
      </c>
      <c r="J149" s="2">
        <f>IF(payments_raw[[#This Row],[amount]] &lt;= 0, 1, 0)</f>
        <v>0</v>
      </c>
      <c r="K1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" spans="1:11" x14ac:dyDescent="0.3">
      <c r="A150">
        <v>76372099</v>
      </c>
      <c r="B150">
        <v>3225498</v>
      </c>
      <c r="C150" s="1">
        <v>45507</v>
      </c>
      <c r="D150">
        <v>299</v>
      </c>
      <c r="E150">
        <f>IF(
  ISNA(
    _xlfn.XLOOKUP(
      payments_raw[[#This Row],[subscription_id]],
      subscriptions[subscription_id],
      subscriptions[subscription_id]
    )
  ),
  0,
  1
)</f>
        <v>1</v>
      </c>
      <c r="F150" s="1">
        <f>_xlfn.XLOOKUP(payments_raw[[#This Row],[subscription_id]], subscriptions[subscription_id], subscriptions[start_date])</f>
        <v>45162</v>
      </c>
      <c r="G1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0" s="2">
        <f>IF(payments_raw[[#This Row],[payment_date]] &lt; payments_raw[[#This Row],[sub_start_date]], 1, 0)</f>
        <v>0</v>
      </c>
      <c r="I150" s="2">
        <f>IF(AND(payments_raw[[#This Row],[sub_end_date]]&lt;&gt;"", payments_raw[[#This Row],[payment_date]] &gt; payments_raw[[#This Row],[sub_end_date]]), 1, 0)</f>
        <v>0</v>
      </c>
      <c r="J150" s="2">
        <f>IF(payments_raw[[#This Row],[amount]] &lt;= 0, 1, 0)</f>
        <v>0</v>
      </c>
      <c r="K1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" spans="1:11" x14ac:dyDescent="0.3">
      <c r="A151">
        <v>58362519</v>
      </c>
      <c r="B151">
        <v>9126125</v>
      </c>
      <c r="C151" s="1">
        <v>45234</v>
      </c>
      <c r="D151">
        <v>14.25</v>
      </c>
      <c r="E151">
        <f>IF(
  ISNA(
    _xlfn.XLOOKUP(
      payments_raw[[#This Row],[subscription_id]],
      subscriptions[subscription_id],
      subscriptions[subscription_id]
    )
  ),
  0,
  1
)</f>
        <v>1</v>
      </c>
      <c r="F151" s="1">
        <f>_xlfn.XLOOKUP(payments_raw[[#This Row],[subscription_id]], subscriptions[subscription_id], subscriptions[start_date])</f>
        <v>44792</v>
      </c>
      <c r="G1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" s="2">
        <f>IF(payments_raw[[#This Row],[payment_date]] &lt; payments_raw[[#This Row],[sub_start_date]], 1, 0)</f>
        <v>0</v>
      </c>
      <c r="I151" s="2">
        <f>IF(AND(payments_raw[[#This Row],[sub_end_date]]&lt;&gt;"", payments_raw[[#This Row],[payment_date]] &gt; payments_raw[[#This Row],[sub_end_date]]), 1, 0)</f>
        <v>0</v>
      </c>
      <c r="J151" s="2">
        <f>IF(payments_raw[[#This Row],[amount]] &lt;= 0, 1, 0)</f>
        <v>0</v>
      </c>
      <c r="K1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" spans="1:11" x14ac:dyDescent="0.3">
      <c r="A152">
        <v>28473928</v>
      </c>
      <c r="B152">
        <v>9483289</v>
      </c>
      <c r="C152" s="1">
        <v>44888</v>
      </c>
      <c r="D152">
        <v>2990</v>
      </c>
      <c r="E152">
        <f>IF(
  ISNA(
    _xlfn.XLOOKUP(
      payments_raw[[#This Row],[subscription_id]],
      subscriptions[subscription_id],
      subscriptions[subscription_id]
    )
  ),
  0,
  1
)</f>
        <v>1</v>
      </c>
      <c r="F152" s="1">
        <f>_xlfn.XLOOKUP(payments_raw[[#This Row],[subscription_id]], subscriptions[subscription_id], subscriptions[start_date])</f>
        <v>44718</v>
      </c>
      <c r="G1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45082</v>
      </c>
      <c r="H152" s="2">
        <f>IF(payments_raw[[#This Row],[payment_date]] &lt; payments_raw[[#This Row],[sub_start_date]], 1, 0)</f>
        <v>0</v>
      </c>
      <c r="I152" s="2">
        <f>IF(AND(payments_raw[[#This Row],[sub_end_date]]&lt;&gt;"", payments_raw[[#This Row],[payment_date]] &gt; payments_raw[[#This Row],[sub_end_date]]), 1, 0)</f>
        <v>0</v>
      </c>
      <c r="J152" s="2">
        <f>IF(payments_raw[[#This Row],[amount]] &lt;= 0, 1, 0)</f>
        <v>0</v>
      </c>
      <c r="K1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" spans="1:11" x14ac:dyDescent="0.3">
      <c r="A153">
        <v>96632730</v>
      </c>
      <c r="B153">
        <v>8340281</v>
      </c>
      <c r="C153" s="1">
        <v>45624</v>
      </c>
      <c r="D153">
        <v>1490</v>
      </c>
      <c r="E153">
        <f>IF(
  ISNA(
    _xlfn.XLOOKUP(
      payments_raw[[#This Row],[subscription_id]],
      subscriptions[subscription_id],
      subscriptions[subscription_id]
    )
  ),
  0,
  1
)</f>
        <v>1</v>
      </c>
      <c r="F153" s="1">
        <f>_xlfn.XLOOKUP(payments_raw[[#This Row],[subscription_id]], subscriptions[subscription_id], subscriptions[start_date])</f>
        <v>45147</v>
      </c>
      <c r="G1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" s="2">
        <f>IF(payments_raw[[#This Row],[payment_date]] &lt; payments_raw[[#This Row],[sub_start_date]], 1, 0)</f>
        <v>0</v>
      </c>
      <c r="I153" s="2">
        <f>IF(AND(payments_raw[[#This Row],[sub_end_date]]&lt;&gt;"", payments_raw[[#This Row],[payment_date]] &gt; payments_raw[[#This Row],[sub_end_date]]), 1, 0)</f>
        <v>0</v>
      </c>
      <c r="J153" s="2">
        <f>IF(payments_raw[[#This Row],[amount]] &lt;= 0, 1, 0)</f>
        <v>0</v>
      </c>
      <c r="K1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" spans="1:11" x14ac:dyDescent="0.3">
      <c r="A154">
        <v>82371781</v>
      </c>
      <c r="B154">
        <v>5196564</v>
      </c>
      <c r="C154" s="1">
        <v>45193</v>
      </c>
      <c r="D154">
        <v>39</v>
      </c>
      <c r="E154">
        <f>IF(
  ISNA(
    _xlfn.XLOOKUP(
      payments_raw[[#This Row],[subscription_id]],
      subscriptions[subscription_id],
      subscriptions[subscription_id]
    )
  ),
  0,
  1
)</f>
        <v>1</v>
      </c>
      <c r="F154" s="1">
        <f>_xlfn.XLOOKUP(payments_raw[[#This Row],[subscription_id]], subscriptions[subscription_id], subscriptions[start_date])</f>
        <v>45025</v>
      </c>
      <c r="G1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" s="2">
        <f>IF(payments_raw[[#This Row],[payment_date]] &lt; payments_raw[[#This Row],[sub_start_date]], 1, 0)</f>
        <v>0</v>
      </c>
      <c r="I154" s="2">
        <f>IF(AND(payments_raw[[#This Row],[sub_end_date]]&lt;&gt;"", payments_raw[[#This Row],[payment_date]] &gt; payments_raw[[#This Row],[sub_end_date]]), 1, 0)</f>
        <v>0</v>
      </c>
      <c r="J154" s="2">
        <f>IF(payments_raw[[#This Row],[amount]] &lt;= 0, 1, 0)</f>
        <v>0</v>
      </c>
      <c r="K1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" spans="1:11" x14ac:dyDescent="0.3">
      <c r="A155">
        <v>56097583</v>
      </c>
      <c r="B155">
        <v>2548634</v>
      </c>
      <c r="C155" s="1">
        <v>45608</v>
      </c>
      <c r="D155">
        <v>79</v>
      </c>
      <c r="E155">
        <f>IF(
  ISNA(
    _xlfn.XLOOKUP(
      payments_raw[[#This Row],[subscription_id]],
      subscriptions[subscription_id],
      subscriptions[subscription_id]
    )
  ),
  0,
  1
)</f>
        <v>1</v>
      </c>
      <c r="F155" s="1">
        <f>_xlfn.XLOOKUP(payments_raw[[#This Row],[subscription_id]], subscriptions[subscription_id], subscriptions[start_date])</f>
        <v>45349</v>
      </c>
      <c r="G1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" s="2">
        <f>IF(payments_raw[[#This Row],[payment_date]] &lt; payments_raw[[#This Row],[sub_start_date]], 1, 0)</f>
        <v>0</v>
      </c>
      <c r="I155" s="2">
        <f>IF(AND(payments_raw[[#This Row],[sub_end_date]]&lt;&gt;"", payments_raw[[#This Row],[payment_date]] &gt; payments_raw[[#This Row],[sub_end_date]]), 1, 0)</f>
        <v>0</v>
      </c>
      <c r="J155" s="2">
        <f>IF(payments_raw[[#This Row],[amount]] &lt;= 0, 1, 0)</f>
        <v>0</v>
      </c>
      <c r="K1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" spans="1:11" x14ac:dyDescent="0.3">
      <c r="A156">
        <v>93894510</v>
      </c>
      <c r="B156">
        <v>9292055</v>
      </c>
      <c r="C156" s="1">
        <v>45339</v>
      </c>
      <c r="D156">
        <v>79</v>
      </c>
      <c r="E156">
        <f>IF(
  ISNA(
    _xlfn.XLOOKUP(
      payments_raw[[#This Row],[subscription_id]],
      subscriptions[subscription_id],
      subscriptions[subscription_id]
    )
  ),
  0,
  1
)</f>
        <v>1</v>
      </c>
      <c r="F156" s="1">
        <f>_xlfn.XLOOKUP(payments_raw[[#This Row],[subscription_id]], subscriptions[subscription_id], subscriptions[start_date])</f>
        <v>45302</v>
      </c>
      <c r="G1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45438</v>
      </c>
      <c r="H156" s="2">
        <f>IF(payments_raw[[#This Row],[payment_date]] &lt; payments_raw[[#This Row],[sub_start_date]], 1, 0)</f>
        <v>0</v>
      </c>
      <c r="I156" s="2">
        <f>IF(AND(payments_raw[[#This Row],[sub_end_date]]&lt;&gt;"", payments_raw[[#This Row],[payment_date]] &gt; payments_raw[[#This Row],[sub_end_date]]), 1, 0)</f>
        <v>0</v>
      </c>
      <c r="J156" s="2">
        <f>IF(payments_raw[[#This Row],[amount]] &lt;= 0, 1, 0)</f>
        <v>0</v>
      </c>
      <c r="K1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" spans="1:11" x14ac:dyDescent="0.3">
      <c r="A157">
        <v>82505898</v>
      </c>
      <c r="B157">
        <v>8917395</v>
      </c>
      <c r="C157" s="1">
        <v>44788</v>
      </c>
      <c r="D157">
        <v>299</v>
      </c>
      <c r="E157">
        <f>IF(
  ISNA(
    _xlfn.XLOOKUP(
      payments_raw[[#This Row],[subscription_id]],
      subscriptions[subscription_id],
      subscriptions[subscription_id]
    )
  ),
  0,
  1
)</f>
        <v>1</v>
      </c>
      <c r="F157" s="1">
        <f>_xlfn.XLOOKUP(payments_raw[[#This Row],[subscription_id]], subscriptions[subscription_id], subscriptions[start_date])</f>
        <v>44748</v>
      </c>
      <c r="G15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157" s="2">
        <f>IF(payments_raw[[#This Row],[payment_date]] &lt; payments_raw[[#This Row],[sub_start_date]], 1, 0)</f>
        <v>0</v>
      </c>
      <c r="I157" s="2">
        <f>IF(AND(payments_raw[[#This Row],[sub_end_date]]&lt;&gt;"", payments_raw[[#This Row],[payment_date]] &gt; payments_raw[[#This Row],[sub_end_date]]), 1, 0)</f>
        <v>0</v>
      </c>
      <c r="J157" s="2">
        <f>IF(payments_raw[[#This Row],[amount]] &lt;= 0, 1, 0)</f>
        <v>0</v>
      </c>
      <c r="K1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" spans="1:11" x14ac:dyDescent="0.3">
      <c r="A158">
        <v>31398059</v>
      </c>
      <c r="B158">
        <v>4038296</v>
      </c>
      <c r="C158" s="1">
        <v>45641</v>
      </c>
      <c r="D158">
        <v>79</v>
      </c>
      <c r="E158">
        <f>IF(
  ISNA(
    _xlfn.XLOOKUP(
      payments_raw[[#This Row],[subscription_id]],
      subscriptions[subscription_id],
      subscriptions[subscription_id]
    )
  ),
  0,
  1
)</f>
        <v>1</v>
      </c>
      <c r="F158" s="1">
        <f>_xlfn.XLOOKUP(payments_raw[[#This Row],[subscription_id]], subscriptions[subscription_id], subscriptions[start_date])</f>
        <v>45348</v>
      </c>
      <c r="G1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" s="2">
        <f>IF(payments_raw[[#This Row],[payment_date]] &lt; payments_raw[[#This Row],[sub_start_date]], 1, 0)</f>
        <v>0</v>
      </c>
      <c r="I158" s="2">
        <f>IF(AND(payments_raw[[#This Row],[sub_end_date]]&lt;&gt;"", payments_raw[[#This Row],[payment_date]] &gt; payments_raw[[#This Row],[sub_end_date]]), 1, 0)</f>
        <v>0</v>
      </c>
      <c r="J158" s="2">
        <f>IF(payments_raw[[#This Row],[amount]] &lt;= 0, 1, 0)</f>
        <v>0</v>
      </c>
      <c r="K1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" spans="1:11" x14ac:dyDescent="0.3">
      <c r="A159">
        <v>37623724</v>
      </c>
      <c r="B159">
        <v>5166404</v>
      </c>
      <c r="C159" s="1">
        <v>45599</v>
      </c>
      <c r="D159">
        <v>190</v>
      </c>
      <c r="E159">
        <f>IF(
  ISNA(
    _xlfn.XLOOKUP(
      payments_raw[[#This Row],[subscription_id]],
      subscriptions[subscription_id],
      subscriptions[subscription_id]
    )
  ),
  0,
  1
)</f>
        <v>1</v>
      </c>
      <c r="F159" s="1">
        <f>_xlfn.XLOOKUP(payments_raw[[#This Row],[subscription_id]], subscriptions[subscription_id], subscriptions[start_date])</f>
        <v>45177</v>
      </c>
      <c r="G1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" s="2">
        <f>IF(payments_raw[[#This Row],[payment_date]] &lt; payments_raw[[#This Row],[sub_start_date]], 1, 0)</f>
        <v>0</v>
      </c>
      <c r="I159" s="2">
        <f>IF(AND(payments_raw[[#This Row],[sub_end_date]]&lt;&gt;"", payments_raw[[#This Row],[payment_date]] &gt; payments_raw[[#This Row],[sub_end_date]]), 1, 0)</f>
        <v>0</v>
      </c>
      <c r="J159" s="2">
        <f>IF(payments_raw[[#This Row],[amount]] &lt;= 0, 1, 0)</f>
        <v>0</v>
      </c>
      <c r="K1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" spans="1:11" x14ac:dyDescent="0.3">
      <c r="A160">
        <v>20971412</v>
      </c>
      <c r="B160">
        <v>7556539</v>
      </c>
      <c r="C160" s="1">
        <v>45611</v>
      </c>
      <c r="D160">
        <v>790</v>
      </c>
      <c r="E160">
        <f>IF(
  ISNA(
    _xlfn.XLOOKUP(
      payments_raw[[#This Row],[subscription_id]],
      subscriptions[subscription_id],
      subscriptions[subscription_id]
    )
  ),
  0,
  1
)</f>
        <v>1</v>
      </c>
      <c r="F160" s="1">
        <f>_xlfn.XLOOKUP(payments_raw[[#This Row],[subscription_id]], subscriptions[subscription_id], subscriptions[start_date])</f>
        <v>44768</v>
      </c>
      <c r="G1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0" s="2">
        <f>IF(payments_raw[[#This Row],[payment_date]] &lt; payments_raw[[#This Row],[sub_start_date]], 1, 0)</f>
        <v>0</v>
      </c>
      <c r="I160" s="2">
        <f>IF(AND(payments_raw[[#This Row],[sub_end_date]]&lt;&gt;"", payments_raw[[#This Row],[payment_date]] &gt; payments_raw[[#This Row],[sub_end_date]]), 1, 0)</f>
        <v>0</v>
      </c>
      <c r="J160" s="2">
        <f>IF(payments_raw[[#This Row],[amount]] &lt;= 0, 1, 0)</f>
        <v>0</v>
      </c>
      <c r="K1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" spans="1:11" x14ac:dyDescent="0.3">
      <c r="A161">
        <v>25016273</v>
      </c>
      <c r="B161">
        <v>7680763</v>
      </c>
      <c r="C161" s="1">
        <v>45658</v>
      </c>
      <c r="D161">
        <v>190</v>
      </c>
      <c r="E161">
        <f>IF(
  ISNA(
    _xlfn.XLOOKUP(
      payments_raw[[#This Row],[subscription_id]],
      subscriptions[subscription_id],
      subscriptions[subscription_id]
    )
  ),
  0,
  1
)</f>
        <v>1</v>
      </c>
      <c r="F161" s="1">
        <f>_xlfn.XLOOKUP(payments_raw[[#This Row],[subscription_id]], subscriptions[subscription_id], subscriptions[start_date])</f>
        <v>45145</v>
      </c>
      <c r="G1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" s="2">
        <f>IF(payments_raw[[#This Row],[payment_date]] &lt; payments_raw[[#This Row],[sub_start_date]], 1, 0)</f>
        <v>0</v>
      </c>
      <c r="I161" s="2">
        <f>IF(AND(payments_raw[[#This Row],[sub_end_date]]&lt;&gt;"", payments_raw[[#This Row],[payment_date]] &gt; payments_raw[[#This Row],[sub_end_date]]), 1, 0)</f>
        <v>0</v>
      </c>
      <c r="J161" s="2">
        <f>IF(payments_raw[[#This Row],[amount]] &lt;= 0, 1, 0)</f>
        <v>0</v>
      </c>
      <c r="K1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" spans="1:11" x14ac:dyDescent="0.3">
      <c r="A162">
        <v>79735350</v>
      </c>
      <c r="B162">
        <v>1733836</v>
      </c>
      <c r="C162" s="1">
        <v>44938</v>
      </c>
      <c r="D162">
        <v>19</v>
      </c>
      <c r="E162">
        <f>IF(
  ISNA(
    _xlfn.XLOOKUP(
      payments_raw[[#This Row],[subscription_id]],
      subscriptions[subscription_id],
      subscriptions[subscription_id]
    )
  ),
  0,
  1
)</f>
        <v>1</v>
      </c>
      <c r="F162" s="1">
        <f>_xlfn.XLOOKUP(payments_raw[[#This Row],[subscription_id]], subscriptions[subscription_id], subscriptions[start_date])</f>
        <v>44832</v>
      </c>
      <c r="G1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" s="2">
        <f>IF(payments_raw[[#This Row],[payment_date]] &lt; payments_raw[[#This Row],[sub_start_date]], 1, 0)</f>
        <v>0</v>
      </c>
      <c r="I162" s="2">
        <f>IF(AND(payments_raw[[#This Row],[sub_end_date]]&lt;&gt;"", payments_raw[[#This Row],[payment_date]] &gt; payments_raw[[#This Row],[sub_end_date]]), 1, 0)</f>
        <v>0</v>
      </c>
      <c r="J162" s="2">
        <f>IF(payments_raw[[#This Row],[amount]] &lt;= 0, 1, 0)</f>
        <v>0</v>
      </c>
      <c r="K1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" spans="1:11" x14ac:dyDescent="0.3">
      <c r="A163">
        <v>44187558</v>
      </c>
      <c r="B163">
        <v>2325287</v>
      </c>
      <c r="C163" s="1">
        <v>45626</v>
      </c>
      <c r="D163">
        <v>1490</v>
      </c>
      <c r="E163">
        <f>IF(
  ISNA(
    _xlfn.XLOOKUP(
      payments_raw[[#This Row],[subscription_id]],
      subscriptions[subscription_id],
      subscriptions[subscription_id]
    )
  ),
  0,
  1
)</f>
        <v>1</v>
      </c>
      <c r="F163" s="1">
        <f>_xlfn.XLOOKUP(payments_raw[[#This Row],[subscription_id]], subscriptions[subscription_id], subscriptions[start_date])</f>
        <v>45063</v>
      </c>
      <c r="G1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" s="2">
        <f>IF(payments_raw[[#This Row],[payment_date]] &lt; payments_raw[[#This Row],[sub_start_date]], 1, 0)</f>
        <v>0</v>
      </c>
      <c r="I163" s="2">
        <f>IF(AND(payments_raw[[#This Row],[sub_end_date]]&lt;&gt;"", payments_raw[[#This Row],[payment_date]] &gt; payments_raw[[#This Row],[sub_end_date]]), 1, 0)</f>
        <v>0</v>
      </c>
      <c r="J163" s="2">
        <f>IF(payments_raw[[#This Row],[amount]] &lt;= 0, 1, 0)</f>
        <v>0</v>
      </c>
      <c r="K1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" spans="1:11" x14ac:dyDescent="0.3">
      <c r="A164">
        <v>32105914</v>
      </c>
      <c r="B164">
        <v>3043656</v>
      </c>
      <c r="C164" s="1">
        <v>45554</v>
      </c>
      <c r="D164">
        <v>790</v>
      </c>
      <c r="E164">
        <f>IF(
  ISNA(
    _xlfn.XLOOKUP(
      payments_raw[[#This Row],[subscription_id]],
      subscriptions[subscription_id],
      subscriptions[subscription_id]
    )
  ),
  0,
  1
)</f>
        <v>1</v>
      </c>
      <c r="F164" s="1">
        <f>_xlfn.XLOOKUP(payments_raw[[#This Row],[subscription_id]], subscriptions[subscription_id], subscriptions[start_date])</f>
        <v>45176</v>
      </c>
      <c r="G1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" s="2">
        <f>IF(payments_raw[[#This Row],[payment_date]] &lt; payments_raw[[#This Row],[sub_start_date]], 1, 0)</f>
        <v>0</v>
      </c>
      <c r="I164" s="2">
        <f>IF(AND(payments_raw[[#This Row],[sub_end_date]]&lt;&gt;"", payments_raw[[#This Row],[payment_date]] &gt; payments_raw[[#This Row],[sub_end_date]]), 1, 0)</f>
        <v>0</v>
      </c>
      <c r="J164" s="2">
        <f>IF(payments_raw[[#This Row],[amount]] &lt;= 0, 1, 0)</f>
        <v>0</v>
      </c>
      <c r="K1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" spans="1:11" x14ac:dyDescent="0.3">
      <c r="A165">
        <v>54949481</v>
      </c>
      <c r="B165">
        <v>1153009</v>
      </c>
      <c r="C165" s="1">
        <v>45386</v>
      </c>
      <c r="D165">
        <v>19</v>
      </c>
      <c r="E165">
        <f>IF(
  ISNA(
    _xlfn.XLOOKUP(
      payments_raw[[#This Row],[subscription_id]],
      subscriptions[subscription_id],
      subscriptions[subscription_id]
    )
  ),
  0,
  1
)</f>
        <v>1</v>
      </c>
      <c r="F165" s="1">
        <f>_xlfn.XLOOKUP(payments_raw[[#This Row],[subscription_id]], subscriptions[subscription_id], subscriptions[start_date])</f>
        <v>44886</v>
      </c>
      <c r="G1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" s="2">
        <f>IF(payments_raw[[#This Row],[payment_date]] &lt; payments_raw[[#This Row],[sub_start_date]], 1, 0)</f>
        <v>0</v>
      </c>
      <c r="I165" s="2">
        <f>IF(AND(payments_raw[[#This Row],[sub_end_date]]&lt;&gt;"", payments_raw[[#This Row],[payment_date]] &gt; payments_raw[[#This Row],[sub_end_date]]), 1, 0)</f>
        <v>0</v>
      </c>
      <c r="J165" s="2">
        <f>IF(payments_raw[[#This Row],[amount]] &lt;= 0, 1, 0)</f>
        <v>0</v>
      </c>
      <c r="K1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" spans="1:11" x14ac:dyDescent="0.3">
      <c r="A166">
        <v>60106447</v>
      </c>
      <c r="B166">
        <v>4097522</v>
      </c>
      <c r="C166" s="1">
        <v>45458</v>
      </c>
      <c r="D166">
        <v>79</v>
      </c>
      <c r="E166">
        <f>IF(
  ISNA(
    _xlfn.XLOOKUP(
      payments_raw[[#This Row],[subscription_id]],
      subscriptions[subscription_id],
      subscriptions[subscription_id]
    )
  ),
  0,
  1
)</f>
        <v>1</v>
      </c>
      <c r="F166" s="1">
        <f>_xlfn.XLOOKUP(payments_raw[[#This Row],[subscription_id]], subscriptions[subscription_id], subscriptions[start_date])</f>
        <v>45178</v>
      </c>
      <c r="G1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" s="2">
        <f>IF(payments_raw[[#This Row],[payment_date]] &lt; payments_raw[[#This Row],[sub_start_date]], 1, 0)</f>
        <v>0</v>
      </c>
      <c r="I166" s="2">
        <f>IF(AND(payments_raw[[#This Row],[sub_end_date]]&lt;&gt;"", payments_raw[[#This Row],[payment_date]] &gt; payments_raw[[#This Row],[sub_end_date]]), 1, 0)</f>
        <v>0</v>
      </c>
      <c r="J166" s="2">
        <f>IF(payments_raw[[#This Row],[amount]] &lt;= 0, 1, 0)</f>
        <v>0</v>
      </c>
      <c r="K1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" spans="1:11" x14ac:dyDescent="0.3">
      <c r="A167">
        <v>80212115</v>
      </c>
      <c r="B167">
        <v>4349443</v>
      </c>
      <c r="C167" s="1">
        <v>45624</v>
      </c>
      <c r="D167">
        <v>39</v>
      </c>
      <c r="E167">
        <f>IF(
  ISNA(
    _xlfn.XLOOKUP(
      payments_raw[[#This Row],[subscription_id]],
      subscriptions[subscription_id],
      subscriptions[subscription_id]
    )
  ),
  0,
  1
)</f>
        <v>1</v>
      </c>
      <c r="F167" s="1">
        <f>_xlfn.XLOOKUP(payments_raw[[#This Row],[subscription_id]], subscriptions[subscription_id], subscriptions[start_date])</f>
        <v>45524</v>
      </c>
      <c r="G1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" s="2">
        <f>IF(payments_raw[[#This Row],[payment_date]] &lt; payments_raw[[#This Row],[sub_start_date]], 1, 0)</f>
        <v>0</v>
      </c>
      <c r="I167" s="2">
        <f>IF(AND(payments_raw[[#This Row],[sub_end_date]]&lt;&gt;"", payments_raw[[#This Row],[payment_date]] &gt; payments_raw[[#This Row],[sub_end_date]]), 1, 0)</f>
        <v>0</v>
      </c>
      <c r="J167" s="2">
        <f>IF(payments_raw[[#This Row],[amount]] &lt;= 0, 1, 0)</f>
        <v>0</v>
      </c>
      <c r="K1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" spans="1:11" x14ac:dyDescent="0.3">
      <c r="A168">
        <v>57128455</v>
      </c>
      <c r="B168">
        <v>5876441</v>
      </c>
      <c r="C168" s="1">
        <v>45446</v>
      </c>
      <c r="D168">
        <v>19</v>
      </c>
      <c r="E168">
        <f>IF(
  ISNA(
    _xlfn.XLOOKUP(
      payments_raw[[#This Row],[subscription_id]],
      subscriptions[subscription_id],
      subscriptions[subscription_id]
    )
  ),
  0,
  1
)</f>
        <v>1</v>
      </c>
      <c r="F168" s="1">
        <f>_xlfn.XLOOKUP(payments_raw[[#This Row],[subscription_id]], subscriptions[subscription_id], subscriptions[start_date])</f>
        <v>45029</v>
      </c>
      <c r="G1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8" s="2">
        <f>IF(payments_raw[[#This Row],[payment_date]] &lt; payments_raw[[#This Row],[sub_start_date]], 1, 0)</f>
        <v>0</v>
      </c>
      <c r="I168" s="2">
        <f>IF(AND(payments_raw[[#This Row],[sub_end_date]]&lt;&gt;"", payments_raw[[#This Row],[payment_date]] &gt; payments_raw[[#This Row],[sub_end_date]]), 1, 0)</f>
        <v>0</v>
      </c>
      <c r="J168" s="2">
        <f>IF(payments_raw[[#This Row],[amount]] &lt;= 0, 1, 0)</f>
        <v>0</v>
      </c>
      <c r="K1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" spans="1:11" x14ac:dyDescent="0.3">
      <c r="A169">
        <v>24284340</v>
      </c>
      <c r="B169">
        <v>5195013</v>
      </c>
      <c r="C169" s="1">
        <v>45383</v>
      </c>
      <c r="D169">
        <v>1490</v>
      </c>
      <c r="E169">
        <f>IF(
  ISNA(
    _xlfn.XLOOKUP(
      payments_raw[[#This Row],[subscription_id]],
      subscriptions[subscription_id],
      subscriptions[subscription_id]
    )
  ),
  0,
  1
)</f>
        <v>1</v>
      </c>
      <c r="F169" s="1">
        <f>_xlfn.XLOOKUP(payments_raw[[#This Row],[subscription_id]], subscriptions[subscription_id], subscriptions[start_date])</f>
        <v>45268</v>
      </c>
      <c r="G1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45623</v>
      </c>
      <c r="H169" s="2">
        <f>IF(payments_raw[[#This Row],[payment_date]] &lt; payments_raw[[#This Row],[sub_start_date]], 1, 0)</f>
        <v>0</v>
      </c>
      <c r="I169" s="2">
        <f>IF(AND(payments_raw[[#This Row],[sub_end_date]]&lt;&gt;"", payments_raw[[#This Row],[payment_date]] &gt; payments_raw[[#This Row],[sub_end_date]]), 1, 0)</f>
        <v>0</v>
      </c>
      <c r="J169" s="2">
        <f>IF(payments_raw[[#This Row],[amount]] &lt;= 0, 1, 0)</f>
        <v>0</v>
      </c>
      <c r="K1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" spans="1:11" x14ac:dyDescent="0.3">
      <c r="A170">
        <v>70888421</v>
      </c>
      <c r="B170">
        <v>3316596</v>
      </c>
      <c r="C170" s="1">
        <v>45604</v>
      </c>
      <c r="D170">
        <v>19</v>
      </c>
      <c r="E170">
        <f>IF(
  ISNA(
    _xlfn.XLOOKUP(
      payments_raw[[#This Row],[subscription_id]],
      subscriptions[subscription_id],
      subscriptions[subscription_id]
    )
  ),
  0,
  1
)</f>
        <v>1</v>
      </c>
      <c r="F170" s="1">
        <f>_xlfn.XLOOKUP(payments_raw[[#This Row],[subscription_id]], subscriptions[subscription_id], subscriptions[start_date])</f>
        <v>45585</v>
      </c>
      <c r="G1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" s="2">
        <f>IF(payments_raw[[#This Row],[payment_date]] &lt; payments_raw[[#This Row],[sub_start_date]], 1, 0)</f>
        <v>0</v>
      </c>
      <c r="I170" s="2">
        <f>IF(AND(payments_raw[[#This Row],[sub_end_date]]&lt;&gt;"", payments_raw[[#This Row],[payment_date]] &gt; payments_raw[[#This Row],[sub_end_date]]), 1, 0)</f>
        <v>0</v>
      </c>
      <c r="J170" s="2">
        <f>IF(payments_raw[[#This Row],[amount]] &lt;= 0, 1, 0)</f>
        <v>0</v>
      </c>
      <c r="K1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" spans="1:11" x14ac:dyDescent="0.3">
      <c r="A171">
        <v>35277376</v>
      </c>
      <c r="B171">
        <v>9445000</v>
      </c>
      <c r="C171" s="1">
        <v>45459</v>
      </c>
      <c r="D171">
        <v>17.100000000000001</v>
      </c>
      <c r="E171">
        <f>IF(
  ISNA(
    _xlfn.XLOOKUP(
      payments_raw[[#This Row],[subscription_id]],
      subscriptions[subscription_id],
      subscriptions[subscription_id]
    )
  ),
  0,
  1
)</f>
        <v>1</v>
      </c>
      <c r="F171" s="1">
        <f>_xlfn.XLOOKUP(payments_raw[[#This Row],[subscription_id]], subscriptions[subscription_id], subscriptions[start_date])</f>
        <v>44726</v>
      </c>
      <c r="G1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" s="2">
        <f>IF(payments_raw[[#This Row],[payment_date]] &lt; payments_raw[[#This Row],[sub_start_date]], 1, 0)</f>
        <v>0</v>
      </c>
      <c r="I171" s="2">
        <f>IF(AND(payments_raw[[#This Row],[sub_end_date]]&lt;&gt;"", payments_raw[[#This Row],[payment_date]] &gt; payments_raw[[#This Row],[sub_end_date]]), 1, 0)</f>
        <v>0</v>
      </c>
      <c r="J171" s="2">
        <f>IF(payments_raw[[#This Row],[amount]] &lt;= 0, 1, 0)</f>
        <v>0</v>
      </c>
      <c r="K1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" spans="1:11" x14ac:dyDescent="0.3">
      <c r="A172">
        <v>24468787</v>
      </c>
      <c r="B172">
        <v>7914190</v>
      </c>
      <c r="C172" s="1">
        <v>45173</v>
      </c>
      <c r="D172">
        <v>1490</v>
      </c>
      <c r="E172">
        <f>IF(
  ISNA(
    _xlfn.XLOOKUP(
      payments_raw[[#This Row],[subscription_id]],
      subscriptions[subscription_id],
      subscriptions[subscription_id]
    )
  ),
  0,
  1
)</f>
        <v>1</v>
      </c>
      <c r="F172" s="1">
        <f>_xlfn.XLOOKUP(payments_raw[[#This Row],[subscription_id]], subscriptions[subscription_id], subscriptions[start_date])</f>
        <v>44666</v>
      </c>
      <c r="G1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2" s="2">
        <f>IF(payments_raw[[#This Row],[payment_date]] &lt; payments_raw[[#This Row],[sub_start_date]], 1, 0)</f>
        <v>0</v>
      </c>
      <c r="I172" s="2">
        <f>IF(AND(payments_raw[[#This Row],[sub_end_date]]&lt;&gt;"", payments_raw[[#This Row],[payment_date]] &gt; payments_raw[[#This Row],[sub_end_date]]), 1, 0)</f>
        <v>0</v>
      </c>
      <c r="J172" s="2">
        <f>IF(payments_raw[[#This Row],[amount]] &lt;= 0, 1, 0)</f>
        <v>0</v>
      </c>
      <c r="K1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" spans="1:11" x14ac:dyDescent="0.3">
      <c r="A173">
        <v>19691415</v>
      </c>
      <c r="B173">
        <v>2416860</v>
      </c>
      <c r="C173" s="1">
        <v>45379</v>
      </c>
      <c r="D173">
        <v>299</v>
      </c>
      <c r="E173">
        <f>IF(
  ISNA(
    _xlfn.XLOOKUP(
      payments_raw[[#This Row],[subscription_id]],
      subscriptions[subscription_id],
      subscriptions[subscription_id]
    )
  ),
  0,
  1
)</f>
        <v>1</v>
      </c>
      <c r="F173" s="1">
        <f>_xlfn.XLOOKUP(payments_raw[[#This Row],[subscription_id]], subscriptions[subscription_id], subscriptions[start_date])</f>
        <v>45360</v>
      </c>
      <c r="G1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45398</v>
      </c>
      <c r="H173" s="2">
        <f>IF(payments_raw[[#This Row],[payment_date]] &lt; payments_raw[[#This Row],[sub_start_date]], 1, 0)</f>
        <v>0</v>
      </c>
      <c r="I173" s="2">
        <f>IF(AND(payments_raw[[#This Row],[sub_end_date]]&lt;&gt;"", payments_raw[[#This Row],[payment_date]] &gt; payments_raw[[#This Row],[sub_end_date]]), 1, 0)</f>
        <v>0</v>
      </c>
      <c r="J173" s="2">
        <f>IF(payments_raw[[#This Row],[amount]] &lt;= 0, 1, 0)</f>
        <v>0</v>
      </c>
      <c r="K1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" spans="1:11" x14ac:dyDescent="0.3">
      <c r="A174">
        <v>64508486</v>
      </c>
      <c r="B174">
        <v>6905993</v>
      </c>
      <c r="C174" s="1">
        <v>45317</v>
      </c>
      <c r="D174">
        <v>149</v>
      </c>
      <c r="E174">
        <f>IF(
  ISNA(
    _xlfn.XLOOKUP(
      payments_raw[[#This Row],[subscription_id]],
      subscriptions[subscription_id],
      subscriptions[subscription_id]
    )
  ),
  0,
  1
)</f>
        <v>1</v>
      </c>
      <c r="F174" s="1">
        <f>_xlfn.XLOOKUP(payments_raw[[#This Row],[subscription_id]], subscriptions[subscription_id], subscriptions[start_date])</f>
        <v>45007</v>
      </c>
      <c r="G1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" s="2">
        <f>IF(payments_raw[[#This Row],[payment_date]] &lt; payments_raw[[#This Row],[sub_start_date]], 1, 0)</f>
        <v>0</v>
      </c>
      <c r="I174" s="2">
        <f>IF(AND(payments_raw[[#This Row],[sub_end_date]]&lt;&gt;"", payments_raw[[#This Row],[payment_date]] &gt; payments_raw[[#This Row],[sub_end_date]]), 1, 0)</f>
        <v>0</v>
      </c>
      <c r="J174" s="2">
        <f>IF(payments_raw[[#This Row],[amount]] &lt;= 0, 1, 0)</f>
        <v>0</v>
      </c>
      <c r="K1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" spans="1:11" x14ac:dyDescent="0.3">
      <c r="A175">
        <v>82741563</v>
      </c>
      <c r="B175">
        <v>3891398</v>
      </c>
      <c r="C175" s="1">
        <v>45447</v>
      </c>
      <c r="D175">
        <v>39.5</v>
      </c>
      <c r="E175">
        <f>IF(
  ISNA(
    _xlfn.XLOOKUP(
      payments_raw[[#This Row],[subscription_id]],
      subscriptions[subscription_id],
      subscriptions[subscription_id]
    )
  ),
  0,
  1
)</f>
        <v>1</v>
      </c>
      <c r="F175" s="1">
        <f>_xlfn.XLOOKUP(payments_raw[[#This Row],[subscription_id]], subscriptions[subscription_id], subscriptions[start_date])</f>
        <v>45121</v>
      </c>
      <c r="G1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175" s="2">
        <f>IF(payments_raw[[#This Row],[payment_date]] &lt; payments_raw[[#This Row],[sub_start_date]], 1, 0)</f>
        <v>0</v>
      </c>
      <c r="I175" s="2">
        <f>IF(AND(payments_raw[[#This Row],[sub_end_date]]&lt;&gt;"", payments_raw[[#This Row],[payment_date]] &gt; payments_raw[[#This Row],[sub_end_date]]), 1, 0)</f>
        <v>0</v>
      </c>
      <c r="J175" s="2">
        <f>IF(payments_raw[[#This Row],[amount]] &lt;= 0, 1, 0)</f>
        <v>0</v>
      </c>
      <c r="K1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" spans="1:11" x14ac:dyDescent="0.3">
      <c r="A176">
        <v>13154870</v>
      </c>
      <c r="B176">
        <v>8539737</v>
      </c>
      <c r="C176" s="1">
        <v>44912</v>
      </c>
      <c r="D176">
        <v>149.5</v>
      </c>
      <c r="E176">
        <f>IF(
  ISNA(
    _xlfn.XLOOKUP(
      payments_raw[[#This Row],[subscription_id]],
      subscriptions[subscription_id],
      subscriptions[subscription_id]
    )
  ),
  0,
  1
)</f>
        <v>1</v>
      </c>
      <c r="F176" s="1">
        <f>_xlfn.XLOOKUP(payments_raw[[#This Row],[subscription_id]], subscriptions[subscription_id], subscriptions[start_date])</f>
        <v>44904</v>
      </c>
      <c r="G1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45195</v>
      </c>
      <c r="H176" s="2">
        <f>IF(payments_raw[[#This Row],[payment_date]] &lt; payments_raw[[#This Row],[sub_start_date]], 1, 0)</f>
        <v>0</v>
      </c>
      <c r="I176" s="2">
        <f>IF(AND(payments_raw[[#This Row],[sub_end_date]]&lt;&gt;"", payments_raw[[#This Row],[payment_date]] &gt; payments_raw[[#This Row],[sub_end_date]]), 1, 0)</f>
        <v>0</v>
      </c>
      <c r="J176" s="2">
        <f>IF(payments_raw[[#This Row],[amount]] &lt;= 0, 1, 0)</f>
        <v>0</v>
      </c>
      <c r="K1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" spans="1:11" x14ac:dyDescent="0.3">
      <c r="A177">
        <v>37794800</v>
      </c>
      <c r="B177">
        <v>8110722</v>
      </c>
      <c r="C177" s="1">
        <v>45570</v>
      </c>
      <c r="D177">
        <v>299</v>
      </c>
      <c r="E177">
        <f>IF(
  ISNA(
    _xlfn.XLOOKUP(
      payments_raw[[#This Row],[subscription_id]],
      subscriptions[subscription_id],
      subscriptions[subscription_id]
    )
  ),
  0,
  1
)</f>
        <v>1</v>
      </c>
      <c r="F177" s="1">
        <f>_xlfn.XLOOKUP(payments_raw[[#This Row],[subscription_id]], subscriptions[subscription_id], subscriptions[start_date])</f>
        <v>45547</v>
      </c>
      <c r="G1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77" s="2">
        <f>IF(payments_raw[[#This Row],[payment_date]] &lt; payments_raw[[#This Row],[sub_start_date]], 1, 0)</f>
        <v>0</v>
      </c>
      <c r="I177" s="2">
        <f>IF(AND(payments_raw[[#This Row],[sub_end_date]]&lt;&gt;"", payments_raw[[#This Row],[payment_date]] &gt; payments_raw[[#This Row],[sub_end_date]]), 1, 0)</f>
        <v>0</v>
      </c>
      <c r="J177" s="2">
        <f>IF(payments_raw[[#This Row],[amount]] &lt;= 0, 1, 0)</f>
        <v>0</v>
      </c>
      <c r="K1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" spans="1:11" x14ac:dyDescent="0.3">
      <c r="A178">
        <v>19574576</v>
      </c>
      <c r="B178">
        <v>5193310</v>
      </c>
      <c r="C178" s="1">
        <v>44970</v>
      </c>
      <c r="D178">
        <v>790</v>
      </c>
      <c r="E178">
        <f>IF(
  ISNA(
    _xlfn.XLOOKUP(
      payments_raw[[#This Row],[subscription_id]],
      subscriptions[subscription_id],
      subscriptions[subscription_id]
    )
  ),
  0,
  1
)</f>
        <v>1</v>
      </c>
      <c r="F178" s="1">
        <f>_xlfn.XLOOKUP(payments_raw[[#This Row],[subscription_id]], subscriptions[subscription_id], subscriptions[start_date])</f>
        <v>44902</v>
      </c>
      <c r="G1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8" s="2">
        <f>IF(payments_raw[[#This Row],[payment_date]] &lt; payments_raw[[#This Row],[sub_start_date]], 1, 0)</f>
        <v>0</v>
      </c>
      <c r="I178" s="2">
        <f>IF(AND(payments_raw[[#This Row],[sub_end_date]]&lt;&gt;"", payments_raw[[#This Row],[payment_date]] &gt; payments_raw[[#This Row],[sub_end_date]]), 1, 0)</f>
        <v>0</v>
      </c>
      <c r="J178" s="2">
        <f>IF(payments_raw[[#This Row],[amount]] &lt;= 0, 1, 0)</f>
        <v>0</v>
      </c>
      <c r="K1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" spans="1:11" x14ac:dyDescent="0.3">
      <c r="A179">
        <v>25965592</v>
      </c>
      <c r="B179">
        <v>9103333</v>
      </c>
      <c r="C179" s="1">
        <v>44836</v>
      </c>
      <c r="D179">
        <v>149</v>
      </c>
      <c r="E179">
        <f>IF(
  ISNA(
    _xlfn.XLOOKUP(
      payments_raw[[#This Row],[subscription_id]],
      subscriptions[subscription_id],
      subscriptions[subscription_id]
    )
  ),
  0,
  1
)</f>
        <v>1</v>
      </c>
      <c r="F179" s="1">
        <f>_xlfn.XLOOKUP(payments_raw[[#This Row],[subscription_id]], subscriptions[subscription_id], subscriptions[start_date])</f>
        <v>44728</v>
      </c>
      <c r="G17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179" s="2">
        <f>IF(payments_raw[[#This Row],[payment_date]] &lt; payments_raw[[#This Row],[sub_start_date]], 1, 0)</f>
        <v>0</v>
      </c>
      <c r="I179" s="2">
        <f>IF(AND(payments_raw[[#This Row],[sub_end_date]]&lt;&gt;"", payments_raw[[#This Row],[payment_date]] &gt; payments_raw[[#This Row],[sub_end_date]]), 1, 0)</f>
        <v>0</v>
      </c>
      <c r="J179" s="2">
        <f>IF(payments_raw[[#This Row],[amount]] &lt;= 0, 1, 0)</f>
        <v>0</v>
      </c>
      <c r="K1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" spans="1:11" x14ac:dyDescent="0.3">
      <c r="A180">
        <v>98796442</v>
      </c>
      <c r="B180">
        <v>9753488</v>
      </c>
      <c r="C180" s="1">
        <v>45527</v>
      </c>
      <c r="D180">
        <v>2691</v>
      </c>
      <c r="E180">
        <f>IF(
  ISNA(
    _xlfn.XLOOKUP(
      payments_raw[[#This Row],[subscription_id]],
      subscriptions[subscription_id],
      subscriptions[subscription_id]
    )
  ),
  0,
  1
)</f>
        <v>1</v>
      </c>
      <c r="F180" s="1">
        <f>_xlfn.XLOOKUP(payments_raw[[#This Row],[subscription_id]], subscriptions[subscription_id], subscriptions[start_date])</f>
        <v>45424</v>
      </c>
      <c r="G1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180" s="2">
        <f>IF(payments_raw[[#This Row],[payment_date]] &lt; payments_raw[[#This Row],[sub_start_date]], 1, 0)</f>
        <v>0</v>
      </c>
      <c r="I180" s="2">
        <f>IF(AND(payments_raw[[#This Row],[sub_end_date]]&lt;&gt;"", payments_raw[[#This Row],[payment_date]] &gt; payments_raw[[#This Row],[sub_end_date]]), 1, 0)</f>
        <v>0</v>
      </c>
      <c r="J180" s="2">
        <f>IF(payments_raw[[#This Row],[amount]] &lt;= 0, 1, 0)</f>
        <v>0</v>
      </c>
      <c r="K1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" spans="1:11" x14ac:dyDescent="0.3">
      <c r="A181">
        <v>50294239</v>
      </c>
      <c r="B181">
        <v>8950226</v>
      </c>
      <c r="C181" s="1">
        <v>45284</v>
      </c>
      <c r="D181">
        <v>790</v>
      </c>
      <c r="E181">
        <f>IF(
  ISNA(
    _xlfn.XLOOKUP(
      payments_raw[[#This Row],[subscription_id]],
      subscriptions[subscription_id],
      subscriptions[subscription_id]
    )
  ),
  0,
  1
)</f>
        <v>1</v>
      </c>
      <c r="F181" s="1">
        <f>_xlfn.XLOOKUP(payments_raw[[#This Row],[subscription_id]], subscriptions[subscription_id], subscriptions[start_date])</f>
        <v>44582</v>
      </c>
      <c r="G1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" s="2">
        <f>IF(payments_raw[[#This Row],[payment_date]] &lt; payments_raw[[#This Row],[sub_start_date]], 1, 0)</f>
        <v>0</v>
      </c>
      <c r="I181" s="2">
        <f>IF(AND(payments_raw[[#This Row],[sub_end_date]]&lt;&gt;"", payments_raw[[#This Row],[payment_date]] &gt; payments_raw[[#This Row],[sub_end_date]]), 1, 0)</f>
        <v>0</v>
      </c>
      <c r="J181" s="2">
        <f>IF(payments_raw[[#This Row],[amount]] &lt;= 0, 1, 0)</f>
        <v>0</v>
      </c>
      <c r="K1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" spans="1:11" x14ac:dyDescent="0.3">
      <c r="A182">
        <v>37977471</v>
      </c>
      <c r="B182">
        <v>5352802</v>
      </c>
      <c r="C182" s="1">
        <v>44976</v>
      </c>
      <c r="D182">
        <v>39</v>
      </c>
      <c r="E182">
        <f>IF(
  ISNA(
    _xlfn.XLOOKUP(
      payments_raw[[#This Row],[subscription_id]],
      subscriptions[subscription_id],
      subscriptions[subscription_id]
    )
  ),
  0,
  1
)</f>
        <v>1</v>
      </c>
      <c r="F182" s="1">
        <f>_xlfn.XLOOKUP(payments_raw[[#This Row],[subscription_id]], subscriptions[subscription_id], subscriptions[start_date])</f>
        <v>44938</v>
      </c>
      <c r="G1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45015</v>
      </c>
      <c r="H182" s="2">
        <f>IF(payments_raw[[#This Row],[payment_date]] &lt; payments_raw[[#This Row],[sub_start_date]], 1, 0)</f>
        <v>0</v>
      </c>
      <c r="I182" s="2">
        <f>IF(AND(payments_raw[[#This Row],[sub_end_date]]&lt;&gt;"", payments_raw[[#This Row],[payment_date]] &gt; payments_raw[[#This Row],[sub_end_date]]), 1, 0)</f>
        <v>0</v>
      </c>
      <c r="J182" s="2">
        <f>IF(payments_raw[[#This Row],[amount]] &lt;= 0, 1, 0)</f>
        <v>0</v>
      </c>
      <c r="K1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" spans="1:11" x14ac:dyDescent="0.3">
      <c r="A183">
        <v>89146958</v>
      </c>
      <c r="B183">
        <v>2321583</v>
      </c>
      <c r="C183" s="1">
        <v>45589</v>
      </c>
      <c r="D183">
        <v>19</v>
      </c>
      <c r="E183">
        <f>IF(
  ISNA(
    _xlfn.XLOOKUP(
      payments_raw[[#This Row],[subscription_id]],
      subscriptions[subscription_id],
      subscriptions[subscription_id]
    )
  ),
  0,
  1
)</f>
        <v>1</v>
      </c>
      <c r="F183" s="1">
        <f>_xlfn.XLOOKUP(payments_raw[[#This Row],[subscription_id]], subscriptions[subscription_id], subscriptions[start_date])</f>
        <v>45345</v>
      </c>
      <c r="G1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" s="2">
        <f>IF(payments_raw[[#This Row],[payment_date]] &lt; payments_raw[[#This Row],[sub_start_date]], 1, 0)</f>
        <v>0</v>
      </c>
      <c r="I183" s="2">
        <f>IF(AND(payments_raw[[#This Row],[sub_end_date]]&lt;&gt;"", payments_raw[[#This Row],[payment_date]] &gt; payments_raw[[#This Row],[sub_end_date]]), 1, 0)</f>
        <v>0</v>
      </c>
      <c r="J183" s="2">
        <f>IF(payments_raw[[#This Row],[amount]] &lt;= 0, 1, 0)</f>
        <v>0</v>
      </c>
      <c r="K1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" spans="1:11" x14ac:dyDescent="0.3">
      <c r="A184">
        <v>89636235</v>
      </c>
      <c r="B184">
        <v>9903425</v>
      </c>
      <c r="C184" s="1">
        <v>44732</v>
      </c>
      <c r="D184">
        <v>790</v>
      </c>
      <c r="E184">
        <f>IF(
  ISNA(
    _xlfn.XLOOKUP(
      payments_raw[[#This Row],[subscription_id]],
      subscriptions[subscription_id],
      subscriptions[subscription_id]
    )
  ),
  0,
  1
)</f>
        <v>1</v>
      </c>
      <c r="F184" s="1">
        <f>_xlfn.XLOOKUP(payments_raw[[#This Row],[subscription_id]], subscriptions[subscription_id], subscriptions[start_date])</f>
        <v>44722</v>
      </c>
      <c r="G18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44861</v>
      </c>
      <c r="H184" s="2">
        <f>IF(payments_raw[[#This Row],[payment_date]] &lt; payments_raw[[#This Row],[sub_start_date]], 1, 0)</f>
        <v>0</v>
      </c>
      <c r="I184" s="2">
        <f>IF(AND(payments_raw[[#This Row],[sub_end_date]]&lt;&gt;"", payments_raw[[#This Row],[payment_date]] &gt; payments_raw[[#This Row],[sub_end_date]]), 1, 0)</f>
        <v>0</v>
      </c>
      <c r="J184" s="2">
        <f>IF(payments_raw[[#This Row],[amount]] &lt;= 0, 1, 0)</f>
        <v>0</v>
      </c>
      <c r="K1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" spans="1:11" x14ac:dyDescent="0.3">
      <c r="A185">
        <v>14230279</v>
      </c>
      <c r="B185">
        <v>1750894</v>
      </c>
      <c r="C185" s="1">
        <v>45392</v>
      </c>
      <c r="D185">
        <v>299</v>
      </c>
      <c r="E185">
        <f>IF(
  ISNA(
    _xlfn.XLOOKUP(
      payments_raw[[#This Row],[subscription_id]],
      subscriptions[subscription_id],
      subscriptions[subscription_id]
    )
  ),
  0,
  1
)</f>
        <v>1</v>
      </c>
      <c r="F185" s="1">
        <f>_xlfn.XLOOKUP(payments_raw[[#This Row],[subscription_id]], subscriptions[subscription_id], subscriptions[start_date])</f>
        <v>44881</v>
      </c>
      <c r="G1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" s="2">
        <f>IF(payments_raw[[#This Row],[payment_date]] &lt; payments_raw[[#This Row],[sub_start_date]], 1, 0)</f>
        <v>0</v>
      </c>
      <c r="I185" s="2">
        <f>IF(AND(payments_raw[[#This Row],[sub_end_date]]&lt;&gt;"", payments_raw[[#This Row],[payment_date]] &gt; payments_raw[[#This Row],[sub_end_date]]), 1, 0)</f>
        <v>0</v>
      </c>
      <c r="J185" s="2">
        <f>IF(payments_raw[[#This Row],[amount]] &lt;= 0, 1, 0)</f>
        <v>0</v>
      </c>
      <c r="K1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" spans="1:11" x14ac:dyDescent="0.3">
      <c r="A186">
        <v>14166161</v>
      </c>
      <c r="B186">
        <v>3799814</v>
      </c>
      <c r="C186" s="1">
        <v>44798</v>
      </c>
      <c r="D186">
        <v>19</v>
      </c>
      <c r="E186">
        <f>IF(
  ISNA(
    _xlfn.XLOOKUP(
      payments_raw[[#This Row],[subscription_id]],
      subscriptions[subscription_id],
      subscriptions[subscription_id]
    )
  ),
  0,
  1
)</f>
        <v>1</v>
      </c>
      <c r="F186" s="1">
        <f>_xlfn.XLOOKUP(payments_raw[[#This Row],[subscription_id]], subscriptions[subscription_id], subscriptions[start_date])</f>
        <v>44668</v>
      </c>
      <c r="G1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45056</v>
      </c>
      <c r="H186" s="2">
        <f>IF(payments_raw[[#This Row],[payment_date]] &lt; payments_raw[[#This Row],[sub_start_date]], 1, 0)</f>
        <v>0</v>
      </c>
      <c r="I186" s="2">
        <f>IF(AND(payments_raw[[#This Row],[sub_end_date]]&lt;&gt;"", payments_raw[[#This Row],[payment_date]] &gt; payments_raw[[#This Row],[sub_end_date]]), 1, 0)</f>
        <v>0</v>
      </c>
      <c r="J186" s="2">
        <f>IF(payments_raw[[#This Row],[amount]] &lt;= 0, 1, 0)</f>
        <v>0</v>
      </c>
      <c r="K1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" spans="1:11" x14ac:dyDescent="0.3">
      <c r="A187">
        <v>61506760</v>
      </c>
      <c r="B187">
        <v>9860239</v>
      </c>
      <c r="C187" s="1">
        <v>44744</v>
      </c>
      <c r="D187">
        <v>149</v>
      </c>
      <c r="E187">
        <f>IF(
  ISNA(
    _xlfn.XLOOKUP(
      payments_raw[[#This Row],[subscription_id]],
      subscriptions[subscription_id],
      subscriptions[subscription_id]
    )
  ),
  0,
  1
)</f>
        <v>1</v>
      </c>
      <c r="F187" s="1">
        <f>_xlfn.XLOOKUP(payments_raw[[#This Row],[subscription_id]], subscriptions[subscription_id], subscriptions[start_date])</f>
        <v>44648</v>
      </c>
      <c r="G18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44764</v>
      </c>
      <c r="H187" s="2">
        <f>IF(payments_raw[[#This Row],[payment_date]] &lt; payments_raw[[#This Row],[sub_start_date]], 1, 0)</f>
        <v>0</v>
      </c>
      <c r="I187" s="2">
        <f>IF(AND(payments_raw[[#This Row],[sub_end_date]]&lt;&gt;"", payments_raw[[#This Row],[payment_date]] &gt; payments_raw[[#This Row],[sub_end_date]]), 1, 0)</f>
        <v>0</v>
      </c>
      <c r="J187" s="2">
        <f>IF(payments_raw[[#This Row],[amount]] &lt;= 0, 1, 0)</f>
        <v>0</v>
      </c>
      <c r="K1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" spans="1:11" x14ac:dyDescent="0.3">
      <c r="A188">
        <v>23154252</v>
      </c>
      <c r="B188">
        <v>3705563</v>
      </c>
      <c r="C188" s="1">
        <v>45126</v>
      </c>
      <c r="D188">
        <v>190</v>
      </c>
      <c r="E188">
        <f>IF(
  ISNA(
    _xlfn.XLOOKUP(
      payments_raw[[#This Row],[subscription_id]],
      subscriptions[subscription_id],
      subscriptions[subscription_id]
    )
  ),
  0,
  1
)</f>
        <v>1</v>
      </c>
      <c r="F188" s="1">
        <f>_xlfn.XLOOKUP(payments_raw[[#This Row],[subscription_id]], subscriptions[subscription_id], subscriptions[start_date])</f>
        <v>44694</v>
      </c>
      <c r="G1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" s="2">
        <f>IF(payments_raw[[#This Row],[payment_date]] &lt; payments_raw[[#This Row],[sub_start_date]], 1, 0)</f>
        <v>0</v>
      </c>
      <c r="I188" s="2">
        <f>IF(AND(payments_raw[[#This Row],[sub_end_date]]&lt;&gt;"", payments_raw[[#This Row],[payment_date]] &gt; payments_raw[[#This Row],[sub_end_date]]), 1, 0)</f>
        <v>0</v>
      </c>
      <c r="J188" s="2">
        <f>IF(payments_raw[[#This Row],[amount]] &lt;= 0, 1, 0)</f>
        <v>0</v>
      </c>
      <c r="K1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" spans="1:11" x14ac:dyDescent="0.3">
      <c r="A189">
        <v>93246092</v>
      </c>
      <c r="B189">
        <v>8070014</v>
      </c>
      <c r="C189" s="1">
        <v>45455</v>
      </c>
      <c r="D189">
        <v>190</v>
      </c>
      <c r="E189">
        <f>IF(
  ISNA(
    _xlfn.XLOOKUP(
      payments_raw[[#This Row],[subscription_id]],
      subscriptions[subscription_id],
      subscriptions[subscription_id]
    )
  ),
  0,
  1
)</f>
        <v>1</v>
      </c>
      <c r="F189" s="1">
        <f>_xlfn.XLOOKUP(payments_raw[[#This Row],[subscription_id]], subscriptions[subscription_id], subscriptions[start_date])</f>
        <v>45096</v>
      </c>
      <c r="G1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" s="2">
        <f>IF(payments_raw[[#This Row],[payment_date]] &lt; payments_raw[[#This Row],[sub_start_date]], 1, 0)</f>
        <v>0</v>
      </c>
      <c r="I189" s="2">
        <f>IF(AND(payments_raw[[#This Row],[sub_end_date]]&lt;&gt;"", payments_raw[[#This Row],[payment_date]] &gt; payments_raw[[#This Row],[sub_end_date]]), 1, 0)</f>
        <v>0</v>
      </c>
      <c r="J189" s="2">
        <f>IF(payments_raw[[#This Row],[amount]] &lt;= 0, 1, 0)</f>
        <v>0</v>
      </c>
      <c r="K1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" spans="1:11" x14ac:dyDescent="0.3">
      <c r="A190">
        <v>75808087</v>
      </c>
      <c r="B190">
        <v>2742939</v>
      </c>
      <c r="C190" s="1">
        <v>45658</v>
      </c>
      <c r="D190">
        <v>74.5</v>
      </c>
      <c r="E190">
        <f>IF(
  ISNA(
    _xlfn.XLOOKUP(
      payments_raw[[#This Row],[subscription_id]],
      subscriptions[subscription_id],
      subscriptions[subscription_id]
    )
  ),
  0,
  1
)</f>
        <v>1</v>
      </c>
      <c r="F190" s="1">
        <f>_xlfn.XLOOKUP(payments_raw[[#This Row],[subscription_id]], subscriptions[subscription_id], subscriptions[start_date])</f>
        <v>44640</v>
      </c>
      <c r="G1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" s="2">
        <f>IF(payments_raw[[#This Row],[payment_date]] &lt; payments_raw[[#This Row],[sub_start_date]], 1, 0)</f>
        <v>0</v>
      </c>
      <c r="I190" s="2">
        <f>IF(AND(payments_raw[[#This Row],[sub_end_date]]&lt;&gt;"", payments_raw[[#This Row],[payment_date]] &gt; payments_raw[[#This Row],[sub_end_date]]), 1, 0)</f>
        <v>0</v>
      </c>
      <c r="J190" s="2">
        <f>IF(payments_raw[[#This Row],[amount]] &lt;= 0, 1, 0)</f>
        <v>0</v>
      </c>
      <c r="K1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" spans="1:11" x14ac:dyDescent="0.3">
      <c r="A191">
        <v>75424216</v>
      </c>
      <c r="B191">
        <v>7433589</v>
      </c>
      <c r="C191" s="1">
        <v>45502</v>
      </c>
      <c r="D191">
        <v>790</v>
      </c>
      <c r="E191">
        <f>IF(
  ISNA(
    _xlfn.XLOOKUP(
      payments_raw[[#This Row],[subscription_id]],
      subscriptions[subscription_id],
      subscriptions[subscription_id]
    )
  ),
  0,
  1
)</f>
        <v>1</v>
      </c>
      <c r="F191" s="1">
        <f>_xlfn.XLOOKUP(payments_raw[[#This Row],[subscription_id]], subscriptions[subscription_id], subscriptions[start_date])</f>
        <v>44725</v>
      </c>
      <c r="G1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" s="2">
        <f>IF(payments_raw[[#This Row],[payment_date]] &lt; payments_raw[[#This Row],[sub_start_date]], 1, 0)</f>
        <v>0</v>
      </c>
      <c r="I191" s="2">
        <f>IF(AND(payments_raw[[#This Row],[sub_end_date]]&lt;&gt;"", payments_raw[[#This Row],[payment_date]] &gt; payments_raw[[#This Row],[sub_end_date]]), 1, 0)</f>
        <v>0</v>
      </c>
      <c r="J191" s="2">
        <f>IF(payments_raw[[#This Row],[amount]] &lt;= 0, 1, 0)</f>
        <v>0</v>
      </c>
      <c r="K1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" spans="1:11" x14ac:dyDescent="0.3">
      <c r="A192">
        <v>73736212</v>
      </c>
      <c r="B192">
        <v>3840731</v>
      </c>
      <c r="C192" s="1">
        <v>45216</v>
      </c>
      <c r="D192">
        <v>299</v>
      </c>
      <c r="E192">
        <f>IF(
  ISNA(
    _xlfn.XLOOKUP(
      payments_raw[[#This Row],[subscription_id]],
      subscriptions[subscription_id],
      subscriptions[subscription_id]
    )
  ),
  0,
  1
)</f>
        <v>1</v>
      </c>
      <c r="F192" s="1">
        <f>_xlfn.XLOOKUP(payments_raw[[#This Row],[subscription_id]], subscriptions[subscription_id], subscriptions[start_date])</f>
        <v>45152</v>
      </c>
      <c r="G1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45314</v>
      </c>
      <c r="H192" s="2">
        <f>IF(payments_raw[[#This Row],[payment_date]] &lt; payments_raw[[#This Row],[sub_start_date]], 1, 0)</f>
        <v>0</v>
      </c>
      <c r="I192" s="2">
        <f>IF(AND(payments_raw[[#This Row],[sub_end_date]]&lt;&gt;"", payments_raw[[#This Row],[payment_date]] &gt; payments_raw[[#This Row],[sub_end_date]]), 1, 0)</f>
        <v>0</v>
      </c>
      <c r="J192" s="2">
        <f>IF(payments_raw[[#This Row],[amount]] &lt;= 0, 1, 0)</f>
        <v>0</v>
      </c>
      <c r="K1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" spans="1:11" x14ac:dyDescent="0.3">
      <c r="A193">
        <v>21135331</v>
      </c>
      <c r="B193">
        <v>7680763</v>
      </c>
      <c r="C193" s="1">
        <v>45396</v>
      </c>
      <c r="D193">
        <v>190</v>
      </c>
      <c r="E193">
        <f>IF(
  ISNA(
    _xlfn.XLOOKUP(
      payments_raw[[#This Row],[subscription_id]],
      subscriptions[subscription_id],
      subscriptions[subscription_id]
    )
  ),
  0,
  1
)</f>
        <v>1</v>
      </c>
      <c r="F193" s="1">
        <f>_xlfn.XLOOKUP(payments_raw[[#This Row],[subscription_id]], subscriptions[subscription_id], subscriptions[start_date])</f>
        <v>45145</v>
      </c>
      <c r="G1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" s="2">
        <f>IF(payments_raw[[#This Row],[payment_date]] &lt; payments_raw[[#This Row],[sub_start_date]], 1, 0)</f>
        <v>0</v>
      </c>
      <c r="I193" s="2">
        <f>IF(AND(payments_raw[[#This Row],[sub_end_date]]&lt;&gt;"", payments_raw[[#This Row],[payment_date]] &gt; payments_raw[[#This Row],[sub_end_date]]), 1, 0)</f>
        <v>0</v>
      </c>
      <c r="J193" s="2">
        <f>IF(payments_raw[[#This Row],[amount]] &lt;= 0, 1, 0)</f>
        <v>0</v>
      </c>
      <c r="K1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" spans="1:11" x14ac:dyDescent="0.3">
      <c r="A194">
        <v>94731492</v>
      </c>
      <c r="B194">
        <v>2333367</v>
      </c>
      <c r="C194" s="1">
        <v>44731</v>
      </c>
      <c r="D194">
        <v>19</v>
      </c>
      <c r="E194">
        <f>IF(
  ISNA(
    _xlfn.XLOOKUP(
      payments_raw[[#This Row],[subscription_id]],
      subscriptions[subscription_id],
      subscriptions[subscription_id]
    )
  ),
  0,
  1
)</f>
        <v>1</v>
      </c>
      <c r="F194" s="1">
        <f>_xlfn.XLOOKUP(payments_raw[[#This Row],[subscription_id]], subscriptions[subscription_id], subscriptions[start_date])</f>
        <v>44719</v>
      </c>
      <c r="G19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44796</v>
      </c>
      <c r="H194" s="2">
        <f>IF(payments_raw[[#This Row],[payment_date]] &lt; payments_raw[[#This Row],[sub_start_date]], 1, 0)</f>
        <v>0</v>
      </c>
      <c r="I194" s="2">
        <f>IF(AND(payments_raw[[#This Row],[sub_end_date]]&lt;&gt;"", payments_raw[[#This Row],[payment_date]] &gt; payments_raw[[#This Row],[sub_end_date]]), 1, 0)</f>
        <v>0</v>
      </c>
      <c r="J194" s="2">
        <f>IF(payments_raw[[#This Row],[amount]] &lt;= 0, 1, 0)</f>
        <v>0</v>
      </c>
      <c r="K1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" spans="1:11" x14ac:dyDescent="0.3">
      <c r="A195">
        <v>55282739</v>
      </c>
      <c r="B195">
        <v>8730320</v>
      </c>
      <c r="C195" s="1">
        <v>45269</v>
      </c>
      <c r="D195">
        <v>299</v>
      </c>
      <c r="E195">
        <f>IF(
  ISNA(
    _xlfn.XLOOKUP(
      payments_raw[[#This Row],[subscription_id]],
      subscriptions[subscription_id],
      subscriptions[subscription_id]
    )
  ),
  0,
  1
)</f>
        <v>1</v>
      </c>
      <c r="F195" s="1">
        <f>_xlfn.XLOOKUP(payments_raw[[#This Row],[subscription_id]], subscriptions[subscription_id], subscriptions[start_date])</f>
        <v>45239</v>
      </c>
      <c r="G1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45323</v>
      </c>
      <c r="H195" s="2">
        <f>IF(payments_raw[[#This Row],[payment_date]] &lt; payments_raw[[#This Row],[sub_start_date]], 1, 0)</f>
        <v>0</v>
      </c>
      <c r="I195" s="2">
        <f>IF(AND(payments_raw[[#This Row],[sub_end_date]]&lt;&gt;"", payments_raw[[#This Row],[payment_date]] &gt; payments_raw[[#This Row],[sub_end_date]]), 1, 0)</f>
        <v>0</v>
      </c>
      <c r="J195" s="2">
        <f>IF(payments_raw[[#This Row],[amount]] &lt;= 0, 1, 0)</f>
        <v>0</v>
      </c>
      <c r="K1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" spans="1:11" x14ac:dyDescent="0.3">
      <c r="A196">
        <v>72985628</v>
      </c>
      <c r="B196">
        <v>5346875</v>
      </c>
      <c r="C196" s="1">
        <v>44833</v>
      </c>
      <c r="D196">
        <v>790</v>
      </c>
      <c r="E196">
        <f>IF(
  ISNA(
    _xlfn.XLOOKUP(
      payments_raw[[#This Row],[subscription_id]],
      subscriptions[subscription_id],
      subscriptions[subscription_id]
    )
  ),
  0,
  1
)</f>
        <v>1</v>
      </c>
      <c r="F196" s="1">
        <f>_xlfn.XLOOKUP(payments_raw[[#This Row],[subscription_id]], subscriptions[subscription_id], subscriptions[start_date])</f>
        <v>44798</v>
      </c>
      <c r="G1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" s="2">
        <f>IF(payments_raw[[#This Row],[payment_date]] &lt; payments_raw[[#This Row],[sub_start_date]], 1, 0)</f>
        <v>0</v>
      </c>
      <c r="I196" s="2">
        <f>IF(AND(payments_raw[[#This Row],[sub_end_date]]&lt;&gt;"", payments_raw[[#This Row],[payment_date]] &gt; payments_raw[[#This Row],[sub_end_date]]), 1, 0)</f>
        <v>0</v>
      </c>
      <c r="J196" s="2">
        <f>IF(payments_raw[[#This Row],[amount]] &lt;= 0, 1, 0)</f>
        <v>0</v>
      </c>
      <c r="K1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" spans="1:11" x14ac:dyDescent="0.3">
      <c r="A197">
        <v>84172174</v>
      </c>
      <c r="B197">
        <v>8275548</v>
      </c>
      <c r="C197" s="1">
        <v>45570</v>
      </c>
      <c r="D197">
        <v>790</v>
      </c>
      <c r="E197">
        <f>IF(
  ISNA(
    _xlfn.XLOOKUP(
      payments_raw[[#This Row],[subscription_id]],
      subscriptions[subscription_id],
      subscriptions[subscription_id]
    )
  ),
  0,
  1
)</f>
        <v>1</v>
      </c>
      <c r="F197" s="1">
        <f>_xlfn.XLOOKUP(payments_raw[[#This Row],[subscription_id]], subscriptions[subscription_id], subscriptions[start_date])</f>
        <v>45173</v>
      </c>
      <c r="G1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" s="2">
        <f>IF(payments_raw[[#This Row],[payment_date]] &lt; payments_raw[[#This Row],[sub_start_date]], 1, 0)</f>
        <v>0</v>
      </c>
      <c r="I197" s="2">
        <f>IF(AND(payments_raw[[#This Row],[sub_end_date]]&lt;&gt;"", payments_raw[[#This Row],[payment_date]] &gt; payments_raw[[#This Row],[sub_end_date]]), 1, 0)</f>
        <v>0</v>
      </c>
      <c r="J197" s="2">
        <f>IF(payments_raw[[#This Row],[amount]] &lt;= 0, 1, 0)</f>
        <v>0</v>
      </c>
      <c r="K1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" spans="1:11" x14ac:dyDescent="0.3">
      <c r="A198">
        <v>70558903</v>
      </c>
      <c r="B198">
        <v>5880999</v>
      </c>
      <c r="C198" s="1">
        <v>45331</v>
      </c>
      <c r="D198">
        <v>299</v>
      </c>
      <c r="E198">
        <f>IF(
  ISNA(
    _xlfn.XLOOKUP(
      payments_raw[[#This Row],[subscription_id]],
      subscriptions[subscription_id],
      subscriptions[subscription_id]
    )
  ),
  0,
  1
)</f>
        <v>1</v>
      </c>
      <c r="F198" s="1">
        <f>_xlfn.XLOOKUP(payments_raw[[#This Row],[subscription_id]], subscriptions[subscription_id], subscriptions[start_date])</f>
        <v>45110</v>
      </c>
      <c r="G1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" s="2">
        <f>IF(payments_raw[[#This Row],[payment_date]] &lt; payments_raw[[#This Row],[sub_start_date]], 1, 0)</f>
        <v>0</v>
      </c>
      <c r="I198" s="2">
        <f>IF(AND(payments_raw[[#This Row],[sub_end_date]]&lt;&gt;"", payments_raw[[#This Row],[payment_date]] &gt; payments_raw[[#This Row],[sub_end_date]]), 1, 0)</f>
        <v>0</v>
      </c>
      <c r="J198" s="2">
        <f>IF(payments_raw[[#This Row],[amount]] &lt;= 0, 1, 0)</f>
        <v>0</v>
      </c>
      <c r="K1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" spans="1:11" x14ac:dyDescent="0.3">
      <c r="A199">
        <v>22744478</v>
      </c>
      <c r="B199">
        <v>3806907</v>
      </c>
      <c r="C199" s="1">
        <v>44863</v>
      </c>
      <c r="D199">
        <v>190</v>
      </c>
      <c r="E199">
        <f>IF(
  ISNA(
    _xlfn.XLOOKUP(
      payments_raw[[#This Row],[subscription_id]],
      subscriptions[subscription_id],
      subscriptions[subscription_id]
    )
  ),
  0,
  1
)</f>
        <v>1</v>
      </c>
      <c r="F199" s="1">
        <f>_xlfn.XLOOKUP(payments_raw[[#This Row],[subscription_id]], subscriptions[subscription_id], subscriptions[start_date])</f>
        <v>44862</v>
      </c>
      <c r="G19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44943</v>
      </c>
      <c r="H199" s="2">
        <f>IF(payments_raw[[#This Row],[payment_date]] &lt; payments_raw[[#This Row],[sub_start_date]], 1, 0)</f>
        <v>0</v>
      </c>
      <c r="I199" s="2">
        <f>IF(AND(payments_raw[[#This Row],[sub_end_date]]&lt;&gt;"", payments_raw[[#This Row],[payment_date]] &gt; payments_raw[[#This Row],[sub_end_date]]), 1, 0)</f>
        <v>0</v>
      </c>
      <c r="J199" s="2">
        <f>IF(payments_raw[[#This Row],[amount]] &lt;= 0, 1, 0)</f>
        <v>0</v>
      </c>
      <c r="K1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" spans="1:11" x14ac:dyDescent="0.3">
      <c r="A200">
        <v>89648700</v>
      </c>
      <c r="B200">
        <v>2643275</v>
      </c>
      <c r="C200" s="1">
        <v>45341</v>
      </c>
      <c r="D200">
        <v>149</v>
      </c>
      <c r="E200">
        <f>IF(
  ISNA(
    _xlfn.XLOOKUP(
      payments_raw[[#This Row],[subscription_id]],
      subscriptions[subscription_id],
      subscriptions[subscription_id]
    )
  ),
  0,
  1
)</f>
        <v>1</v>
      </c>
      <c r="F200" s="1">
        <f>_xlfn.XLOOKUP(payments_raw[[#This Row],[subscription_id]], subscriptions[subscription_id], subscriptions[start_date])</f>
        <v>45334</v>
      </c>
      <c r="G2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200" s="2">
        <f>IF(payments_raw[[#This Row],[payment_date]] &lt; payments_raw[[#This Row],[sub_start_date]], 1, 0)</f>
        <v>0</v>
      </c>
      <c r="I200" s="2">
        <f>IF(AND(payments_raw[[#This Row],[sub_end_date]]&lt;&gt;"", payments_raw[[#This Row],[payment_date]] &gt; payments_raw[[#This Row],[sub_end_date]]), 1, 0)</f>
        <v>0</v>
      </c>
      <c r="J200" s="2">
        <f>IF(payments_raw[[#This Row],[amount]] &lt;= 0, 1, 0)</f>
        <v>0</v>
      </c>
      <c r="K2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" spans="1:11" x14ac:dyDescent="0.3">
      <c r="A201">
        <v>69650381</v>
      </c>
      <c r="B201">
        <v>8668568</v>
      </c>
      <c r="C201" s="1">
        <v>44878</v>
      </c>
      <c r="D201">
        <v>790</v>
      </c>
      <c r="E201">
        <f>IF(
  ISNA(
    _xlfn.XLOOKUP(
      payments_raw[[#This Row],[subscription_id]],
      subscriptions[subscription_id],
      subscriptions[subscription_id]
    )
  ),
  0,
  1
)</f>
        <v>1</v>
      </c>
      <c r="F201" s="1">
        <f>_xlfn.XLOOKUP(payments_raw[[#This Row],[subscription_id]], subscriptions[subscription_id], subscriptions[start_date])</f>
        <v>44808</v>
      </c>
      <c r="G2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" s="2">
        <f>IF(payments_raw[[#This Row],[payment_date]] &lt; payments_raw[[#This Row],[sub_start_date]], 1, 0)</f>
        <v>0</v>
      </c>
      <c r="I201" s="2">
        <f>IF(AND(payments_raw[[#This Row],[sub_end_date]]&lt;&gt;"", payments_raw[[#This Row],[payment_date]] &gt; payments_raw[[#This Row],[sub_end_date]]), 1, 0)</f>
        <v>0</v>
      </c>
      <c r="J201" s="2">
        <f>IF(payments_raw[[#This Row],[amount]] &lt;= 0, 1, 0)</f>
        <v>0</v>
      </c>
      <c r="K2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" spans="1:11" x14ac:dyDescent="0.3">
      <c r="A202">
        <v>72166964</v>
      </c>
      <c r="B202">
        <v>8944805</v>
      </c>
      <c r="C202" s="1">
        <v>45318</v>
      </c>
      <c r="D202">
        <v>2990</v>
      </c>
      <c r="E202">
        <f>IF(
  ISNA(
    _xlfn.XLOOKUP(
      payments_raw[[#This Row],[subscription_id]],
      subscriptions[subscription_id],
      subscriptions[subscription_id]
    )
  ),
  0,
  1
)</f>
        <v>1</v>
      </c>
      <c r="F202" s="1">
        <f>_xlfn.XLOOKUP(payments_raw[[#This Row],[subscription_id]], subscriptions[subscription_id], subscriptions[start_date])</f>
        <v>45248</v>
      </c>
      <c r="G2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45464</v>
      </c>
      <c r="H202" s="2">
        <f>IF(payments_raw[[#This Row],[payment_date]] &lt; payments_raw[[#This Row],[sub_start_date]], 1, 0)</f>
        <v>0</v>
      </c>
      <c r="I202" s="2">
        <f>IF(AND(payments_raw[[#This Row],[sub_end_date]]&lt;&gt;"", payments_raw[[#This Row],[payment_date]] &gt; payments_raw[[#This Row],[sub_end_date]]), 1, 0)</f>
        <v>0</v>
      </c>
      <c r="J202" s="2">
        <f>IF(payments_raw[[#This Row],[amount]] &lt;= 0, 1, 0)</f>
        <v>0</v>
      </c>
      <c r="K2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" spans="1:11" x14ac:dyDescent="0.3">
      <c r="A203">
        <v>62100383</v>
      </c>
      <c r="B203">
        <v>5142216</v>
      </c>
      <c r="C203" s="1">
        <v>45645</v>
      </c>
      <c r="D203">
        <v>390</v>
      </c>
      <c r="E203">
        <f>IF(
  ISNA(
    _xlfn.XLOOKUP(
      payments_raw[[#This Row],[subscription_id]],
      subscriptions[subscription_id],
      subscriptions[subscription_id]
    )
  ),
  0,
  1
)</f>
        <v>1</v>
      </c>
      <c r="F203" s="1">
        <f>_xlfn.XLOOKUP(payments_raw[[#This Row],[subscription_id]], subscriptions[subscription_id], subscriptions[start_date])</f>
        <v>44825</v>
      </c>
      <c r="G2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" s="2">
        <f>IF(payments_raw[[#This Row],[payment_date]] &lt; payments_raw[[#This Row],[sub_start_date]], 1, 0)</f>
        <v>0</v>
      </c>
      <c r="I203" s="2">
        <f>IF(AND(payments_raw[[#This Row],[sub_end_date]]&lt;&gt;"", payments_raw[[#This Row],[payment_date]] &gt; payments_raw[[#This Row],[sub_end_date]]), 1, 0)</f>
        <v>0</v>
      </c>
      <c r="J203" s="2">
        <f>IF(payments_raw[[#This Row],[amount]] &lt;= 0, 1, 0)</f>
        <v>0</v>
      </c>
      <c r="K2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" spans="1:11" x14ac:dyDescent="0.3">
      <c r="A204">
        <v>97738439</v>
      </c>
      <c r="B204">
        <v>1876771</v>
      </c>
      <c r="C204" s="1">
        <v>45556</v>
      </c>
      <c r="D204">
        <v>134.1</v>
      </c>
      <c r="E204">
        <f>IF(
  ISNA(
    _xlfn.XLOOKUP(
      payments_raw[[#This Row],[subscription_id]],
      subscriptions[subscription_id],
      subscriptions[subscription_id]
    )
  ),
  0,
  1
)</f>
        <v>1</v>
      </c>
      <c r="F204" s="1">
        <f>_xlfn.XLOOKUP(payments_raw[[#This Row],[subscription_id]], subscriptions[subscription_id], subscriptions[start_date])</f>
        <v>45186</v>
      </c>
      <c r="G2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4" s="2">
        <f>IF(payments_raw[[#This Row],[payment_date]] &lt; payments_raw[[#This Row],[sub_start_date]], 1, 0)</f>
        <v>0</v>
      </c>
      <c r="I204" s="2">
        <f>IF(AND(payments_raw[[#This Row],[sub_end_date]]&lt;&gt;"", payments_raw[[#This Row],[payment_date]] &gt; payments_raw[[#This Row],[sub_end_date]]), 1, 0)</f>
        <v>0</v>
      </c>
      <c r="J204" s="2">
        <f>IF(payments_raw[[#This Row],[amount]] &lt;= 0, 1, 0)</f>
        <v>0</v>
      </c>
      <c r="K2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" spans="1:11" x14ac:dyDescent="0.3">
      <c r="A205">
        <v>25793207</v>
      </c>
      <c r="B205">
        <v>4026182</v>
      </c>
      <c r="C205" s="1">
        <v>45621</v>
      </c>
      <c r="D205">
        <v>1490</v>
      </c>
      <c r="E205">
        <f>IF(
  ISNA(
    _xlfn.XLOOKUP(
      payments_raw[[#This Row],[subscription_id]],
      subscriptions[subscription_id],
      subscriptions[subscription_id]
    )
  ),
  0,
  1
)</f>
        <v>1</v>
      </c>
      <c r="F205" s="1">
        <f>_xlfn.XLOOKUP(payments_raw[[#This Row],[subscription_id]], subscriptions[subscription_id], subscriptions[start_date])</f>
        <v>45092</v>
      </c>
      <c r="G2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" s="2">
        <f>IF(payments_raw[[#This Row],[payment_date]] &lt; payments_raw[[#This Row],[sub_start_date]], 1, 0)</f>
        <v>0</v>
      </c>
      <c r="I205" s="2">
        <f>IF(AND(payments_raw[[#This Row],[sub_end_date]]&lt;&gt;"", payments_raw[[#This Row],[payment_date]] &gt; payments_raw[[#This Row],[sub_end_date]]), 1, 0)</f>
        <v>0</v>
      </c>
      <c r="J205" s="2">
        <f>IF(payments_raw[[#This Row],[amount]] &lt;= 0, 1, 0)</f>
        <v>0</v>
      </c>
      <c r="K2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" spans="1:11" x14ac:dyDescent="0.3">
      <c r="A206">
        <v>70629628</v>
      </c>
      <c r="B206">
        <v>4310140</v>
      </c>
      <c r="C206" s="1">
        <v>45613</v>
      </c>
      <c r="D206">
        <v>19</v>
      </c>
      <c r="E206">
        <f>IF(
  ISNA(
    _xlfn.XLOOKUP(
      payments_raw[[#This Row],[subscription_id]],
      subscriptions[subscription_id],
      subscriptions[subscription_id]
    )
  ),
  0,
  1
)</f>
        <v>1</v>
      </c>
      <c r="F206" s="1">
        <f>_xlfn.XLOOKUP(payments_raw[[#This Row],[subscription_id]], subscriptions[subscription_id], subscriptions[start_date])</f>
        <v>45576</v>
      </c>
      <c r="G2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06" s="2">
        <f>IF(payments_raw[[#This Row],[payment_date]] &lt; payments_raw[[#This Row],[sub_start_date]], 1, 0)</f>
        <v>0</v>
      </c>
      <c r="I206" s="2">
        <f>IF(AND(payments_raw[[#This Row],[sub_end_date]]&lt;&gt;"", payments_raw[[#This Row],[payment_date]] &gt; payments_raw[[#This Row],[sub_end_date]]), 1, 0)</f>
        <v>0</v>
      </c>
      <c r="J206" s="2">
        <f>IF(payments_raw[[#This Row],[amount]] &lt;= 0, 1, 0)</f>
        <v>0</v>
      </c>
      <c r="K2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" spans="1:11" x14ac:dyDescent="0.3">
      <c r="A207">
        <v>15344079</v>
      </c>
      <c r="B207">
        <v>8545615</v>
      </c>
      <c r="C207" s="1">
        <v>45528</v>
      </c>
      <c r="D207">
        <v>149</v>
      </c>
      <c r="E207">
        <f>IF(
  ISNA(
    _xlfn.XLOOKUP(
      payments_raw[[#This Row],[subscription_id]],
      subscriptions[subscription_id],
      subscriptions[subscription_id]
    )
  ),
  0,
  1
)</f>
        <v>1</v>
      </c>
      <c r="F207" s="1">
        <f>_xlfn.XLOOKUP(payments_raw[[#This Row],[subscription_id]], subscriptions[subscription_id], subscriptions[start_date])</f>
        <v>45454</v>
      </c>
      <c r="G2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" s="2">
        <f>IF(payments_raw[[#This Row],[payment_date]] &lt; payments_raw[[#This Row],[sub_start_date]], 1, 0)</f>
        <v>0</v>
      </c>
      <c r="I207" s="2">
        <f>IF(AND(payments_raw[[#This Row],[sub_end_date]]&lt;&gt;"", payments_raw[[#This Row],[payment_date]] &gt; payments_raw[[#This Row],[sub_end_date]]), 1, 0)</f>
        <v>0</v>
      </c>
      <c r="J207" s="2">
        <f>IF(payments_raw[[#This Row],[amount]] &lt;= 0, 1, 0)</f>
        <v>0</v>
      </c>
      <c r="K2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" spans="1:11" x14ac:dyDescent="0.3">
      <c r="A208">
        <v>67274946</v>
      </c>
      <c r="B208">
        <v>1940329</v>
      </c>
      <c r="C208" s="1">
        <v>45477</v>
      </c>
      <c r="D208">
        <v>149</v>
      </c>
      <c r="E208">
        <f>IF(
  ISNA(
    _xlfn.XLOOKUP(
      payments_raw[[#This Row],[subscription_id]],
      subscriptions[subscription_id],
      subscriptions[subscription_id]
    )
  ),
  0,
  1
)</f>
        <v>1</v>
      </c>
      <c r="F208" s="1">
        <f>_xlfn.XLOOKUP(payments_raw[[#This Row],[subscription_id]], subscriptions[subscription_id], subscriptions[start_date])</f>
        <v>45470</v>
      </c>
      <c r="G2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08" s="2">
        <f>IF(payments_raw[[#This Row],[payment_date]] &lt; payments_raw[[#This Row],[sub_start_date]], 1, 0)</f>
        <v>0</v>
      </c>
      <c r="I208" s="2">
        <f>IF(AND(payments_raw[[#This Row],[sub_end_date]]&lt;&gt;"", payments_raw[[#This Row],[payment_date]] &gt; payments_raw[[#This Row],[sub_end_date]]), 1, 0)</f>
        <v>0</v>
      </c>
      <c r="J208" s="2">
        <f>IF(payments_raw[[#This Row],[amount]] &lt;= 0, 1, 0)</f>
        <v>0</v>
      </c>
      <c r="K2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" spans="1:11" x14ac:dyDescent="0.3">
      <c r="A209">
        <v>20310693</v>
      </c>
      <c r="B209">
        <v>3948283</v>
      </c>
      <c r="C209" s="1">
        <v>45290</v>
      </c>
      <c r="D209">
        <v>299</v>
      </c>
      <c r="E209">
        <f>IF(
  ISNA(
    _xlfn.XLOOKUP(
      payments_raw[[#This Row],[subscription_id]],
      subscriptions[subscription_id],
      subscriptions[subscription_id]
    )
  ),
  0,
  1
)</f>
        <v>1</v>
      </c>
      <c r="F209" s="1">
        <f>_xlfn.XLOOKUP(payments_raw[[#This Row],[subscription_id]], subscriptions[subscription_id], subscriptions[start_date])</f>
        <v>45189</v>
      </c>
      <c r="G2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" s="2">
        <f>IF(payments_raw[[#This Row],[payment_date]] &lt; payments_raw[[#This Row],[sub_start_date]], 1, 0)</f>
        <v>0</v>
      </c>
      <c r="I209" s="2">
        <f>IF(AND(payments_raw[[#This Row],[sub_end_date]]&lt;&gt;"", payments_raw[[#This Row],[payment_date]] &gt; payments_raw[[#This Row],[sub_end_date]]), 1, 0)</f>
        <v>0</v>
      </c>
      <c r="J209" s="2">
        <f>IF(payments_raw[[#This Row],[amount]] &lt;= 0, 1, 0)</f>
        <v>0</v>
      </c>
      <c r="K2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" spans="1:11" x14ac:dyDescent="0.3">
      <c r="A210">
        <v>43425940</v>
      </c>
      <c r="B210">
        <v>2764796</v>
      </c>
      <c r="C210" s="1">
        <v>45136</v>
      </c>
      <c r="D210">
        <v>190</v>
      </c>
      <c r="E210">
        <f>IF(
  ISNA(
    _xlfn.XLOOKUP(
      payments_raw[[#This Row],[subscription_id]],
      subscriptions[subscription_id],
      subscriptions[subscription_id]
    )
  ),
  0,
  1
)</f>
        <v>1</v>
      </c>
      <c r="F210" s="1">
        <f>_xlfn.XLOOKUP(payments_raw[[#This Row],[subscription_id]], subscriptions[subscription_id], subscriptions[start_date])</f>
        <v>45135</v>
      </c>
      <c r="G2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45306</v>
      </c>
      <c r="H210" s="2">
        <f>IF(payments_raw[[#This Row],[payment_date]] &lt; payments_raw[[#This Row],[sub_start_date]], 1, 0)</f>
        <v>0</v>
      </c>
      <c r="I210" s="2">
        <f>IF(AND(payments_raw[[#This Row],[sub_end_date]]&lt;&gt;"", payments_raw[[#This Row],[payment_date]] &gt; payments_raw[[#This Row],[sub_end_date]]), 1, 0)</f>
        <v>0</v>
      </c>
      <c r="J210" s="2">
        <f>IF(payments_raw[[#This Row],[amount]] &lt;= 0, 1, 0)</f>
        <v>0</v>
      </c>
      <c r="K2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" spans="1:11" x14ac:dyDescent="0.3">
      <c r="A211">
        <v>97761151</v>
      </c>
      <c r="B211">
        <v>2657259</v>
      </c>
      <c r="C211" s="1">
        <v>44793</v>
      </c>
      <c r="D211">
        <v>79</v>
      </c>
      <c r="E211">
        <f>IF(
  ISNA(
    _xlfn.XLOOKUP(
      payments_raw[[#This Row],[subscription_id]],
      subscriptions[subscription_id],
      subscriptions[subscription_id]
    )
  ),
  0,
  1
)</f>
        <v>1</v>
      </c>
      <c r="F211" s="1">
        <f>_xlfn.XLOOKUP(payments_raw[[#This Row],[subscription_id]], subscriptions[subscription_id], subscriptions[start_date])</f>
        <v>44748</v>
      </c>
      <c r="G21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44942</v>
      </c>
      <c r="H211" s="2">
        <f>IF(payments_raw[[#This Row],[payment_date]] &lt; payments_raw[[#This Row],[sub_start_date]], 1, 0)</f>
        <v>0</v>
      </c>
      <c r="I211" s="2">
        <f>IF(AND(payments_raw[[#This Row],[sub_end_date]]&lt;&gt;"", payments_raw[[#This Row],[payment_date]] &gt; payments_raw[[#This Row],[sub_end_date]]), 1, 0)</f>
        <v>0</v>
      </c>
      <c r="J211" s="2">
        <f>IF(payments_raw[[#This Row],[amount]] &lt;= 0, 1, 0)</f>
        <v>0</v>
      </c>
      <c r="K2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" spans="1:11" x14ac:dyDescent="0.3">
      <c r="A212">
        <v>15888759</v>
      </c>
      <c r="B212">
        <v>3356313</v>
      </c>
      <c r="C212" s="1">
        <v>44969</v>
      </c>
      <c r="D212">
        <v>1490</v>
      </c>
      <c r="E212">
        <f>IF(
  ISNA(
    _xlfn.XLOOKUP(
      payments_raw[[#This Row],[subscription_id]],
      subscriptions[subscription_id],
      subscriptions[subscription_id]
    )
  ),
  0,
  1
)</f>
        <v>1</v>
      </c>
      <c r="F212" s="1">
        <f>_xlfn.XLOOKUP(payments_raw[[#This Row],[subscription_id]], subscriptions[subscription_id], subscriptions[start_date])</f>
        <v>44815</v>
      </c>
      <c r="G2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45094</v>
      </c>
      <c r="H212" s="2">
        <f>IF(payments_raw[[#This Row],[payment_date]] &lt; payments_raw[[#This Row],[sub_start_date]], 1, 0)</f>
        <v>0</v>
      </c>
      <c r="I212" s="2">
        <f>IF(AND(payments_raw[[#This Row],[sub_end_date]]&lt;&gt;"", payments_raw[[#This Row],[payment_date]] &gt; payments_raw[[#This Row],[sub_end_date]]), 1, 0)</f>
        <v>0</v>
      </c>
      <c r="J212" s="2">
        <f>IF(payments_raw[[#This Row],[amount]] &lt;= 0, 1, 0)</f>
        <v>0</v>
      </c>
      <c r="K2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" spans="1:11" x14ac:dyDescent="0.3">
      <c r="A213">
        <v>55643477</v>
      </c>
      <c r="B213">
        <v>2311035</v>
      </c>
      <c r="C213" s="1">
        <v>44996</v>
      </c>
      <c r="D213">
        <v>149</v>
      </c>
      <c r="E213">
        <f>IF(
  ISNA(
    _xlfn.XLOOKUP(
      payments_raw[[#This Row],[subscription_id]],
      subscriptions[subscription_id],
      subscriptions[subscription_id]
    )
  ),
  0,
  1
)</f>
        <v>1</v>
      </c>
      <c r="F213" s="1">
        <f>_xlfn.XLOOKUP(payments_raw[[#This Row],[subscription_id]], subscriptions[subscription_id], subscriptions[start_date])</f>
        <v>44822</v>
      </c>
      <c r="G2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213" s="2">
        <f>IF(payments_raw[[#This Row],[payment_date]] &lt; payments_raw[[#This Row],[sub_start_date]], 1, 0)</f>
        <v>0</v>
      </c>
      <c r="I213" s="2">
        <f>IF(AND(payments_raw[[#This Row],[sub_end_date]]&lt;&gt;"", payments_raw[[#This Row],[payment_date]] &gt; payments_raw[[#This Row],[sub_end_date]]), 1, 0)</f>
        <v>0</v>
      </c>
      <c r="J213" s="2">
        <f>IF(payments_raw[[#This Row],[amount]] &lt;= 0, 1, 0)</f>
        <v>0</v>
      </c>
      <c r="K2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" spans="1:11" x14ac:dyDescent="0.3">
      <c r="A214">
        <v>76216456</v>
      </c>
      <c r="B214">
        <v>2696557</v>
      </c>
      <c r="C214" s="1">
        <v>45461</v>
      </c>
      <c r="D214">
        <v>790</v>
      </c>
      <c r="E214">
        <f>IF(
  ISNA(
    _xlfn.XLOOKUP(
      payments_raw[[#This Row],[subscription_id]],
      subscriptions[subscription_id],
      subscriptions[subscription_id]
    )
  ),
  0,
  1
)</f>
        <v>1</v>
      </c>
      <c r="F214" s="1">
        <f>_xlfn.XLOOKUP(payments_raw[[#This Row],[subscription_id]], subscriptions[subscription_id], subscriptions[start_date])</f>
        <v>45344</v>
      </c>
      <c r="G2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" s="2">
        <f>IF(payments_raw[[#This Row],[payment_date]] &lt; payments_raw[[#This Row],[sub_start_date]], 1, 0)</f>
        <v>0</v>
      </c>
      <c r="I214" s="2">
        <f>IF(AND(payments_raw[[#This Row],[sub_end_date]]&lt;&gt;"", payments_raw[[#This Row],[payment_date]] &gt; payments_raw[[#This Row],[sub_end_date]]), 1, 0)</f>
        <v>0</v>
      </c>
      <c r="J214" s="2">
        <f>IF(payments_raw[[#This Row],[amount]] &lt;= 0, 1, 0)</f>
        <v>0</v>
      </c>
      <c r="K2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" spans="1:11" x14ac:dyDescent="0.3">
      <c r="A215">
        <v>25581274</v>
      </c>
      <c r="B215">
        <v>8364357</v>
      </c>
      <c r="C215" s="1">
        <v>45435</v>
      </c>
      <c r="D215">
        <v>39</v>
      </c>
      <c r="E215">
        <f>IF(
  ISNA(
    _xlfn.XLOOKUP(
      payments_raw[[#This Row],[subscription_id]],
      subscriptions[subscription_id],
      subscriptions[subscription_id]
    )
  ),
  0,
  1
)</f>
        <v>1</v>
      </c>
      <c r="F215" s="1">
        <f>_xlfn.XLOOKUP(payments_raw[[#This Row],[subscription_id]], subscriptions[subscription_id], subscriptions[start_date])</f>
        <v>45410</v>
      </c>
      <c r="G2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5" s="2">
        <f>IF(payments_raw[[#This Row],[payment_date]] &lt; payments_raw[[#This Row],[sub_start_date]], 1, 0)</f>
        <v>0</v>
      </c>
      <c r="I215" s="2">
        <f>IF(AND(payments_raw[[#This Row],[sub_end_date]]&lt;&gt;"", payments_raw[[#This Row],[payment_date]] &gt; payments_raw[[#This Row],[sub_end_date]]), 1, 0)</f>
        <v>0</v>
      </c>
      <c r="J215" s="2">
        <f>IF(payments_raw[[#This Row],[amount]] &lt;= 0, 1, 0)</f>
        <v>0</v>
      </c>
      <c r="K2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" spans="1:11" x14ac:dyDescent="0.3">
      <c r="A216">
        <v>27716606</v>
      </c>
      <c r="B216">
        <v>5193310</v>
      </c>
      <c r="C216" s="1">
        <v>45521</v>
      </c>
      <c r="D216">
        <v>790</v>
      </c>
      <c r="E216">
        <f>IF(
  ISNA(
    _xlfn.XLOOKUP(
      payments_raw[[#This Row],[subscription_id]],
      subscriptions[subscription_id],
      subscriptions[subscription_id]
    )
  ),
  0,
  1
)</f>
        <v>1</v>
      </c>
      <c r="F216" s="1">
        <f>_xlfn.XLOOKUP(payments_raw[[#This Row],[subscription_id]], subscriptions[subscription_id], subscriptions[start_date])</f>
        <v>44902</v>
      </c>
      <c r="G2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" s="2">
        <f>IF(payments_raw[[#This Row],[payment_date]] &lt; payments_raw[[#This Row],[sub_start_date]], 1, 0)</f>
        <v>0</v>
      </c>
      <c r="I216" s="2">
        <f>IF(AND(payments_raw[[#This Row],[sub_end_date]]&lt;&gt;"", payments_raw[[#This Row],[payment_date]] &gt; payments_raw[[#This Row],[sub_end_date]]), 1, 0)</f>
        <v>0</v>
      </c>
      <c r="J216" s="2">
        <f>IF(payments_raw[[#This Row],[amount]] &lt;= 0, 1, 0)</f>
        <v>0</v>
      </c>
      <c r="K2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" spans="1:11" x14ac:dyDescent="0.3">
      <c r="A217">
        <v>68800423</v>
      </c>
      <c r="B217">
        <v>7805792</v>
      </c>
      <c r="C217" s="1">
        <v>45614</v>
      </c>
      <c r="D217">
        <v>79</v>
      </c>
      <c r="E217">
        <f>IF(
  ISNA(
    _xlfn.XLOOKUP(
      payments_raw[[#This Row],[subscription_id]],
      subscriptions[subscription_id],
      subscriptions[subscription_id]
    )
  ),
  0,
  1
)</f>
        <v>1</v>
      </c>
      <c r="F217" s="1">
        <f>_xlfn.XLOOKUP(payments_raw[[#This Row],[subscription_id]], subscriptions[subscription_id], subscriptions[start_date])</f>
        <v>45487</v>
      </c>
      <c r="G2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17" s="2">
        <f>IF(payments_raw[[#This Row],[payment_date]] &lt; payments_raw[[#This Row],[sub_start_date]], 1, 0)</f>
        <v>0</v>
      </c>
      <c r="I217" s="2">
        <f>IF(AND(payments_raw[[#This Row],[sub_end_date]]&lt;&gt;"", payments_raw[[#This Row],[payment_date]] &gt; payments_raw[[#This Row],[sub_end_date]]), 1, 0)</f>
        <v>0</v>
      </c>
      <c r="J217" s="2">
        <f>IF(payments_raw[[#This Row],[amount]] &lt;= 0, 1, 0)</f>
        <v>0</v>
      </c>
      <c r="K2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" spans="1:11" x14ac:dyDescent="0.3">
      <c r="A218">
        <v>67710061</v>
      </c>
      <c r="B218">
        <v>1892572</v>
      </c>
      <c r="C218" s="1">
        <v>45509</v>
      </c>
      <c r="D218">
        <v>1490</v>
      </c>
      <c r="E218">
        <f>IF(
  ISNA(
    _xlfn.XLOOKUP(
      payments_raw[[#This Row],[subscription_id]],
      subscriptions[subscription_id],
      subscriptions[subscription_id]
    )
  ),
  0,
  1
)</f>
        <v>1</v>
      </c>
      <c r="F218" s="1">
        <f>_xlfn.XLOOKUP(payments_raw[[#This Row],[subscription_id]], subscriptions[subscription_id], subscriptions[start_date])</f>
        <v>45504</v>
      </c>
      <c r="G2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218" s="2">
        <f>IF(payments_raw[[#This Row],[payment_date]] &lt; payments_raw[[#This Row],[sub_start_date]], 1, 0)</f>
        <v>0</v>
      </c>
      <c r="I218" s="2">
        <f>IF(AND(payments_raw[[#This Row],[sub_end_date]]&lt;&gt;"", payments_raw[[#This Row],[payment_date]] &gt; payments_raw[[#This Row],[sub_end_date]]), 1, 0)</f>
        <v>0</v>
      </c>
      <c r="J218" s="2">
        <f>IF(payments_raw[[#This Row],[amount]] &lt;= 0, 1, 0)</f>
        <v>0</v>
      </c>
      <c r="K2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" spans="1:11" x14ac:dyDescent="0.3">
      <c r="A219">
        <v>59430818</v>
      </c>
      <c r="B219">
        <v>4566389</v>
      </c>
      <c r="C219" s="1">
        <v>45592</v>
      </c>
      <c r="D219">
        <v>1490</v>
      </c>
      <c r="E219">
        <f>IF(
  ISNA(
    _xlfn.XLOOKUP(
      payments_raw[[#This Row],[subscription_id]],
      subscriptions[subscription_id],
      subscriptions[subscription_id]
    )
  ),
  0,
  1
)</f>
        <v>1</v>
      </c>
      <c r="F219" s="1">
        <f>_xlfn.XLOOKUP(payments_raw[[#This Row],[subscription_id]], subscriptions[subscription_id], subscriptions[start_date])</f>
        <v>44942</v>
      </c>
      <c r="G2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" s="2">
        <f>IF(payments_raw[[#This Row],[payment_date]] &lt; payments_raw[[#This Row],[sub_start_date]], 1, 0)</f>
        <v>0</v>
      </c>
      <c r="I219" s="2">
        <f>IF(AND(payments_raw[[#This Row],[sub_end_date]]&lt;&gt;"", payments_raw[[#This Row],[payment_date]] &gt; payments_raw[[#This Row],[sub_end_date]]), 1, 0)</f>
        <v>0</v>
      </c>
      <c r="J219" s="2">
        <f>IF(payments_raw[[#This Row],[amount]] &lt;= 0, 1, 0)</f>
        <v>0</v>
      </c>
      <c r="K2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" spans="1:11" x14ac:dyDescent="0.3">
      <c r="A220">
        <v>66186841</v>
      </c>
      <c r="B220">
        <v>8962478</v>
      </c>
      <c r="C220" s="1">
        <v>45559</v>
      </c>
      <c r="D220">
        <v>29.25</v>
      </c>
      <c r="E220">
        <f>IF(
  ISNA(
    _xlfn.XLOOKUP(
      payments_raw[[#This Row],[subscription_id]],
      subscriptions[subscription_id],
      subscriptions[subscription_id]
    )
  ),
  0,
  1
)</f>
        <v>1</v>
      </c>
      <c r="F220" s="1">
        <f>_xlfn.XLOOKUP(payments_raw[[#This Row],[subscription_id]], subscriptions[subscription_id], subscriptions[start_date])</f>
        <v>45438</v>
      </c>
      <c r="G2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" s="2">
        <f>IF(payments_raw[[#This Row],[payment_date]] &lt; payments_raw[[#This Row],[sub_start_date]], 1, 0)</f>
        <v>0</v>
      </c>
      <c r="I220" s="2">
        <f>IF(AND(payments_raw[[#This Row],[sub_end_date]]&lt;&gt;"", payments_raw[[#This Row],[payment_date]] &gt; payments_raw[[#This Row],[sub_end_date]]), 1, 0)</f>
        <v>0</v>
      </c>
      <c r="J220" s="2">
        <f>IF(payments_raw[[#This Row],[amount]] &lt;= 0, 1, 0)</f>
        <v>0</v>
      </c>
      <c r="K2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" spans="1:11" x14ac:dyDescent="0.3">
      <c r="A221">
        <v>84797064</v>
      </c>
      <c r="B221">
        <v>1684054</v>
      </c>
      <c r="C221" s="1">
        <v>45497</v>
      </c>
      <c r="D221">
        <v>95</v>
      </c>
      <c r="E221">
        <f>IF(
  ISNA(
    _xlfn.XLOOKUP(
      payments_raw[[#This Row],[subscription_id]],
      subscriptions[subscription_id],
      subscriptions[subscription_id]
    )
  ),
  0,
  1
)</f>
        <v>1</v>
      </c>
      <c r="F221" s="1">
        <f>_xlfn.XLOOKUP(payments_raw[[#This Row],[subscription_id]], subscriptions[subscription_id], subscriptions[start_date])</f>
        <v>45065</v>
      </c>
      <c r="G2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" s="2">
        <f>IF(payments_raw[[#This Row],[payment_date]] &lt; payments_raw[[#This Row],[sub_start_date]], 1, 0)</f>
        <v>0</v>
      </c>
      <c r="I221" s="2">
        <f>IF(AND(payments_raw[[#This Row],[sub_end_date]]&lt;&gt;"", payments_raw[[#This Row],[payment_date]] &gt; payments_raw[[#This Row],[sub_end_date]]), 1, 0)</f>
        <v>0</v>
      </c>
      <c r="J221" s="2">
        <f>IF(payments_raw[[#This Row],[amount]] &lt;= 0, 1, 0)</f>
        <v>0</v>
      </c>
      <c r="K2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" spans="1:11" x14ac:dyDescent="0.3">
      <c r="A222">
        <v>45269140</v>
      </c>
      <c r="B222">
        <v>6275644</v>
      </c>
      <c r="C222" s="1">
        <v>45492</v>
      </c>
      <c r="D222">
        <v>149</v>
      </c>
      <c r="E222">
        <f>IF(
  ISNA(
    _xlfn.XLOOKUP(
      payments_raw[[#This Row],[subscription_id]],
      subscriptions[subscription_id],
      subscriptions[subscription_id]
    )
  ),
  0,
  1
)</f>
        <v>1</v>
      </c>
      <c r="F222" s="1">
        <f>_xlfn.XLOOKUP(payments_raw[[#This Row],[subscription_id]], subscriptions[subscription_id], subscriptions[start_date])</f>
        <v>44812</v>
      </c>
      <c r="G2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" s="2">
        <f>IF(payments_raw[[#This Row],[payment_date]] &lt; payments_raw[[#This Row],[sub_start_date]], 1, 0)</f>
        <v>0</v>
      </c>
      <c r="I222" s="2">
        <f>IF(AND(payments_raw[[#This Row],[sub_end_date]]&lt;&gt;"", payments_raw[[#This Row],[payment_date]] &gt; payments_raw[[#This Row],[sub_end_date]]), 1, 0)</f>
        <v>0</v>
      </c>
      <c r="J222" s="2">
        <f>IF(payments_raw[[#This Row],[amount]] &lt;= 0, 1, 0)</f>
        <v>0</v>
      </c>
      <c r="K2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" spans="1:11" x14ac:dyDescent="0.3">
      <c r="A223">
        <v>63865194</v>
      </c>
      <c r="B223">
        <v>9007468</v>
      </c>
      <c r="C223" s="1">
        <v>45641</v>
      </c>
      <c r="D223">
        <v>1490</v>
      </c>
      <c r="E223">
        <f>IF(
  ISNA(
    _xlfn.XLOOKUP(
      payments_raw[[#This Row],[subscription_id]],
      subscriptions[subscription_id],
      subscriptions[subscription_id]
    )
  ),
  0,
  1
)</f>
        <v>1</v>
      </c>
      <c r="F223" s="1">
        <f>_xlfn.XLOOKUP(payments_raw[[#This Row],[subscription_id]], subscriptions[subscription_id], subscriptions[start_date])</f>
        <v>45512</v>
      </c>
      <c r="G2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" s="2">
        <f>IF(payments_raw[[#This Row],[payment_date]] &lt; payments_raw[[#This Row],[sub_start_date]], 1, 0)</f>
        <v>0</v>
      </c>
      <c r="I223" s="2">
        <f>IF(AND(payments_raw[[#This Row],[sub_end_date]]&lt;&gt;"", payments_raw[[#This Row],[payment_date]] &gt; payments_raw[[#This Row],[sub_end_date]]), 1, 0)</f>
        <v>0</v>
      </c>
      <c r="J223" s="2">
        <f>IF(payments_raw[[#This Row],[amount]] &lt;= 0, 1, 0)</f>
        <v>0</v>
      </c>
      <c r="K2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" spans="1:11" x14ac:dyDescent="0.3">
      <c r="A224">
        <v>28458598</v>
      </c>
      <c r="B224">
        <v>9485991</v>
      </c>
      <c r="C224" s="1">
        <v>45500</v>
      </c>
      <c r="D224">
        <v>39.5</v>
      </c>
      <c r="E224">
        <f>IF(
  ISNA(
    _xlfn.XLOOKUP(
      payments_raw[[#This Row],[subscription_id]],
      subscriptions[subscription_id],
      subscriptions[subscription_id]
    )
  ),
  0,
  1
)</f>
        <v>1</v>
      </c>
      <c r="F224" s="1">
        <f>_xlfn.XLOOKUP(payments_raw[[#This Row],[subscription_id]], subscriptions[subscription_id], subscriptions[start_date])</f>
        <v>45470</v>
      </c>
      <c r="G2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" s="2">
        <f>IF(payments_raw[[#This Row],[payment_date]] &lt; payments_raw[[#This Row],[sub_start_date]], 1, 0)</f>
        <v>0</v>
      </c>
      <c r="I224" s="2">
        <f>IF(AND(payments_raw[[#This Row],[sub_end_date]]&lt;&gt;"", payments_raw[[#This Row],[payment_date]] &gt; payments_raw[[#This Row],[sub_end_date]]), 1, 0)</f>
        <v>0</v>
      </c>
      <c r="J224" s="2">
        <f>IF(payments_raw[[#This Row],[amount]] &lt;= 0, 1, 0)</f>
        <v>0</v>
      </c>
      <c r="K2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" spans="1:11" x14ac:dyDescent="0.3">
      <c r="A225">
        <v>86560560</v>
      </c>
      <c r="B225">
        <v>7064624</v>
      </c>
      <c r="C225" s="1">
        <v>44887</v>
      </c>
      <c r="D225">
        <v>790</v>
      </c>
      <c r="E225">
        <f>IF(
  ISNA(
    _xlfn.XLOOKUP(
      payments_raw[[#This Row],[subscription_id]],
      subscriptions[subscription_id],
      subscriptions[subscription_id]
    )
  ),
  0,
  1
)</f>
        <v>1</v>
      </c>
      <c r="F225" s="1">
        <f>_xlfn.XLOOKUP(payments_raw[[#This Row],[subscription_id]], subscriptions[subscription_id], subscriptions[start_date])</f>
        <v>44696</v>
      </c>
      <c r="G2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" s="2">
        <f>IF(payments_raw[[#This Row],[payment_date]] &lt; payments_raw[[#This Row],[sub_start_date]], 1, 0)</f>
        <v>0</v>
      </c>
      <c r="I225" s="2">
        <f>IF(AND(payments_raw[[#This Row],[sub_end_date]]&lt;&gt;"", payments_raw[[#This Row],[payment_date]] &gt; payments_raw[[#This Row],[sub_end_date]]), 1, 0)</f>
        <v>0</v>
      </c>
      <c r="J225" s="2">
        <f>IF(payments_raw[[#This Row],[amount]] &lt;= 0, 1, 0)</f>
        <v>0</v>
      </c>
      <c r="K2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" spans="1:11" x14ac:dyDescent="0.3">
      <c r="A226">
        <v>69874812</v>
      </c>
      <c r="B226">
        <v>8977497</v>
      </c>
      <c r="C226" s="1">
        <v>45584</v>
      </c>
      <c r="D226">
        <v>149</v>
      </c>
      <c r="E226">
        <f>IF(
  ISNA(
    _xlfn.XLOOKUP(
      payments_raw[[#This Row],[subscription_id]],
      subscriptions[subscription_id],
      subscriptions[subscription_id]
    )
  ),
  0,
  1
)</f>
        <v>1</v>
      </c>
      <c r="F226" s="1">
        <f>_xlfn.XLOOKUP(payments_raw[[#This Row],[subscription_id]], subscriptions[subscription_id], subscriptions[start_date])</f>
        <v>45247</v>
      </c>
      <c r="G2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" s="2">
        <f>IF(payments_raw[[#This Row],[payment_date]] &lt; payments_raw[[#This Row],[sub_start_date]], 1, 0)</f>
        <v>0</v>
      </c>
      <c r="I226" s="2">
        <f>IF(AND(payments_raw[[#This Row],[sub_end_date]]&lt;&gt;"", payments_raw[[#This Row],[payment_date]] &gt; payments_raw[[#This Row],[sub_end_date]]), 1, 0)</f>
        <v>0</v>
      </c>
      <c r="J226" s="2">
        <f>IF(payments_raw[[#This Row],[amount]] &lt;= 0, 1, 0)</f>
        <v>0</v>
      </c>
      <c r="K2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" spans="1:11" x14ac:dyDescent="0.3">
      <c r="A227">
        <v>60105741</v>
      </c>
      <c r="B227">
        <v>2627051</v>
      </c>
      <c r="C227" s="1">
        <v>45657</v>
      </c>
      <c r="D227">
        <v>390</v>
      </c>
      <c r="E227">
        <f>IF(
  ISNA(
    _xlfn.XLOOKUP(
      payments_raw[[#This Row],[subscription_id]],
      subscriptions[subscription_id],
      subscriptions[subscription_id]
    )
  ),
  0,
  1
)</f>
        <v>1</v>
      </c>
      <c r="F227" s="1">
        <f>_xlfn.XLOOKUP(payments_raw[[#This Row],[subscription_id]], subscriptions[subscription_id], subscriptions[start_date])</f>
        <v>45372</v>
      </c>
      <c r="G2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" s="2">
        <f>IF(payments_raw[[#This Row],[payment_date]] &lt; payments_raw[[#This Row],[sub_start_date]], 1, 0)</f>
        <v>0</v>
      </c>
      <c r="I227" s="2">
        <f>IF(AND(payments_raw[[#This Row],[sub_end_date]]&lt;&gt;"", payments_raw[[#This Row],[payment_date]] &gt; payments_raw[[#This Row],[sub_end_date]]), 1, 0)</f>
        <v>0</v>
      </c>
      <c r="J227" s="2">
        <f>IF(payments_raw[[#This Row],[amount]] &lt;= 0, 1, 0)</f>
        <v>0</v>
      </c>
      <c r="K2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" spans="1:11" x14ac:dyDescent="0.3">
      <c r="A228">
        <v>18968278</v>
      </c>
      <c r="B228">
        <v>3029740</v>
      </c>
      <c r="C228" s="1">
        <v>44989</v>
      </c>
      <c r="D228">
        <v>19</v>
      </c>
      <c r="E228">
        <f>IF(
  ISNA(
    _xlfn.XLOOKUP(
      payments_raw[[#This Row],[subscription_id]],
      subscriptions[subscription_id],
      subscriptions[subscription_id]
    )
  ),
  0,
  1
)</f>
        <v>1</v>
      </c>
      <c r="F228" s="1">
        <f>_xlfn.XLOOKUP(payments_raw[[#This Row],[subscription_id]], subscriptions[subscription_id], subscriptions[start_date])</f>
        <v>44610</v>
      </c>
      <c r="G2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" s="2">
        <f>IF(payments_raw[[#This Row],[payment_date]] &lt; payments_raw[[#This Row],[sub_start_date]], 1, 0)</f>
        <v>0</v>
      </c>
      <c r="I228" s="2">
        <f>IF(AND(payments_raw[[#This Row],[sub_end_date]]&lt;&gt;"", payments_raw[[#This Row],[payment_date]] &gt; payments_raw[[#This Row],[sub_end_date]]), 1, 0)</f>
        <v>0</v>
      </c>
      <c r="J228" s="2">
        <f>IF(payments_raw[[#This Row],[amount]] &lt;= 0, 1, 0)</f>
        <v>0</v>
      </c>
      <c r="K2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" spans="1:11" x14ac:dyDescent="0.3">
      <c r="A229">
        <v>25549100</v>
      </c>
      <c r="B229">
        <v>6885129</v>
      </c>
      <c r="C229" s="1">
        <v>45232</v>
      </c>
      <c r="D229">
        <v>19.5</v>
      </c>
      <c r="E229">
        <f>IF(
  ISNA(
    _xlfn.XLOOKUP(
      payments_raw[[#This Row],[subscription_id]],
      subscriptions[subscription_id],
      subscriptions[subscription_id]
    )
  ),
  0,
  1
)</f>
        <v>1</v>
      </c>
      <c r="F229" s="1">
        <f>_xlfn.XLOOKUP(payments_raw[[#This Row],[subscription_id]], subscriptions[subscription_id], subscriptions[start_date])</f>
        <v>45089</v>
      </c>
      <c r="G2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45248</v>
      </c>
      <c r="H229" s="2">
        <f>IF(payments_raw[[#This Row],[payment_date]] &lt; payments_raw[[#This Row],[sub_start_date]], 1, 0)</f>
        <v>0</v>
      </c>
      <c r="I229" s="2">
        <f>IF(AND(payments_raw[[#This Row],[sub_end_date]]&lt;&gt;"", payments_raw[[#This Row],[payment_date]] &gt; payments_raw[[#This Row],[sub_end_date]]), 1, 0)</f>
        <v>0</v>
      </c>
      <c r="J229" s="2">
        <f>IF(payments_raw[[#This Row],[amount]] &lt;= 0, 1, 0)</f>
        <v>0</v>
      </c>
      <c r="K2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" spans="1:11" x14ac:dyDescent="0.3">
      <c r="A230">
        <v>29781979</v>
      </c>
      <c r="B230">
        <v>3358634</v>
      </c>
      <c r="C230" s="1">
        <v>45334</v>
      </c>
      <c r="D230">
        <v>149</v>
      </c>
      <c r="E230">
        <f>IF(
  ISNA(
    _xlfn.XLOOKUP(
      payments_raw[[#This Row],[subscription_id]],
      subscriptions[subscription_id],
      subscriptions[subscription_id]
    )
  ),
  0,
  1
)</f>
        <v>1</v>
      </c>
      <c r="F230" s="1">
        <f>_xlfn.XLOOKUP(payments_raw[[#This Row],[subscription_id]], subscriptions[subscription_id], subscriptions[start_date])</f>
        <v>45181</v>
      </c>
      <c r="G2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45508</v>
      </c>
      <c r="H230" s="2">
        <f>IF(payments_raw[[#This Row],[payment_date]] &lt; payments_raw[[#This Row],[sub_start_date]], 1, 0)</f>
        <v>0</v>
      </c>
      <c r="I230" s="2">
        <f>IF(AND(payments_raw[[#This Row],[sub_end_date]]&lt;&gt;"", payments_raw[[#This Row],[payment_date]] &gt; payments_raw[[#This Row],[sub_end_date]]), 1, 0)</f>
        <v>0</v>
      </c>
      <c r="J230" s="2">
        <f>IF(payments_raw[[#This Row],[amount]] &lt;= 0, 1, 0)</f>
        <v>0</v>
      </c>
      <c r="K2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" spans="1:11" x14ac:dyDescent="0.3">
      <c r="A231">
        <v>62440176</v>
      </c>
      <c r="B231">
        <v>8903903</v>
      </c>
      <c r="C231" s="1">
        <v>45039</v>
      </c>
      <c r="D231">
        <v>190</v>
      </c>
      <c r="E231">
        <f>IF(
  ISNA(
    _xlfn.XLOOKUP(
      payments_raw[[#This Row],[subscription_id]],
      subscriptions[subscription_id],
      subscriptions[subscription_id]
    )
  ),
  0,
  1
)</f>
        <v>1</v>
      </c>
      <c r="F231" s="1">
        <f>_xlfn.XLOOKUP(payments_raw[[#This Row],[subscription_id]], subscriptions[subscription_id], subscriptions[start_date])</f>
        <v>45037</v>
      </c>
      <c r="G2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45219</v>
      </c>
      <c r="H231" s="2">
        <f>IF(payments_raw[[#This Row],[payment_date]] &lt; payments_raw[[#This Row],[sub_start_date]], 1, 0)</f>
        <v>0</v>
      </c>
      <c r="I231" s="2">
        <f>IF(AND(payments_raw[[#This Row],[sub_end_date]]&lt;&gt;"", payments_raw[[#This Row],[payment_date]] &gt; payments_raw[[#This Row],[sub_end_date]]), 1, 0)</f>
        <v>0</v>
      </c>
      <c r="J231" s="2">
        <f>IF(payments_raw[[#This Row],[amount]] &lt;= 0, 1, 0)</f>
        <v>0</v>
      </c>
      <c r="K2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" spans="1:11" x14ac:dyDescent="0.3">
      <c r="A232">
        <v>78477351</v>
      </c>
      <c r="B232">
        <v>8113264</v>
      </c>
      <c r="C232" s="1">
        <v>45648</v>
      </c>
      <c r="D232">
        <v>35.1</v>
      </c>
      <c r="E232">
        <f>IF(
  ISNA(
    _xlfn.XLOOKUP(
      payments_raw[[#This Row],[subscription_id]],
      subscriptions[subscription_id],
      subscriptions[subscription_id]
    )
  ),
  0,
  1
)</f>
        <v>1</v>
      </c>
      <c r="F232" s="1">
        <f>_xlfn.XLOOKUP(payments_raw[[#This Row],[subscription_id]], subscriptions[subscription_id], subscriptions[start_date])</f>
        <v>44841</v>
      </c>
      <c r="G2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2" s="2">
        <f>IF(payments_raw[[#This Row],[payment_date]] &lt; payments_raw[[#This Row],[sub_start_date]], 1, 0)</f>
        <v>0</v>
      </c>
      <c r="I232" s="2">
        <f>IF(AND(payments_raw[[#This Row],[sub_end_date]]&lt;&gt;"", payments_raw[[#This Row],[payment_date]] &gt; payments_raw[[#This Row],[sub_end_date]]), 1, 0)</f>
        <v>0</v>
      </c>
      <c r="J232" s="2">
        <f>IF(payments_raw[[#This Row],[amount]] &lt;= 0, 1, 0)</f>
        <v>0</v>
      </c>
      <c r="K2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" spans="1:11" x14ac:dyDescent="0.3">
      <c r="A233">
        <v>99377087</v>
      </c>
      <c r="B233">
        <v>3043656</v>
      </c>
      <c r="C233" s="1">
        <v>45312</v>
      </c>
      <c r="D233">
        <v>790</v>
      </c>
      <c r="E233">
        <f>IF(
  ISNA(
    _xlfn.XLOOKUP(
      payments_raw[[#This Row],[subscription_id]],
      subscriptions[subscription_id],
      subscriptions[subscription_id]
    )
  ),
  0,
  1
)</f>
        <v>1</v>
      </c>
      <c r="F233" s="1">
        <f>_xlfn.XLOOKUP(payments_raw[[#This Row],[subscription_id]], subscriptions[subscription_id], subscriptions[start_date])</f>
        <v>45176</v>
      </c>
      <c r="G2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" s="2">
        <f>IF(payments_raw[[#This Row],[payment_date]] &lt; payments_raw[[#This Row],[sub_start_date]], 1, 0)</f>
        <v>0</v>
      </c>
      <c r="I233" s="2">
        <f>IF(AND(payments_raw[[#This Row],[sub_end_date]]&lt;&gt;"", payments_raw[[#This Row],[payment_date]] &gt; payments_raw[[#This Row],[sub_end_date]]), 1, 0)</f>
        <v>0</v>
      </c>
      <c r="J233" s="2">
        <f>IF(payments_raw[[#This Row],[amount]] &lt;= 0, 1, 0)</f>
        <v>0</v>
      </c>
      <c r="K2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" spans="1:11" x14ac:dyDescent="0.3">
      <c r="A234">
        <v>11188832</v>
      </c>
      <c r="B234">
        <v>1571694</v>
      </c>
      <c r="C234" s="1">
        <v>45522</v>
      </c>
      <c r="D234">
        <v>19</v>
      </c>
      <c r="E234">
        <f>IF(
  ISNA(
    _xlfn.XLOOKUP(
      payments_raw[[#This Row],[subscription_id]],
      subscriptions[subscription_id],
      subscriptions[subscription_id]
    )
  ),
  0,
  1
)</f>
        <v>1</v>
      </c>
      <c r="F234" s="1">
        <f>_xlfn.XLOOKUP(payments_raw[[#This Row],[subscription_id]], subscriptions[subscription_id], subscriptions[start_date])</f>
        <v>45445</v>
      </c>
      <c r="G2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" s="2">
        <f>IF(payments_raw[[#This Row],[payment_date]] &lt; payments_raw[[#This Row],[sub_start_date]], 1, 0)</f>
        <v>0</v>
      </c>
      <c r="I234" s="2">
        <f>IF(AND(payments_raw[[#This Row],[sub_end_date]]&lt;&gt;"", payments_raw[[#This Row],[payment_date]] &gt; payments_raw[[#This Row],[sub_end_date]]), 1, 0)</f>
        <v>0</v>
      </c>
      <c r="J234" s="2">
        <f>IF(payments_raw[[#This Row],[amount]] &lt;= 0, 1, 0)</f>
        <v>0</v>
      </c>
      <c r="K2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" spans="1:11" x14ac:dyDescent="0.3">
      <c r="A235">
        <v>28396122</v>
      </c>
      <c r="B235">
        <v>3029740</v>
      </c>
      <c r="C235" s="1">
        <v>45264</v>
      </c>
      <c r="D235">
        <v>19</v>
      </c>
      <c r="E235">
        <f>IF(
  ISNA(
    _xlfn.XLOOKUP(
      payments_raw[[#This Row],[subscription_id]],
      subscriptions[subscription_id],
      subscriptions[subscription_id]
    )
  ),
  0,
  1
)</f>
        <v>1</v>
      </c>
      <c r="F235" s="1">
        <f>_xlfn.XLOOKUP(payments_raw[[#This Row],[subscription_id]], subscriptions[subscription_id], subscriptions[start_date])</f>
        <v>44610</v>
      </c>
      <c r="G2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" s="2">
        <f>IF(payments_raw[[#This Row],[payment_date]] &lt; payments_raw[[#This Row],[sub_start_date]], 1, 0)</f>
        <v>0</v>
      </c>
      <c r="I235" s="2">
        <f>IF(AND(payments_raw[[#This Row],[sub_end_date]]&lt;&gt;"", payments_raw[[#This Row],[payment_date]] &gt; payments_raw[[#This Row],[sub_end_date]]), 1, 0)</f>
        <v>0</v>
      </c>
      <c r="J235" s="2">
        <f>IF(payments_raw[[#This Row],[amount]] &lt;= 0, 1, 0)</f>
        <v>0</v>
      </c>
      <c r="K2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" spans="1:11" x14ac:dyDescent="0.3">
      <c r="A236">
        <v>74476742</v>
      </c>
      <c r="B236">
        <v>1601759</v>
      </c>
      <c r="C236" s="1">
        <v>45152</v>
      </c>
      <c r="D236">
        <v>390</v>
      </c>
      <c r="E236">
        <f>IF(
  ISNA(
    _xlfn.XLOOKUP(
      payments_raw[[#This Row],[subscription_id]],
      subscriptions[subscription_id],
      subscriptions[subscription_id]
    )
  ),
  0,
  1
)</f>
        <v>1</v>
      </c>
      <c r="F236" s="1">
        <f>_xlfn.XLOOKUP(payments_raw[[#This Row],[subscription_id]], subscriptions[subscription_id], subscriptions[start_date])</f>
        <v>45043</v>
      </c>
      <c r="G2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45405</v>
      </c>
      <c r="H236" s="2">
        <f>IF(payments_raw[[#This Row],[payment_date]] &lt; payments_raw[[#This Row],[sub_start_date]], 1, 0)</f>
        <v>0</v>
      </c>
      <c r="I236" s="2">
        <f>IF(AND(payments_raw[[#This Row],[sub_end_date]]&lt;&gt;"", payments_raw[[#This Row],[payment_date]] &gt; payments_raw[[#This Row],[sub_end_date]]), 1, 0)</f>
        <v>0</v>
      </c>
      <c r="J236" s="2">
        <f>IF(payments_raw[[#This Row],[amount]] &lt;= 0, 1, 0)</f>
        <v>0</v>
      </c>
      <c r="K2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" spans="1:11" x14ac:dyDescent="0.3">
      <c r="A237">
        <v>73721148</v>
      </c>
      <c r="B237">
        <v>8165734</v>
      </c>
      <c r="C237" s="1">
        <v>44967</v>
      </c>
      <c r="D237">
        <v>79</v>
      </c>
      <c r="E237">
        <f>IF(
  ISNA(
    _xlfn.XLOOKUP(
      payments_raw[[#This Row],[subscription_id]],
      subscriptions[subscription_id],
      subscriptions[subscription_id]
    )
  ),
  0,
  1
)</f>
        <v>1</v>
      </c>
      <c r="F237" s="1">
        <f>_xlfn.XLOOKUP(payments_raw[[#This Row],[subscription_id]], subscriptions[subscription_id], subscriptions[start_date])</f>
        <v>44906</v>
      </c>
      <c r="G23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237" s="2">
        <f>IF(payments_raw[[#This Row],[payment_date]] &lt; payments_raw[[#This Row],[sub_start_date]], 1, 0)</f>
        <v>0</v>
      </c>
      <c r="I237" s="2">
        <f>IF(AND(payments_raw[[#This Row],[sub_end_date]]&lt;&gt;"", payments_raw[[#This Row],[payment_date]] &gt; payments_raw[[#This Row],[sub_end_date]]), 1, 0)</f>
        <v>0</v>
      </c>
      <c r="J237" s="2">
        <f>IF(payments_raw[[#This Row],[amount]] &lt;= 0, 1, 0)</f>
        <v>0</v>
      </c>
      <c r="K2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" spans="1:11" x14ac:dyDescent="0.3">
      <c r="A238">
        <v>23293865</v>
      </c>
      <c r="B238">
        <v>7012792</v>
      </c>
      <c r="C238" s="1">
        <v>45298</v>
      </c>
      <c r="D238">
        <v>299</v>
      </c>
      <c r="E238">
        <f>IF(
  ISNA(
    _xlfn.XLOOKUP(
      payments_raw[[#This Row],[subscription_id]],
      subscriptions[subscription_id],
      subscriptions[subscription_id]
    )
  ),
  0,
  1
)</f>
        <v>1</v>
      </c>
      <c r="F238" s="1">
        <f>_xlfn.XLOOKUP(payments_raw[[#This Row],[subscription_id]], subscriptions[subscription_id], subscriptions[start_date])</f>
        <v>45210</v>
      </c>
      <c r="G2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" s="2">
        <f>IF(payments_raw[[#This Row],[payment_date]] &lt; payments_raw[[#This Row],[sub_start_date]], 1, 0)</f>
        <v>0</v>
      </c>
      <c r="I238" s="2">
        <f>IF(AND(payments_raw[[#This Row],[sub_end_date]]&lt;&gt;"", payments_raw[[#This Row],[payment_date]] &gt; payments_raw[[#This Row],[sub_end_date]]), 1, 0)</f>
        <v>0</v>
      </c>
      <c r="J238" s="2">
        <f>IF(payments_raw[[#This Row],[amount]] &lt;= 0, 1, 0)</f>
        <v>0</v>
      </c>
      <c r="K2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" spans="1:11" x14ac:dyDescent="0.3">
      <c r="A239">
        <v>95013047</v>
      </c>
      <c r="B239">
        <v>8172456</v>
      </c>
      <c r="C239" s="1">
        <v>45653</v>
      </c>
      <c r="D239">
        <v>790</v>
      </c>
      <c r="E239">
        <f>IF(
  ISNA(
    _xlfn.XLOOKUP(
      payments_raw[[#This Row],[subscription_id]],
      subscriptions[subscription_id],
      subscriptions[subscription_id]
    )
  ),
  0,
  1
)</f>
        <v>1</v>
      </c>
      <c r="F239" s="1">
        <f>_xlfn.XLOOKUP(payments_raw[[#This Row],[subscription_id]], subscriptions[subscription_id], subscriptions[start_date])</f>
        <v>45332</v>
      </c>
      <c r="G2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239" s="2">
        <f>IF(payments_raw[[#This Row],[payment_date]] &lt; payments_raw[[#This Row],[sub_start_date]], 1, 0)</f>
        <v>0</v>
      </c>
      <c r="I239" s="2">
        <f>IF(AND(payments_raw[[#This Row],[sub_end_date]]&lt;&gt;"", payments_raw[[#This Row],[payment_date]] &gt; payments_raw[[#This Row],[sub_end_date]]), 1, 0)</f>
        <v>0</v>
      </c>
      <c r="J239" s="2">
        <f>IF(payments_raw[[#This Row],[amount]] &lt;= 0, 1, 0)</f>
        <v>0</v>
      </c>
      <c r="K2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" spans="1:11" x14ac:dyDescent="0.3">
      <c r="A240">
        <v>19518525</v>
      </c>
      <c r="B240">
        <v>7222701</v>
      </c>
      <c r="C240" s="1">
        <v>45496</v>
      </c>
      <c r="D240">
        <v>39</v>
      </c>
      <c r="E240">
        <f>IF(
  ISNA(
    _xlfn.XLOOKUP(
      payments_raw[[#This Row],[subscription_id]],
      subscriptions[subscription_id],
      subscriptions[subscription_id]
    )
  ),
  0,
  1
)</f>
        <v>1</v>
      </c>
      <c r="F240" s="1">
        <f>_xlfn.XLOOKUP(payments_raw[[#This Row],[subscription_id]], subscriptions[subscription_id], subscriptions[start_date])</f>
        <v>45459</v>
      </c>
      <c r="G2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40" s="2">
        <f>IF(payments_raw[[#This Row],[payment_date]] &lt; payments_raw[[#This Row],[sub_start_date]], 1, 0)</f>
        <v>0</v>
      </c>
      <c r="I240" s="2">
        <f>IF(AND(payments_raw[[#This Row],[sub_end_date]]&lt;&gt;"", payments_raw[[#This Row],[payment_date]] &gt; payments_raw[[#This Row],[sub_end_date]]), 1, 0)</f>
        <v>0</v>
      </c>
      <c r="J240" s="2">
        <f>IF(payments_raw[[#This Row],[amount]] &lt;= 0, 1, 0)</f>
        <v>0</v>
      </c>
      <c r="K2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" spans="1:11" x14ac:dyDescent="0.3">
      <c r="A241">
        <v>78433310</v>
      </c>
      <c r="B241">
        <v>9205525</v>
      </c>
      <c r="C241" s="1">
        <v>45277</v>
      </c>
      <c r="D241">
        <v>149</v>
      </c>
      <c r="E241">
        <f>IF(
  ISNA(
    _xlfn.XLOOKUP(
      payments_raw[[#This Row],[subscription_id]],
      subscriptions[subscription_id],
      subscriptions[subscription_id]
    )
  ),
  0,
  1
)</f>
        <v>1</v>
      </c>
      <c r="F241" s="1">
        <f>_xlfn.XLOOKUP(payments_raw[[#This Row],[subscription_id]], subscriptions[subscription_id], subscriptions[start_date])</f>
        <v>45203</v>
      </c>
      <c r="G2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" s="2">
        <f>IF(payments_raw[[#This Row],[payment_date]] &lt; payments_raw[[#This Row],[sub_start_date]], 1, 0)</f>
        <v>0</v>
      </c>
      <c r="I241" s="2">
        <f>IF(AND(payments_raw[[#This Row],[sub_end_date]]&lt;&gt;"", payments_raw[[#This Row],[payment_date]] &gt; payments_raw[[#This Row],[sub_end_date]]), 1, 0)</f>
        <v>0</v>
      </c>
      <c r="J241" s="2">
        <f>IF(payments_raw[[#This Row],[amount]] &lt;= 0, 1, 0)</f>
        <v>0</v>
      </c>
      <c r="K2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" spans="1:11" x14ac:dyDescent="0.3">
      <c r="A242">
        <v>19126002</v>
      </c>
      <c r="B242">
        <v>9945633</v>
      </c>
      <c r="C242" s="1">
        <v>45589</v>
      </c>
      <c r="D242">
        <v>19</v>
      </c>
      <c r="E242">
        <f>IF(
  ISNA(
    _xlfn.XLOOKUP(
      payments_raw[[#This Row],[subscription_id]],
      subscriptions[subscription_id],
      subscriptions[subscription_id]
    )
  ),
  0,
  1
)</f>
        <v>1</v>
      </c>
      <c r="F242" s="1">
        <f>_xlfn.XLOOKUP(payments_raw[[#This Row],[subscription_id]], subscriptions[subscription_id], subscriptions[start_date])</f>
        <v>45345</v>
      </c>
      <c r="G2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" s="2">
        <f>IF(payments_raw[[#This Row],[payment_date]] &lt; payments_raw[[#This Row],[sub_start_date]], 1, 0)</f>
        <v>0</v>
      </c>
      <c r="I242" s="2">
        <f>IF(AND(payments_raw[[#This Row],[sub_end_date]]&lt;&gt;"", payments_raw[[#This Row],[payment_date]] &gt; payments_raw[[#This Row],[sub_end_date]]), 1, 0)</f>
        <v>0</v>
      </c>
      <c r="J242" s="2">
        <f>IF(payments_raw[[#This Row],[amount]] &lt;= 0, 1, 0)</f>
        <v>0</v>
      </c>
      <c r="K2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" spans="1:11" x14ac:dyDescent="0.3">
      <c r="A243">
        <v>19742877</v>
      </c>
      <c r="B243">
        <v>2710400</v>
      </c>
      <c r="C243" s="1">
        <v>45443</v>
      </c>
      <c r="D243">
        <v>1490</v>
      </c>
      <c r="E243">
        <f>IF(
  ISNA(
    _xlfn.XLOOKUP(
      payments_raw[[#This Row],[subscription_id]],
      subscriptions[subscription_id],
      subscriptions[subscription_id]
    )
  ),
  0,
  1
)</f>
        <v>1</v>
      </c>
      <c r="F243" s="1">
        <f>_xlfn.XLOOKUP(payments_raw[[#This Row],[subscription_id]], subscriptions[subscription_id], subscriptions[start_date])</f>
        <v>44864</v>
      </c>
      <c r="G2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3" s="2">
        <f>IF(payments_raw[[#This Row],[payment_date]] &lt; payments_raw[[#This Row],[sub_start_date]], 1, 0)</f>
        <v>0</v>
      </c>
      <c r="I243" s="2">
        <f>IF(AND(payments_raw[[#This Row],[sub_end_date]]&lt;&gt;"", payments_raw[[#This Row],[payment_date]] &gt; payments_raw[[#This Row],[sub_end_date]]), 1, 0)</f>
        <v>0</v>
      </c>
      <c r="J243" s="2">
        <f>IF(payments_raw[[#This Row],[amount]] &lt;= 0, 1, 0)</f>
        <v>0</v>
      </c>
      <c r="K2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" spans="1:11" x14ac:dyDescent="0.3">
      <c r="A244">
        <v>94146588</v>
      </c>
      <c r="B244">
        <v>5315283</v>
      </c>
      <c r="C244" s="1">
        <v>45313</v>
      </c>
      <c r="D244">
        <v>79</v>
      </c>
      <c r="E244">
        <f>IF(
  ISNA(
    _xlfn.XLOOKUP(
      payments_raw[[#This Row],[subscription_id]],
      subscriptions[subscription_id],
      subscriptions[subscription_id]
    )
  ),
  0,
  1
)</f>
        <v>1</v>
      </c>
      <c r="F244" s="1">
        <f>_xlfn.XLOOKUP(payments_raw[[#This Row],[subscription_id]], subscriptions[subscription_id], subscriptions[start_date])</f>
        <v>44890</v>
      </c>
      <c r="G2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" s="2">
        <f>IF(payments_raw[[#This Row],[payment_date]] &lt; payments_raw[[#This Row],[sub_start_date]], 1, 0)</f>
        <v>0</v>
      </c>
      <c r="I244" s="2">
        <f>IF(AND(payments_raw[[#This Row],[sub_end_date]]&lt;&gt;"", payments_raw[[#This Row],[payment_date]] &gt; payments_raw[[#This Row],[sub_end_date]]), 1, 0)</f>
        <v>0</v>
      </c>
      <c r="J244" s="2">
        <f>IF(payments_raw[[#This Row],[amount]] &lt;= 0, 1, 0)</f>
        <v>0</v>
      </c>
      <c r="K2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" spans="1:11" x14ac:dyDescent="0.3">
      <c r="A245">
        <v>58549573</v>
      </c>
      <c r="B245">
        <v>4673341</v>
      </c>
      <c r="C245" s="1">
        <v>45271</v>
      </c>
      <c r="D245">
        <v>190</v>
      </c>
      <c r="E245">
        <f>IF(
  ISNA(
    _xlfn.XLOOKUP(
      payments_raw[[#This Row],[subscription_id]],
      subscriptions[subscription_id],
      subscriptions[subscription_id]
    )
  ),
  0,
  1
)</f>
        <v>1</v>
      </c>
      <c r="F245" s="1">
        <f>_xlfn.XLOOKUP(payments_raw[[#This Row],[subscription_id]], subscriptions[subscription_id], subscriptions[start_date])</f>
        <v>45257</v>
      </c>
      <c r="G2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45310</v>
      </c>
      <c r="H245" s="2">
        <f>IF(payments_raw[[#This Row],[payment_date]] &lt; payments_raw[[#This Row],[sub_start_date]], 1, 0)</f>
        <v>0</v>
      </c>
      <c r="I245" s="2">
        <f>IF(AND(payments_raw[[#This Row],[sub_end_date]]&lt;&gt;"", payments_raw[[#This Row],[payment_date]] &gt; payments_raw[[#This Row],[sub_end_date]]), 1, 0)</f>
        <v>0</v>
      </c>
      <c r="J245" s="2">
        <f>IF(payments_raw[[#This Row],[amount]] &lt;= 0, 1, 0)</f>
        <v>0</v>
      </c>
      <c r="K2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" spans="1:11" x14ac:dyDescent="0.3">
      <c r="A246">
        <v>64544939</v>
      </c>
      <c r="B246">
        <v>6529924</v>
      </c>
      <c r="C246" s="1">
        <v>44750</v>
      </c>
      <c r="D246">
        <v>190</v>
      </c>
      <c r="E246">
        <f>IF(
  ISNA(
    _xlfn.XLOOKUP(
      payments_raw[[#This Row],[subscription_id]],
      subscriptions[subscription_id],
      subscriptions[subscription_id]
    )
  ),
  0,
  1
)</f>
        <v>1</v>
      </c>
      <c r="F246" s="1">
        <f>_xlfn.XLOOKUP(payments_raw[[#This Row],[subscription_id]], subscriptions[subscription_id], subscriptions[start_date])</f>
        <v>44689</v>
      </c>
      <c r="G2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" s="2">
        <f>IF(payments_raw[[#This Row],[payment_date]] &lt; payments_raw[[#This Row],[sub_start_date]], 1, 0)</f>
        <v>0</v>
      </c>
      <c r="I246" s="2">
        <f>IF(AND(payments_raw[[#This Row],[sub_end_date]]&lt;&gt;"", payments_raw[[#This Row],[payment_date]] &gt; payments_raw[[#This Row],[sub_end_date]]), 1, 0)</f>
        <v>0</v>
      </c>
      <c r="J246" s="2">
        <f>IF(payments_raw[[#This Row],[amount]] &lt;= 0, 1, 0)</f>
        <v>0</v>
      </c>
      <c r="K2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" spans="1:11" x14ac:dyDescent="0.3">
      <c r="A247">
        <v>15759135</v>
      </c>
      <c r="B247">
        <v>3751899</v>
      </c>
      <c r="C247" s="1">
        <v>45066</v>
      </c>
      <c r="D247">
        <v>79</v>
      </c>
      <c r="E247">
        <f>IF(
  ISNA(
    _xlfn.XLOOKUP(
      payments_raw[[#This Row],[subscription_id]],
      subscriptions[subscription_id],
      subscriptions[subscription_id]
    )
  ),
  0,
  1
)</f>
        <v>1</v>
      </c>
      <c r="F247" s="1">
        <f>_xlfn.XLOOKUP(payments_raw[[#This Row],[subscription_id]], subscriptions[subscription_id], subscriptions[start_date])</f>
        <v>44902</v>
      </c>
      <c r="G2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247" s="2">
        <f>IF(payments_raw[[#This Row],[payment_date]] &lt; payments_raw[[#This Row],[sub_start_date]], 1, 0)</f>
        <v>0</v>
      </c>
      <c r="I247" s="2">
        <f>IF(AND(payments_raw[[#This Row],[sub_end_date]]&lt;&gt;"", payments_raw[[#This Row],[payment_date]] &gt; payments_raw[[#This Row],[sub_end_date]]), 1, 0)</f>
        <v>0</v>
      </c>
      <c r="J247" s="2">
        <f>IF(payments_raw[[#This Row],[amount]] &lt;= 0, 1, 0)</f>
        <v>0</v>
      </c>
      <c r="K2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" spans="1:11" x14ac:dyDescent="0.3">
      <c r="A248">
        <v>13713165</v>
      </c>
      <c r="B248">
        <v>2098296</v>
      </c>
      <c r="C248" s="1">
        <v>45352</v>
      </c>
      <c r="D248">
        <v>299</v>
      </c>
      <c r="E248">
        <f>IF(
  ISNA(
    _xlfn.XLOOKUP(
      payments_raw[[#This Row],[subscription_id]],
      subscriptions[subscription_id],
      subscriptions[subscription_id]
    )
  ),
  0,
  1
)</f>
        <v>1</v>
      </c>
      <c r="F248" s="1">
        <f>_xlfn.XLOOKUP(payments_raw[[#This Row],[subscription_id]], subscriptions[subscription_id], subscriptions[start_date])</f>
        <v>45254</v>
      </c>
      <c r="G2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" s="2">
        <f>IF(payments_raw[[#This Row],[payment_date]] &lt; payments_raw[[#This Row],[sub_start_date]], 1, 0)</f>
        <v>0</v>
      </c>
      <c r="I248" s="2">
        <f>IF(AND(payments_raw[[#This Row],[sub_end_date]]&lt;&gt;"", payments_raw[[#This Row],[payment_date]] &gt; payments_raw[[#This Row],[sub_end_date]]), 1, 0)</f>
        <v>0</v>
      </c>
      <c r="J248" s="2">
        <f>IF(payments_raw[[#This Row],[amount]] &lt;= 0, 1, 0)</f>
        <v>0</v>
      </c>
      <c r="K2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" spans="1:11" x14ac:dyDescent="0.3">
      <c r="A249">
        <v>60154780</v>
      </c>
      <c r="B249">
        <v>5366631</v>
      </c>
      <c r="C249" s="1">
        <v>45561</v>
      </c>
      <c r="D249">
        <v>390</v>
      </c>
      <c r="E249">
        <f>IF(
  ISNA(
    _xlfn.XLOOKUP(
      payments_raw[[#This Row],[subscription_id]],
      subscriptions[subscription_id],
      subscriptions[subscription_id]
    )
  ),
  0,
  1
)</f>
        <v>1</v>
      </c>
      <c r="F249" s="1">
        <f>_xlfn.XLOOKUP(payments_raw[[#This Row],[subscription_id]], subscriptions[subscription_id], subscriptions[start_date])</f>
        <v>45461</v>
      </c>
      <c r="G2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249" s="2">
        <f>IF(payments_raw[[#This Row],[payment_date]] &lt; payments_raw[[#This Row],[sub_start_date]], 1, 0)</f>
        <v>0</v>
      </c>
      <c r="I249" s="2">
        <f>IF(AND(payments_raw[[#This Row],[sub_end_date]]&lt;&gt;"", payments_raw[[#This Row],[payment_date]] &gt; payments_raw[[#This Row],[sub_end_date]]), 1, 0)</f>
        <v>0</v>
      </c>
      <c r="J249" s="2">
        <f>IF(payments_raw[[#This Row],[amount]] &lt;= 0, 1, 0)</f>
        <v>0</v>
      </c>
      <c r="K2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" spans="1:11" x14ac:dyDescent="0.3">
      <c r="A250">
        <v>40161549</v>
      </c>
      <c r="B250">
        <v>3405239</v>
      </c>
      <c r="C250" s="1">
        <v>45595</v>
      </c>
      <c r="D250">
        <v>39</v>
      </c>
      <c r="E250">
        <f>IF(
  ISNA(
    _xlfn.XLOOKUP(
      payments_raw[[#This Row],[subscription_id]],
      subscriptions[subscription_id],
      subscriptions[subscription_id]
    )
  ),
  0,
  1
)</f>
        <v>1</v>
      </c>
      <c r="F250" s="1">
        <f>_xlfn.XLOOKUP(payments_raw[[#This Row],[subscription_id]], subscriptions[subscription_id], subscriptions[start_date])</f>
        <v>45212</v>
      </c>
      <c r="G2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" s="2">
        <f>IF(payments_raw[[#This Row],[payment_date]] &lt; payments_raw[[#This Row],[sub_start_date]], 1, 0)</f>
        <v>0</v>
      </c>
      <c r="I250" s="2">
        <f>IF(AND(payments_raw[[#This Row],[sub_end_date]]&lt;&gt;"", payments_raw[[#This Row],[payment_date]] &gt; payments_raw[[#This Row],[sub_end_date]]), 1, 0)</f>
        <v>0</v>
      </c>
      <c r="J250" s="2">
        <f>IF(payments_raw[[#This Row],[amount]] &lt;= 0, 1, 0)</f>
        <v>0</v>
      </c>
      <c r="K2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" spans="1:11" x14ac:dyDescent="0.3">
      <c r="A251">
        <v>74339388</v>
      </c>
      <c r="B251">
        <v>6394902</v>
      </c>
      <c r="C251" s="1">
        <v>45559</v>
      </c>
      <c r="D251">
        <v>19</v>
      </c>
      <c r="E251">
        <f>IF(
  ISNA(
    _xlfn.XLOOKUP(
      payments_raw[[#This Row],[subscription_id]],
      subscriptions[subscription_id],
      subscriptions[subscription_id]
    )
  ),
  0,
  1
)</f>
        <v>1</v>
      </c>
      <c r="F251" s="1">
        <f>_xlfn.XLOOKUP(payments_raw[[#This Row],[subscription_id]], subscriptions[subscription_id], subscriptions[start_date])</f>
        <v>45038</v>
      </c>
      <c r="G2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" s="2">
        <f>IF(payments_raw[[#This Row],[payment_date]] &lt; payments_raw[[#This Row],[sub_start_date]], 1, 0)</f>
        <v>0</v>
      </c>
      <c r="I251" s="2">
        <f>IF(AND(payments_raw[[#This Row],[sub_end_date]]&lt;&gt;"", payments_raw[[#This Row],[payment_date]] &gt; payments_raw[[#This Row],[sub_end_date]]), 1, 0)</f>
        <v>0</v>
      </c>
      <c r="J251" s="2">
        <f>IF(payments_raw[[#This Row],[amount]] &lt;= 0, 1, 0)</f>
        <v>0</v>
      </c>
      <c r="K2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" spans="1:11" x14ac:dyDescent="0.3">
      <c r="A252">
        <v>96710149</v>
      </c>
      <c r="B252">
        <v>8230086</v>
      </c>
      <c r="C252" s="1">
        <v>45290</v>
      </c>
      <c r="D252">
        <v>299</v>
      </c>
      <c r="E252">
        <f>IF(
  ISNA(
    _xlfn.XLOOKUP(
      payments_raw[[#This Row],[subscription_id]],
      subscriptions[subscription_id],
      subscriptions[subscription_id]
    )
  ),
  0,
  1
)</f>
        <v>1</v>
      </c>
      <c r="F252" s="1">
        <f>_xlfn.XLOOKUP(payments_raw[[#This Row],[subscription_id]], subscriptions[subscription_id], subscriptions[start_date])</f>
        <v>45129</v>
      </c>
      <c r="G2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2" s="2">
        <f>IF(payments_raw[[#This Row],[payment_date]] &lt; payments_raw[[#This Row],[sub_start_date]], 1, 0)</f>
        <v>0</v>
      </c>
      <c r="I252" s="2">
        <f>IF(AND(payments_raw[[#This Row],[sub_end_date]]&lt;&gt;"", payments_raw[[#This Row],[payment_date]] &gt; payments_raw[[#This Row],[sub_end_date]]), 1, 0)</f>
        <v>0</v>
      </c>
      <c r="J252" s="2">
        <f>IF(payments_raw[[#This Row],[amount]] &lt;= 0, 1, 0)</f>
        <v>0</v>
      </c>
      <c r="K2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" spans="1:11" x14ac:dyDescent="0.3">
      <c r="A253">
        <v>79962130</v>
      </c>
      <c r="B253">
        <v>7325627</v>
      </c>
      <c r="C253" s="1">
        <v>45203</v>
      </c>
      <c r="D253">
        <v>39</v>
      </c>
      <c r="E253">
        <f>IF(
  ISNA(
    _xlfn.XLOOKUP(
      payments_raw[[#This Row],[subscription_id]],
      subscriptions[subscription_id],
      subscriptions[subscription_id]
    )
  ),
  0,
  1
)</f>
        <v>1</v>
      </c>
      <c r="F253" s="1">
        <f>_xlfn.XLOOKUP(payments_raw[[#This Row],[subscription_id]], subscriptions[subscription_id], subscriptions[start_date])</f>
        <v>44909</v>
      </c>
      <c r="G2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" s="2">
        <f>IF(payments_raw[[#This Row],[payment_date]] &lt; payments_raw[[#This Row],[sub_start_date]], 1, 0)</f>
        <v>0</v>
      </c>
      <c r="I253" s="2">
        <f>IF(AND(payments_raw[[#This Row],[sub_end_date]]&lt;&gt;"", payments_raw[[#This Row],[payment_date]] &gt; payments_raw[[#This Row],[sub_end_date]]), 1, 0)</f>
        <v>0</v>
      </c>
      <c r="J253" s="2">
        <f>IF(payments_raw[[#This Row],[amount]] &lt;= 0, 1, 0)</f>
        <v>0</v>
      </c>
      <c r="K2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" spans="1:11" x14ac:dyDescent="0.3">
      <c r="A254">
        <v>20073766</v>
      </c>
      <c r="B254">
        <v>3159890</v>
      </c>
      <c r="C254" s="1">
        <v>45375</v>
      </c>
      <c r="D254">
        <v>190</v>
      </c>
      <c r="E254">
        <f>IF(
  ISNA(
    _xlfn.XLOOKUP(
      payments_raw[[#This Row],[subscription_id]],
      subscriptions[subscription_id],
      subscriptions[subscription_id]
    )
  ),
  0,
  1
)</f>
        <v>1</v>
      </c>
      <c r="F254" s="1">
        <f>_xlfn.XLOOKUP(payments_raw[[#This Row],[subscription_id]], subscriptions[subscription_id], subscriptions[start_date])</f>
        <v>45348</v>
      </c>
      <c r="G2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45383</v>
      </c>
      <c r="H254" s="2">
        <f>IF(payments_raw[[#This Row],[payment_date]] &lt; payments_raw[[#This Row],[sub_start_date]], 1, 0)</f>
        <v>0</v>
      </c>
      <c r="I254" s="2">
        <f>IF(AND(payments_raw[[#This Row],[sub_end_date]]&lt;&gt;"", payments_raw[[#This Row],[payment_date]] &gt; payments_raw[[#This Row],[sub_end_date]]), 1, 0)</f>
        <v>0</v>
      </c>
      <c r="J254" s="2">
        <f>IF(payments_raw[[#This Row],[amount]] &lt;= 0, 1, 0)</f>
        <v>0</v>
      </c>
      <c r="K2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" spans="1:11" x14ac:dyDescent="0.3">
      <c r="A255">
        <v>66011264</v>
      </c>
      <c r="B255">
        <v>1478098</v>
      </c>
      <c r="C255" s="1">
        <v>45541</v>
      </c>
      <c r="D255">
        <v>19</v>
      </c>
      <c r="E255">
        <f>IF(
  ISNA(
    _xlfn.XLOOKUP(
      payments_raw[[#This Row],[subscription_id]],
      subscriptions[subscription_id],
      subscriptions[subscription_id]
    )
  ),
  0,
  1
)</f>
        <v>1</v>
      </c>
      <c r="F255" s="1">
        <f>_xlfn.XLOOKUP(payments_raw[[#This Row],[subscription_id]], subscriptions[subscription_id], subscriptions[start_date])</f>
        <v>45525</v>
      </c>
      <c r="G2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5" s="2">
        <f>IF(payments_raw[[#This Row],[payment_date]] &lt; payments_raw[[#This Row],[sub_start_date]], 1, 0)</f>
        <v>0</v>
      </c>
      <c r="I255" s="2">
        <f>IF(AND(payments_raw[[#This Row],[sub_end_date]]&lt;&gt;"", payments_raw[[#This Row],[payment_date]] &gt; payments_raw[[#This Row],[sub_end_date]]), 1, 0)</f>
        <v>0</v>
      </c>
      <c r="J255" s="2">
        <f>IF(payments_raw[[#This Row],[amount]] &lt;= 0, 1, 0)</f>
        <v>0</v>
      </c>
      <c r="K2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" spans="1:11" x14ac:dyDescent="0.3">
      <c r="A256">
        <v>29537240</v>
      </c>
      <c r="B256">
        <v>8544263</v>
      </c>
      <c r="C256" s="1">
        <v>45567</v>
      </c>
      <c r="D256">
        <v>29.25</v>
      </c>
      <c r="E256">
        <f>IF(
  ISNA(
    _xlfn.XLOOKUP(
      payments_raw[[#This Row],[subscription_id]],
      subscriptions[subscription_id],
      subscriptions[subscription_id]
    )
  ),
  0,
  1
)</f>
        <v>1</v>
      </c>
      <c r="F256" s="1">
        <f>_xlfn.XLOOKUP(payments_raw[[#This Row],[subscription_id]], subscriptions[subscription_id], subscriptions[start_date])</f>
        <v>44911</v>
      </c>
      <c r="G2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" s="2">
        <f>IF(payments_raw[[#This Row],[payment_date]] &lt; payments_raw[[#This Row],[sub_start_date]], 1, 0)</f>
        <v>0</v>
      </c>
      <c r="I256" s="2">
        <f>IF(AND(payments_raw[[#This Row],[sub_end_date]]&lt;&gt;"", payments_raw[[#This Row],[payment_date]] &gt; payments_raw[[#This Row],[sub_end_date]]), 1, 0)</f>
        <v>0</v>
      </c>
      <c r="J256" s="2">
        <f>IF(payments_raw[[#This Row],[amount]] &lt;= 0, 1, 0)</f>
        <v>0</v>
      </c>
      <c r="K2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" spans="1:11" x14ac:dyDescent="0.3">
      <c r="A257">
        <v>62783449</v>
      </c>
      <c r="B257">
        <v>5319211</v>
      </c>
      <c r="C257" s="1">
        <v>44666</v>
      </c>
      <c r="D257">
        <v>190</v>
      </c>
      <c r="E257">
        <f>IF(
  ISNA(
    _xlfn.XLOOKUP(
      payments_raw[[#This Row],[subscription_id]],
      subscriptions[subscription_id],
      subscriptions[subscription_id]
    )
  ),
  0,
  1
)</f>
        <v>1</v>
      </c>
      <c r="F257" s="1">
        <f>_xlfn.XLOOKUP(payments_raw[[#This Row],[subscription_id]], subscriptions[subscription_id], subscriptions[start_date])</f>
        <v>44595</v>
      </c>
      <c r="G25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44805</v>
      </c>
      <c r="H257" s="2">
        <f>IF(payments_raw[[#This Row],[payment_date]] &lt; payments_raw[[#This Row],[sub_start_date]], 1, 0)</f>
        <v>0</v>
      </c>
      <c r="I257" s="2">
        <f>IF(AND(payments_raw[[#This Row],[sub_end_date]]&lt;&gt;"", payments_raw[[#This Row],[payment_date]] &gt; payments_raw[[#This Row],[sub_end_date]]), 1, 0)</f>
        <v>0</v>
      </c>
      <c r="J257" s="2">
        <f>IF(payments_raw[[#This Row],[amount]] &lt;= 0, 1, 0)</f>
        <v>0</v>
      </c>
      <c r="K2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" spans="1:11" x14ac:dyDescent="0.3">
      <c r="A258">
        <v>55833023</v>
      </c>
      <c r="B258">
        <v>7510631</v>
      </c>
      <c r="C258" s="1">
        <v>45249</v>
      </c>
      <c r="D258">
        <v>390</v>
      </c>
      <c r="E258">
        <f>IF(
  ISNA(
    _xlfn.XLOOKUP(
      payments_raw[[#This Row],[subscription_id]],
      subscriptions[subscription_id],
      subscriptions[subscription_id]
    )
  ),
  0,
  1
)</f>
        <v>1</v>
      </c>
      <c r="F258" s="1">
        <f>_xlfn.XLOOKUP(payments_raw[[#This Row],[subscription_id]], subscriptions[subscription_id], subscriptions[start_date])</f>
        <v>44939</v>
      </c>
      <c r="G2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" s="2">
        <f>IF(payments_raw[[#This Row],[payment_date]] &lt; payments_raw[[#This Row],[sub_start_date]], 1, 0)</f>
        <v>0</v>
      </c>
      <c r="I258" s="2">
        <f>IF(AND(payments_raw[[#This Row],[sub_end_date]]&lt;&gt;"", payments_raw[[#This Row],[payment_date]] &gt; payments_raw[[#This Row],[sub_end_date]]), 1, 0)</f>
        <v>0</v>
      </c>
      <c r="J258" s="2">
        <f>IF(payments_raw[[#This Row],[amount]] &lt;= 0, 1, 0)</f>
        <v>0</v>
      </c>
      <c r="K2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" spans="1:11" x14ac:dyDescent="0.3">
      <c r="A259">
        <v>91241436</v>
      </c>
      <c r="B259">
        <v>4179223</v>
      </c>
      <c r="C259" s="1">
        <v>45602</v>
      </c>
      <c r="D259">
        <v>390</v>
      </c>
      <c r="E259">
        <f>IF(
  ISNA(
    _xlfn.XLOOKUP(
      payments_raw[[#This Row],[subscription_id]],
      subscriptions[subscription_id],
      subscriptions[subscription_id]
    )
  ),
  0,
  1
)</f>
        <v>1</v>
      </c>
      <c r="F259" s="1">
        <f>_xlfn.XLOOKUP(payments_raw[[#This Row],[subscription_id]], subscriptions[subscription_id], subscriptions[start_date])</f>
        <v>45561</v>
      </c>
      <c r="G2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" s="2">
        <f>IF(payments_raw[[#This Row],[payment_date]] &lt; payments_raw[[#This Row],[sub_start_date]], 1, 0)</f>
        <v>0</v>
      </c>
      <c r="I259" s="2">
        <f>IF(AND(payments_raw[[#This Row],[sub_end_date]]&lt;&gt;"", payments_raw[[#This Row],[payment_date]] &gt; payments_raw[[#This Row],[sub_end_date]]), 1, 0)</f>
        <v>0</v>
      </c>
      <c r="J259" s="2">
        <f>IF(payments_raw[[#This Row],[amount]] &lt;= 0, 1, 0)</f>
        <v>0</v>
      </c>
      <c r="K2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" spans="1:11" x14ac:dyDescent="0.3">
      <c r="A260">
        <v>73070505</v>
      </c>
      <c r="B260">
        <v>8876684</v>
      </c>
      <c r="C260" s="1">
        <v>45611</v>
      </c>
      <c r="D260">
        <v>299</v>
      </c>
      <c r="E260">
        <f>IF(
  ISNA(
    _xlfn.XLOOKUP(
      payments_raw[[#This Row],[subscription_id]],
      subscriptions[subscription_id],
      subscriptions[subscription_id]
    )
  ),
  0,
  1
)</f>
        <v>1</v>
      </c>
      <c r="F260" s="1">
        <f>_xlfn.XLOOKUP(payments_raw[[#This Row],[subscription_id]], subscriptions[subscription_id], subscriptions[start_date])</f>
        <v>45088</v>
      </c>
      <c r="G2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0" s="2">
        <f>IF(payments_raw[[#This Row],[payment_date]] &lt; payments_raw[[#This Row],[sub_start_date]], 1, 0)</f>
        <v>0</v>
      </c>
      <c r="I260" s="2">
        <f>IF(AND(payments_raw[[#This Row],[sub_end_date]]&lt;&gt;"", payments_raw[[#This Row],[payment_date]] &gt; payments_raw[[#This Row],[sub_end_date]]), 1, 0)</f>
        <v>0</v>
      </c>
      <c r="J260" s="2">
        <f>IF(payments_raw[[#This Row],[amount]] &lt;= 0, 1, 0)</f>
        <v>0</v>
      </c>
      <c r="K2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" spans="1:11" x14ac:dyDescent="0.3">
      <c r="A261">
        <v>89129551</v>
      </c>
      <c r="B261">
        <v>8727379</v>
      </c>
      <c r="C261" s="1">
        <v>44598</v>
      </c>
      <c r="D261">
        <v>19</v>
      </c>
      <c r="E261">
        <f>IF(
  ISNA(
    _xlfn.XLOOKUP(
      payments_raw[[#This Row],[subscription_id]],
      subscriptions[subscription_id],
      subscriptions[subscription_id]
    )
  ),
  0,
  1
)</f>
        <v>1</v>
      </c>
      <c r="F261" s="1">
        <f>_xlfn.XLOOKUP(payments_raw[[#This Row],[subscription_id]], subscriptions[subscription_id], subscriptions[start_date])</f>
        <v>44563</v>
      </c>
      <c r="G261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44695</v>
      </c>
      <c r="H261" s="2">
        <f>IF(payments_raw[[#This Row],[payment_date]] &lt; payments_raw[[#This Row],[sub_start_date]], 1, 0)</f>
        <v>0</v>
      </c>
      <c r="I261" s="2">
        <f>IF(AND(payments_raw[[#This Row],[sub_end_date]]&lt;&gt;"", payments_raw[[#This Row],[payment_date]] &gt; payments_raw[[#This Row],[sub_end_date]]), 1, 0)</f>
        <v>0</v>
      </c>
      <c r="J261" s="2">
        <f>IF(payments_raw[[#This Row],[amount]] &lt;= 0, 1, 0)</f>
        <v>0</v>
      </c>
      <c r="K2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" spans="1:11" x14ac:dyDescent="0.3">
      <c r="A262">
        <v>22212161</v>
      </c>
      <c r="B262">
        <v>8208583</v>
      </c>
      <c r="C262" s="1">
        <v>45580</v>
      </c>
      <c r="D262">
        <v>190</v>
      </c>
      <c r="E262">
        <f>IF(
  ISNA(
    _xlfn.XLOOKUP(
      payments_raw[[#This Row],[subscription_id]],
      subscriptions[subscription_id],
      subscriptions[subscription_id]
    )
  ),
  0,
  1
)</f>
        <v>1</v>
      </c>
      <c r="F262" s="1">
        <f>_xlfn.XLOOKUP(payments_raw[[#This Row],[subscription_id]], subscriptions[subscription_id], subscriptions[start_date])</f>
        <v>44578</v>
      </c>
      <c r="G2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" s="2">
        <f>IF(payments_raw[[#This Row],[payment_date]] &lt; payments_raw[[#This Row],[sub_start_date]], 1, 0)</f>
        <v>0</v>
      </c>
      <c r="I262" s="2">
        <f>IF(AND(payments_raw[[#This Row],[sub_end_date]]&lt;&gt;"", payments_raw[[#This Row],[payment_date]] &gt; payments_raw[[#This Row],[sub_end_date]]), 1, 0)</f>
        <v>0</v>
      </c>
      <c r="J262" s="2">
        <f>IF(payments_raw[[#This Row],[amount]] &lt;= 0, 1, 0)</f>
        <v>0</v>
      </c>
      <c r="K2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" spans="1:11" x14ac:dyDescent="0.3">
      <c r="A263">
        <v>81503033</v>
      </c>
      <c r="B263">
        <v>8135314</v>
      </c>
      <c r="C263" s="1">
        <v>45371</v>
      </c>
      <c r="D263">
        <v>19</v>
      </c>
      <c r="E263">
        <f>IF(
  ISNA(
    _xlfn.XLOOKUP(
      payments_raw[[#This Row],[subscription_id]],
      subscriptions[subscription_id],
      subscriptions[subscription_id]
    )
  ),
  0,
  1
)</f>
        <v>1</v>
      </c>
      <c r="F263" s="1">
        <f>_xlfn.XLOOKUP(payments_raw[[#This Row],[subscription_id]], subscriptions[subscription_id], subscriptions[start_date])</f>
        <v>45367</v>
      </c>
      <c r="G2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45399</v>
      </c>
      <c r="H263" s="2">
        <f>IF(payments_raw[[#This Row],[payment_date]] &lt; payments_raw[[#This Row],[sub_start_date]], 1, 0)</f>
        <v>0</v>
      </c>
      <c r="I263" s="2">
        <f>IF(AND(payments_raw[[#This Row],[sub_end_date]]&lt;&gt;"", payments_raw[[#This Row],[payment_date]] &gt; payments_raw[[#This Row],[sub_end_date]]), 1, 0)</f>
        <v>0</v>
      </c>
      <c r="J263" s="2">
        <f>IF(payments_raw[[#This Row],[amount]] &lt;= 0, 1, 0)</f>
        <v>0</v>
      </c>
      <c r="K2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" spans="1:11" x14ac:dyDescent="0.3">
      <c r="A264">
        <v>45998754</v>
      </c>
      <c r="B264">
        <v>9485991</v>
      </c>
      <c r="C264" s="1">
        <v>45539</v>
      </c>
      <c r="D264">
        <v>79</v>
      </c>
      <c r="E264">
        <f>IF(
  ISNA(
    _xlfn.XLOOKUP(
      payments_raw[[#This Row],[subscription_id]],
      subscriptions[subscription_id],
      subscriptions[subscription_id]
    )
  ),
  0,
  1
)</f>
        <v>1</v>
      </c>
      <c r="F264" s="1">
        <f>_xlfn.XLOOKUP(payments_raw[[#This Row],[subscription_id]], subscriptions[subscription_id], subscriptions[start_date])</f>
        <v>45470</v>
      </c>
      <c r="G2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" s="2">
        <f>IF(payments_raw[[#This Row],[payment_date]] &lt; payments_raw[[#This Row],[sub_start_date]], 1, 0)</f>
        <v>0</v>
      </c>
      <c r="I264" s="2">
        <f>IF(AND(payments_raw[[#This Row],[sub_end_date]]&lt;&gt;"", payments_raw[[#This Row],[payment_date]] &gt; payments_raw[[#This Row],[sub_end_date]]), 1, 0)</f>
        <v>0</v>
      </c>
      <c r="J264" s="2">
        <f>IF(payments_raw[[#This Row],[amount]] &lt;= 0, 1, 0)</f>
        <v>0</v>
      </c>
      <c r="K2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" spans="1:11" x14ac:dyDescent="0.3">
      <c r="A265">
        <v>89783556</v>
      </c>
      <c r="B265">
        <v>4323637</v>
      </c>
      <c r="C265" s="1">
        <v>44962</v>
      </c>
      <c r="D265">
        <v>2990</v>
      </c>
      <c r="E265">
        <f>IF(
  ISNA(
    _xlfn.XLOOKUP(
      payments_raw[[#This Row],[subscription_id]],
      subscriptions[subscription_id],
      subscriptions[subscription_id]
    )
  ),
  0,
  1
)</f>
        <v>1</v>
      </c>
      <c r="F265" s="1">
        <f>_xlfn.XLOOKUP(payments_raw[[#This Row],[subscription_id]], subscriptions[subscription_id], subscriptions[start_date])</f>
        <v>44930</v>
      </c>
      <c r="G26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265" s="2">
        <f>IF(payments_raw[[#This Row],[payment_date]] &lt; payments_raw[[#This Row],[sub_start_date]], 1, 0)</f>
        <v>0</v>
      </c>
      <c r="I265" s="2">
        <f>IF(AND(payments_raw[[#This Row],[sub_end_date]]&lt;&gt;"", payments_raw[[#This Row],[payment_date]] &gt; payments_raw[[#This Row],[sub_end_date]]), 1, 0)</f>
        <v>0</v>
      </c>
      <c r="J265" s="2">
        <f>IF(payments_raw[[#This Row],[amount]] &lt;= 0, 1, 0)</f>
        <v>0</v>
      </c>
      <c r="K2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" spans="1:11" x14ac:dyDescent="0.3">
      <c r="A266">
        <v>53508602</v>
      </c>
      <c r="B266">
        <v>8544263</v>
      </c>
      <c r="C266" s="1">
        <v>45156</v>
      </c>
      <c r="D266">
        <v>39</v>
      </c>
      <c r="E266">
        <f>IF(
  ISNA(
    _xlfn.XLOOKUP(
      payments_raw[[#This Row],[subscription_id]],
      subscriptions[subscription_id],
      subscriptions[subscription_id]
    )
  ),
  0,
  1
)</f>
        <v>1</v>
      </c>
      <c r="F266" s="1">
        <f>_xlfn.XLOOKUP(payments_raw[[#This Row],[subscription_id]], subscriptions[subscription_id], subscriptions[start_date])</f>
        <v>44911</v>
      </c>
      <c r="G2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" s="2">
        <f>IF(payments_raw[[#This Row],[payment_date]] &lt; payments_raw[[#This Row],[sub_start_date]], 1, 0)</f>
        <v>0</v>
      </c>
      <c r="I266" s="2">
        <f>IF(AND(payments_raw[[#This Row],[sub_end_date]]&lt;&gt;"", payments_raw[[#This Row],[payment_date]] &gt; payments_raw[[#This Row],[sub_end_date]]), 1, 0)</f>
        <v>0</v>
      </c>
      <c r="J266" s="2">
        <f>IF(payments_raw[[#This Row],[amount]] &lt;= 0, 1, 0)</f>
        <v>0</v>
      </c>
      <c r="K2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" spans="1:11" x14ac:dyDescent="0.3">
      <c r="A267">
        <v>56776651</v>
      </c>
      <c r="B267">
        <v>9176462</v>
      </c>
      <c r="C267" s="1">
        <v>45574</v>
      </c>
      <c r="D267">
        <v>790</v>
      </c>
      <c r="E267">
        <f>IF(
  ISNA(
    _xlfn.XLOOKUP(
      payments_raw[[#This Row],[subscription_id]],
      subscriptions[subscription_id],
      subscriptions[subscription_id]
    )
  ),
  0,
  1
)</f>
        <v>1</v>
      </c>
      <c r="F267" s="1">
        <f>_xlfn.XLOOKUP(payments_raw[[#This Row],[subscription_id]], subscriptions[subscription_id], subscriptions[start_date])</f>
        <v>45496</v>
      </c>
      <c r="G2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67" s="2">
        <f>IF(payments_raw[[#This Row],[payment_date]] &lt; payments_raw[[#This Row],[sub_start_date]], 1, 0)</f>
        <v>0</v>
      </c>
      <c r="I267" s="2">
        <f>IF(AND(payments_raw[[#This Row],[sub_end_date]]&lt;&gt;"", payments_raw[[#This Row],[payment_date]] &gt; payments_raw[[#This Row],[sub_end_date]]), 1, 0)</f>
        <v>0</v>
      </c>
      <c r="J267" s="2">
        <f>IF(payments_raw[[#This Row],[amount]] &lt;= 0, 1, 0)</f>
        <v>0</v>
      </c>
      <c r="K2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" spans="1:11" x14ac:dyDescent="0.3">
      <c r="A268">
        <v>54962735</v>
      </c>
      <c r="B268">
        <v>3751899</v>
      </c>
      <c r="C268" s="1">
        <v>45167</v>
      </c>
      <c r="D268">
        <v>79</v>
      </c>
      <c r="E268">
        <f>IF(
  ISNA(
    _xlfn.XLOOKUP(
      payments_raw[[#This Row],[subscription_id]],
      subscriptions[subscription_id],
      subscriptions[subscription_id]
    )
  ),
  0,
  1
)</f>
        <v>1</v>
      </c>
      <c r="F268" s="1">
        <f>_xlfn.XLOOKUP(payments_raw[[#This Row],[subscription_id]], subscriptions[subscription_id], subscriptions[start_date])</f>
        <v>44902</v>
      </c>
      <c r="G2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268" s="2">
        <f>IF(payments_raw[[#This Row],[payment_date]] &lt; payments_raw[[#This Row],[sub_start_date]], 1, 0)</f>
        <v>0</v>
      </c>
      <c r="I268" s="2">
        <f>IF(AND(payments_raw[[#This Row],[sub_end_date]]&lt;&gt;"", payments_raw[[#This Row],[payment_date]] &gt; payments_raw[[#This Row],[sub_end_date]]), 1, 0)</f>
        <v>0</v>
      </c>
      <c r="J268" s="2">
        <f>IF(payments_raw[[#This Row],[amount]] &lt;= 0, 1, 0)</f>
        <v>0</v>
      </c>
      <c r="K2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" spans="1:11" x14ac:dyDescent="0.3">
      <c r="A269">
        <v>47382608</v>
      </c>
      <c r="B269">
        <v>3799814</v>
      </c>
      <c r="C269" s="1">
        <v>44803</v>
      </c>
      <c r="D269">
        <v>19</v>
      </c>
      <c r="E269">
        <f>IF(
  ISNA(
    _xlfn.XLOOKUP(
      payments_raw[[#This Row],[subscription_id]],
      subscriptions[subscription_id],
      subscriptions[subscription_id]
    )
  ),
  0,
  1
)</f>
        <v>1</v>
      </c>
      <c r="F269" s="1">
        <f>_xlfn.XLOOKUP(payments_raw[[#This Row],[subscription_id]], subscriptions[subscription_id], subscriptions[start_date])</f>
        <v>44668</v>
      </c>
      <c r="G2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45056</v>
      </c>
      <c r="H269" s="2">
        <f>IF(payments_raw[[#This Row],[payment_date]] &lt; payments_raw[[#This Row],[sub_start_date]], 1, 0)</f>
        <v>0</v>
      </c>
      <c r="I269" s="2">
        <f>IF(AND(payments_raw[[#This Row],[sub_end_date]]&lt;&gt;"", payments_raw[[#This Row],[payment_date]] &gt; payments_raw[[#This Row],[sub_end_date]]), 1, 0)</f>
        <v>0</v>
      </c>
      <c r="J269" s="2">
        <f>IF(payments_raw[[#This Row],[amount]] &lt;= 0, 1, 0)</f>
        <v>0</v>
      </c>
      <c r="K2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" spans="1:11" x14ac:dyDescent="0.3">
      <c r="A270">
        <v>99883548</v>
      </c>
      <c r="B270">
        <v>7942032</v>
      </c>
      <c r="C270" s="1">
        <v>44968</v>
      </c>
      <c r="D270">
        <v>39</v>
      </c>
      <c r="E270">
        <f>IF(
  ISNA(
    _xlfn.XLOOKUP(
      payments_raw[[#This Row],[subscription_id]],
      subscriptions[subscription_id],
      subscriptions[subscription_id]
    )
  ),
  0,
  1
)</f>
        <v>1</v>
      </c>
      <c r="F270" s="1">
        <f>_xlfn.XLOOKUP(payments_raw[[#This Row],[subscription_id]], subscriptions[subscription_id], subscriptions[start_date])</f>
        <v>44872</v>
      </c>
      <c r="G2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45203</v>
      </c>
      <c r="H270" s="2">
        <f>IF(payments_raw[[#This Row],[payment_date]] &lt; payments_raw[[#This Row],[sub_start_date]], 1, 0)</f>
        <v>0</v>
      </c>
      <c r="I270" s="2">
        <f>IF(AND(payments_raw[[#This Row],[sub_end_date]]&lt;&gt;"", payments_raw[[#This Row],[payment_date]] &gt; payments_raw[[#This Row],[sub_end_date]]), 1, 0)</f>
        <v>0</v>
      </c>
      <c r="J270" s="2">
        <f>IF(payments_raw[[#This Row],[amount]] &lt;= 0, 1, 0)</f>
        <v>0</v>
      </c>
      <c r="K2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" spans="1:11" x14ac:dyDescent="0.3">
      <c r="A271">
        <v>28693532</v>
      </c>
      <c r="B271">
        <v>7685239</v>
      </c>
      <c r="C271" s="1">
        <v>45542</v>
      </c>
      <c r="D271">
        <v>149</v>
      </c>
      <c r="E271">
        <f>IF(
  ISNA(
    _xlfn.XLOOKUP(
      payments_raw[[#This Row],[subscription_id]],
      subscriptions[subscription_id],
      subscriptions[subscription_id]
    )
  ),
  0,
  1
)</f>
        <v>1</v>
      </c>
      <c r="F271" s="1">
        <f>_xlfn.XLOOKUP(payments_raw[[#This Row],[subscription_id]], subscriptions[subscription_id], subscriptions[start_date])</f>
        <v>45337</v>
      </c>
      <c r="G2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45549</v>
      </c>
      <c r="H271" s="2">
        <f>IF(payments_raw[[#This Row],[payment_date]] &lt; payments_raw[[#This Row],[sub_start_date]], 1, 0)</f>
        <v>0</v>
      </c>
      <c r="I271" s="2">
        <f>IF(AND(payments_raw[[#This Row],[sub_end_date]]&lt;&gt;"", payments_raw[[#This Row],[payment_date]] &gt; payments_raw[[#This Row],[sub_end_date]]), 1, 0)</f>
        <v>0</v>
      </c>
      <c r="J271" s="2">
        <f>IF(payments_raw[[#This Row],[amount]] &lt;= 0, 1, 0)</f>
        <v>0</v>
      </c>
      <c r="K2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" spans="1:11" x14ac:dyDescent="0.3">
      <c r="A272">
        <v>49596283</v>
      </c>
      <c r="B272">
        <v>4257839</v>
      </c>
      <c r="C272" s="1">
        <v>44985</v>
      </c>
      <c r="D272">
        <v>390</v>
      </c>
      <c r="E272">
        <f>IF(
  ISNA(
    _xlfn.XLOOKUP(
      payments_raw[[#This Row],[subscription_id]],
      subscriptions[subscription_id],
      subscriptions[subscription_id]
    )
  ),
  0,
  1
)</f>
        <v>1</v>
      </c>
      <c r="F272" s="1">
        <f>_xlfn.XLOOKUP(payments_raw[[#This Row],[subscription_id]], subscriptions[subscription_id], subscriptions[start_date])</f>
        <v>44596</v>
      </c>
      <c r="G2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" s="2">
        <f>IF(payments_raw[[#This Row],[payment_date]] &lt; payments_raw[[#This Row],[sub_start_date]], 1, 0)</f>
        <v>0</v>
      </c>
      <c r="I272" s="2">
        <f>IF(AND(payments_raw[[#This Row],[sub_end_date]]&lt;&gt;"", payments_raw[[#This Row],[payment_date]] &gt; payments_raw[[#This Row],[sub_end_date]]), 1, 0)</f>
        <v>0</v>
      </c>
      <c r="J272" s="2">
        <f>IF(payments_raw[[#This Row],[amount]] &lt;= 0, 1, 0)</f>
        <v>0</v>
      </c>
      <c r="K2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" spans="1:11" x14ac:dyDescent="0.3">
      <c r="A273">
        <v>58517955</v>
      </c>
      <c r="B273">
        <v>2237660</v>
      </c>
      <c r="C273" s="1">
        <v>45629</v>
      </c>
      <c r="D273">
        <v>390</v>
      </c>
      <c r="E273">
        <f>IF(
  ISNA(
    _xlfn.XLOOKUP(
      payments_raw[[#This Row],[subscription_id]],
      subscriptions[subscription_id],
      subscriptions[subscription_id]
    )
  ),
  0,
  1
)</f>
        <v>1</v>
      </c>
      <c r="F273" s="1">
        <f>_xlfn.XLOOKUP(payments_raw[[#This Row],[subscription_id]], subscriptions[subscription_id], subscriptions[start_date])</f>
        <v>45538</v>
      </c>
      <c r="G2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273" s="2">
        <f>IF(payments_raw[[#This Row],[payment_date]] &lt; payments_raw[[#This Row],[sub_start_date]], 1, 0)</f>
        <v>0</v>
      </c>
      <c r="I273" s="2">
        <f>IF(AND(payments_raw[[#This Row],[sub_end_date]]&lt;&gt;"", payments_raw[[#This Row],[payment_date]] &gt; payments_raw[[#This Row],[sub_end_date]]), 1, 0)</f>
        <v>0</v>
      </c>
      <c r="J273" s="2">
        <f>IF(payments_raw[[#This Row],[amount]] &lt;= 0, 1, 0)</f>
        <v>0</v>
      </c>
      <c r="K2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" spans="1:11" x14ac:dyDescent="0.3">
      <c r="A274">
        <v>53103015</v>
      </c>
      <c r="B274">
        <v>3071382</v>
      </c>
      <c r="C274" s="1">
        <v>45226</v>
      </c>
      <c r="D274">
        <v>299</v>
      </c>
      <c r="E274">
        <f>IF(
  ISNA(
    _xlfn.XLOOKUP(
      payments_raw[[#This Row],[subscription_id]],
      subscriptions[subscription_id],
      subscriptions[subscription_id]
    )
  ),
  0,
  1
)</f>
        <v>1</v>
      </c>
      <c r="F274" s="1">
        <f>_xlfn.XLOOKUP(payments_raw[[#This Row],[subscription_id]], subscriptions[subscription_id], subscriptions[start_date])</f>
        <v>45122</v>
      </c>
      <c r="G2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45513</v>
      </c>
      <c r="H274" s="2">
        <f>IF(payments_raw[[#This Row],[payment_date]] &lt; payments_raw[[#This Row],[sub_start_date]], 1, 0)</f>
        <v>0</v>
      </c>
      <c r="I274" s="2">
        <f>IF(AND(payments_raw[[#This Row],[sub_end_date]]&lt;&gt;"", payments_raw[[#This Row],[payment_date]] &gt; payments_raw[[#This Row],[sub_end_date]]), 1, 0)</f>
        <v>0</v>
      </c>
      <c r="J274" s="2">
        <f>IF(payments_raw[[#This Row],[amount]] &lt;= 0, 1, 0)</f>
        <v>0</v>
      </c>
      <c r="K2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" spans="1:11" x14ac:dyDescent="0.3">
      <c r="A275">
        <v>88081032</v>
      </c>
      <c r="B275">
        <v>8172456</v>
      </c>
      <c r="C275" s="1">
        <v>45598</v>
      </c>
      <c r="D275">
        <v>790</v>
      </c>
      <c r="E275">
        <f>IF(
  ISNA(
    _xlfn.XLOOKUP(
      payments_raw[[#This Row],[subscription_id]],
      subscriptions[subscription_id],
      subscriptions[subscription_id]
    )
  ),
  0,
  1
)</f>
        <v>1</v>
      </c>
      <c r="F275" s="1">
        <f>_xlfn.XLOOKUP(payments_raw[[#This Row],[subscription_id]], subscriptions[subscription_id], subscriptions[start_date])</f>
        <v>45332</v>
      </c>
      <c r="G2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275" s="2">
        <f>IF(payments_raw[[#This Row],[payment_date]] &lt; payments_raw[[#This Row],[sub_start_date]], 1, 0)</f>
        <v>0</v>
      </c>
      <c r="I275" s="2">
        <f>IF(AND(payments_raw[[#This Row],[sub_end_date]]&lt;&gt;"", payments_raw[[#This Row],[payment_date]] &gt; payments_raw[[#This Row],[sub_end_date]]), 1, 0)</f>
        <v>0</v>
      </c>
      <c r="J275" s="2">
        <f>IF(payments_raw[[#This Row],[amount]] &lt;= 0, 1, 0)</f>
        <v>0</v>
      </c>
      <c r="K2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" spans="1:11" x14ac:dyDescent="0.3">
      <c r="A276">
        <v>49119248</v>
      </c>
      <c r="B276">
        <v>7153780</v>
      </c>
      <c r="C276" s="1">
        <v>45594</v>
      </c>
      <c r="D276">
        <v>149</v>
      </c>
      <c r="E276">
        <f>IF(
  ISNA(
    _xlfn.XLOOKUP(
      payments_raw[[#This Row],[subscription_id]],
      subscriptions[subscription_id],
      subscriptions[subscription_id]
    )
  ),
  0,
  1
)</f>
        <v>1</v>
      </c>
      <c r="F276" s="1">
        <f>_xlfn.XLOOKUP(payments_raw[[#This Row],[subscription_id]], subscriptions[subscription_id], subscriptions[start_date])</f>
        <v>45431</v>
      </c>
      <c r="G2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" s="2">
        <f>IF(payments_raw[[#This Row],[payment_date]] &lt; payments_raw[[#This Row],[sub_start_date]], 1, 0)</f>
        <v>0</v>
      </c>
      <c r="I276" s="2">
        <f>IF(AND(payments_raw[[#This Row],[sub_end_date]]&lt;&gt;"", payments_raw[[#This Row],[payment_date]] &gt; payments_raw[[#This Row],[sub_end_date]]), 1, 0)</f>
        <v>0</v>
      </c>
      <c r="J276" s="2">
        <f>IF(payments_raw[[#This Row],[amount]] &lt;= 0, 1, 0)</f>
        <v>0</v>
      </c>
      <c r="K2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" spans="1:11" x14ac:dyDescent="0.3">
      <c r="A277">
        <v>90279816</v>
      </c>
      <c r="B277">
        <v>6668492</v>
      </c>
      <c r="C277" s="1">
        <v>45518</v>
      </c>
      <c r="D277">
        <v>190</v>
      </c>
      <c r="E277">
        <f>IF(
  ISNA(
    _xlfn.XLOOKUP(
      payments_raw[[#This Row],[subscription_id]],
      subscriptions[subscription_id],
      subscriptions[subscription_id]
    )
  ),
  0,
  1
)</f>
        <v>1</v>
      </c>
      <c r="F277" s="1">
        <f>_xlfn.XLOOKUP(payments_raw[[#This Row],[subscription_id]], subscriptions[subscription_id], subscriptions[start_date])</f>
        <v>44870</v>
      </c>
      <c r="G2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" s="2">
        <f>IF(payments_raw[[#This Row],[payment_date]] &lt; payments_raw[[#This Row],[sub_start_date]], 1, 0)</f>
        <v>0</v>
      </c>
      <c r="I277" s="2">
        <f>IF(AND(payments_raw[[#This Row],[sub_end_date]]&lt;&gt;"", payments_raw[[#This Row],[payment_date]] &gt; payments_raw[[#This Row],[sub_end_date]]), 1, 0)</f>
        <v>0</v>
      </c>
      <c r="J277" s="2">
        <f>IF(payments_raw[[#This Row],[amount]] &lt;= 0, 1, 0)</f>
        <v>0</v>
      </c>
      <c r="K2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" spans="1:11" x14ac:dyDescent="0.3">
      <c r="A278">
        <v>34572290</v>
      </c>
      <c r="B278">
        <v>8127514</v>
      </c>
      <c r="C278" s="1">
        <v>45528</v>
      </c>
      <c r="D278">
        <v>2990</v>
      </c>
      <c r="E278">
        <f>IF(
  ISNA(
    _xlfn.XLOOKUP(
      payments_raw[[#This Row],[subscription_id]],
      subscriptions[subscription_id],
      subscriptions[subscription_id]
    )
  ),
  0,
  1
)</f>
        <v>1</v>
      </c>
      <c r="F278" s="1">
        <f>_xlfn.XLOOKUP(payments_raw[[#This Row],[subscription_id]], subscriptions[subscription_id], subscriptions[start_date])</f>
        <v>44865</v>
      </c>
      <c r="G2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" s="2">
        <f>IF(payments_raw[[#This Row],[payment_date]] &lt; payments_raw[[#This Row],[sub_start_date]], 1, 0)</f>
        <v>0</v>
      </c>
      <c r="I278" s="2">
        <f>IF(AND(payments_raw[[#This Row],[sub_end_date]]&lt;&gt;"", payments_raw[[#This Row],[payment_date]] &gt; payments_raw[[#This Row],[sub_end_date]]), 1, 0)</f>
        <v>0</v>
      </c>
      <c r="J278" s="2">
        <f>IF(payments_raw[[#This Row],[amount]] &lt;= 0, 1, 0)</f>
        <v>0</v>
      </c>
      <c r="K2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" spans="1:11" x14ac:dyDescent="0.3">
      <c r="A279">
        <v>60331463</v>
      </c>
      <c r="B279">
        <v>6134397</v>
      </c>
      <c r="C279" s="1">
        <v>45278</v>
      </c>
      <c r="D279">
        <v>19</v>
      </c>
      <c r="E279">
        <f>IF(
  ISNA(
    _xlfn.XLOOKUP(
      payments_raw[[#This Row],[subscription_id]],
      subscriptions[subscription_id],
      subscriptions[subscription_id]
    )
  ),
  0,
  1
)</f>
        <v>1</v>
      </c>
      <c r="F279" s="1">
        <f>_xlfn.XLOOKUP(payments_raw[[#This Row],[subscription_id]], subscriptions[subscription_id], subscriptions[start_date])</f>
        <v>45027</v>
      </c>
      <c r="G2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" s="2">
        <f>IF(payments_raw[[#This Row],[payment_date]] &lt; payments_raw[[#This Row],[sub_start_date]], 1, 0)</f>
        <v>0</v>
      </c>
      <c r="I279" s="2">
        <f>IF(AND(payments_raw[[#This Row],[sub_end_date]]&lt;&gt;"", payments_raw[[#This Row],[payment_date]] &gt; payments_raw[[#This Row],[sub_end_date]]), 1, 0)</f>
        <v>0</v>
      </c>
      <c r="J279" s="2">
        <f>IF(payments_raw[[#This Row],[amount]] &lt;= 0, 1, 0)</f>
        <v>0</v>
      </c>
      <c r="K2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" spans="1:11" x14ac:dyDescent="0.3">
      <c r="A280">
        <v>46338173</v>
      </c>
      <c r="B280">
        <v>2240239</v>
      </c>
      <c r="C280" s="1">
        <v>44837</v>
      </c>
      <c r="D280">
        <v>1490</v>
      </c>
      <c r="E280">
        <f>IF(
  ISNA(
    _xlfn.XLOOKUP(
      payments_raw[[#This Row],[subscription_id]],
      subscriptions[subscription_id],
      subscriptions[subscription_id]
    )
  ),
  0,
  1
)</f>
        <v>1</v>
      </c>
      <c r="F280" s="1">
        <f>_xlfn.XLOOKUP(payments_raw[[#This Row],[subscription_id]], subscriptions[subscription_id], subscriptions[start_date])</f>
        <v>44602</v>
      </c>
      <c r="G28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44875</v>
      </c>
      <c r="H280" s="2">
        <f>IF(payments_raw[[#This Row],[payment_date]] &lt; payments_raw[[#This Row],[sub_start_date]], 1, 0)</f>
        <v>0</v>
      </c>
      <c r="I280" s="2">
        <f>IF(AND(payments_raw[[#This Row],[sub_end_date]]&lt;&gt;"", payments_raw[[#This Row],[payment_date]] &gt; payments_raw[[#This Row],[sub_end_date]]), 1, 0)</f>
        <v>0</v>
      </c>
      <c r="J280" s="2">
        <f>IF(payments_raw[[#This Row],[amount]] &lt;= 0, 1, 0)</f>
        <v>0</v>
      </c>
      <c r="K2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" spans="1:11" x14ac:dyDescent="0.3">
      <c r="A281">
        <v>29641411</v>
      </c>
      <c r="B281">
        <v>6707004</v>
      </c>
      <c r="C281" s="1">
        <v>45416</v>
      </c>
      <c r="D281">
        <v>39</v>
      </c>
      <c r="E281">
        <f>IF(
  ISNA(
    _xlfn.XLOOKUP(
      payments_raw[[#This Row],[subscription_id]],
      subscriptions[subscription_id],
      subscriptions[subscription_id]
    )
  ),
  0,
  1
)</f>
        <v>1</v>
      </c>
      <c r="F281" s="1">
        <f>_xlfn.XLOOKUP(payments_raw[[#This Row],[subscription_id]], subscriptions[subscription_id], subscriptions[start_date])</f>
        <v>45286</v>
      </c>
      <c r="G2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" s="2">
        <f>IF(payments_raw[[#This Row],[payment_date]] &lt; payments_raw[[#This Row],[sub_start_date]], 1, 0)</f>
        <v>0</v>
      </c>
      <c r="I281" s="2">
        <f>IF(AND(payments_raw[[#This Row],[sub_end_date]]&lt;&gt;"", payments_raw[[#This Row],[payment_date]] &gt; payments_raw[[#This Row],[sub_end_date]]), 1, 0)</f>
        <v>0</v>
      </c>
      <c r="J281" s="2">
        <f>IF(payments_raw[[#This Row],[amount]] &lt;= 0, 1, 0)</f>
        <v>0</v>
      </c>
      <c r="K2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" spans="1:11" x14ac:dyDescent="0.3">
      <c r="A282">
        <v>43894767</v>
      </c>
      <c r="B282">
        <v>8654679</v>
      </c>
      <c r="C282" s="1">
        <v>44817</v>
      </c>
      <c r="D282">
        <v>2990</v>
      </c>
      <c r="E282">
        <f>IF(
  ISNA(
    _xlfn.XLOOKUP(
      payments_raw[[#This Row],[subscription_id]],
      subscriptions[subscription_id],
      subscriptions[subscription_id]
    )
  ),
  0,
  1
)</f>
        <v>1</v>
      </c>
      <c r="F282" s="1">
        <f>_xlfn.XLOOKUP(payments_raw[[#This Row],[subscription_id]], subscriptions[subscription_id], subscriptions[start_date])</f>
        <v>44563</v>
      </c>
      <c r="G2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" s="2">
        <f>IF(payments_raw[[#This Row],[payment_date]] &lt; payments_raw[[#This Row],[sub_start_date]], 1, 0)</f>
        <v>0</v>
      </c>
      <c r="I282" s="2">
        <f>IF(AND(payments_raw[[#This Row],[sub_end_date]]&lt;&gt;"", payments_raw[[#This Row],[payment_date]] &gt; payments_raw[[#This Row],[sub_end_date]]), 1, 0)</f>
        <v>0</v>
      </c>
      <c r="J282" s="2">
        <f>IF(payments_raw[[#This Row],[amount]] &lt;= 0, 1, 0)</f>
        <v>0</v>
      </c>
      <c r="K2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" spans="1:11" x14ac:dyDescent="0.3">
      <c r="A283">
        <v>83911477</v>
      </c>
      <c r="B283">
        <v>9971681</v>
      </c>
      <c r="C283" s="1">
        <v>44749</v>
      </c>
      <c r="D283">
        <v>195</v>
      </c>
      <c r="E283">
        <f>IF(
  ISNA(
    _xlfn.XLOOKUP(
      payments_raw[[#This Row],[subscription_id]],
      subscriptions[subscription_id],
      subscriptions[subscription_id]
    )
  ),
  0,
  1
)</f>
        <v>1</v>
      </c>
      <c r="F283" s="1">
        <f>_xlfn.XLOOKUP(payments_raw[[#This Row],[subscription_id]], subscriptions[subscription_id], subscriptions[start_date])</f>
        <v>44724</v>
      </c>
      <c r="G283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283" s="2">
        <f>IF(payments_raw[[#This Row],[payment_date]] &lt; payments_raw[[#This Row],[sub_start_date]], 1, 0)</f>
        <v>0</v>
      </c>
      <c r="I283" s="2">
        <f>IF(AND(payments_raw[[#This Row],[sub_end_date]]&lt;&gt;"", payments_raw[[#This Row],[payment_date]] &gt; payments_raw[[#This Row],[sub_end_date]]), 1, 0)</f>
        <v>0</v>
      </c>
      <c r="J283" s="2">
        <f>IF(payments_raw[[#This Row],[amount]] &lt;= 0, 1, 0)</f>
        <v>0</v>
      </c>
      <c r="K2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" spans="1:11" x14ac:dyDescent="0.3">
      <c r="A284">
        <v>44200134</v>
      </c>
      <c r="B284">
        <v>6756692</v>
      </c>
      <c r="C284" s="1">
        <v>45582</v>
      </c>
      <c r="D284">
        <v>1490</v>
      </c>
      <c r="E284">
        <f>IF(
  ISNA(
    _xlfn.XLOOKUP(
      payments_raw[[#This Row],[subscription_id]],
      subscriptions[subscription_id],
      subscriptions[subscription_id]
    )
  ),
  0,
  1
)</f>
        <v>1</v>
      </c>
      <c r="F284" s="1">
        <f>_xlfn.XLOOKUP(payments_raw[[#This Row],[subscription_id]], subscriptions[subscription_id], subscriptions[start_date])</f>
        <v>45456</v>
      </c>
      <c r="G2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84" s="2">
        <f>IF(payments_raw[[#This Row],[payment_date]] &lt; payments_raw[[#This Row],[sub_start_date]], 1, 0)</f>
        <v>0</v>
      </c>
      <c r="I284" s="2">
        <f>IF(AND(payments_raw[[#This Row],[sub_end_date]]&lt;&gt;"", payments_raw[[#This Row],[payment_date]] &gt; payments_raw[[#This Row],[sub_end_date]]), 1, 0)</f>
        <v>0</v>
      </c>
      <c r="J284" s="2">
        <f>IF(payments_raw[[#This Row],[amount]] &lt;= 0, 1, 0)</f>
        <v>0</v>
      </c>
      <c r="K2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" spans="1:11" x14ac:dyDescent="0.3">
      <c r="A285">
        <v>83906211</v>
      </c>
      <c r="B285">
        <v>3346378</v>
      </c>
      <c r="C285" s="1">
        <v>45603</v>
      </c>
      <c r="D285">
        <v>39</v>
      </c>
      <c r="E285">
        <f>IF(
  ISNA(
    _xlfn.XLOOKUP(
      payments_raw[[#This Row],[subscription_id]],
      subscriptions[subscription_id],
      subscriptions[subscription_id]
    )
  ),
  0,
  1
)</f>
        <v>1</v>
      </c>
      <c r="F285" s="1">
        <f>_xlfn.XLOOKUP(payments_raw[[#This Row],[subscription_id]], subscriptions[subscription_id], subscriptions[start_date])</f>
        <v>45566</v>
      </c>
      <c r="G2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285" s="2">
        <f>IF(payments_raw[[#This Row],[payment_date]] &lt; payments_raw[[#This Row],[sub_start_date]], 1, 0)</f>
        <v>0</v>
      </c>
      <c r="I285" s="2">
        <f>IF(AND(payments_raw[[#This Row],[sub_end_date]]&lt;&gt;"", payments_raw[[#This Row],[payment_date]] &gt; payments_raw[[#This Row],[sub_end_date]]), 1, 0)</f>
        <v>0</v>
      </c>
      <c r="J285" s="2">
        <f>IF(payments_raw[[#This Row],[amount]] &lt;= 0, 1, 0)</f>
        <v>0</v>
      </c>
      <c r="K2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" spans="1:11" x14ac:dyDescent="0.3">
      <c r="A286">
        <v>78601151</v>
      </c>
      <c r="B286">
        <v>5021865</v>
      </c>
      <c r="C286" s="1">
        <v>45597</v>
      </c>
      <c r="D286">
        <v>39</v>
      </c>
      <c r="E286">
        <f>IF(
  ISNA(
    _xlfn.XLOOKUP(
      payments_raw[[#This Row],[subscription_id]],
      subscriptions[subscription_id],
      subscriptions[subscription_id]
    )
  ),
  0,
  1
)</f>
        <v>1</v>
      </c>
      <c r="F286" s="1">
        <f>_xlfn.XLOOKUP(payments_raw[[#This Row],[subscription_id]], subscriptions[subscription_id], subscriptions[start_date])</f>
        <v>45016</v>
      </c>
      <c r="G2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" s="2">
        <f>IF(payments_raw[[#This Row],[payment_date]] &lt; payments_raw[[#This Row],[sub_start_date]], 1, 0)</f>
        <v>0</v>
      </c>
      <c r="I286" s="2">
        <f>IF(AND(payments_raw[[#This Row],[sub_end_date]]&lt;&gt;"", payments_raw[[#This Row],[payment_date]] &gt; payments_raw[[#This Row],[sub_end_date]]), 1, 0)</f>
        <v>0</v>
      </c>
      <c r="J286" s="2">
        <f>IF(payments_raw[[#This Row],[amount]] &lt;= 0, 1, 0)</f>
        <v>0</v>
      </c>
      <c r="K2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" spans="1:11" x14ac:dyDescent="0.3">
      <c r="A287">
        <v>45661812</v>
      </c>
      <c r="B287">
        <v>7401570</v>
      </c>
      <c r="C287" s="1">
        <v>45171</v>
      </c>
      <c r="D287">
        <v>299</v>
      </c>
      <c r="E287">
        <f>IF(
  ISNA(
    _xlfn.XLOOKUP(
      payments_raw[[#This Row],[subscription_id]],
      subscriptions[subscription_id],
      subscriptions[subscription_id]
    )
  ),
  0,
  1
)</f>
        <v>1</v>
      </c>
      <c r="F287" s="1">
        <f>_xlfn.XLOOKUP(payments_raw[[#This Row],[subscription_id]], subscriptions[subscription_id], subscriptions[start_date])</f>
        <v>45145</v>
      </c>
      <c r="G2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287" s="2">
        <f>IF(payments_raw[[#This Row],[payment_date]] &lt; payments_raw[[#This Row],[sub_start_date]], 1, 0)</f>
        <v>0</v>
      </c>
      <c r="I287" s="2">
        <f>IF(AND(payments_raw[[#This Row],[sub_end_date]]&lt;&gt;"", payments_raw[[#This Row],[payment_date]] &gt; payments_raw[[#This Row],[sub_end_date]]), 1, 0)</f>
        <v>0</v>
      </c>
      <c r="J287" s="2">
        <f>IF(payments_raw[[#This Row],[amount]] &lt;= 0, 1, 0)</f>
        <v>0</v>
      </c>
      <c r="K2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" spans="1:11" x14ac:dyDescent="0.3">
      <c r="A288">
        <v>94303862</v>
      </c>
      <c r="B288">
        <v>2398988</v>
      </c>
      <c r="C288" s="1">
        <v>45598</v>
      </c>
      <c r="D288">
        <v>790</v>
      </c>
      <c r="E288">
        <f>IF(
  ISNA(
    _xlfn.XLOOKUP(
      payments_raw[[#This Row],[subscription_id]],
      subscriptions[subscription_id],
      subscriptions[subscription_id]
    )
  ),
  0,
  1
)</f>
        <v>1</v>
      </c>
      <c r="F288" s="1">
        <f>_xlfn.XLOOKUP(payments_raw[[#This Row],[subscription_id]], subscriptions[subscription_id], subscriptions[start_date])</f>
        <v>45536</v>
      </c>
      <c r="G2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" s="2">
        <f>IF(payments_raw[[#This Row],[payment_date]] &lt; payments_raw[[#This Row],[sub_start_date]], 1, 0)</f>
        <v>0</v>
      </c>
      <c r="I288" s="2">
        <f>IF(AND(payments_raw[[#This Row],[sub_end_date]]&lt;&gt;"", payments_raw[[#This Row],[payment_date]] &gt; payments_raw[[#This Row],[sub_end_date]]), 1, 0)</f>
        <v>0</v>
      </c>
      <c r="J288" s="2">
        <f>IF(payments_raw[[#This Row],[amount]] &lt;= 0, 1, 0)</f>
        <v>0</v>
      </c>
      <c r="K2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" spans="1:11" x14ac:dyDescent="0.3">
      <c r="A289">
        <v>73937051</v>
      </c>
      <c r="B289">
        <v>2953918</v>
      </c>
      <c r="C289" s="1">
        <v>45397</v>
      </c>
      <c r="D289">
        <v>390</v>
      </c>
      <c r="E289">
        <f>IF(
  ISNA(
    _xlfn.XLOOKUP(
      payments_raw[[#This Row],[subscription_id]],
      subscriptions[subscription_id],
      subscriptions[subscription_id]
    )
  ),
  0,
  1
)</f>
        <v>1</v>
      </c>
      <c r="F289" s="1">
        <f>_xlfn.XLOOKUP(payments_raw[[#This Row],[subscription_id]], subscriptions[subscription_id], subscriptions[start_date])</f>
        <v>45286</v>
      </c>
      <c r="G2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289" s="2">
        <f>IF(payments_raw[[#This Row],[payment_date]] &lt; payments_raw[[#This Row],[sub_start_date]], 1, 0)</f>
        <v>0</v>
      </c>
      <c r="I289" s="2">
        <f>IF(AND(payments_raw[[#This Row],[sub_end_date]]&lt;&gt;"", payments_raw[[#This Row],[payment_date]] &gt; payments_raw[[#This Row],[sub_end_date]]), 1, 0)</f>
        <v>0</v>
      </c>
      <c r="J289" s="2">
        <f>IF(payments_raw[[#This Row],[amount]] &lt;= 0, 1, 0)</f>
        <v>0</v>
      </c>
      <c r="K2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" spans="1:11" x14ac:dyDescent="0.3">
      <c r="A290">
        <v>26031606</v>
      </c>
      <c r="B290">
        <v>7796448</v>
      </c>
      <c r="C290" s="1">
        <v>45412</v>
      </c>
      <c r="D290">
        <v>149</v>
      </c>
      <c r="E290">
        <f>IF(
  ISNA(
    _xlfn.XLOOKUP(
      payments_raw[[#This Row],[subscription_id]],
      subscriptions[subscription_id],
      subscriptions[subscription_id]
    )
  ),
  0,
  1
)</f>
        <v>1</v>
      </c>
      <c r="F290" s="1">
        <f>_xlfn.XLOOKUP(payments_raw[[#This Row],[subscription_id]], subscriptions[subscription_id], subscriptions[start_date])</f>
        <v>45341</v>
      </c>
      <c r="G2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" s="2">
        <f>IF(payments_raw[[#This Row],[payment_date]] &lt; payments_raw[[#This Row],[sub_start_date]], 1, 0)</f>
        <v>0</v>
      </c>
      <c r="I290" s="2">
        <f>IF(AND(payments_raw[[#This Row],[sub_end_date]]&lt;&gt;"", payments_raw[[#This Row],[payment_date]] &gt; payments_raw[[#This Row],[sub_end_date]]), 1, 0)</f>
        <v>0</v>
      </c>
      <c r="J290" s="2">
        <f>IF(payments_raw[[#This Row],[amount]] &lt;= 0, 1, 0)</f>
        <v>0</v>
      </c>
      <c r="K2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" spans="1:11" x14ac:dyDescent="0.3">
      <c r="A291">
        <v>58497553</v>
      </c>
      <c r="B291">
        <v>1226440</v>
      </c>
      <c r="C291" s="1">
        <v>44587</v>
      </c>
      <c r="D291">
        <v>95</v>
      </c>
      <c r="E291">
        <f>IF(
  ISNA(
    _xlfn.XLOOKUP(
      payments_raw[[#This Row],[subscription_id]],
      subscriptions[subscription_id],
      subscriptions[subscription_id]
    )
  ),
  0,
  1
)</f>
        <v>1</v>
      </c>
      <c r="F291" s="1">
        <f>_xlfn.XLOOKUP(payments_raw[[#This Row],[subscription_id]], subscriptions[subscription_id], subscriptions[start_date])</f>
        <v>44581</v>
      </c>
      <c r="G291" s="1">
        <f>IF(_xlfn.XLOOKUP(payments_raw[[#This Row],[subscription_id]], subscriptions[subscription_id], subscriptions[end_date])=0,"",_xlfn.XLOOKUP(payments_raw[[#This Row],[subscription_id]], subscriptions[subscription_id], subscriptions[end_date]))</f>
        <v>44665</v>
      </c>
      <c r="H291" s="2">
        <f>IF(payments_raw[[#This Row],[payment_date]] &lt; payments_raw[[#This Row],[sub_start_date]], 1, 0)</f>
        <v>0</v>
      </c>
      <c r="I291" s="2">
        <f>IF(AND(payments_raw[[#This Row],[sub_end_date]]&lt;&gt;"", payments_raw[[#This Row],[payment_date]] &gt; payments_raw[[#This Row],[sub_end_date]]), 1, 0)</f>
        <v>0</v>
      </c>
      <c r="J291" s="2">
        <f>IF(payments_raw[[#This Row],[amount]] &lt;= 0, 1, 0)</f>
        <v>0</v>
      </c>
      <c r="K2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" spans="1:11" x14ac:dyDescent="0.3">
      <c r="A292">
        <v>47226095</v>
      </c>
      <c r="B292">
        <v>3071382</v>
      </c>
      <c r="C292" s="1">
        <v>45177</v>
      </c>
      <c r="D292">
        <v>299</v>
      </c>
      <c r="E292">
        <f>IF(
  ISNA(
    _xlfn.XLOOKUP(
      payments_raw[[#This Row],[subscription_id]],
      subscriptions[subscription_id],
      subscriptions[subscription_id]
    )
  ),
  0,
  1
)</f>
        <v>1</v>
      </c>
      <c r="F292" s="1">
        <f>_xlfn.XLOOKUP(payments_raw[[#This Row],[subscription_id]], subscriptions[subscription_id], subscriptions[start_date])</f>
        <v>45122</v>
      </c>
      <c r="G2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45513</v>
      </c>
      <c r="H292" s="2">
        <f>IF(payments_raw[[#This Row],[payment_date]] &lt; payments_raw[[#This Row],[sub_start_date]], 1, 0)</f>
        <v>0</v>
      </c>
      <c r="I292" s="2">
        <f>IF(AND(payments_raw[[#This Row],[sub_end_date]]&lt;&gt;"", payments_raw[[#This Row],[payment_date]] &gt; payments_raw[[#This Row],[sub_end_date]]), 1, 0)</f>
        <v>0</v>
      </c>
      <c r="J292" s="2">
        <f>IF(payments_raw[[#This Row],[amount]] &lt;= 0, 1, 0)</f>
        <v>0</v>
      </c>
      <c r="K2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" spans="1:11" x14ac:dyDescent="0.3">
      <c r="A293">
        <v>46025956</v>
      </c>
      <c r="B293">
        <v>3879023</v>
      </c>
      <c r="C293" s="1">
        <v>45460</v>
      </c>
      <c r="D293">
        <v>2990</v>
      </c>
      <c r="E293">
        <f>IF(
  ISNA(
    _xlfn.XLOOKUP(
      payments_raw[[#This Row],[subscription_id]],
      subscriptions[subscription_id],
      subscriptions[subscription_id]
    )
  ),
  0,
  1
)</f>
        <v>1</v>
      </c>
      <c r="F293" s="1">
        <f>_xlfn.XLOOKUP(payments_raw[[#This Row],[subscription_id]], subscriptions[subscription_id], subscriptions[start_date])</f>
        <v>45428</v>
      </c>
      <c r="G2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293" s="2">
        <f>IF(payments_raw[[#This Row],[payment_date]] &lt; payments_raw[[#This Row],[sub_start_date]], 1, 0)</f>
        <v>0</v>
      </c>
      <c r="I293" s="2">
        <f>IF(AND(payments_raw[[#This Row],[sub_end_date]]&lt;&gt;"", payments_raw[[#This Row],[payment_date]] &gt; payments_raw[[#This Row],[sub_end_date]]), 1, 0)</f>
        <v>0</v>
      </c>
      <c r="J293" s="2">
        <f>IF(payments_raw[[#This Row],[amount]] &lt;= 0, 1, 0)</f>
        <v>0</v>
      </c>
      <c r="K2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" spans="1:11" x14ac:dyDescent="0.3">
      <c r="A294">
        <v>66809516</v>
      </c>
      <c r="B294">
        <v>7831393</v>
      </c>
      <c r="C294" s="1">
        <v>45195</v>
      </c>
      <c r="D294">
        <v>711</v>
      </c>
      <c r="E294">
        <f>IF(
  ISNA(
    _xlfn.XLOOKUP(
      payments_raw[[#This Row],[subscription_id]],
      subscriptions[subscription_id],
      subscriptions[subscription_id]
    )
  ),
  0,
  1
)</f>
        <v>1</v>
      </c>
      <c r="F294" s="1">
        <f>_xlfn.XLOOKUP(payments_raw[[#This Row],[subscription_id]], subscriptions[subscription_id], subscriptions[start_date])</f>
        <v>44986</v>
      </c>
      <c r="G2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" s="2">
        <f>IF(payments_raw[[#This Row],[payment_date]] &lt; payments_raw[[#This Row],[sub_start_date]], 1, 0)</f>
        <v>0</v>
      </c>
      <c r="I294" s="2">
        <f>IF(AND(payments_raw[[#This Row],[sub_end_date]]&lt;&gt;"", payments_raw[[#This Row],[payment_date]] &gt; payments_raw[[#This Row],[sub_end_date]]), 1, 0)</f>
        <v>0</v>
      </c>
      <c r="J294" s="2">
        <f>IF(payments_raw[[#This Row],[amount]] &lt;= 0, 1, 0)</f>
        <v>0</v>
      </c>
      <c r="K2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" spans="1:11" x14ac:dyDescent="0.3">
      <c r="A295">
        <v>86043381</v>
      </c>
      <c r="B295">
        <v>3317607</v>
      </c>
      <c r="C295" s="1">
        <v>45110</v>
      </c>
      <c r="D295">
        <v>14.25</v>
      </c>
      <c r="E295">
        <f>IF(
  ISNA(
    _xlfn.XLOOKUP(
      payments_raw[[#This Row],[subscription_id]],
      subscriptions[subscription_id],
      subscriptions[subscription_id]
    )
  ),
  0,
  1
)</f>
        <v>1</v>
      </c>
      <c r="F295" s="1">
        <f>_xlfn.XLOOKUP(payments_raw[[#This Row],[subscription_id]], subscriptions[subscription_id], subscriptions[start_date])</f>
        <v>45095</v>
      </c>
      <c r="G2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45299</v>
      </c>
      <c r="H295" s="2">
        <f>IF(payments_raw[[#This Row],[payment_date]] &lt; payments_raw[[#This Row],[sub_start_date]], 1, 0)</f>
        <v>0</v>
      </c>
      <c r="I295" s="2">
        <f>IF(AND(payments_raw[[#This Row],[sub_end_date]]&lt;&gt;"", payments_raw[[#This Row],[payment_date]] &gt; payments_raw[[#This Row],[sub_end_date]]), 1, 0)</f>
        <v>0</v>
      </c>
      <c r="J295" s="2">
        <f>IF(payments_raw[[#This Row],[amount]] &lt;= 0, 1, 0)</f>
        <v>0</v>
      </c>
      <c r="K2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" spans="1:11" x14ac:dyDescent="0.3">
      <c r="A296">
        <v>93800183</v>
      </c>
      <c r="B296">
        <v>7063525</v>
      </c>
      <c r="C296" s="1">
        <v>44760</v>
      </c>
      <c r="D296">
        <v>790</v>
      </c>
      <c r="E296">
        <f>IF(
  ISNA(
    _xlfn.XLOOKUP(
      payments_raw[[#This Row],[subscription_id]],
      subscriptions[subscription_id],
      subscriptions[subscription_id]
    )
  ),
  0,
  1
)</f>
        <v>1</v>
      </c>
      <c r="F296" s="1">
        <f>_xlfn.XLOOKUP(payments_raw[[#This Row],[subscription_id]], subscriptions[subscription_id], subscriptions[start_date])</f>
        <v>44619</v>
      </c>
      <c r="G29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44979</v>
      </c>
      <c r="H296" s="2">
        <f>IF(payments_raw[[#This Row],[payment_date]] &lt; payments_raw[[#This Row],[sub_start_date]], 1, 0)</f>
        <v>0</v>
      </c>
      <c r="I296" s="2">
        <f>IF(AND(payments_raw[[#This Row],[sub_end_date]]&lt;&gt;"", payments_raw[[#This Row],[payment_date]] &gt; payments_raw[[#This Row],[sub_end_date]]), 1, 0)</f>
        <v>0</v>
      </c>
      <c r="J296" s="2">
        <f>IF(payments_raw[[#This Row],[amount]] &lt;= 0, 1, 0)</f>
        <v>0</v>
      </c>
      <c r="K2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" spans="1:11" x14ac:dyDescent="0.3">
      <c r="A297">
        <v>42303559</v>
      </c>
      <c r="B297">
        <v>8171473</v>
      </c>
      <c r="C297" s="1">
        <v>45368</v>
      </c>
      <c r="D297">
        <v>299</v>
      </c>
      <c r="E297">
        <f>IF(
  ISNA(
    _xlfn.XLOOKUP(
      payments_raw[[#This Row],[subscription_id]],
      subscriptions[subscription_id],
      subscriptions[subscription_id]
    )
  ),
  0,
  1
)</f>
        <v>1</v>
      </c>
      <c r="F297" s="1">
        <f>_xlfn.XLOOKUP(payments_raw[[#This Row],[subscription_id]], subscriptions[subscription_id], subscriptions[start_date])</f>
        <v>45132</v>
      </c>
      <c r="G2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" s="2">
        <f>IF(payments_raw[[#This Row],[payment_date]] &lt; payments_raw[[#This Row],[sub_start_date]], 1, 0)</f>
        <v>0</v>
      </c>
      <c r="I297" s="2">
        <f>IF(AND(payments_raw[[#This Row],[sub_end_date]]&lt;&gt;"", payments_raw[[#This Row],[payment_date]] &gt; payments_raw[[#This Row],[sub_end_date]]), 1, 0)</f>
        <v>0</v>
      </c>
      <c r="J297" s="2">
        <f>IF(payments_raw[[#This Row],[amount]] &lt;= 0, 1, 0)</f>
        <v>0</v>
      </c>
      <c r="K2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" spans="1:11" x14ac:dyDescent="0.3">
      <c r="A298">
        <v>91022047</v>
      </c>
      <c r="B298">
        <v>8503322</v>
      </c>
      <c r="C298" s="1">
        <v>45497</v>
      </c>
      <c r="D298">
        <v>19</v>
      </c>
      <c r="E298">
        <f>IF(
  ISNA(
    _xlfn.XLOOKUP(
      payments_raw[[#This Row],[subscription_id]],
      subscriptions[subscription_id],
      subscriptions[subscription_id]
    )
  ),
  0,
  1
)</f>
        <v>1</v>
      </c>
      <c r="F298" s="1">
        <f>_xlfn.XLOOKUP(payments_raw[[#This Row],[subscription_id]], subscriptions[subscription_id], subscriptions[start_date])</f>
        <v>45205</v>
      </c>
      <c r="G2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" s="2">
        <f>IF(payments_raw[[#This Row],[payment_date]] &lt; payments_raw[[#This Row],[sub_start_date]], 1, 0)</f>
        <v>0</v>
      </c>
      <c r="I298" s="2">
        <f>IF(AND(payments_raw[[#This Row],[sub_end_date]]&lt;&gt;"", payments_raw[[#This Row],[payment_date]] &gt; payments_raw[[#This Row],[sub_end_date]]), 1, 0)</f>
        <v>0</v>
      </c>
      <c r="J298" s="2">
        <f>IF(payments_raw[[#This Row],[amount]] &lt;= 0, 1, 0)</f>
        <v>0</v>
      </c>
      <c r="K2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" spans="1:11" x14ac:dyDescent="0.3">
      <c r="A299">
        <v>84170836</v>
      </c>
      <c r="B299">
        <v>3240199</v>
      </c>
      <c r="C299" s="1">
        <v>45470</v>
      </c>
      <c r="D299">
        <v>190</v>
      </c>
      <c r="E299">
        <f>IF(
  ISNA(
    _xlfn.XLOOKUP(
      payments_raw[[#This Row],[subscription_id]],
      subscriptions[subscription_id],
      subscriptions[subscription_id]
    )
  ),
  0,
  1
)</f>
        <v>1</v>
      </c>
      <c r="F299" s="1">
        <f>_xlfn.XLOOKUP(payments_raw[[#This Row],[subscription_id]], subscriptions[subscription_id], subscriptions[start_date])</f>
        <v>45380</v>
      </c>
      <c r="G2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299" s="2">
        <f>IF(payments_raw[[#This Row],[payment_date]] &lt; payments_raw[[#This Row],[sub_start_date]], 1, 0)</f>
        <v>0</v>
      </c>
      <c r="I299" s="2">
        <f>IF(AND(payments_raw[[#This Row],[sub_end_date]]&lt;&gt;"", payments_raw[[#This Row],[payment_date]] &gt; payments_raw[[#This Row],[sub_end_date]]), 1, 0)</f>
        <v>0</v>
      </c>
      <c r="J299" s="2">
        <f>IF(payments_raw[[#This Row],[amount]] &lt;= 0, 1, 0)</f>
        <v>0</v>
      </c>
      <c r="K2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" spans="1:11" x14ac:dyDescent="0.3">
      <c r="A300">
        <v>30361218</v>
      </c>
      <c r="B300">
        <v>3567729</v>
      </c>
      <c r="C300" s="1">
        <v>44629</v>
      </c>
      <c r="D300">
        <v>79</v>
      </c>
      <c r="E300">
        <f>IF(
  ISNA(
    _xlfn.XLOOKUP(
      payments_raw[[#This Row],[subscription_id]],
      subscriptions[subscription_id],
      subscriptions[subscription_id]
    )
  ),
  0,
  1
)</f>
        <v>1</v>
      </c>
      <c r="F300" s="1">
        <f>_xlfn.XLOOKUP(payments_raw[[#This Row],[subscription_id]], subscriptions[subscription_id], subscriptions[start_date])</f>
        <v>44618</v>
      </c>
      <c r="G30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44926</v>
      </c>
      <c r="H300" s="2">
        <f>IF(payments_raw[[#This Row],[payment_date]] &lt; payments_raw[[#This Row],[sub_start_date]], 1, 0)</f>
        <v>0</v>
      </c>
      <c r="I300" s="2">
        <f>IF(AND(payments_raw[[#This Row],[sub_end_date]]&lt;&gt;"", payments_raw[[#This Row],[payment_date]] &gt; payments_raw[[#This Row],[sub_end_date]]), 1, 0)</f>
        <v>0</v>
      </c>
      <c r="J300" s="2">
        <f>IF(payments_raw[[#This Row],[amount]] &lt;= 0, 1, 0)</f>
        <v>0</v>
      </c>
      <c r="K3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" spans="1:11" x14ac:dyDescent="0.3">
      <c r="A301">
        <v>52509142</v>
      </c>
      <c r="B301">
        <v>3137710</v>
      </c>
      <c r="C301" s="1">
        <v>45315</v>
      </c>
      <c r="D301">
        <v>2990</v>
      </c>
      <c r="E301">
        <f>IF(
  ISNA(
    _xlfn.XLOOKUP(
      payments_raw[[#This Row],[subscription_id]],
      subscriptions[subscription_id],
      subscriptions[subscription_id]
    )
  ),
  0,
  1
)</f>
        <v>1</v>
      </c>
      <c r="F301" s="1">
        <f>_xlfn.XLOOKUP(payments_raw[[#This Row],[subscription_id]], subscriptions[subscription_id], subscriptions[start_date])</f>
        <v>45203</v>
      </c>
      <c r="G3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45528</v>
      </c>
      <c r="H301" s="2">
        <f>IF(payments_raw[[#This Row],[payment_date]] &lt; payments_raw[[#This Row],[sub_start_date]], 1, 0)</f>
        <v>0</v>
      </c>
      <c r="I301" s="2">
        <f>IF(AND(payments_raw[[#This Row],[sub_end_date]]&lt;&gt;"", payments_raw[[#This Row],[payment_date]] &gt; payments_raw[[#This Row],[sub_end_date]]), 1, 0)</f>
        <v>0</v>
      </c>
      <c r="J301" s="2">
        <f>IF(payments_raw[[#This Row],[amount]] &lt;= 0, 1, 0)</f>
        <v>0</v>
      </c>
      <c r="K3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" spans="1:11" x14ac:dyDescent="0.3">
      <c r="A302">
        <v>61441896</v>
      </c>
      <c r="B302">
        <v>5945871</v>
      </c>
      <c r="C302" s="1">
        <v>45430</v>
      </c>
      <c r="D302">
        <v>390</v>
      </c>
      <c r="E302">
        <f>IF(
  ISNA(
    _xlfn.XLOOKUP(
      payments_raw[[#This Row],[subscription_id]],
      subscriptions[subscription_id],
      subscriptions[subscription_id]
    )
  ),
  0,
  1
)</f>
        <v>1</v>
      </c>
      <c r="F302" s="1">
        <f>_xlfn.XLOOKUP(payments_raw[[#This Row],[subscription_id]], subscriptions[subscription_id], subscriptions[start_date])</f>
        <v>45326</v>
      </c>
      <c r="G3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2" s="2">
        <f>IF(payments_raw[[#This Row],[payment_date]] &lt; payments_raw[[#This Row],[sub_start_date]], 1, 0)</f>
        <v>0</v>
      </c>
      <c r="I302" s="2">
        <f>IF(AND(payments_raw[[#This Row],[sub_end_date]]&lt;&gt;"", payments_raw[[#This Row],[payment_date]] &gt; payments_raw[[#This Row],[sub_end_date]]), 1, 0)</f>
        <v>0</v>
      </c>
      <c r="J302" s="2">
        <f>IF(payments_raw[[#This Row],[amount]] &lt;= 0, 1, 0)</f>
        <v>0</v>
      </c>
      <c r="K3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" spans="1:11" x14ac:dyDescent="0.3">
      <c r="A303">
        <v>12340833</v>
      </c>
      <c r="B303">
        <v>3991801</v>
      </c>
      <c r="C303" s="1">
        <v>45264</v>
      </c>
      <c r="D303">
        <v>711</v>
      </c>
      <c r="E303">
        <f>IF(
  ISNA(
    _xlfn.XLOOKUP(
      payments_raw[[#This Row],[subscription_id]],
      subscriptions[subscription_id],
      subscriptions[subscription_id]
    )
  ),
  0,
  1
)</f>
        <v>1</v>
      </c>
      <c r="F303" s="1">
        <f>_xlfn.XLOOKUP(payments_raw[[#This Row],[subscription_id]], subscriptions[subscription_id], subscriptions[start_date])</f>
        <v>45100</v>
      </c>
      <c r="G3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3" s="2">
        <f>IF(payments_raw[[#This Row],[payment_date]] &lt; payments_raw[[#This Row],[sub_start_date]], 1, 0)</f>
        <v>0</v>
      </c>
      <c r="I303" s="2">
        <f>IF(AND(payments_raw[[#This Row],[sub_end_date]]&lt;&gt;"", payments_raw[[#This Row],[payment_date]] &gt; payments_raw[[#This Row],[sub_end_date]]), 1, 0)</f>
        <v>0</v>
      </c>
      <c r="J303" s="2">
        <f>IF(payments_raw[[#This Row],[amount]] &lt;= 0, 1, 0)</f>
        <v>0</v>
      </c>
      <c r="K3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" spans="1:11" x14ac:dyDescent="0.3">
      <c r="A304">
        <v>92427437</v>
      </c>
      <c r="B304">
        <v>7380120</v>
      </c>
      <c r="C304" s="1">
        <v>44758</v>
      </c>
      <c r="D304">
        <v>1490</v>
      </c>
      <c r="E304">
        <f>IF(
  ISNA(
    _xlfn.XLOOKUP(
      payments_raw[[#This Row],[subscription_id]],
      subscriptions[subscription_id],
      subscriptions[subscription_id]
    )
  ),
  0,
  1
)</f>
        <v>1</v>
      </c>
      <c r="F304" s="1">
        <f>_xlfn.XLOOKUP(payments_raw[[#This Row],[subscription_id]], subscriptions[subscription_id], subscriptions[start_date])</f>
        <v>44689</v>
      </c>
      <c r="G30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44904</v>
      </c>
      <c r="H304" s="2">
        <f>IF(payments_raw[[#This Row],[payment_date]] &lt; payments_raw[[#This Row],[sub_start_date]], 1, 0)</f>
        <v>0</v>
      </c>
      <c r="I304" s="2">
        <f>IF(AND(payments_raw[[#This Row],[sub_end_date]]&lt;&gt;"", payments_raw[[#This Row],[payment_date]] &gt; payments_raw[[#This Row],[sub_end_date]]), 1, 0)</f>
        <v>0</v>
      </c>
      <c r="J304" s="2">
        <f>IF(payments_raw[[#This Row],[amount]] &lt;= 0, 1, 0)</f>
        <v>0</v>
      </c>
      <c r="K3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" spans="1:11" x14ac:dyDescent="0.3">
      <c r="A305">
        <v>26718600</v>
      </c>
      <c r="B305">
        <v>2223258</v>
      </c>
      <c r="C305" s="1">
        <v>44829</v>
      </c>
      <c r="D305">
        <v>390</v>
      </c>
      <c r="E305">
        <f>IF(
  ISNA(
    _xlfn.XLOOKUP(
      payments_raw[[#This Row],[subscription_id]],
      subscriptions[subscription_id],
      subscriptions[subscription_id]
    )
  ),
  0,
  1
)</f>
        <v>1</v>
      </c>
      <c r="F305" s="1">
        <f>_xlfn.XLOOKUP(payments_raw[[#This Row],[subscription_id]], subscriptions[subscription_id], subscriptions[start_date])</f>
        <v>44634</v>
      </c>
      <c r="G3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5" s="2">
        <f>IF(payments_raw[[#This Row],[payment_date]] &lt; payments_raw[[#This Row],[sub_start_date]], 1, 0)</f>
        <v>0</v>
      </c>
      <c r="I305" s="2">
        <f>IF(AND(payments_raw[[#This Row],[sub_end_date]]&lt;&gt;"", payments_raw[[#This Row],[payment_date]] &gt; payments_raw[[#This Row],[sub_end_date]]), 1, 0)</f>
        <v>0</v>
      </c>
      <c r="J305" s="2">
        <f>IF(payments_raw[[#This Row],[amount]] &lt;= 0, 1, 0)</f>
        <v>0</v>
      </c>
      <c r="K3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" spans="1:11" x14ac:dyDescent="0.3">
      <c r="A306">
        <v>64546380</v>
      </c>
      <c r="B306">
        <v>6175949</v>
      </c>
      <c r="C306" s="1">
        <v>45534</v>
      </c>
      <c r="D306">
        <v>1490</v>
      </c>
      <c r="E306">
        <f>IF(
  ISNA(
    _xlfn.XLOOKUP(
      payments_raw[[#This Row],[subscription_id]],
      subscriptions[subscription_id],
      subscriptions[subscription_id]
    )
  ),
  0,
  1
)</f>
        <v>1</v>
      </c>
      <c r="F306" s="1">
        <f>_xlfn.XLOOKUP(payments_raw[[#This Row],[subscription_id]], subscriptions[subscription_id], subscriptions[start_date])</f>
        <v>45478</v>
      </c>
      <c r="G3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" s="2">
        <f>IF(payments_raw[[#This Row],[payment_date]] &lt; payments_raw[[#This Row],[sub_start_date]], 1, 0)</f>
        <v>0</v>
      </c>
      <c r="I306" s="2">
        <f>IF(AND(payments_raw[[#This Row],[sub_end_date]]&lt;&gt;"", payments_raw[[#This Row],[payment_date]] &gt; payments_raw[[#This Row],[sub_end_date]]), 1, 0)</f>
        <v>0</v>
      </c>
      <c r="J306" s="2">
        <f>IF(payments_raw[[#This Row],[amount]] &lt;= 0, 1, 0)</f>
        <v>0</v>
      </c>
      <c r="K3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" spans="1:11" x14ac:dyDescent="0.3">
      <c r="A307">
        <v>91820094</v>
      </c>
      <c r="B307">
        <v>6150025</v>
      </c>
      <c r="C307" s="1">
        <v>45600</v>
      </c>
      <c r="D307">
        <v>149</v>
      </c>
      <c r="E307">
        <f>IF(
  ISNA(
    _xlfn.XLOOKUP(
      payments_raw[[#This Row],[subscription_id]],
      subscriptions[subscription_id],
      subscriptions[subscription_id]
    )
  ),
  0,
  1
)</f>
        <v>1</v>
      </c>
      <c r="F307" s="1">
        <f>_xlfn.XLOOKUP(payments_raw[[#This Row],[subscription_id]], subscriptions[subscription_id], subscriptions[start_date])</f>
        <v>45590</v>
      </c>
      <c r="G3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307" s="2">
        <f>IF(payments_raw[[#This Row],[payment_date]] &lt; payments_raw[[#This Row],[sub_start_date]], 1, 0)</f>
        <v>0</v>
      </c>
      <c r="I307" s="2">
        <f>IF(AND(payments_raw[[#This Row],[sub_end_date]]&lt;&gt;"", payments_raw[[#This Row],[payment_date]] &gt; payments_raw[[#This Row],[sub_end_date]]), 1, 0)</f>
        <v>0</v>
      </c>
      <c r="J307" s="2">
        <f>IF(payments_raw[[#This Row],[amount]] &lt;= 0, 1, 0)</f>
        <v>0</v>
      </c>
      <c r="K3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" spans="1:11" x14ac:dyDescent="0.3">
      <c r="A308">
        <v>39573751</v>
      </c>
      <c r="B308">
        <v>3578194</v>
      </c>
      <c r="C308" s="1">
        <v>44937</v>
      </c>
      <c r="D308">
        <v>2990</v>
      </c>
      <c r="E308">
        <f>IF(
  ISNA(
    _xlfn.XLOOKUP(
      payments_raw[[#This Row],[subscription_id]],
      subscriptions[subscription_id],
      subscriptions[subscription_id]
    )
  ),
  0,
  1
)</f>
        <v>1</v>
      </c>
      <c r="F308" s="1">
        <f>_xlfn.XLOOKUP(payments_raw[[#This Row],[subscription_id]], subscriptions[subscription_id], subscriptions[start_date])</f>
        <v>44651</v>
      </c>
      <c r="G3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" s="2">
        <f>IF(payments_raw[[#This Row],[payment_date]] &lt; payments_raw[[#This Row],[sub_start_date]], 1, 0)</f>
        <v>0</v>
      </c>
      <c r="I308" s="2">
        <f>IF(AND(payments_raw[[#This Row],[sub_end_date]]&lt;&gt;"", payments_raw[[#This Row],[payment_date]] &gt; payments_raw[[#This Row],[sub_end_date]]), 1, 0)</f>
        <v>0</v>
      </c>
      <c r="J308" s="2">
        <f>IF(payments_raw[[#This Row],[amount]] &lt;= 0, 1, 0)</f>
        <v>0</v>
      </c>
      <c r="K3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" spans="1:11" x14ac:dyDescent="0.3">
      <c r="A309">
        <v>42047266</v>
      </c>
      <c r="B309">
        <v>4207115</v>
      </c>
      <c r="C309" s="1">
        <v>45222</v>
      </c>
      <c r="D309">
        <v>190</v>
      </c>
      <c r="E309">
        <f>IF(
  ISNA(
    _xlfn.XLOOKUP(
      payments_raw[[#This Row],[subscription_id]],
      subscriptions[subscription_id],
      subscriptions[subscription_id]
    )
  ),
  0,
  1
)</f>
        <v>1</v>
      </c>
      <c r="F309" s="1">
        <f>_xlfn.XLOOKUP(payments_raw[[#This Row],[subscription_id]], subscriptions[subscription_id], subscriptions[start_date])</f>
        <v>44591</v>
      </c>
      <c r="G3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" s="2">
        <f>IF(payments_raw[[#This Row],[payment_date]] &lt; payments_raw[[#This Row],[sub_start_date]], 1, 0)</f>
        <v>0</v>
      </c>
      <c r="I309" s="2">
        <f>IF(AND(payments_raw[[#This Row],[sub_end_date]]&lt;&gt;"", payments_raw[[#This Row],[payment_date]] &gt; payments_raw[[#This Row],[sub_end_date]]), 1, 0)</f>
        <v>0</v>
      </c>
      <c r="J309" s="2">
        <f>IF(payments_raw[[#This Row],[amount]] &lt;= 0, 1, 0)</f>
        <v>0</v>
      </c>
      <c r="K3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" spans="1:11" x14ac:dyDescent="0.3">
      <c r="A310">
        <v>90492563</v>
      </c>
      <c r="B310">
        <v>3241313</v>
      </c>
      <c r="C310" s="1">
        <v>45656</v>
      </c>
      <c r="D310">
        <v>790</v>
      </c>
      <c r="E310">
        <f>IF(
  ISNA(
    _xlfn.XLOOKUP(
      payments_raw[[#This Row],[subscription_id]],
      subscriptions[subscription_id],
      subscriptions[subscription_id]
    )
  ),
  0,
  1
)</f>
        <v>1</v>
      </c>
      <c r="F310" s="1">
        <f>_xlfn.XLOOKUP(payments_raw[[#This Row],[subscription_id]], subscriptions[subscription_id], subscriptions[start_date])</f>
        <v>44787</v>
      </c>
      <c r="G3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" s="2">
        <f>IF(payments_raw[[#This Row],[payment_date]] &lt; payments_raw[[#This Row],[sub_start_date]], 1, 0)</f>
        <v>0</v>
      </c>
      <c r="I310" s="2">
        <f>IF(AND(payments_raw[[#This Row],[sub_end_date]]&lt;&gt;"", payments_raw[[#This Row],[payment_date]] &gt; payments_raw[[#This Row],[sub_end_date]]), 1, 0)</f>
        <v>0</v>
      </c>
      <c r="J310" s="2">
        <f>IF(payments_raw[[#This Row],[amount]] &lt;= 0, 1, 0)</f>
        <v>0</v>
      </c>
      <c r="K3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" spans="1:11" x14ac:dyDescent="0.3">
      <c r="A311">
        <v>38640427</v>
      </c>
      <c r="B311">
        <v>4739295</v>
      </c>
      <c r="C311" s="1">
        <v>45552</v>
      </c>
      <c r="D311">
        <v>790</v>
      </c>
      <c r="E311">
        <f>IF(
  ISNA(
    _xlfn.XLOOKUP(
      payments_raw[[#This Row],[subscription_id]],
      subscriptions[subscription_id],
      subscriptions[subscription_id]
    )
  ),
  0,
  1
)</f>
        <v>1</v>
      </c>
      <c r="F311" s="1">
        <f>_xlfn.XLOOKUP(payments_raw[[#This Row],[subscription_id]], subscriptions[subscription_id], subscriptions[start_date])</f>
        <v>45493</v>
      </c>
      <c r="G3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" s="2">
        <f>IF(payments_raw[[#This Row],[payment_date]] &lt; payments_raw[[#This Row],[sub_start_date]], 1, 0)</f>
        <v>0</v>
      </c>
      <c r="I311" s="2">
        <f>IF(AND(payments_raw[[#This Row],[sub_end_date]]&lt;&gt;"", payments_raw[[#This Row],[payment_date]] &gt; payments_raw[[#This Row],[sub_end_date]]), 1, 0)</f>
        <v>0</v>
      </c>
      <c r="J311" s="2">
        <f>IF(payments_raw[[#This Row],[amount]] &lt;= 0, 1, 0)</f>
        <v>0</v>
      </c>
      <c r="K3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" spans="1:11" x14ac:dyDescent="0.3">
      <c r="A312">
        <v>21005469</v>
      </c>
      <c r="B312">
        <v>8544230</v>
      </c>
      <c r="C312" s="1">
        <v>45257</v>
      </c>
      <c r="D312">
        <v>149</v>
      </c>
      <c r="E312">
        <f>IF(
  ISNA(
    _xlfn.XLOOKUP(
      payments_raw[[#This Row],[subscription_id]],
      subscriptions[subscription_id],
      subscriptions[subscription_id]
    )
  ),
  0,
  1
)</f>
        <v>1</v>
      </c>
      <c r="F312" s="1">
        <f>_xlfn.XLOOKUP(payments_raw[[#This Row],[subscription_id]], subscriptions[subscription_id], subscriptions[start_date])</f>
        <v>45048</v>
      </c>
      <c r="G3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45391</v>
      </c>
      <c r="H312" s="2">
        <f>IF(payments_raw[[#This Row],[payment_date]] &lt; payments_raw[[#This Row],[sub_start_date]], 1, 0)</f>
        <v>0</v>
      </c>
      <c r="I312" s="2">
        <f>IF(AND(payments_raw[[#This Row],[sub_end_date]]&lt;&gt;"", payments_raw[[#This Row],[payment_date]] &gt; payments_raw[[#This Row],[sub_end_date]]), 1, 0)</f>
        <v>0</v>
      </c>
      <c r="J312" s="2">
        <f>IF(payments_raw[[#This Row],[amount]] &lt;= 0, 1, 0)</f>
        <v>0</v>
      </c>
      <c r="K3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" spans="1:11" x14ac:dyDescent="0.3">
      <c r="A313">
        <v>69395043</v>
      </c>
      <c r="B313">
        <v>3485367</v>
      </c>
      <c r="C313" s="1">
        <v>45168</v>
      </c>
      <c r="D313">
        <v>19</v>
      </c>
      <c r="E313">
        <f>IF(
  ISNA(
    _xlfn.XLOOKUP(
      payments_raw[[#This Row],[subscription_id]],
      subscriptions[subscription_id],
      subscriptions[subscription_id]
    )
  ),
  0,
  1
)</f>
        <v>1</v>
      </c>
      <c r="F313" s="1">
        <f>_xlfn.XLOOKUP(payments_raw[[#This Row],[subscription_id]], subscriptions[subscription_id], subscriptions[start_date])</f>
        <v>45130</v>
      </c>
      <c r="G3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313" s="2">
        <f>IF(payments_raw[[#This Row],[payment_date]] &lt; payments_raw[[#This Row],[sub_start_date]], 1, 0)</f>
        <v>0</v>
      </c>
      <c r="I313" s="2">
        <f>IF(AND(payments_raw[[#This Row],[sub_end_date]]&lt;&gt;"", payments_raw[[#This Row],[payment_date]] &gt; payments_raw[[#This Row],[sub_end_date]]), 1, 0)</f>
        <v>0</v>
      </c>
      <c r="J313" s="2">
        <f>IF(payments_raw[[#This Row],[amount]] &lt;= 0, 1, 0)</f>
        <v>0</v>
      </c>
      <c r="K3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" spans="1:11" x14ac:dyDescent="0.3">
      <c r="A314">
        <v>61603430</v>
      </c>
      <c r="B314">
        <v>9466397</v>
      </c>
      <c r="C314" s="1">
        <v>45405</v>
      </c>
      <c r="D314">
        <v>224.25</v>
      </c>
      <c r="E314">
        <f>IF(
  ISNA(
    _xlfn.XLOOKUP(
      payments_raw[[#This Row],[subscription_id]],
      subscriptions[subscription_id],
      subscriptions[subscription_id]
    )
  ),
  0,
  1
)</f>
        <v>1</v>
      </c>
      <c r="F314" s="1">
        <f>_xlfn.XLOOKUP(payments_raw[[#This Row],[subscription_id]], subscriptions[subscription_id], subscriptions[start_date])</f>
        <v>44627</v>
      </c>
      <c r="G3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" s="2">
        <f>IF(payments_raw[[#This Row],[payment_date]] &lt; payments_raw[[#This Row],[sub_start_date]], 1, 0)</f>
        <v>0</v>
      </c>
      <c r="I314" s="2">
        <f>IF(AND(payments_raw[[#This Row],[sub_end_date]]&lt;&gt;"", payments_raw[[#This Row],[payment_date]] &gt; payments_raw[[#This Row],[sub_end_date]]), 1, 0)</f>
        <v>0</v>
      </c>
      <c r="J314" s="2">
        <f>IF(payments_raw[[#This Row],[amount]] &lt;= 0, 1, 0)</f>
        <v>0</v>
      </c>
      <c r="K3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" spans="1:11" x14ac:dyDescent="0.3">
      <c r="A315">
        <v>37531916</v>
      </c>
      <c r="B315">
        <v>4930952</v>
      </c>
      <c r="C315" s="1">
        <v>45471</v>
      </c>
      <c r="D315">
        <v>149</v>
      </c>
      <c r="E315">
        <f>IF(
  ISNA(
    _xlfn.XLOOKUP(
      payments_raw[[#This Row],[subscription_id]],
      subscriptions[subscription_id],
      subscriptions[subscription_id]
    )
  ),
  0,
  1
)</f>
        <v>1</v>
      </c>
      <c r="F315" s="1">
        <f>_xlfn.XLOOKUP(payments_raw[[#This Row],[subscription_id]], subscriptions[subscription_id], subscriptions[start_date])</f>
        <v>44782</v>
      </c>
      <c r="G3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" s="2">
        <f>IF(payments_raw[[#This Row],[payment_date]] &lt; payments_raw[[#This Row],[sub_start_date]], 1, 0)</f>
        <v>0</v>
      </c>
      <c r="I315" s="2">
        <f>IF(AND(payments_raw[[#This Row],[sub_end_date]]&lt;&gt;"", payments_raw[[#This Row],[payment_date]] &gt; payments_raw[[#This Row],[sub_end_date]]), 1, 0)</f>
        <v>0</v>
      </c>
      <c r="J315" s="2">
        <f>IF(payments_raw[[#This Row],[amount]] &lt;= 0, 1, 0)</f>
        <v>0</v>
      </c>
      <c r="K3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" spans="1:11" x14ac:dyDescent="0.3">
      <c r="A316">
        <v>80321416</v>
      </c>
      <c r="B316">
        <v>8612879</v>
      </c>
      <c r="C316" s="1">
        <v>45145</v>
      </c>
      <c r="D316">
        <v>390</v>
      </c>
      <c r="E316">
        <f>IF(
  ISNA(
    _xlfn.XLOOKUP(
      payments_raw[[#This Row],[subscription_id]],
      subscriptions[subscription_id],
      subscriptions[subscription_id]
    )
  ),
  0,
  1
)</f>
        <v>1</v>
      </c>
      <c r="F316" s="1">
        <f>_xlfn.XLOOKUP(payments_raw[[#This Row],[subscription_id]], subscriptions[subscription_id], subscriptions[start_date])</f>
        <v>44795</v>
      </c>
      <c r="G3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" s="2">
        <f>IF(payments_raw[[#This Row],[payment_date]] &lt; payments_raw[[#This Row],[sub_start_date]], 1, 0)</f>
        <v>0</v>
      </c>
      <c r="I316" s="2">
        <f>IF(AND(payments_raw[[#This Row],[sub_end_date]]&lt;&gt;"", payments_raw[[#This Row],[payment_date]] &gt; payments_raw[[#This Row],[sub_end_date]]), 1, 0)</f>
        <v>0</v>
      </c>
      <c r="J316" s="2">
        <f>IF(payments_raw[[#This Row],[amount]] &lt;= 0, 1, 0)</f>
        <v>0</v>
      </c>
      <c r="K3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" spans="1:11" x14ac:dyDescent="0.3">
      <c r="A317">
        <v>76978961</v>
      </c>
      <c r="B317">
        <v>3859007</v>
      </c>
      <c r="C317" s="1">
        <v>45525</v>
      </c>
      <c r="D317">
        <v>1490</v>
      </c>
      <c r="E317">
        <f>IF(
  ISNA(
    _xlfn.XLOOKUP(
      payments_raw[[#This Row],[subscription_id]],
      subscriptions[subscription_id],
      subscriptions[subscription_id]
    )
  ),
  0,
  1
)</f>
        <v>1</v>
      </c>
      <c r="F317" s="1">
        <f>_xlfn.XLOOKUP(payments_raw[[#This Row],[subscription_id]], subscriptions[subscription_id], subscriptions[start_date])</f>
        <v>45266</v>
      </c>
      <c r="G3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45596</v>
      </c>
      <c r="H317" s="2">
        <f>IF(payments_raw[[#This Row],[payment_date]] &lt; payments_raw[[#This Row],[sub_start_date]], 1, 0)</f>
        <v>0</v>
      </c>
      <c r="I317" s="2">
        <f>IF(AND(payments_raw[[#This Row],[sub_end_date]]&lt;&gt;"", payments_raw[[#This Row],[payment_date]] &gt; payments_raw[[#This Row],[sub_end_date]]), 1, 0)</f>
        <v>0</v>
      </c>
      <c r="J317" s="2">
        <f>IF(payments_raw[[#This Row],[amount]] &lt;= 0, 1, 0)</f>
        <v>0</v>
      </c>
      <c r="K3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" spans="1:11" x14ac:dyDescent="0.3">
      <c r="A318">
        <v>69349666</v>
      </c>
      <c r="B318">
        <v>3190232</v>
      </c>
      <c r="C318" s="1">
        <v>45646</v>
      </c>
      <c r="D318">
        <v>790</v>
      </c>
      <c r="E318">
        <f>IF(
  ISNA(
    _xlfn.XLOOKUP(
      payments_raw[[#This Row],[subscription_id]],
      subscriptions[subscription_id],
      subscriptions[subscription_id]
    )
  ),
  0,
  1
)</f>
        <v>1</v>
      </c>
      <c r="F318" s="1">
        <f>_xlfn.XLOOKUP(payments_raw[[#This Row],[subscription_id]], subscriptions[subscription_id], subscriptions[start_date])</f>
        <v>45491</v>
      </c>
      <c r="G3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45652</v>
      </c>
      <c r="H318" s="2">
        <f>IF(payments_raw[[#This Row],[payment_date]] &lt; payments_raw[[#This Row],[sub_start_date]], 1, 0)</f>
        <v>0</v>
      </c>
      <c r="I318" s="2">
        <f>IF(AND(payments_raw[[#This Row],[sub_end_date]]&lt;&gt;"", payments_raw[[#This Row],[payment_date]] &gt; payments_raw[[#This Row],[sub_end_date]]), 1, 0)</f>
        <v>0</v>
      </c>
      <c r="J318" s="2">
        <f>IF(payments_raw[[#This Row],[amount]] &lt;= 0, 1, 0)</f>
        <v>0</v>
      </c>
      <c r="K3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" spans="1:11" x14ac:dyDescent="0.3">
      <c r="A319">
        <v>29396573</v>
      </c>
      <c r="B319">
        <v>6059400</v>
      </c>
      <c r="C319" s="1">
        <v>45509</v>
      </c>
      <c r="D319">
        <v>17.100000000000001</v>
      </c>
      <c r="E319">
        <f>IF(
  ISNA(
    _xlfn.XLOOKUP(
      payments_raw[[#This Row],[subscription_id]],
      subscriptions[subscription_id],
      subscriptions[subscription_id]
    )
  ),
  0,
  1
)</f>
        <v>1</v>
      </c>
      <c r="F319" s="1">
        <f>_xlfn.XLOOKUP(payments_raw[[#This Row],[subscription_id]], subscriptions[subscription_id], subscriptions[start_date])</f>
        <v>45149</v>
      </c>
      <c r="G3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9" s="2">
        <f>IF(payments_raw[[#This Row],[payment_date]] &lt; payments_raw[[#This Row],[sub_start_date]], 1, 0)</f>
        <v>0</v>
      </c>
      <c r="I319" s="2">
        <f>IF(AND(payments_raw[[#This Row],[sub_end_date]]&lt;&gt;"", payments_raw[[#This Row],[payment_date]] &gt; payments_raw[[#This Row],[sub_end_date]]), 1, 0)</f>
        <v>0</v>
      </c>
      <c r="J319" s="2">
        <f>IF(payments_raw[[#This Row],[amount]] &lt;= 0, 1, 0)</f>
        <v>0</v>
      </c>
      <c r="K3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" spans="1:11" x14ac:dyDescent="0.3">
      <c r="A320">
        <v>60689240</v>
      </c>
      <c r="B320">
        <v>7774201</v>
      </c>
      <c r="C320" s="1">
        <v>44872</v>
      </c>
      <c r="D320">
        <v>790</v>
      </c>
      <c r="E320">
        <f>IF(
  ISNA(
    _xlfn.XLOOKUP(
      payments_raw[[#This Row],[subscription_id]],
      subscriptions[subscription_id],
      subscriptions[subscription_id]
    )
  ),
  0,
  1
)</f>
        <v>1</v>
      </c>
      <c r="F320" s="1">
        <f>_xlfn.XLOOKUP(payments_raw[[#This Row],[subscription_id]], subscriptions[subscription_id], subscriptions[start_date])</f>
        <v>44700</v>
      </c>
      <c r="G3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" s="2">
        <f>IF(payments_raw[[#This Row],[payment_date]] &lt; payments_raw[[#This Row],[sub_start_date]], 1, 0)</f>
        <v>0</v>
      </c>
      <c r="I320" s="2">
        <f>IF(AND(payments_raw[[#This Row],[sub_end_date]]&lt;&gt;"", payments_raw[[#This Row],[payment_date]] &gt; payments_raw[[#This Row],[sub_end_date]]), 1, 0)</f>
        <v>0</v>
      </c>
      <c r="J320" s="2">
        <f>IF(payments_raw[[#This Row],[amount]] &lt;= 0, 1, 0)</f>
        <v>0</v>
      </c>
      <c r="K3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" spans="1:11" x14ac:dyDescent="0.3">
      <c r="A321">
        <v>37800640</v>
      </c>
      <c r="B321">
        <v>7410771</v>
      </c>
      <c r="C321" s="1">
        <v>45565</v>
      </c>
      <c r="D321">
        <v>390</v>
      </c>
      <c r="E321">
        <f>IF(
  ISNA(
    _xlfn.XLOOKUP(
      payments_raw[[#This Row],[subscription_id]],
      subscriptions[subscription_id],
      subscriptions[subscription_id]
    )
  ),
  0,
  1
)</f>
        <v>1</v>
      </c>
      <c r="F321" s="1">
        <f>_xlfn.XLOOKUP(payments_raw[[#This Row],[subscription_id]], subscriptions[subscription_id], subscriptions[start_date])</f>
        <v>45538</v>
      </c>
      <c r="G3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" s="2">
        <f>IF(payments_raw[[#This Row],[payment_date]] &lt; payments_raw[[#This Row],[sub_start_date]], 1, 0)</f>
        <v>0</v>
      </c>
      <c r="I321" s="2">
        <f>IF(AND(payments_raw[[#This Row],[sub_end_date]]&lt;&gt;"", payments_raw[[#This Row],[payment_date]] &gt; payments_raw[[#This Row],[sub_end_date]]), 1, 0)</f>
        <v>0</v>
      </c>
      <c r="J321" s="2">
        <f>IF(payments_raw[[#This Row],[amount]] &lt;= 0, 1, 0)</f>
        <v>0</v>
      </c>
      <c r="K3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" spans="1:11" x14ac:dyDescent="0.3">
      <c r="A322">
        <v>64371908</v>
      </c>
      <c r="B322">
        <v>6773384</v>
      </c>
      <c r="C322" s="1">
        <v>45621</v>
      </c>
      <c r="D322">
        <v>190</v>
      </c>
      <c r="E322">
        <f>IF(
  ISNA(
    _xlfn.XLOOKUP(
      payments_raw[[#This Row],[subscription_id]],
      subscriptions[subscription_id],
      subscriptions[subscription_id]
    )
  ),
  0,
  1
)</f>
        <v>1</v>
      </c>
      <c r="F322" s="1">
        <f>_xlfn.XLOOKUP(payments_raw[[#This Row],[subscription_id]], subscriptions[subscription_id], subscriptions[start_date])</f>
        <v>45586</v>
      </c>
      <c r="G3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" s="2">
        <f>IF(payments_raw[[#This Row],[payment_date]] &lt; payments_raw[[#This Row],[sub_start_date]], 1, 0)</f>
        <v>0</v>
      </c>
      <c r="I322" s="2">
        <f>IF(AND(payments_raw[[#This Row],[sub_end_date]]&lt;&gt;"", payments_raw[[#This Row],[payment_date]] &gt; payments_raw[[#This Row],[sub_end_date]]), 1, 0)</f>
        <v>0</v>
      </c>
      <c r="J322" s="2">
        <f>IF(payments_raw[[#This Row],[amount]] &lt;= 0, 1, 0)</f>
        <v>0</v>
      </c>
      <c r="K3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" spans="1:11" x14ac:dyDescent="0.3">
      <c r="A323">
        <v>49014249</v>
      </c>
      <c r="B323">
        <v>1880336</v>
      </c>
      <c r="C323" s="1">
        <v>44920</v>
      </c>
      <c r="D323">
        <v>149</v>
      </c>
      <c r="E323">
        <f>IF(
  ISNA(
    _xlfn.XLOOKUP(
      payments_raw[[#This Row],[subscription_id]],
      subscriptions[subscription_id],
      subscriptions[subscription_id]
    )
  ),
  0,
  1
)</f>
        <v>1</v>
      </c>
      <c r="F323" s="1">
        <f>_xlfn.XLOOKUP(payments_raw[[#This Row],[subscription_id]], subscriptions[subscription_id], subscriptions[start_date])</f>
        <v>44802</v>
      </c>
      <c r="G3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45164</v>
      </c>
      <c r="H323" s="2">
        <f>IF(payments_raw[[#This Row],[payment_date]] &lt; payments_raw[[#This Row],[sub_start_date]], 1, 0)</f>
        <v>0</v>
      </c>
      <c r="I323" s="2">
        <f>IF(AND(payments_raw[[#This Row],[sub_end_date]]&lt;&gt;"", payments_raw[[#This Row],[payment_date]] &gt; payments_raw[[#This Row],[sub_end_date]]), 1, 0)</f>
        <v>0</v>
      </c>
      <c r="J323" s="2">
        <f>IF(payments_raw[[#This Row],[amount]] &lt;= 0, 1, 0)</f>
        <v>0</v>
      </c>
      <c r="K3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" spans="1:11" x14ac:dyDescent="0.3">
      <c r="A324">
        <v>73043814</v>
      </c>
      <c r="B324">
        <v>2461125</v>
      </c>
      <c r="C324" s="1">
        <v>45191</v>
      </c>
      <c r="D324">
        <v>190</v>
      </c>
      <c r="E324">
        <f>IF(
  ISNA(
    _xlfn.XLOOKUP(
      payments_raw[[#This Row],[subscription_id]],
      subscriptions[subscription_id],
      subscriptions[subscription_id]
    )
  ),
  0,
  1
)</f>
        <v>1</v>
      </c>
      <c r="F324" s="1">
        <f>_xlfn.XLOOKUP(payments_raw[[#This Row],[subscription_id]], subscriptions[subscription_id], subscriptions[start_date])</f>
        <v>45179</v>
      </c>
      <c r="G3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45489</v>
      </c>
      <c r="H324" s="2">
        <f>IF(payments_raw[[#This Row],[payment_date]] &lt; payments_raw[[#This Row],[sub_start_date]], 1, 0)</f>
        <v>0</v>
      </c>
      <c r="I324" s="2">
        <f>IF(AND(payments_raw[[#This Row],[sub_end_date]]&lt;&gt;"", payments_raw[[#This Row],[payment_date]] &gt; payments_raw[[#This Row],[sub_end_date]]), 1, 0)</f>
        <v>0</v>
      </c>
      <c r="J324" s="2">
        <f>IF(payments_raw[[#This Row],[amount]] &lt;= 0, 1, 0)</f>
        <v>0</v>
      </c>
      <c r="K3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" spans="1:11" x14ac:dyDescent="0.3">
      <c r="A325">
        <v>85606069</v>
      </c>
      <c r="B325">
        <v>2171745</v>
      </c>
      <c r="C325" s="1">
        <v>45479</v>
      </c>
      <c r="D325">
        <v>2990</v>
      </c>
      <c r="E325">
        <f>IF(
  ISNA(
    _xlfn.XLOOKUP(
      payments_raw[[#This Row],[subscription_id]],
      subscriptions[subscription_id],
      subscriptions[subscription_id]
    )
  ),
  0,
  1
)</f>
        <v>1</v>
      </c>
      <c r="F325" s="1">
        <f>_xlfn.XLOOKUP(payments_raw[[#This Row],[subscription_id]], subscriptions[subscription_id], subscriptions[start_date])</f>
        <v>45417</v>
      </c>
      <c r="G3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" s="2">
        <f>IF(payments_raw[[#This Row],[payment_date]] &lt; payments_raw[[#This Row],[sub_start_date]], 1, 0)</f>
        <v>0</v>
      </c>
      <c r="I325" s="2">
        <f>IF(AND(payments_raw[[#This Row],[sub_end_date]]&lt;&gt;"", payments_raw[[#This Row],[payment_date]] &gt; payments_raw[[#This Row],[sub_end_date]]), 1, 0)</f>
        <v>0</v>
      </c>
      <c r="J325" s="2">
        <f>IF(payments_raw[[#This Row],[amount]] &lt;= 0, 1, 0)</f>
        <v>0</v>
      </c>
      <c r="K3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" spans="1:11" x14ac:dyDescent="0.3">
      <c r="A326">
        <v>18683210</v>
      </c>
      <c r="B326">
        <v>3146616</v>
      </c>
      <c r="C326" s="1">
        <v>45343</v>
      </c>
      <c r="D326">
        <v>79</v>
      </c>
      <c r="E326">
        <f>IF(
  ISNA(
    _xlfn.XLOOKUP(
      payments_raw[[#This Row],[subscription_id]],
      subscriptions[subscription_id],
      subscriptions[subscription_id]
    )
  ),
  0,
  1
)</f>
        <v>1</v>
      </c>
      <c r="F326" s="1">
        <f>_xlfn.XLOOKUP(payments_raw[[#This Row],[subscription_id]], subscriptions[subscription_id], subscriptions[start_date])</f>
        <v>44880</v>
      </c>
      <c r="G3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" s="2">
        <f>IF(payments_raw[[#This Row],[payment_date]] &lt; payments_raw[[#This Row],[sub_start_date]], 1, 0)</f>
        <v>0</v>
      </c>
      <c r="I326" s="2">
        <f>IF(AND(payments_raw[[#This Row],[sub_end_date]]&lt;&gt;"", payments_raw[[#This Row],[payment_date]] &gt; payments_raw[[#This Row],[sub_end_date]]), 1, 0)</f>
        <v>0</v>
      </c>
      <c r="J326" s="2">
        <f>IF(payments_raw[[#This Row],[amount]] &lt;= 0, 1, 0)</f>
        <v>0</v>
      </c>
      <c r="K3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" spans="1:11" x14ac:dyDescent="0.3">
      <c r="A327">
        <v>12936591</v>
      </c>
      <c r="B327">
        <v>7334348</v>
      </c>
      <c r="C327" s="1">
        <v>45402</v>
      </c>
      <c r="D327">
        <v>149</v>
      </c>
      <c r="E327">
        <f>IF(
  ISNA(
    _xlfn.XLOOKUP(
      payments_raw[[#This Row],[subscription_id]],
      subscriptions[subscription_id],
      subscriptions[subscription_id]
    )
  ),
  0,
  1
)</f>
        <v>1</v>
      </c>
      <c r="F327" s="1">
        <f>_xlfn.XLOOKUP(payments_raw[[#This Row],[subscription_id]], subscriptions[subscription_id], subscriptions[start_date])</f>
        <v>45004</v>
      </c>
      <c r="G3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" s="2">
        <f>IF(payments_raw[[#This Row],[payment_date]] &lt; payments_raw[[#This Row],[sub_start_date]], 1, 0)</f>
        <v>0</v>
      </c>
      <c r="I327" s="2">
        <f>IF(AND(payments_raw[[#This Row],[sub_end_date]]&lt;&gt;"", payments_raw[[#This Row],[payment_date]] &gt; payments_raw[[#This Row],[sub_end_date]]), 1, 0)</f>
        <v>0</v>
      </c>
      <c r="J327" s="2">
        <f>IF(payments_raw[[#This Row],[amount]] &lt;= 0, 1, 0)</f>
        <v>0</v>
      </c>
      <c r="K3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" spans="1:11" x14ac:dyDescent="0.3">
      <c r="A328">
        <v>58254034</v>
      </c>
      <c r="B328">
        <v>7833312</v>
      </c>
      <c r="C328" s="1">
        <v>45286</v>
      </c>
      <c r="D328">
        <v>29.25</v>
      </c>
      <c r="E328">
        <f>IF(
  ISNA(
    _xlfn.XLOOKUP(
      payments_raw[[#This Row],[subscription_id]],
      subscriptions[subscription_id],
      subscriptions[subscription_id]
    )
  ),
  0,
  1
)</f>
        <v>1</v>
      </c>
      <c r="F328" s="1">
        <f>_xlfn.XLOOKUP(payments_raw[[#This Row],[subscription_id]], subscriptions[subscription_id], subscriptions[start_date])</f>
        <v>45189</v>
      </c>
      <c r="G3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328" s="2">
        <f>IF(payments_raw[[#This Row],[payment_date]] &lt; payments_raw[[#This Row],[sub_start_date]], 1, 0)</f>
        <v>0</v>
      </c>
      <c r="I328" s="2">
        <f>IF(AND(payments_raw[[#This Row],[sub_end_date]]&lt;&gt;"", payments_raw[[#This Row],[payment_date]] &gt; payments_raw[[#This Row],[sub_end_date]]), 1, 0)</f>
        <v>0</v>
      </c>
      <c r="J328" s="2">
        <f>IF(payments_raw[[#This Row],[amount]] &lt;= 0, 1, 0)</f>
        <v>0</v>
      </c>
      <c r="K3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" spans="1:11" x14ac:dyDescent="0.3">
      <c r="A329">
        <v>69770852</v>
      </c>
      <c r="B329">
        <v>6749416</v>
      </c>
      <c r="C329" s="1">
        <v>45561</v>
      </c>
      <c r="D329">
        <v>224.25</v>
      </c>
      <c r="E329">
        <f>IF(
  ISNA(
    _xlfn.XLOOKUP(
      payments_raw[[#This Row],[subscription_id]],
      subscriptions[subscription_id],
      subscriptions[subscription_id]
    )
  ),
  0,
  1
)</f>
        <v>1</v>
      </c>
      <c r="F329" s="1">
        <f>_xlfn.XLOOKUP(payments_raw[[#This Row],[subscription_id]], subscriptions[subscription_id], subscriptions[start_date])</f>
        <v>45127</v>
      </c>
      <c r="G3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" s="2">
        <f>IF(payments_raw[[#This Row],[payment_date]] &lt; payments_raw[[#This Row],[sub_start_date]], 1, 0)</f>
        <v>0</v>
      </c>
      <c r="I329" s="2">
        <f>IF(AND(payments_raw[[#This Row],[sub_end_date]]&lt;&gt;"", payments_raw[[#This Row],[payment_date]] &gt; payments_raw[[#This Row],[sub_end_date]]), 1, 0)</f>
        <v>0</v>
      </c>
      <c r="J329" s="2">
        <f>IF(payments_raw[[#This Row],[amount]] &lt;= 0, 1, 0)</f>
        <v>0</v>
      </c>
      <c r="K3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" spans="1:11" x14ac:dyDescent="0.3">
      <c r="A330">
        <v>56738646</v>
      </c>
      <c r="B330">
        <v>1275590</v>
      </c>
      <c r="C330" s="1">
        <v>45462</v>
      </c>
      <c r="D330">
        <v>149</v>
      </c>
      <c r="E330">
        <f>IF(
  ISNA(
    _xlfn.XLOOKUP(
      payments_raw[[#This Row],[subscription_id]],
      subscriptions[subscription_id],
      subscriptions[subscription_id]
    )
  ),
  0,
  1
)</f>
        <v>1</v>
      </c>
      <c r="F330" s="1">
        <f>_xlfn.XLOOKUP(payments_raw[[#This Row],[subscription_id]], subscriptions[subscription_id], subscriptions[start_date])</f>
        <v>45404</v>
      </c>
      <c r="G3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" s="2">
        <f>IF(payments_raw[[#This Row],[payment_date]] &lt; payments_raw[[#This Row],[sub_start_date]], 1, 0)</f>
        <v>0</v>
      </c>
      <c r="I330" s="2">
        <f>IF(AND(payments_raw[[#This Row],[sub_end_date]]&lt;&gt;"", payments_raw[[#This Row],[payment_date]] &gt; payments_raw[[#This Row],[sub_end_date]]), 1, 0)</f>
        <v>0</v>
      </c>
      <c r="J330" s="2">
        <f>IF(payments_raw[[#This Row],[amount]] &lt;= 0, 1, 0)</f>
        <v>0</v>
      </c>
      <c r="K3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" spans="1:11" x14ac:dyDescent="0.3">
      <c r="A331">
        <v>44877696</v>
      </c>
      <c r="B331">
        <v>5245272</v>
      </c>
      <c r="C331" s="1">
        <v>45368</v>
      </c>
      <c r="D331">
        <v>790</v>
      </c>
      <c r="E331">
        <f>IF(
  ISNA(
    _xlfn.XLOOKUP(
      payments_raw[[#This Row],[subscription_id]],
      subscriptions[subscription_id],
      subscriptions[subscription_id]
    )
  ),
  0,
  1
)</f>
        <v>1</v>
      </c>
      <c r="F331" s="1">
        <f>_xlfn.XLOOKUP(payments_raw[[#This Row],[subscription_id]], subscriptions[subscription_id], subscriptions[start_date])</f>
        <v>45123</v>
      </c>
      <c r="G3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45445</v>
      </c>
      <c r="H331" s="2">
        <f>IF(payments_raw[[#This Row],[payment_date]] &lt; payments_raw[[#This Row],[sub_start_date]], 1, 0)</f>
        <v>0</v>
      </c>
      <c r="I331" s="2">
        <f>IF(AND(payments_raw[[#This Row],[sub_end_date]]&lt;&gt;"", payments_raw[[#This Row],[payment_date]] &gt; payments_raw[[#This Row],[sub_end_date]]), 1, 0)</f>
        <v>0</v>
      </c>
      <c r="J331" s="2">
        <f>IF(payments_raw[[#This Row],[amount]] &lt;= 0, 1, 0)</f>
        <v>0</v>
      </c>
      <c r="K3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" spans="1:11" x14ac:dyDescent="0.3">
      <c r="A332">
        <v>39412039</v>
      </c>
      <c r="B332">
        <v>4046988</v>
      </c>
      <c r="C332" s="1">
        <v>45383</v>
      </c>
      <c r="D332">
        <v>79</v>
      </c>
      <c r="E332">
        <f>IF(
  ISNA(
    _xlfn.XLOOKUP(
      payments_raw[[#This Row],[subscription_id]],
      subscriptions[subscription_id],
      subscriptions[subscription_id]
    )
  ),
  0,
  1
)</f>
        <v>1</v>
      </c>
      <c r="F332" s="1">
        <f>_xlfn.XLOOKUP(payments_raw[[#This Row],[subscription_id]], subscriptions[subscription_id], subscriptions[start_date])</f>
        <v>45309</v>
      </c>
      <c r="G3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332" s="2">
        <f>IF(payments_raw[[#This Row],[payment_date]] &lt; payments_raw[[#This Row],[sub_start_date]], 1, 0)</f>
        <v>0</v>
      </c>
      <c r="I332" s="2">
        <f>IF(AND(payments_raw[[#This Row],[sub_end_date]]&lt;&gt;"", payments_raw[[#This Row],[payment_date]] &gt; payments_raw[[#This Row],[sub_end_date]]), 1, 0)</f>
        <v>0</v>
      </c>
      <c r="J332" s="2">
        <f>IF(payments_raw[[#This Row],[amount]] &lt;= 0, 1, 0)</f>
        <v>0</v>
      </c>
      <c r="K3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" spans="1:11" x14ac:dyDescent="0.3">
      <c r="A333">
        <v>90410541</v>
      </c>
      <c r="B333">
        <v>3241313</v>
      </c>
      <c r="C333" s="1">
        <v>45330</v>
      </c>
      <c r="D333">
        <v>790</v>
      </c>
      <c r="E333">
        <f>IF(
  ISNA(
    _xlfn.XLOOKUP(
      payments_raw[[#This Row],[subscription_id]],
      subscriptions[subscription_id],
      subscriptions[subscription_id]
    )
  ),
  0,
  1
)</f>
        <v>1</v>
      </c>
      <c r="F333" s="1">
        <f>_xlfn.XLOOKUP(payments_raw[[#This Row],[subscription_id]], subscriptions[subscription_id], subscriptions[start_date])</f>
        <v>44787</v>
      </c>
      <c r="G3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3" s="2">
        <f>IF(payments_raw[[#This Row],[payment_date]] &lt; payments_raw[[#This Row],[sub_start_date]], 1, 0)</f>
        <v>0</v>
      </c>
      <c r="I333" s="2">
        <f>IF(AND(payments_raw[[#This Row],[sub_end_date]]&lt;&gt;"", payments_raw[[#This Row],[payment_date]] &gt; payments_raw[[#This Row],[sub_end_date]]), 1, 0)</f>
        <v>0</v>
      </c>
      <c r="J333" s="2">
        <f>IF(payments_raw[[#This Row],[amount]] &lt;= 0, 1, 0)</f>
        <v>0</v>
      </c>
      <c r="K3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" spans="1:11" x14ac:dyDescent="0.3">
      <c r="A334">
        <v>14871204</v>
      </c>
      <c r="B334">
        <v>8200092</v>
      </c>
      <c r="C334" s="1">
        <v>45358</v>
      </c>
      <c r="D334">
        <v>2990</v>
      </c>
      <c r="E334">
        <f>IF(
  ISNA(
    _xlfn.XLOOKUP(
      payments_raw[[#This Row],[subscription_id]],
      subscriptions[subscription_id],
      subscriptions[subscription_id]
    )
  ),
  0,
  1
)</f>
        <v>1</v>
      </c>
      <c r="F334" s="1">
        <f>_xlfn.XLOOKUP(payments_raw[[#This Row],[subscription_id]], subscriptions[subscription_id], subscriptions[start_date])</f>
        <v>44968</v>
      </c>
      <c r="G3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" s="2">
        <f>IF(payments_raw[[#This Row],[payment_date]] &lt; payments_raw[[#This Row],[sub_start_date]], 1, 0)</f>
        <v>0</v>
      </c>
      <c r="I334" s="2">
        <f>IF(AND(payments_raw[[#This Row],[sub_end_date]]&lt;&gt;"", payments_raw[[#This Row],[payment_date]] &gt; payments_raw[[#This Row],[sub_end_date]]), 1, 0)</f>
        <v>0</v>
      </c>
      <c r="J334" s="2">
        <f>IF(payments_raw[[#This Row],[amount]] &lt;= 0, 1, 0)</f>
        <v>0</v>
      </c>
      <c r="K3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" spans="1:11" x14ac:dyDescent="0.3">
      <c r="A335">
        <v>40679513</v>
      </c>
      <c r="B335">
        <v>5969984</v>
      </c>
      <c r="C335" s="1">
        <v>44823</v>
      </c>
      <c r="D335">
        <v>390</v>
      </c>
      <c r="E335">
        <f>IF(
  ISNA(
    _xlfn.XLOOKUP(
      payments_raw[[#This Row],[subscription_id]],
      subscriptions[subscription_id],
      subscriptions[subscription_id]
    )
  ),
  0,
  1
)</f>
        <v>1</v>
      </c>
      <c r="F335" s="1">
        <f>_xlfn.XLOOKUP(payments_raw[[#This Row],[subscription_id]], subscriptions[subscription_id], subscriptions[start_date])</f>
        <v>44731</v>
      </c>
      <c r="G3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5" s="2">
        <f>IF(payments_raw[[#This Row],[payment_date]] &lt; payments_raw[[#This Row],[sub_start_date]], 1, 0)</f>
        <v>0</v>
      </c>
      <c r="I335" s="2">
        <f>IF(AND(payments_raw[[#This Row],[sub_end_date]]&lt;&gt;"", payments_raw[[#This Row],[payment_date]] &gt; payments_raw[[#This Row],[sub_end_date]]), 1, 0)</f>
        <v>0</v>
      </c>
      <c r="J335" s="2">
        <f>IF(payments_raw[[#This Row],[amount]] &lt;= 0, 1, 0)</f>
        <v>0</v>
      </c>
      <c r="K3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" spans="1:11" x14ac:dyDescent="0.3">
      <c r="A336">
        <v>31307557</v>
      </c>
      <c r="B336">
        <v>6034195</v>
      </c>
      <c r="C336" s="1">
        <v>45086</v>
      </c>
      <c r="D336">
        <v>790</v>
      </c>
      <c r="E336">
        <f>IF(
  ISNA(
    _xlfn.XLOOKUP(
      payments_raw[[#This Row],[subscription_id]],
      subscriptions[subscription_id],
      subscriptions[subscription_id]
    )
  ),
  0,
  1
)</f>
        <v>1</v>
      </c>
      <c r="F336" s="1">
        <f>_xlfn.XLOOKUP(payments_raw[[#This Row],[subscription_id]], subscriptions[subscription_id], subscriptions[start_date])</f>
        <v>44992</v>
      </c>
      <c r="G3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" s="2">
        <f>IF(payments_raw[[#This Row],[payment_date]] &lt; payments_raw[[#This Row],[sub_start_date]], 1, 0)</f>
        <v>0</v>
      </c>
      <c r="I336" s="2">
        <f>IF(AND(payments_raw[[#This Row],[sub_end_date]]&lt;&gt;"", payments_raw[[#This Row],[payment_date]] &gt; payments_raw[[#This Row],[sub_end_date]]), 1, 0)</f>
        <v>0</v>
      </c>
      <c r="J336" s="2">
        <f>IF(payments_raw[[#This Row],[amount]] &lt;= 0, 1, 0)</f>
        <v>0</v>
      </c>
      <c r="K3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" spans="1:11" x14ac:dyDescent="0.3">
      <c r="A337">
        <v>84198784</v>
      </c>
      <c r="B337">
        <v>1864361</v>
      </c>
      <c r="C337" s="1">
        <v>45083</v>
      </c>
      <c r="D337">
        <v>149</v>
      </c>
      <c r="E337">
        <f>IF(
  ISNA(
    _xlfn.XLOOKUP(
      payments_raw[[#This Row],[subscription_id]],
      subscriptions[subscription_id],
      subscriptions[subscription_id]
    )
  ),
  0,
  1
)</f>
        <v>1</v>
      </c>
      <c r="F337" s="1">
        <f>_xlfn.XLOOKUP(payments_raw[[#This Row],[subscription_id]], subscriptions[subscription_id], subscriptions[start_date])</f>
        <v>45071</v>
      </c>
      <c r="G3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45208</v>
      </c>
      <c r="H337" s="2">
        <f>IF(payments_raw[[#This Row],[payment_date]] &lt; payments_raw[[#This Row],[sub_start_date]], 1, 0)</f>
        <v>0</v>
      </c>
      <c r="I337" s="2">
        <f>IF(AND(payments_raw[[#This Row],[sub_end_date]]&lt;&gt;"", payments_raw[[#This Row],[payment_date]] &gt; payments_raw[[#This Row],[sub_end_date]]), 1, 0)</f>
        <v>0</v>
      </c>
      <c r="J337" s="2">
        <f>IF(payments_raw[[#This Row],[amount]] &lt;= 0, 1, 0)</f>
        <v>0</v>
      </c>
      <c r="K3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" spans="1:11" x14ac:dyDescent="0.3">
      <c r="A338">
        <v>80498380</v>
      </c>
      <c r="B338">
        <v>6829443</v>
      </c>
      <c r="C338" s="1">
        <v>45447</v>
      </c>
      <c r="D338">
        <v>39</v>
      </c>
      <c r="E338">
        <f>IF(
  ISNA(
    _xlfn.XLOOKUP(
      payments_raw[[#This Row],[subscription_id]],
      subscriptions[subscription_id],
      subscriptions[subscription_id]
    )
  ),
  0,
  1
)</f>
        <v>1</v>
      </c>
      <c r="F338" s="1">
        <f>_xlfn.XLOOKUP(payments_raw[[#This Row],[subscription_id]], subscriptions[subscription_id], subscriptions[start_date])</f>
        <v>45317</v>
      </c>
      <c r="G3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" s="2">
        <f>IF(payments_raw[[#This Row],[payment_date]] &lt; payments_raw[[#This Row],[sub_start_date]], 1, 0)</f>
        <v>0</v>
      </c>
      <c r="I338" s="2">
        <f>IF(AND(payments_raw[[#This Row],[sub_end_date]]&lt;&gt;"", payments_raw[[#This Row],[payment_date]] &gt; payments_raw[[#This Row],[sub_end_date]]), 1, 0)</f>
        <v>0</v>
      </c>
      <c r="J338" s="2">
        <f>IF(payments_raw[[#This Row],[amount]] &lt;= 0, 1, 0)</f>
        <v>0</v>
      </c>
      <c r="K3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" spans="1:11" x14ac:dyDescent="0.3">
      <c r="A339">
        <v>49346304</v>
      </c>
      <c r="B339">
        <v>6677240</v>
      </c>
      <c r="C339" s="1">
        <v>44881</v>
      </c>
      <c r="D339">
        <v>299</v>
      </c>
      <c r="E339">
        <f>IF(
  ISNA(
    _xlfn.XLOOKUP(
      payments_raw[[#This Row],[subscription_id]],
      subscriptions[subscription_id],
      subscriptions[subscription_id]
    )
  ),
  0,
  1
)</f>
        <v>1</v>
      </c>
      <c r="F339" s="1">
        <f>_xlfn.XLOOKUP(payments_raw[[#This Row],[subscription_id]], subscriptions[subscription_id], subscriptions[start_date])</f>
        <v>44736</v>
      </c>
      <c r="G3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" s="2">
        <f>IF(payments_raw[[#This Row],[payment_date]] &lt; payments_raw[[#This Row],[sub_start_date]], 1, 0)</f>
        <v>0</v>
      </c>
      <c r="I339" s="2">
        <f>IF(AND(payments_raw[[#This Row],[sub_end_date]]&lt;&gt;"", payments_raw[[#This Row],[payment_date]] &gt; payments_raw[[#This Row],[sub_end_date]]), 1, 0)</f>
        <v>0</v>
      </c>
      <c r="J339" s="2">
        <f>IF(payments_raw[[#This Row],[amount]] &lt;= 0, 1, 0)</f>
        <v>0</v>
      </c>
      <c r="K3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" spans="1:11" x14ac:dyDescent="0.3">
      <c r="A340">
        <v>47381443</v>
      </c>
      <c r="B340">
        <v>2256271</v>
      </c>
      <c r="C340" s="1">
        <v>45359</v>
      </c>
      <c r="D340">
        <v>190</v>
      </c>
      <c r="E340">
        <f>IF(
  ISNA(
    _xlfn.XLOOKUP(
      payments_raw[[#This Row],[subscription_id]],
      subscriptions[subscription_id],
      subscriptions[subscription_id]
    )
  ),
  0,
  1
)</f>
        <v>1</v>
      </c>
      <c r="F340" s="1">
        <f>_xlfn.XLOOKUP(payments_raw[[#This Row],[subscription_id]], subscriptions[subscription_id], subscriptions[start_date])</f>
        <v>45264</v>
      </c>
      <c r="G3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0" s="2">
        <f>IF(payments_raw[[#This Row],[payment_date]] &lt; payments_raw[[#This Row],[sub_start_date]], 1, 0)</f>
        <v>0</v>
      </c>
      <c r="I340" s="2">
        <f>IF(AND(payments_raw[[#This Row],[sub_end_date]]&lt;&gt;"", payments_raw[[#This Row],[payment_date]] &gt; payments_raw[[#This Row],[sub_end_date]]), 1, 0)</f>
        <v>0</v>
      </c>
      <c r="J340" s="2">
        <f>IF(payments_raw[[#This Row],[amount]] &lt;= 0, 1, 0)</f>
        <v>0</v>
      </c>
      <c r="K3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" spans="1:11" x14ac:dyDescent="0.3">
      <c r="A341">
        <v>51822022</v>
      </c>
      <c r="B341">
        <v>2610210</v>
      </c>
      <c r="C341" s="1">
        <v>45155</v>
      </c>
      <c r="D341">
        <v>299</v>
      </c>
      <c r="E341">
        <f>IF(
  ISNA(
    _xlfn.XLOOKUP(
      payments_raw[[#This Row],[subscription_id]],
      subscriptions[subscription_id],
      subscriptions[subscription_id]
    )
  ),
  0,
  1
)</f>
        <v>1</v>
      </c>
      <c r="F341" s="1">
        <f>_xlfn.XLOOKUP(payments_raw[[#This Row],[subscription_id]], subscriptions[subscription_id], subscriptions[start_date])</f>
        <v>44985</v>
      </c>
      <c r="G3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" s="2">
        <f>IF(payments_raw[[#This Row],[payment_date]] &lt; payments_raw[[#This Row],[sub_start_date]], 1, 0)</f>
        <v>0</v>
      </c>
      <c r="I341" s="2">
        <f>IF(AND(payments_raw[[#This Row],[sub_end_date]]&lt;&gt;"", payments_raw[[#This Row],[payment_date]] &gt; payments_raw[[#This Row],[sub_end_date]]), 1, 0)</f>
        <v>0</v>
      </c>
      <c r="J341" s="2">
        <f>IF(payments_raw[[#This Row],[amount]] &lt;= 0, 1, 0)</f>
        <v>0</v>
      </c>
      <c r="K3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" spans="1:11" x14ac:dyDescent="0.3">
      <c r="A342">
        <v>41113767</v>
      </c>
      <c r="B342">
        <v>6655862</v>
      </c>
      <c r="C342" s="1">
        <v>45184</v>
      </c>
      <c r="D342">
        <v>19</v>
      </c>
      <c r="E342">
        <f>IF(
  ISNA(
    _xlfn.XLOOKUP(
      payments_raw[[#This Row],[subscription_id]],
      subscriptions[subscription_id],
      subscriptions[subscription_id]
    )
  ),
  0,
  1
)</f>
        <v>1</v>
      </c>
      <c r="F342" s="1">
        <f>_xlfn.XLOOKUP(payments_raw[[#This Row],[subscription_id]], subscriptions[subscription_id], subscriptions[start_date])</f>
        <v>45090</v>
      </c>
      <c r="G3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" s="2">
        <f>IF(payments_raw[[#This Row],[payment_date]] &lt; payments_raw[[#This Row],[sub_start_date]], 1, 0)</f>
        <v>0</v>
      </c>
      <c r="I342" s="2">
        <f>IF(AND(payments_raw[[#This Row],[sub_end_date]]&lt;&gt;"", payments_raw[[#This Row],[payment_date]] &gt; payments_raw[[#This Row],[sub_end_date]]), 1, 0)</f>
        <v>0</v>
      </c>
      <c r="J342" s="2">
        <f>IF(payments_raw[[#This Row],[amount]] &lt;= 0, 1, 0)</f>
        <v>0</v>
      </c>
      <c r="K3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" spans="1:11" x14ac:dyDescent="0.3">
      <c r="A343">
        <v>86854285</v>
      </c>
      <c r="B343">
        <v>3715983</v>
      </c>
      <c r="C343" s="1">
        <v>45464</v>
      </c>
      <c r="D343">
        <v>299</v>
      </c>
      <c r="E343">
        <f>IF(
  ISNA(
    _xlfn.XLOOKUP(
      payments_raw[[#This Row],[subscription_id]],
      subscriptions[subscription_id],
      subscriptions[subscription_id]
    )
  ),
  0,
  1
)</f>
        <v>1</v>
      </c>
      <c r="F343" s="1">
        <f>_xlfn.XLOOKUP(payments_raw[[#This Row],[subscription_id]], subscriptions[subscription_id], subscriptions[start_date])</f>
        <v>45374</v>
      </c>
      <c r="G3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" s="2">
        <f>IF(payments_raw[[#This Row],[payment_date]] &lt; payments_raw[[#This Row],[sub_start_date]], 1, 0)</f>
        <v>0</v>
      </c>
      <c r="I343" s="2">
        <f>IF(AND(payments_raw[[#This Row],[sub_end_date]]&lt;&gt;"", payments_raw[[#This Row],[payment_date]] &gt; payments_raw[[#This Row],[sub_end_date]]), 1, 0)</f>
        <v>0</v>
      </c>
      <c r="J343" s="2">
        <f>IF(payments_raw[[#This Row],[amount]] &lt;= 0, 1, 0)</f>
        <v>0</v>
      </c>
      <c r="K3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" spans="1:11" x14ac:dyDescent="0.3">
      <c r="A344">
        <v>73115666</v>
      </c>
      <c r="B344">
        <v>8882149</v>
      </c>
      <c r="C344" s="1">
        <v>45605</v>
      </c>
      <c r="D344">
        <v>190</v>
      </c>
      <c r="E344">
        <f>IF(
  ISNA(
    _xlfn.XLOOKUP(
      payments_raw[[#This Row],[subscription_id]],
      subscriptions[subscription_id],
      subscriptions[subscription_id]
    )
  ),
  0,
  1
)</f>
        <v>1</v>
      </c>
      <c r="F344" s="1">
        <f>_xlfn.XLOOKUP(payments_raw[[#This Row],[subscription_id]], subscriptions[subscription_id], subscriptions[start_date])</f>
        <v>44641</v>
      </c>
      <c r="G3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" s="2">
        <f>IF(payments_raw[[#This Row],[payment_date]] &lt; payments_raw[[#This Row],[sub_start_date]], 1, 0)</f>
        <v>0</v>
      </c>
      <c r="I344" s="2">
        <f>IF(AND(payments_raw[[#This Row],[sub_end_date]]&lt;&gt;"", payments_raw[[#This Row],[payment_date]] &gt; payments_raw[[#This Row],[sub_end_date]]), 1, 0)</f>
        <v>0</v>
      </c>
      <c r="J344" s="2">
        <f>IF(payments_raw[[#This Row],[amount]] &lt;= 0, 1, 0)</f>
        <v>0</v>
      </c>
      <c r="K3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" spans="1:11" x14ac:dyDescent="0.3">
      <c r="A345">
        <v>32538675</v>
      </c>
      <c r="B345">
        <v>6677240</v>
      </c>
      <c r="C345" s="1">
        <v>44977</v>
      </c>
      <c r="D345">
        <v>149.5</v>
      </c>
      <c r="E345">
        <f>IF(
  ISNA(
    _xlfn.XLOOKUP(
      payments_raw[[#This Row],[subscription_id]],
      subscriptions[subscription_id],
      subscriptions[subscription_id]
    )
  ),
  0,
  1
)</f>
        <v>1</v>
      </c>
      <c r="F345" s="1">
        <f>_xlfn.XLOOKUP(payments_raw[[#This Row],[subscription_id]], subscriptions[subscription_id], subscriptions[start_date])</f>
        <v>44736</v>
      </c>
      <c r="G3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" s="2">
        <f>IF(payments_raw[[#This Row],[payment_date]] &lt; payments_raw[[#This Row],[sub_start_date]], 1, 0)</f>
        <v>0</v>
      </c>
      <c r="I345" s="2">
        <f>IF(AND(payments_raw[[#This Row],[sub_end_date]]&lt;&gt;"", payments_raw[[#This Row],[payment_date]] &gt; payments_raw[[#This Row],[sub_end_date]]), 1, 0)</f>
        <v>0</v>
      </c>
      <c r="J345" s="2">
        <f>IF(payments_raw[[#This Row],[amount]] &lt;= 0, 1, 0)</f>
        <v>0</v>
      </c>
      <c r="K3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" spans="1:11" x14ac:dyDescent="0.3">
      <c r="A346">
        <v>90884211</v>
      </c>
      <c r="B346">
        <v>6753758</v>
      </c>
      <c r="C346" s="1">
        <v>45623</v>
      </c>
      <c r="D346">
        <v>149.5</v>
      </c>
      <c r="E346">
        <f>IF(
  ISNA(
    _xlfn.XLOOKUP(
      payments_raw[[#This Row],[subscription_id]],
      subscriptions[subscription_id],
      subscriptions[subscription_id]
    )
  ),
  0,
  1
)</f>
        <v>1</v>
      </c>
      <c r="F346" s="1">
        <f>_xlfn.XLOOKUP(payments_raw[[#This Row],[subscription_id]], subscriptions[subscription_id], subscriptions[start_date])</f>
        <v>45259</v>
      </c>
      <c r="G3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" s="2">
        <f>IF(payments_raw[[#This Row],[payment_date]] &lt; payments_raw[[#This Row],[sub_start_date]], 1, 0)</f>
        <v>0</v>
      </c>
      <c r="I346" s="2">
        <f>IF(AND(payments_raw[[#This Row],[sub_end_date]]&lt;&gt;"", payments_raw[[#This Row],[payment_date]] &gt; payments_raw[[#This Row],[sub_end_date]]), 1, 0)</f>
        <v>0</v>
      </c>
      <c r="J346" s="2">
        <f>IF(payments_raw[[#This Row],[amount]] &lt;= 0, 1, 0)</f>
        <v>0</v>
      </c>
      <c r="K3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" spans="1:11" x14ac:dyDescent="0.3">
      <c r="A347">
        <v>46110491</v>
      </c>
      <c r="B347">
        <v>6034918</v>
      </c>
      <c r="C347" s="1">
        <v>45390</v>
      </c>
      <c r="D347">
        <v>149</v>
      </c>
      <c r="E347">
        <f>IF(
  ISNA(
    _xlfn.XLOOKUP(
      payments_raw[[#This Row],[subscription_id]],
      subscriptions[subscription_id],
      subscriptions[subscription_id]
    )
  ),
  0,
  1
)</f>
        <v>1</v>
      </c>
      <c r="F347" s="1">
        <f>_xlfn.XLOOKUP(payments_raw[[#This Row],[subscription_id]], subscriptions[subscription_id], subscriptions[start_date])</f>
        <v>45368</v>
      </c>
      <c r="G3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45454</v>
      </c>
      <c r="H347" s="2">
        <f>IF(payments_raw[[#This Row],[payment_date]] &lt; payments_raw[[#This Row],[sub_start_date]], 1, 0)</f>
        <v>0</v>
      </c>
      <c r="I347" s="2">
        <f>IF(AND(payments_raw[[#This Row],[sub_end_date]]&lt;&gt;"", payments_raw[[#This Row],[payment_date]] &gt; payments_raw[[#This Row],[sub_end_date]]), 1, 0)</f>
        <v>0</v>
      </c>
      <c r="J347" s="2">
        <f>IF(payments_raw[[#This Row],[amount]] &lt;= 0, 1, 0)</f>
        <v>0</v>
      </c>
      <c r="K3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" spans="1:11" x14ac:dyDescent="0.3">
      <c r="A348">
        <v>72080682</v>
      </c>
      <c r="B348">
        <v>4115619</v>
      </c>
      <c r="C348" s="1">
        <v>45062</v>
      </c>
      <c r="D348">
        <v>299</v>
      </c>
      <c r="E348">
        <f>IF(
  ISNA(
    _xlfn.XLOOKUP(
      payments_raw[[#This Row],[subscription_id]],
      subscriptions[subscription_id],
      subscriptions[subscription_id]
    )
  ),
  0,
  1
)</f>
        <v>1</v>
      </c>
      <c r="F348" s="1">
        <f>_xlfn.XLOOKUP(payments_raw[[#This Row],[subscription_id]], subscriptions[subscription_id], subscriptions[start_date])</f>
        <v>45015</v>
      </c>
      <c r="G3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45082</v>
      </c>
      <c r="H348" s="2">
        <f>IF(payments_raw[[#This Row],[payment_date]] &lt; payments_raw[[#This Row],[sub_start_date]], 1, 0)</f>
        <v>0</v>
      </c>
      <c r="I348" s="2">
        <f>IF(AND(payments_raw[[#This Row],[sub_end_date]]&lt;&gt;"", payments_raw[[#This Row],[payment_date]] &gt; payments_raw[[#This Row],[sub_end_date]]), 1, 0)</f>
        <v>0</v>
      </c>
      <c r="J348" s="2">
        <f>IF(payments_raw[[#This Row],[amount]] &lt;= 0, 1, 0)</f>
        <v>0</v>
      </c>
      <c r="K3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" spans="1:11" x14ac:dyDescent="0.3">
      <c r="A349">
        <v>30497544</v>
      </c>
      <c r="B349">
        <v>3053134</v>
      </c>
      <c r="C349" s="1">
        <v>45265</v>
      </c>
      <c r="D349">
        <v>390</v>
      </c>
      <c r="E349">
        <f>IF(
  ISNA(
    _xlfn.XLOOKUP(
      payments_raw[[#This Row],[subscription_id]],
      subscriptions[subscription_id],
      subscriptions[subscription_id]
    )
  ),
  0,
  1
)</f>
        <v>1</v>
      </c>
      <c r="F349" s="1">
        <f>_xlfn.XLOOKUP(payments_raw[[#This Row],[subscription_id]], subscriptions[subscription_id], subscriptions[start_date])</f>
        <v>44719</v>
      </c>
      <c r="G3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" s="2">
        <f>IF(payments_raw[[#This Row],[payment_date]] &lt; payments_raw[[#This Row],[sub_start_date]], 1, 0)</f>
        <v>0</v>
      </c>
      <c r="I349" s="2">
        <f>IF(AND(payments_raw[[#This Row],[sub_end_date]]&lt;&gt;"", payments_raw[[#This Row],[payment_date]] &gt; payments_raw[[#This Row],[sub_end_date]]), 1, 0)</f>
        <v>0</v>
      </c>
      <c r="J349" s="2">
        <f>IF(payments_raw[[#This Row],[amount]] &lt;= 0, 1, 0)</f>
        <v>0</v>
      </c>
      <c r="K3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0" spans="1:11" x14ac:dyDescent="0.3">
      <c r="A350">
        <v>42970120</v>
      </c>
      <c r="B350">
        <v>8538483</v>
      </c>
      <c r="C350" s="1">
        <v>45566</v>
      </c>
      <c r="D350">
        <v>1495</v>
      </c>
      <c r="E350">
        <f>IF(
  ISNA(
    _xlfn.XLOOKUP(
      payments_raw[[#This Row],[subscription_id]],
      subscriptions[subscription_id],
      subscriptions[subscription_id]
    )
  ),
  0,
  1
)</f>
        <v>1</v>
      </c>
      <c r="F350" s="1">
        <f>_xlfn.XLOOKUP(payments_raw[[#This Row],[subscription_id]], subscriptions[subscription_id], subscriptions[start_date])</f>
        <v>44761</v>
      </c>
      <c r="G3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0" s="2">
        <f>IF(payments_raw[[#This Row],[payment_date]] &lt; payments_raw[[#This Row],[sub_start_date]], 1, 0)</f>
        <v>0</v>
      </c>
      <c r="I350" s="2">
        <f>IF(AND(payments_raw[[#This Row],[sub_end_date]]&lt;&gt;"", payments_raw[[#This Row],[payment_date]] &gt; payments_raw[[#This Row],[sub_end_date]]), 1, 0)</f>
        <v>0</v>
      </c>
      <c r="J350" s="2">
        <f>IF(payments_raw[[#This Row],[amount]] &lt;= 0, 1, 0)</f>
        <v>0</v>
      </c>
      <c r="K3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1" spans="1:11" x14ac:dyDescent="0.3">
      <c r="A351">
        <v>46552513</v>
      </c>
      <c r="B351">
        <v>9205525</v>
      </c>
      <c r="C351" s="1">
        <v>45465</v>
      </c>
      <c r="D351">
        <v>149</v>
      </c>
      <c r="E351">
        <f>IF(
  ISNA(
    _xlfn.XLOOKUP(
      payments_raw[[#This Row],[subscription_id]],
      subscriptions[subscription_id],
      subscriptions[subscription_id]
    )
  ),
  0,
  1
)</f>
        <v>1</v>
      </c>
      <c r="F351" s="1">
        <f>_xlfn.XLOOKUP(payments_raw[[#This Row],[subscription_id]], subscriptions[subscription_id], subscriptions[start_date])</f>
        <v>45203</v>
      </c>
      <c r="G3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1" s="2">
        <f>IF(payments_raw[[#This Row],[payment_date]] &lt; payments_raw[[#This Row],[sub_start_date]], 1, 0)</f>
        <v>0</v>
      </c>
      <c r="I351" s="2">
        <f>IF(AND(payments_raw[[#This Row],[sub_end_date]]&lt;&gt;"", payments_raw[[#This Row],[payment_date]] &gt; payments_raw[[#This Row],[sub_end_date]]), 1, 0)</f>
        <v>0</v>
      </c>
      <c r="J351" s="2">
        <f>IF(payments_raw[[#This Row],[amount]] &lt;= 0, 1, 0)</f>
        <v>0</v>
      </c>
      <c r="K3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2" spans="1:11" x14ac:dyDescent="0.3">
      <c r="A352">
        <v>77231416</v>
      </c>
      <c r="B352">
        <v>9135271</v>
      </c>
      <c r="C352" s="1">
        <v>45164</v>
      </c>
      <c r="D352">
        <v>39</v>
      </c>
      <c r="E352">
        <f>IF(
  ISNA(
    _xlfn.XLOOKUP(
      payments_raw[[#This Row],[subscription_id]],
      subscriptions[subscription_id],
      subscriptions[subscription_id]
    )
  ),
  0,
  1
)</f>
        <v>1</v>
      </c>
      <c r="F352" s="1">
        <f>_xlfn.XLOOKUP(payments_raw[[#This Row],[subscription_id]], subscriptions[subscription_id], subscriptions[start_date])</f>
        <v>44648</v>
      </c>
      <c r="G3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2" s="2">
        <f>IF(payments_raw[[#This Row],[payment_date]] &lt; payments_raw[[#This Row],[sub_start_date]], 1, 0)</f>
        <v>0</v>
      </c>
      <c r="I352" s="2">
        <f>IF(AND(payments_raw[[#This Row],[sub_end_date]]&lt;&gt;"", payments_raw[[#This Row],[payment_date]] &gt; payments_raw[[#This Row],[sub_end_date]]), 1, 0)</f>
        <v>0</v>
      </c>
      <c r="J352" s="2">
        <f>IF(payments_raw[[#This Row],[amount]] &lt;= 0, 1, 0)</f>
        <v>0</v>
      </c>
      <c r="K3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3" spans="1:11" x14ac:dyDescent="0.3">
      <c r="A353">
        <v>62855703</v>
      </c>
      <c r="B353">
        <v>6901033</v>
      </c>
      <c r="C353" s="1">
        <v>45317</v>
      </c>
      <c r="D353">
        <v>190</v>
      </c>
      <c r="E353">
        <f>IF(
  ISNA(
    _xlfn.XLOOKUP(
      payments_raw[[#This Row],[subscription_id]],
      subscriptions[subscription_id],
      subscriptions[subscription_id]
    )
  ),
  0,
  1
)</f>
        <v>1</v>
      </c>
      <c r="F353" s="1">
        <f>_xlfn.XLOOKUP(payments_raw[[#This Row],[subscription_id]], subscriptions[subscription_id], subscriptions[start_date])</f>
        <v>45283</v>
      </c>
      <c r="G3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353" s="2">
        <f>IF(payments_raw[[#This Row],[payment_date]] &lt; payments_raw[[#This Row],[sub_start_date]], 1, 0)</f>
        <v>0</v>
      </c>
      <c r="I353" s="2">
        <f>IF(AND(payments_raw[[#This Row],[sub_end_date]]&lt;&gt;"", payments_raw[[#This Row],[payment_date]] &gt; payments_raw[[#This Row],[sub_end_date]]), 1, 0)</f>
        <v>0</v>
      </c>
      <c r="J353" s="2">
        <f>IF(payments_raw[[#This Row],[amount]] &lt;= 0, 1, 0)</f>
        <v>0</v>
      </c>
      <c r="K3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4" spans="1:11" x14ac:dyDescent="0.3">
      <c r="A354">
        <v>72957092</v>
      </c>
      <c r="B354">
        <v>9066089</v>
      </c>
      <c r="C354" s="1">
        <v>45571</v>
      </c>
      <c r="D354">
        <v>299</v>
      </c>
      <c r="E354">
        <f>IF(
  ISNA(
    _xlfn.XLOOKUP(
      payments_raw[[#This Row],[subscription_id]],
      subscriptions[subscription_id],
      subscriptions[subscription_id]
    )
  ),
  0,
  1
)</f>
        <v>1</v>
      </c>
      <c r="F354" s="1">
        <f>_xlfn.XLOOKUP(payments_raw[[#This Row],[subscription_id]], subscriptions[subscription_id], subscriptions[start_date])</f>
        <v>45552</v>
      </c>
      <c r="G3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354" s="2">
        <f>IF(payments_raw[[#This Row],[payment_date]] &lt; payments_raw[[#This Row],[sub_start_date]], 1, 0)</f>
        <v>0</v>
      </c>
      <c r="I354" s="2">
        <f>IF(AND(payments_raw[[#This Row],[sub_end_date]]&lt;&gt;"", payments_raw[[#This Row],[payment_date]] &gt; payments_raw[[#This Row],[sub_end_date]]), 1, 0)</f>
        <v>0</v>
      </c>
      <c r="J354" s="2">
        <f>IF(payments_raw[[#This Row],[amount]] &lt;= 0, 1, 0)</f>
        <v>0</v>
      </c>
      <c r="K3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5" spans="1:11" x14ac:dyDescent="0.3">
      <c r="A355">
        <v>42470699</v>
      </c>
      <c r="B355">
        <v>7528651</v>
      </c>
      <c r="C355" s="1">
        <v>45334</v>
      </c>
      <c r="D355">
        <v>1490</v>
      </c>
      <c r="E355">
        <f>IF(
  ISNA(
    _xlfn.XLOOKUP(
      payments_raw[[#This Row],[subscription_id]],
      subscriptions[subscription_id],
      subscriptions[subscription_id]
    )
  ),
  0,
  1
)</f>
        <v>1</v>
      </c>
      <c r="F355" s="1">
        <f>_xlfn.XLOOKUP(payments_raw[[#This Row],[subscription_id]], subscriptions[subscription_id], subscriptions[start_date])</f>
        <v>44582</v>
      </c>
      <c r="G3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5" s="2">
        <f>IF(payments_raw[[#This Row],[payment_date]] &lt; payments_raw[[#This Row],[sub_start_date]], 1, 0)</f>
        <v>0</v>
      </c>
      <c r="I355" s="2">
        <f>IF(AND(payments_raw[[#This Row],[sub_end_date]]&lt;&gt;"", payments_raw[[#This Row],[payment_date]] &gt; payments_raw[[#This Row],[sub_end_date]]), 1, 0)</f>
        <v>0</v>
      </c>
      <c r="J355" s="2">
        <f>IF(payments_raw[[#This Row],[amount]] &lt;= 0, 1, 0)</f>
        <v>0</v>
      </c>
      <c r="K3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6" spans="1:11" x14ac:dyDescent="0.3">
      <c r="A356">
        <v>47483931</v>
      </c>
      <c r="B356">
        <v>1914547</v>
      </c>
      <c r="C356" s="1">
        <v>45418</v>
      </c>
      <c r="D356">
        <v>790</v>
      </c>
      <c r="E356">
        <f>IF(
  ISNA(
    _xlfn.XLOOKUP(
      payments_raw[[#This Row],[subscription_id]],
      subscriptions[subscription_id],
      subscriptions[subscription_id]
    )
  ),
  0,
  1
)</f>
        <v>1</v>
      </c>
      <c r="F356" s="1">
        <f>_xlfn.XLOOKUP(payments_raw[[#This Row],[subscription_id]], subscriptions[subscription_id], subscriptions[start_date])</f>
        <v>45182</v>
      </c>
      <c r="G3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6" s="2">
        <f>IF(payments_raw[[#This Row],[payment_date]] &lt; payments_raw[[#This Row],[sub_start_date]], 1, 0)</f>
        <v>0</v>
      </c>
      <c r="I356" s="2">
        <f>IF(AND(payments_raw[[#This Row],[sub_end_date]]&lt;&gt;"", payments_raw[[#This Row],[payment_date]] &gt; payments_raw[[#This Row],[sub_end_date]]), 1, 0)</f>
        <v>0</v>
      </c>
      <c r="J356" s="2">
        <f>IF(payments_raw[[#This Row],[amount]] &lt;= 0, 1, 0)</f>
        <v>0</v>
      </c>
      <c r="K3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7" spans="1:11" x14ac:dyDescent="0.3">
      <c r="A357">
        <v>33507564</v>
      </c>
      <c r="B357">
        <v>6905993</v>
      </c>
      <c r="C357" s="1">
        <v>45119</v>
      </c>
      <c r="D357">
        <v>149</v>
      </c>
      <c r="E357">
        <f>IF(
  ISNA(
    _xlfn.XLOOKUP(
      payments_raw[[#This Row],[subscription_id]],
      subscriptions[subscription_id],
      subscriptions[subscription_id]
    )
  ),
  0,
  1
)</f>
        <v>1</v>
      </c>
      <c r="F357" s="1">
        <f>_xlfn.XLOOKUP(payments_raw[[#This Row],[subscription_id]], subscriptions[subscription_id], subscriptions[start_date])</f>
        <v>45007</v>
      </c>
      <c r="G3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7" s="2">
        <f>IF(payments_raw[[#This Row],[payment_date]] &lt; payments_raw[[#This Row],[sub_start_date]], 1, 0)</f>
        <v>0</v>
      </c>
      <c r="I357" s="2">
        <f>IF(AND(payments_raw[[#This Row],[sub_end_date]]&lt;&gt;"", payments_raw[[#This Row],[payment_date]] &gt; payments_raw[[#This Row],[sub_end_date]]), 1, 0)</f>
        <v>0</v>
      </c>
      <c r="J357" s="2">
        <f>IF(payments_raw[[#This Row],[amount]] &lt;= 0, 1, 0)</f>
        <v>0</v>
      </c>
      <c r="K3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8" spans="1:11" x14ac:dyDescent="0.3">
      <c r="A358">
        <v>31754935</v>
      </c>
      <c r="B358">
        <v>6415010</v>
      </c>
      <c r="C358" s="1">
        <v>44680</v>
      </c>
      <c r="D358">
        <v>59.25</v>
      </c>
      <c r="E358">
        <f>IF(
  ISNA(
    _xlfn.XLOOKUP(
      payments_raw[[#This Row],[subscription_id]],
      subscriptions[subscription_id],
      subscriptions[subscription_id]
    )
  ),
  0,
  1
)</f>
        <v>1</v>
      </c>
      <c r="F358" s="1">
        <f>_xlfn.XLOOKUP(payments_raw[[#This Row],[subscription_id]], subscriptions[subscription_id], subscriptions[start_date])</f>
        <v>44594</v>
      </c>
      <c r="G3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8" s="2">
        <f>IF(payments_raw[[#This Row],[payment_date]] &lt; payments_raw[[#This Row],[sub_start_date]], 1, 0)</f>
        <v>0</v>
      </c>
      <c r="I358" s="2">
        <f>IF(AND(payments_raw[[#This Row],[sub_end_date]]&lt;&gt;"", payments_raw[[#This Row],[payment_date]] &gt; payments_raw[[#This Row],[sub_end_date]]), 1, 0)</f>
        <v>0</v>
      </c>
      <c r="J358" s="2">
        <f>IF(payments_raw[[#This Row],[amount]] &lt;= 0, 1, 0)</f>
        <v>0</v>
      </c>
      <c r="K3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9" spans="1:11" x14ac:dyDescent="0.3">
      <c r="A359">
        <v>28240760</v>
      </c>
      <c r="B359">
        <v>4323637</v>
      </c>
      <c r="C359" s="1">
        <v>44930</v>
      </c>
      <c r="D359">
        <v>2990</v>
      </c>
      <c r="E359">
        <f>IF(
  ISNA(
    _xlfn.XLOOKUP(
      payments_raw[[#This Row],[subscription_id]],
      subscriptions[subscription_id],
      subscriptions[subscription_id]
    )
  ),
  0,
  1
)</f>
        <v>1</v>
      </c>
      <c r="F359" s="1">
        <f>_xlfn.XLOOKUP(payments_raw[[#This Row],[subscription_id]], subscriptions[subscription_id], subscriptions[start_date])</f>
        <v>44930</v>
      </c>
      <c r="G3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359" s="2">
        <f>IF(payments_raw[[#This Row],[payment_date]] &lt; payments_raw[[#This Row],[sub_start_date]], 1, 0)</f>
        <v>0</v>
      </c>
      <c r="I359" s="2">
        <f>IF(AND(payments_raw[[#This Row],[sub_end_date]]&lt;&gt;"", payments_raw[[#This Row],[payment_date]] &gt; payments_raw[[#This Row],[sub_end_date]]), 1, 0)</f>
        <v>0</v>
      </c>
      <c r="J359" s="2">
        <f>IF(payments_raw[[#This Row],[amount]] &lt;= 0, 1, 0)</f>
        <v>0</v>
      </c>
      <c r="K3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0" spans="1:11" x14ac:dyDescent="0.3">
      <c r="A360">
        <v>80986823</v>
      </c>
      <c r="B360">
        <v>5193310</v>
      </c>
      <c r="C360" s="1">
        <v>45403</v>
      </c>
      <c r="D360">
        <v>790</v>
      </c>
      <c r="E360">
        <f>IF(
  ISNA(
    _xlfn.XLOOKUP(
      payments_raw[[#This Row],[subscription_id]],
      subscriptions[subscription_id],
      subscriptions[subscription_id]
    )
  ),
  0,
  1
)</f>
        <v>1</v>
      </c>
      <c r="F360" s="1">
        <f>_xlfn.XLOOKUP(payments_raw[[#This Row],[subscription_id]], subscriptions[subscription_id], subscriptions[start_date])</f>
        <v>44902</v>
      </c>
      <c r="G3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60" s="2">
        <f>IF(payments_raw[[#This Row],[payment_date]] &lt; payments_raw[[#This Row],[sub_start_date]], 1, 0)</f>
        <v>0</v>
      </c>
      <c r="I360" s="2">
        <f>IF(AND(payments_raw[[#This Row],[sub_end_date]]&lt;&gt;"", payments_raw[[#This Row],[payment_date]] &gt; payments_raw[[#This Row],[sub_end_date]]), 1, 0)</f>
        <v>0</v>
      </c>
      <c r="J360" s="2">
        <f>IF(payments_raw[[#This Row],[amount]] &lt;= 0, 1, 0)</f>
        <v>0</v>
      </c>
      <c r="K3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1" spans="1:11" x14ac:dyDescent="0.3">
      <c r="A361">
        <v>63018273</v>
      </c>
      <c r="B361">
        <v>8938605</v>
      </c>
      <c r="C361" s="1">
        <v>45569</v>
      </c>
      <c r="D361">
        <v>299</v>
      </c>
      <c r="E361">
        <f>IF(
  ISNA(
    _xlfn.XLOOKUP(
      payments_raw[[#This Row],[subscription_id]],
      subscriptions[subscription_id],
      subscriptions[subscription_id]
    )
  ),
  0,
  1
)</f>
        <v>1</v>
      </c>
      <c r="F361" s="1">
        <f>_xlfn.XLOOKUP(payments_raw[[#This Row],[subscription_id]], subscriptions[subscription_id], subscriptions[start_date])</f>
        <v>45288</v>
      </c>
      <c r="G3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61" s="2">
        <f>IF(payments_raw[[#This Row],[payment_date]] &lt; payments_raw[[#This Row],[sub_start_date]], 1, 0)</f>
        <v>0</v>
      </c>
      <c r="I361" s="2">
        <f>IF(AND(payments_raw[[#This Row],[sub_end_date]]&lt;&gt;"", payments_raw[[#This Row],[payment_date]] &gt; payments_raw[[#This Row],[sub_end_date]]), 1, 0)</f>
        <v>0</v>
      </c>
      <c r="J361" s="2">
        <f>IF(payments_raw[[#This Row],[amount]] &lt;= 0, 1, 0)</f>
        <v>0</v>
      </c>
      <c r="K3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2" spans="1:11" x14ac:dyDescent="0.3">
      <c r="A362">
        <v>64210333</v>
      </c>
      <c r="B362">
        <v>7397002</v>
      </c>
      <c r="C362" s="1">
        <v>45653</v>
      </c>
      <c r="D362">
        <v>79</v>
      </c>
      <c r="E362">
        <f>IF(
  ISNA(
    _xlfn.XLOOKUP(
      payments_raw[[#This Row],[subscription_id]],
      subscriptions[subscription_id],
      subscriptions[subscription_id]
    )
  ),
  0,
  1
)</f>
        <v>1</v>
      </c>
      <c r="F362" s="1">
        <f>_xlfn.XLOOKUP(payments_raw[[#This Row],[subscription_id]], subscriptions[subscription_id], subscriptions[start_date])</f>
        <v>45519</v>
      </c>
      <c r="G3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362" s="2">
        <f>IF(payments_raw[[#This Row],[payment_date]] &lt; payments_raw[[#This Row],[sub_start_date]], 1, 0)</f>
        <v>0</v>
      </c>
      <c r="I362" s="2">
        <f>IF(AND(payments_raw[[#This Row],[sub_end_date]]&lt;&gt;"", payments_raw[[#This Row],[payment_date]] &gt; payments_raw[[#This Row],[sub_end_date]]), 1, 0)</f>
        <v>0</v>
      </c>
      <c r="J362" s="2">
        <f>IF(payments_raw[[#This Row],[amount]] &lt;= 0, 1, 0)</f>
        <v>0</v>
      </c>
      <c r="K3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3" spans="1:11" x14ac:dyDescent="0.3">
      <c r="A363">
        <v>96886282</v>
      </c>
      <c r="B363">
        <v>5795781</v>
      </c>
      <c r="C363" s="1">
        <v>45604</v>
      </c>
      <c r="D363">
        <v>39</v>
      </c>
      <c r="E363">
        <f>IF(
  ISNA(
    _xlfn.XLOOKUP(
      payments_raw[[#This Row],[subscription_id]],
      subscriptions[subscription_id],
      subscriptions[subscription_id]
    )
  ),
  0,
  1
)</f>
        <v>1</v>
      </c>
      <c r="F363" s="1">
        <f>_xlfn.XLOOKUP(payments_raw[[#This Row],[subscription_id]], subscriptions[subscription_id], subscriptions[start_date])</f>
        <v>45571</v>
      </c>
      <c r="G3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45606</v>
      </c>
      <c r="H363" s="2">
        <f>IF(payments_raw[[#This Row],[payment_date]] &lt; payments_raw[[#This Row],[sub_start_date]], 1, 0)</f>
        <v>0</v>
      </c>
      <c r="I363" s="2">
        <f>IF(AND(payments_raw[[#This Row],[sub_end_date]]&lt;&gt;"", payments_raw[[#This Row],[payment_date]] &gt; payments_raw[[#This Row],[sub_end_date]]), 1, 0)</f>
        <v>0</v>
      </c>
      <c r="J363" s="2">
        <f>IF(payments_raw[[#This Row],[amount]] &lt;= 0, 1, 0)</f>
        <v>0</v>
      </c>
      <c r="K3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4" spans="1:11" x14ac:dyDescent="0.3">
      <c r="A364">
        <v>91271137</v>
      </c>
      <c r="B364">
        <v>3612902</v>
      </c>
      <c r="C364" s="1">
        <v>45627</v>
      </c>
      <c r="D364">
        <v>190</v>
      </c>
      <c r="E364">
        <f>IF(
  ISNA(
    _xlfn.XLOOKUP(
      payments_raw[[#This Row],[subscription_id]],
      subscriptions[subscription_id],
      subscriptions[subscription_id]
    )
  ),
  0,
  1
)</f>
        <v>1</v>
      </c>
      <c r="F364" s="1">
        <f>_xlfn.XLOOKUP(payments_raw[[#This Row],[subscription_id]], subscriptions[subscription_id], subscriptions[start_date])</f>
        <v>45524</v>
      </c>
      <c r="G3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64" s="2">
        <f>IF(payments_raw[[#This Row],[payment_date]] &lt; payments_raw[[#This Row],[sub_start_date]], 1, 0)</f>
        <v>0</v>
      </c>
      <c r="I364" s="2">
        <f>IF(AND(payments_raw[[#This Row],[sub_end_date]]&lt;&gt;"", payments_raw[[#This Row],[payment_date]] &gt; payments_raw[[#This Row],[sub_end_date]]), 1, 0)</f>
        <v>0</v>
      </c>
      <c r="J364" s="2">
        <f>IF(payments_raw[[#This Row],[amount]] &lt;= 0, 1, 0)</f>
        <v>0</v>
      </c>
      <c r="K3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5" spans="1:11" x14ac:dyDescent="0.3">
      <c r="A365">
        <v>80259009</v>
      </c>
      <c r="B365">
        <v>1426542</v>
      </c>
      <c r="C365" s="1">
        <v>45575</v>
      </c>
      <c r="D365">
        <v>149</v>
      </c>
      <c r="E365">
        <f>IF(
  ISNA(
    _xlfn.XLOOKUP(
      payments_raw[[#This Row],[subscription_id]],
      subscriptions[subscription_id],
      subscriptions[subscription_id]
    )
  ),
  0,
  1
)</f>
        <v>1</v>
      </c>
      <c r="F365" s="1">
        <f>_xlfn.XLOOKUP(payments_raw[[#This Row],[subscription_id]], subscriptions[subscription_id], subscriptions[start_date])</f>
        <v>45471</v>
      </c>
      <c r="G3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365" s="2">
        <f>IF(payments_raw[[#This Row],[payment_date]] &lt; payments_raw[[#This Row],[sub_start_date]], 1, 0)</f>
        <v>0</v>
      </c>
      <c r="I365" s="2">
        <f>IF(AND(payments_raw[[#This Row],[sub_end_date]]&lt;&gt;"", payments_raw[[#This Row],[payment_date]] &gt; payments_raw[[#This Row],[sub_end_date]]), 1, 0)</f>
        <v>0</v>
      </c>
      <c r="J365" s="2">
        <f>IF(payments_raw[[#This Row],[amount]] &lt;= 0, 1, 0)</f>
        <v>0</v>
      </c>
      <c r="K3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6" spans="1:11" x14ac:dyDescent="0.3">
      <c r="A366">
        <v>77072182</v>
      </c>
      <c r="B366">
        <v>6196562</v>
      </c>
      <c r="C366" s="1">
        <v>45045</v>
      </c>
      <c r="D366">
        <v>19</v>
      </c>
      <c r="E366">
        <f>IF(
  ISNA(
    _xlfn.XLOOKUP(
      payments_raw[[#This Row],[subscription_id]],
      subscriptions[subscription_id],
      subscriptions[subscription_id]
    )
  ),
  0,
  1
)</f>
        <v>1</v>
      </c>
      <c r="F366" s="1">
        <f>_xlfn.XLOOKUP(payments_raw[[#This Row],[subscription_id]], subscriptions[subscription_id], subscriptions[start_date])</f>
        <v>44981</v>
      </c>
      <c r="G3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45345</v>
      </c>
      <c r="H366" s="2">
        <f>IF(payments_raw[[#This Row],[payment_date]] &lt; payments_raw[[#This Row],[sub_start_date]], 1, 0)</f>
        <v>0</v>
      </c>
      <c r="I366" s="2">
        <f>IF(AND(payments_raw[[#This Row],[sub_end_date]]&lt;&gt;"", payments_raw[[#This Row],[payment_date]] &gt; payments_raw[[#This Row],[sub_end_date]]), 1, 0)</f>
        <v>0</v>
      </c>
      <c r="J366" s="2">
        <f>IF(payments_raw[[#This Row],[amount]] &lt;= 0, 1, 0)</f>
        <v>0</v>
      </c>
      <c r="K3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7" spans="1:11" x14ac:dyDescent="0.3">
      <c r="A367">
        <v>37768710</v>
      </c>
      <c r="B367">
        <v>8244130</v>
      </c>
      <c r="C367" s="1">
        <v>44935</v>
      </c>
      <c r="D367">
        <v>39</v>
      </c>
      <c r="E367">
        <f>IF(
  ISNA(
    _xlfn.XLOOKUP(
      payments_raw[[#This Row],[subscription_id]],
      subscriptions[subscription_id],
      subscriptions[subscription_id]
    )
  ),
  0,
  1
)</f>
        <v>1</v>
      </c>
      <c r="F367" s="1">
        <f>_xlfn.XLOOKUP(payments_raw[[#This Row],[subscription_id]], subscriptions[subscription_id], subscriptions[start_date])</f>
        <v>44931</v>
      </c>
      <c r="G36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44973</v>
      </c>
      <c r="H367" s="2">
        <f>IF(payments_raw[[#This Row],[payment_date]] &lt; payments_raw[[#This Row],[sub_start_date]], 1, 0)</f>
        <v>0</v>
      </c>
      <c r="I367" s="2">
        <f>IF(AND(payments_raw[[#This Row],[sub_end_date]]&lt;&gt;"", payments_raw[[#This Row],[payment_date]] &gt; payments_raw[[#This Row],[sub_end_date]]), 1, 0)</f>
        <v>0</v>
      </c>
      <c r="J367" s="2">
        <f>IF(payments_raw[[#This Row],[amount]] &lt;= 0, 1, 0)</f>
        <v>0</v>
      </c>
      <c r="K3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8" spans="1:11" x14ac:dyDescent="0.3">
      <c r="A368">
        <v>59325184</v>
      </c>
      <c r="B368">
        <v>8706139</v>
      </c>
      <c r="C368" s="1">
        <v>44738</v>
      </c>
      <c r="D368">
        <v>1490</v>
      </c>
      <c r="E368">
        <f>IF(
  ISNA(
    _xlfn.XLOOKUP(
      payments_raw[[#This Row],[subscription_id]],
      subscriptions[subscription_id],
      subscriptions[subscription_id]
    )
  ),
  0,
  1
)</f>
        <v>1</v>
      </c>
      <c r="F368" s="1">
        <f>_xlfn.XLOOKUP(payments_raw[[#This Row],[subscription_id]], subscriptions[subscription_id], subscriptions[start_date])</f>
        <v>44586</v>
      </c>
      <c r="G36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44884</v>
      </c>
      <c r="H368" s="2">
        <f>IF(payments_raw[[#This Row],[payment_date]] &lt; payments_raw[[#This Row],[sub_start_date]], 1, 0)</f>
        <v>0</v>
      </c>
      <c r="I368" s="2">
        <f>IF(AND(payments_raw[[#This Row],[sub_end_date]]&lt;&gt;"", payments_raw[[#This Row],[payment_date]] &gt; payments_raw[[#This Row],[sub_end_date]]), 1, 0)</f>
        <v>0</v>
      </c>
      <c r="J368" s="2">
        <f>IF(payments_raw[[#This Row],[amount]] &lt;= 0, 1, 0)</f>
        <v>0</v>
      </c>
      <c r="K3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69" spans="1:11" x14ac:dyDescent="0.3">
      <c r="A369">
        <v>65353136</v>
      </c>
      <c r="B369">
        <v>3138306</v>
      </c>
      <c r="C369" s="1">
        <v>45482</v>
      </c>
      <c r="D369">
        <v>149</v>
      </c>
      <c r="E369">
        <f>IF(
  ISNA(
    _xlfn.XLOOKUP(
      payments_raw[[#This Row],[subscription_id]],
      subscriptions[subscription_id],
      subscriptions[subscription_id]
    )
  ),
  0,
  1
)</f>
        <v>1</v>
      </c>
      <c r="F369" s="1">
        <f>_xlfn.XLOOKUP(payments_raw[[#This Row],[subscription_id]], subscriptions[subscription_id], subscriptions[start_date])</f>
        <v>45385</v>
      </c>
      <c r="G3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369" s="2">
        <f>IF(payments_raw[[#This Row],[payment_date]] &lt; payments_raw[[#This Row],[sub_start_date]], 1, 0)</f>
        <v>0</v>
      </c>
      <c r="I369" s="2">
        <f>IF(AND(payments_raw[[#This Row],[sub_end_date]]&lt;&gt;"", payments_raw[[#This Row],[payment_date]] &gt; payments_raw[[#This Row],[sub_end_date]]), 1, 0)</f>
        <v>0</v>
      </c>
      <c r="J369" s="2">
        <f>IF(payments_raw[[#This Row],[amount]] &lt;= 0, 1, 0)</f>
        <v>0</v>
      </c>
      <c r="K3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0" spans="1:11" x14ac:dyDescent="0.3">
      <c r="A370">
        <v>60146886</v>
      </c>
      <c r="B370">
        <v>2972720</v>
      </c>
      <c r="C370" s="1">
        <v>45459</v>
      </c>
      <c r="D370">
        <v>1490</v>
      </c>
      <c r="E370">
        <f>IF(
  ISNA(
    _xlfn.XLOOKUP(
      payments_raw[[#This Row],[subscription_id]],
      subscriptions[subscription_id],
      subscriptions[subscription_id]
    )
  ),
  0,
  1
)</f>
        <v>1</v>
      </c>
      <c r="F370" s="1">
        <f>_xlfn.XLOOKUP(payments_raw[[#This Row],[subscription_id]], subscriptions[subscription_id], subscriptions[start_date])</f>
        <v>45453</v>
      </c>
      <c r="G3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370" s="2">
        <f>IF(payments_raw[[#This Row],[payment_date]] &lt; payments_raw[[#This Row],[sub_start_date]], 1, 0)</f>
        <v>0</v>
      </c>
      <c r="I370" s="2">
        <f>IF(AND(payments_raw[[#This Row],[sub_end_date]]&lt;&gt;"", payments_raw[[#This Row],[payment_date]] &gt; payments_raw[[#This Row],[sub_end_date]]), 1, 0)</f>
        <v>0</v>
      </c>
      <c r="J370" s="2">
        <f>IF(payments_raw[[#This Row],[amount]] &lt;= 0, 1, 0)</f>
        <v>0</v>
      </c>
      <c r="K3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1" spans="1:11" x14ac:dyDescent="0.3">
      <c r="A371">
        <v>36669444</v>
      </c>
      <c r="B371">
        <v>6034195</v>
      </c>
      <c r="C371" s="1">
        <v>45008</v>
      </c>
      <c r="D371">
        <v>790</v>
      </c>
      <c r="E371">
        <f>IF(
  ISNA(
    _xlfn.XLOOKUP(
      payments_raw[[#This Row],[subscription_id]],
      subscriptions[subscription_id],
      subscriptions[subscription_id]
    )
  ),
  0,
  1
)</f>
        <v>1</v>
      </c>
      <c r="F371" s="1">
        <f>_xlfn.XLOOKUP(payments_raw[[#This Row],[subscription_id]], subscriptions[subscription_id], subscriptions[start_date])</f>
        <v>44992</v>
      </c>
      <c r="G3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1" s="2">
        <f>IF(payments_raw[[#This Row],[payment_date]] &lt; payments_raw[[#This Row],[sub_start_date]], 1, 0)</f>
        <v>0</v>
      </c>
      <c r="I371" s="2">
        <f>IF(AND(payments_raw[[#This Row],[sub_end_date]]&lt;&gt;"", payments_raw[[#This Row],[payment_date]] &gt; payments_raw[[#This Row],[sub_end_date]]), 1, 0)</f>
        <v>0</v>
      </c>
      <c r="J371" s="2">
        <f>IF(payments_raw[[#This Row],[amount]] &lt;= 0, 1, 0)</f>
        <v>0</v>
      </c>
      <c r="K3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2" spans="1:11" x14ac:dyDescent="0.3">
      <c r="A372">
        <v>95691801</v>
      </c>
      <c r="B372">
        <v>2299884</v>
      </c>
      <c r="C372" s="1">
        <v>45507</v>
      </c>
      <c r="D372">
        <v>79</v>
      </c>
      <c r="E372">
        <f>IF(
  ISNA(
    _xlfn.XLOOKUP(
      payments_raw[[#This Row],[subscription_id]],
      subscriptions[subscription_id],
      subscriptions[subscription_id]
    )
  ),
  0,
  1
)</f>
        <v>1</v>
      </c>
      <c r="F372" s="1">
        <f>_xlfn.XLOOKUP(payments_raw[[#This Row],[subscription_id]], subscriptions[subscription_id], subscriptions[start_date])</f>
        <v>45470</v>
      </c>
      <c r="G3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2" s="2">
        <f>IF(payments_raw[[#This Row],[payment_date]] &lt; payments_raw[[#This Row],[sub_start_date]], 1, 0)</f>
        <v>0</v>
      </c>
      <c r="I372" s="2">
        <f>IF(AND(payments_raw[[#This Row],[sub_end_date]]&lt;&gt;"", payments_raw[[#This Row],[payment_date]] &gt; payments_raw[[#This Row],[sub_end_date]]), 1, 0)</f>
        <v>0</v>
      </c>
      <c r="J372" s="2">
        <f>IF(payments_raw[[#This Row],[amount]] &lt;= 0, 1, 0)</f>
        <v>0</v>
      </c>
      <c r="K3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3" spans="1:11" x14ac:dyDescent="0.3">
      <c r="A373">
        <v>89246161</v>
      </c>
      <c r="B373">
        <v>3377099</v>
      </c>
      <c r="C373" s="1">
        <v>45197</v>
      </c>
      <c r="D373">
        <v>390</v>
      </c>
      <c r="E373">
        <f>IF(
  ISNA(
    _xlfn.XLOOKUP(
      payments_raw[[#This Row],[subscription_id]],
      subscriptions[subscription_id],
      subscriptions[subscription_id]
    )
  ),
  0,
  1
)</f>
        <v>1</v>
      </c>
      <c r="F373" s="1">
        <f>_xlfn.XLOOKUP(payments_raw[[#This Row],[subscription_id]], subscriptions[subscription_id], subscriptions[start_date])</f>
        <v>45054</v>
      </c>
      <c r="G3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3" s="2">
        <f>IF(payments_raw[[#This Row],[payment_date]] &lt; payments_raw[[#This Row],[sub_start_date]], 1, 0)</f>
        <v>0</v>
      </c>
      <c r="I373" s="2">
        <f>IF(AND(payments_raw[[#This Row],[sub_end_date]]&lt;&gt;"", payments_raw[[#This Row],[payment_date]] &gt; payments_raw[[#This Row],[sub_end_date]]), 1, 0)</f>
        <v>0</v>
      </c>
      <c r="J373" s="2">
        <f>IF(payments_raw[[#This Row],[amount]] &lt;= 0, 1, 0)</f>
        <v>0</v>
      </c>
      <c r="K3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4" spans="1:11" x14ac:dyDescent="0.3">
      <c r="A374">
        <v>50530014</v>
      </c>
      <c r="B374">
        <v>9044647</v>
      </c>
      <c r="C374" s="1">
        <v>45172</v>
      </c>
      <c r="D374">
        <v>39</v>
      </c>
      <c r="E374">
        <f>IF(
  ISNA(
    _xlfn.XLOOKUP(
      payments_raw[[#This Row],[subscription_id]],
      subscriptions[subscription_id],
      subscriptions[subscription_id]
    )
  ),
  0,
  1
)</f>
        <v>1</v>
      </c>
      <c r="F374" s="1">
        <f>_xlfn.XLOOKUP(payments_raw[[#This Row],[subscription_id]], subscriptions[subscription_id], subscriptions[start_date])</f>
        <v>45122</v>
      </c>
      <c r="G3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45200</v>
      </c>
      <c r="H374" s="2">
        <f>IF(payments_raw[[#This Row],[payment_date]] &lt; payments_raw[[#This Row],[sub_start_date]], 1, 0)</f>
        <v>0</v>
      </c>
      <c r="I374" s="2">
        <f>IF(AND(payments_raw[[#This Row],[sub_end_date]]&lt;&gt;"", payments_raw[[#This Row],[payment_date]] &gt; payments_raw[[#This Row],[sub_end_date]]), 1, 0)</f>
        <v>0</v>
      </c>
      <c r="J374" s="2">
        <f>IF(payments_raw[[#This Row],[amount]] &lt;= 0, 1, 0)</f>
        <v>0</v>
      </c>
      <c r="K3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5" spans="1:11" x14ac:dyDescent="0.3">
      <c r="A375">
        <v>12198223</v>
      </c>
      <c r="B375">
        <v>5595368</v>
      </c>
      <c r="C375" s="1">
        <v>45507</v>
      </c>
      <c r="D375">
        <v>790</v>
      </c>
      <c r="E375">
        <f>IF(
  ISNA(
    _xlfn.XLOOKUP(
      payments_raw[[#This Row],[subscription_id]],
      subscriptions[subscription_id],
      subscriptions[subscription_id]
    )
  ),
  0,
  1
)</f>
        <v>1</v>
      </c>
      <c r="F375" s="1">
        <f>_xlfn.XLOOKUP(payments_raw[[#This Row],[subscription_id]], subscriptions[subscription_id], subscriptions[start_date])</f>
        <v>45391</v>
      </c>
      <c r="G3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5" s="2">
        <f>IF(payments_raw[[#This Row],[payment_date]] &lt; payments_raw[[#This Row],[sub_start_date]], 1, 0)</f>
        <v>0</v>
      </c>
      <c r="I375" s="2">
        <f>IF(AND(payments_raw[[#This Row],[sub_end_date]]&lt;&gt;"", payments_raw[[#This Row],[payment_date]] &gt; payments_raw[[#This Row],[sub_end_date]]), 1, 0)</f>
        <v>0</v>
      </c>
      <c r="J375" s="2">
        <f>IF(payments_raw[[#This Row],[amount]] &lt;= 0, 1, 0)</f>
        <v>0</v>
      </c>
      <c r="K3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6" spans="1:11" x14ac:dyDescent="0.3">
      <c r="A376">
        <v>43946341</v>
      </c>
      <c r="B376">
        <v>3705563</v>
      </c>
      <c r="C376" s="1">
        <v>45192</v>
      </c>
      <c r="D376">
        <v>190</v>
      </c>
      <c r="E376">
        <f>IF(
  ISNA(
    _xlfn.XLOOKUP(
      payments_raw[[#This Row],[subscription_id]],
      subscriptions[subscription_id],
      subscriptions[subscription_id]
    )
  ),
  0,
  1
)</f>
        <v>1</v>
      </c>
      <c r="F376" s="1">
        <f>_xlfn.XLOOKUP(payments_raw[[#This Row],[subscription_id]], subscriptions[subscription_id], subscriptions[start_date])</f>
        <v>44694</v>
      </c>
      <c r="G3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6" s="2">
        <f>IF(payments_raw[[#This Row],[payment_date]] &lt; payments_raw[[#This Row],[sub_start_date]], 1, 0)</f>
        <v>0</v>
      </c>
      <c r="I376" s="2">
        <f>IF(AND(payments_raw[[#This Row],[sub_end_date]]&lt;&gt;"", payments_raw[[#This Row],[payment_date]] &gt; payments_raw[[#This Row],[sub_end_date]]), 1, 0)</f>
        <v>0</v>
      </c>
      <c r="J376" s="2">
        <f>IF(payments_raw[[#This Row],[amount]] &lt;= 0, 1, 0)</f>
        <v>0</v>
      </c>
      <c r="K3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7" spans="1:11" x14ac:dyDescent="0.3">
      <c r="A377">
        <v>72438718</v>
      </c>
      <c r="B377">
        <v>1238423</v>
      </c>
      <c r="C377" s="1">
        <v>45254</v>
      </c>
      <c r="D377">
        <v>79</v>
      </c>
      <c r="E377">
        <f>IF(
  ISNA(
    _xlfn.XLOOKUP(
      payments_raw[[#This Row],[subscription_id]],
      subscriptions[subscription_id],
      subscriptions[subscription_id]
    )
  ),
  0,
  1
)</f>
        <v>1</v>
      </c>
      <c r="F377" s="1">
        <f>_xlfn.XLOOKUP(payments_raw[[#This Row],[subscription_id]], subscriptions[subscription_id], subscriptions[start_date])</f>
        <v>44874</v>
      </c>
      <c r="G3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7" s="2">
        <f>IF(payments_raw[[#This Row],[payment_date]] &lt; payments_raw[[#This Row],[sub_start_date]], 1, 0)</f>
        <v>0</v>
      </c>
      <c r="I377" s="2">
        <f>IF(AND(payments_raw[[#This Row],[sub_end_date]]&lt;&gt;"", payments_raw[[#This Row],[payment_date]] &gt; payments_raw[[#This Row],[sub_end_date]]), 1, 0)</f>
        <v>0</v>
      </c>
      <c r="J377" s="2">
        <f>IF(payments_raw[[#This Row],[amount]] &lt;= 0, 1, 0)</f>
        <v>0</v>
      </c>
      <c r="K3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8" spans="1:11" x14ac:dyDescent="0.3">
      <c r="A378">
        <v>72182980</v>
      </c>
      <c r="B378">
        <v>7510631</v>
      </c>
      <c r="C378" s="1">
        <v>45072</v>
      </c>
      <c r="D378">
        <v>390</v>
      </c>
      <c r="E378">
        <f>IF(
  ISNA(
    _xlfn.XLOOKUP(
      payments_raw[[#This Row],[subscription_id]],
      subscriptions[subscription_id],
      subscriptions[subscription_id]
    )
  ),
  0,
  1
)</f>
        <v>1</v>
      </c>
      <c r="F378" s="1">
        <f>_xlfn.XLOOKUP(payments_raw[[#This Row],[subscription_id]], subscriptions[subscription_id], subscriptions[start_date])</f>
        <v>44939</v>
      </c>
      <c r="G3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8" s="2">
        <f>IF(payments_raw[[#This Row],[payment_date]] &lt; payments_raw[[#This Row],[sub_start_date]], 1, 0)</f>
        <v>0</v>
      </c>
      <c r="I378" s="2">
        <f>IF(AND(payments_raw[[#This Row],[sub_end_date]]&lt;&gt;"", payments_raw[[#This Row],[payment_date]] &gt; payments_raw[[#This Row],[sub_end_date]]), 1, 0)</f>
        <v>0</v>
      </c>
      <c r="J378" s="2">
        <f>IF(payments_raw[[#This Row],[amount]] &lt;= 0, 1, 0)</f>
        <v>0</v>
      </c>
      <c r="K3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79" spans="1:11" x14ac:dyDescent="0.3">
      <c r="A379">
        <v>16891577</v>
      </c>
      <c r="B379">
        <v>4134994</v>
      </c>
      <c r="C379" s="1">
        <v>45323</v>
      </c>
      <c r="D379">
        <v>1490</v>
      </c>
      <c r="E379">
        <f>IF(
  ISNA(
    _xlfn.XLOOKUP(
      payments_raw[[#This Row],[subscription_id]],
      subscriptions[subscription_id],
      subscriptions[subscription_id]
    )
  ),
  0,
  1
)</f>
        <v>1</v>
      </c>
      <c r="F379" s="1">
        <f>_xlfn.XLOOKUP(payments_raw[[#This Row],[subscription_id]], subscriptions[subscription_id], subscriptions[start_date])</f>
        <v>45072</v>
      </c>
      <c r="G3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79" s="2">
        <f>IF(payments_raw[[#This Row],[payment_date]] &lt; payments_raw[[#This Row],[sub_start_date]], 1, 0)</f>
        <v>0</v>
      </c>
      <c r="I379" s="2">
        <f>IF(AND(payments_raw[[#This Row],[sub_end_date]]&lt;&gt;"", payments_raw[[#This Row],[payment_date]] &gt; payments_raw[[#This Row],[sub_end_date]]), 1, 0)</f>
        <v>0</v>
      </c>
      <c r="J379" s="2">
        <f>IF(payments_raw[[#This Row],[amount]] &lt;= 0, 1, 0)</f>
        <v>0</v>
      </c>
      <c r="K3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0" spans="1:11" x14ac:dyDescent="0.3">
      <c r="A380">
        <v>95902415</v>
      </c>
      <c r="B380">
        <v>4041045</v>
      </c>
      <c r="C380" s="1">
        <v>45248</v>
      </c>
      <c r="D380">
        <v>299</v>
      </c>
      <c r="E380">
        <f>IF(
  ISNA(
    _xlfn.XLOOKUP(
      payments_raw[[#This Row],[subscription_id]],
      subscriptions[subscription_id],
      subscriptions[subscription_id]
    )
  ),
  0,
  1
)</f>
        <v>1</v>
      </c>
      <c r="F380" s="1">
        <f>_xlfn.XLOOKUP(payments_raw[[#This Row],[subscription_id]], subscriptions[subscription_id], subscriptions[start_date])</f>
        <v>45145</v>
      </c>
      <c r="G3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0" s="2">
        <f>IF(payments_raw[[#This Row],[payment_date]] &lt; payments_raw[[#This Row],[sub_start_date]], 1, 0)</f>
        <v>0</v>
      </c>
      <c r="I380" s="2">
        <f>IF(AND(payments_raw[[#This Row],[sub_end_date]]&lt;&gt;"", payments_raw[[#This Row],[payment_date]] &gt; payments_raw[[#This Row],[sub_end_date]]), 1, 0)</f>
        <v>0</v>
      </c>
      <c r="J380" s="2">
        <f>IF(payments_raw[[#This Row],[amount]] &lt;= 0, 1, 0)</f>
        <v>0</v>
      </c>
      <c r="K3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1" spans="1:11" x14ac:dyDescent="0.3">
      <c r="A381">
        <v>17129557</v>
      </c>
      <c r="B381">
        <v>9927688</v>
      </c>
      <c r="C381" s="1">
        <v>45126</v>
      </c>
      <c r="D381">
        <v>390</v>
      </c>
      <c r="E381">
        <f>IF(
  ISNA(
    _xlfn.XLOOKUP(
      payments_raw[[#This Row],[subscription_id]],
      subscriptions[subscription_id],
      subscriptions[subscription_id]
    )
  ),
  0,
  1
)</f>
        <v>1</v>
      </c>
      <c r="F381" s="1">
        <f>_xlfn.XLOOKUP(payments_raw[[#This Row],[subscription_id]], subscriptions[subscription_id], subscriptions[start_date])</f>
        <v>44768</v>
      </c>
      <c r="G3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1" s="2">
        <f>IF(payments_raw[[#This Row],[payment_date]] &lt; payments_raw[[#This Row],[sub_start_date]], 1, 0)</f>
        <v>0</v>
      </c>
      <c r="I381" s="2">
        <f>IF(AND(payments_raw[[#This Row],[sub_end_date]]&lt;&gt;"", payments_raw[[#This Row],[payment_date]] &gt; payments_raw[[#This Row],[sub_end_date]]), 1, 0)</f>
        <v>0</v>
      </c>
      <c r="J381" s="2">
        <f>IF(payments_raw[[#This Row],[amount]] &lt;= 0, 1, 0)</f>
        <v>0</v>
      </c>
      <c r="K3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2" spans="1:11" x14ac:dyDescent="0.3">
      <c r="A382">
        <v>61882781</v>
      </c>
      <c r="B382">
        <v>7291774</v>
      </c>
      <c r="C382" s="1">
        <v>45591</v>
      </c>
      <c r="D382">
        <v>149</v>
      </c>
      <c r="E382">
        <f>IF(
  ISNA(
    _xlfn.XLOOKUP(
      payments_raw[[#This Row],[subscription_id]],
      subscriptions[subscription_id],
      subscriptions[subscription_id]
    )
  ),
  0,
  1
)</f>
        <v>1</v>
      </c>
      <c r="F382" s="1">
        <f>_xlfn.XLOOKUP(payments_raw[[#This Row],[subscription_id]], subscriptions[subscription_id], subscriptions[start_date])</f>
        <v>44683</v>
      </c>
      <c r="G3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2" s="2">
        <f>IF(payments_raw[[#This Row],[payment_date]] &lt; payments_raw[[#This Row],[sub_start_date]], 1, 0)</f>
        <v>0</v>
      </c>
      <c r="I382" s="2">
        <f>IF(AND(payments_raw[[#This Row],[sub_end_date]]&lt;&gt;"", payments_raw[[#This Row],[payment_date]] &gt; payments_raw[[#This Row],[sub_end_date]]), 1, 0)</f>
        <v>0</v>
      </c>
      <c r="J382" s="2">
        <f>IF(payments_raw[[#This Row],[amount]] &lt;= 0, 1, 0)</f>
        <v>0</v>
      </c>
      <c r="K3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3" spans="1:11" x14ac:dyDescent="0.3">
      <c r="A383">
        <v>68167592</v>
      </c>
      <c r="B383">
        <v>9447259</v>
      </c>
      <c r="C383" s="1">
        <v>45437</v>
      </c>
      <c r="D383">
        <v>149</v>
      </c>
      <c r="E383">
        <f>IF(
  ISNA(
    _xlfn.XLOOKUP(
      payments_raw[[#This Row],[subscription_id]],
      subscriptions[subscription_id],
      subscriptions[subscription_id]
    )
  ),
  0,
  1
)</f>
        <v>1</v>
      </c>
      <c r="F383" s="1">
        <f>_xlfn.XLOOKUP(payments_raw[[#This Row],[subscription_id]], subscriptions[subscription_id], subscriptions[start_date])</f>
        <v>45418</v>
      </c>
      <c r="G3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3" s="2">
        <f>IF(payments_raw[[#This Row],[payment_date]] &lt; payments_raw[[#This Row],[sub_start_date]], 1, 0)</f>
        <v>0</v>
      </c>
      <c r="I383" s="2">
        <f>IF(AND(payments_raw[[#This Row],[sub_end_date]]&lt;&gt;"", payments_raw[[#This Row],[payment_date]] &gt; payments_raw[[#This Row],[sub_end_date]]), 1, 0)</f>
        <v>0</v>
      </c>
      <c r="J383" s="2">
        <f>IF(payments_raw[[#This Row],[amount]] &lt;= 0, 1, 0)</f>
        <v>0</v>
      </c>
      <c r="K3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4" spans="1:11" x14ac:dyDescent="0.3">
      <c r="A384">
        <v>57617011</v>
      </c>
      <c r="B384">
        <v>5629265</v>
      </c>
      <c r="C384" s="1">
        <v>45637</v>
      </c>
      <c r="D384">
        <v>190</v>
      </c>
      <c r="E384">
        <f>IF(
  ISNA(
    _xlfn.XLOOKUP(
      payments_raw[[#This Row],[subscription_id]],
      subscriptions[subscription_id],
      subscriptions[subscription_id]
    )
  ),
  0,
  1
)</f>
        <v>1</v>
      </c>
      <c r="F384" s="1">
        <f>_xlfn.XLOOKUP(payments_raw[[#This Row],[subscription_id]], subscriptions[subscription_id], subscriptions[start_date])</f>
        <v>45572</v>
      </c>
      <c r="G3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4" s="2">
        <f>IF(payments_raw[[#This Row],[payment_date]] &lt; payments_raw[[#This Row],[sub_start_date]], 1, 0)</f>
        <v>0</v>
      </c>
      <c r="I384" s="2">
        <f>IF(AND(payments_raw[[#This Row],[sub_end_date]]&lt;&gt;"", payments_raw[[#This Row],[payment_date]] &gt; payments_raw[[#This Row],[sub_end_date]]), 1, 0)</f>
        <v>0</v>
      </c>
      <c r="J384" s="2">
        <f>IF(payments_raw[[#This Row],[amount]] &lt;= 0, 1, 0)</f>
        <v>0</v>
      </c>
      <c r="K3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5" spans="1:11" x14ac:dyDescent="0.3">
      <c r="A385">
        <v>15439094</v>
      </c>
      <c r="B385">
        <v>4430300</v>
      </c>
      <c r="C385" s="1">
        <v>45567</v>
      </c>
      <c r="D385">
        <v>592.5</v>
      </c>
      <c r="E385">
        <f>IF(
  ISNA(
    _xlfn.XLOOKUP(
      payments_raw[[#This Row],[subscription_id]],
      subscriptions[subscription_id],
      subscriptions[subscription_id]
    )
  ),
  0,
  1
)</f>
        <v>1</v>
      </c>
      <c r="F385" s="1">
        <f>_xlfn.XLOOKUP(payments_raw[[#This Row],[subscription_id]], subscriptions[subscription_id], subscriptions[start_date])</f>
        <v>45322</v>
      </c>
      <c r="G3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5" s="2">
        <f>IF(payments_raw[[#This Row],[payment_date]] &lt; payments_raw[[#This Row],[sub_start_date]], 1, 0)</f>
        <v>0</v>
      </c>
      <c r="I385" s="2">
        <f>IF(AND(payments_raw[[#This Row],[sub_end_date]]&lt;&gt;"", payments_raw[[#This Row],[payment_date]] &gt; payments_raw[[#This Row],[sub_end_date]]), 1, 0)</f>
        <v>0</v>
      </c>
      <c r="J385" s="2">
        <f>IF(payments_raw[[#This Row],[amount]] &lt;= 0, 1, 0)</f>
        <v>0</v>
      </c>
      <c r="K3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6" spans="1:11" x14ac:dyDescent="0.3">
      <c r="A386">
        <v>35968352</v>
      </c>
      <c r="B386">
        <v>2086368</v>
      </c>
      <c r="C386" s="1">
        <v>45421</v>
      </c>
      <c r="D386">
        <v>149</v>
      </c>
      <c r="E386">
        <f>IF(
  ISNA(
    _xlfn.XLOOKUP(
      payments_raw[[#This Row],[subscription_id]],
      subscriptions[subscription_id],
      subscriptions[subscription_id]
    )
  ),
  0,
  1
)</f>
        <v>1</v>
      </c>
      <c r="F386" s="1">
        <f>_xlfn.XLOOKUP(payments_raw[[#This Row],[subscription_id]], subscriptions[subscription_id], subscriptions[start_date])</f>
        <v>45263</v>
      </c>
      <c r="G3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6" s="2">
        <f>IF(payments_raw[[#This Row],[payment_date]] &lt; payments_raw[[#This Row],[sub_start_date]], 1, 0)</f>
        <v>0</v>
      </c>
      <c r="I386" s="2">
        <f>IF(AND(payments_raw[[#This Row],[sub_end_date]]&lt;&gt;"", payments_raw[[#This Row],[payment_date]] &gt; payments_raw[[#This Row],[sub_end_date]]), 1, 0)</f>
        <v>0</v>
      </c>
      <c r="J386" s="2">
        <f>IF(payments_raw[[#This Row],[amount]] &lt;= 0, 1, 0)</f>
        <v>0</v>
      </c>
      <c r="K3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7" spans="1:11" x14ac:dyDescent="0.3">
      <c r="A387">
        <v>32272814</v>
      </c>
      <c r="B387">
        <v>3981886</v>
      </c>
      <c r="C387" s="1">
        <v>45370</v>
      </c>
      <c r="D387">
        <v>149</v>
      </c>
      <c r="E387">
        <f>IF(
  ISNA(
    _xlfn.XLOOKUP(
      payments_raw[[#This Row],[subscription_id]],
      subscriptions[subscription_id],
      subscriptions[subscription_id]
    )
  ),
  0,
  1
)</f>
        <v>1</v>
      </c>
      <c r="F387" s="1">
        <f>_xlfn.XLOOKUP(payments_raw[[#This Row],[subscription_id]], subscriptions[subscription_id], subscriptions[start_date])</f>
        <v>45369</v>
      </c>
      <c r="G3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387" s="2">
        <f>IF(payments_raw[[#This Row],[payment_date]] &lt; payments_raw[[#This Row],[sub_start_date]], 1, 0)</f>
        <v>0</v>
      </c>
      <c r="I387" s="2">
        <f>IF(AND(payments_raw[[#This Row],[sub_end_date]]&lt;&gt;"", payments_raw[[#This Row],[payment_date]] &gt; payments_raw[[#This Row],[sub_end_date]]), 1, 0)</f>
        <v>0</v>
      </c>
      <c r="J387" s="2">
        <f>IF(payments_raw[[#This Row],[amount]] &lt;= 0, 1, 0)</f>
        <v>0</v>
      </c>
      <c r="K3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8" spans="1:11" x14ac:dyDescent="0.3">
      <c r="A388">
        <v>29587604</v>
      </c>
      <c r="B388">
        <v>5905871</v>
      </c>
      <c r="C388" s="1">
        <v>44965</v>
      </c>
      <c r="D388">
        <v>134.1</v>
      </c>
      <c r="E388">
        <f>IF(
  ISNA(
    _xlfn.XLOOKUP(
      payments_raw[[#This Row],[subscription_id]],
      subscriptions[subscription_id],
      subscriptions[subscription_id]
    )
  ),
  0,
  1
)</f>
        <v>1</v>
      </c>
      <c r="F388" s="1">
        <f>_xlfn.XLOOKUP(payments_raw[[#This Row],[subscription_id]], subscriptions[subscription_id], subscriptions[start_date])</f>
        <v>44827</v>
      </c>
      <c r="G3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45102</v>
      </c>
      <c r="H388" s="2">
        <f>IF(payments_raw[[#This Row],[payment_date]] &lt; payments_raw[[#This Row],[sub_start_date]], 1, 0)</f>
        <v>0</v>
      </c>
      <c r="I388" s="2">
        <f>IF(AND(payments_raw[[#This Row],[sub_end_date]]&lt;&gt;"", payments_raw[[#This Row],[payment_date]] &gt; payments_raw[[#This Row],[sub_end_date]]), 1, 0)</f>
        <v>0</v>
      </c>
      <c r="J388" s="2">
        <f>IF(payments_raw[[#This Row],[amount]] &lt;= 0, 1, 0)</f>
        <v>0</v>
      </c>
      <c r="K3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89" spans="1:11" x14ac:dyDescent="0.3">
      <c r="A389">
        <v>39352584</v>
      </c>
      <c r="B389">
        <v>8882947</v>
      </c>
      <c r="C389" s="1">
        <v>45413</v>
      </c>
      <c r="D389">
        <v>79</v>
      </c>
      <c r="E389">
        <f>IF(
  ISNA(
    _xlfn.XLOOKUP(
      payments_raw[[#This Row],[subscription_id]],
      subscriptions[subscription_id],
      subscriptions[subscription_id]
    )
  ),
  0,
  1
)</f>
        <v>1</v>
      </c>
      <c r="F389" s="1">
        <f>_xlfn.XLOOKUP(payments_raw[[#This Row],[subscription_id]], subscriptions[subscription_id], subscriptions[start_date])</f>
        <v>44768</v>
      </c>
      <c r="G3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89" s="2">
        <f>IF(payments_raw[[#This Row],[payment_date]] &lt; payments_raw[[#This Row],[sub_start_date]], 1, 0)</f>
        <v>0</v>
      </c>
      <c r="I389" s="2">
        <f>IF(AND(payments_raw[[#This Row],[sub_end_date]]&lt;&gt;"", payments_raw[[#This Row],[payment_date]] &gt; payments_raw[[#This Row],[sub_end_date]]), 1, 0)</f>
        <v>0</v>
      </c>
      <c r="J389" s="2">
        <f>IF(payments_raw[[#This Row],[amount]] &lt;= 0, 1, 0)</f>
        <v>0</v>
      </c>
      <c r="K3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0" spans="1:11" x14ac:dyDescent="0.3">
      <c r="A390">
        <v>13239995</v>
      </c>
      <c r="B390">
        <v>9595901</v>
      </c>
      <c r="C390" s="1">
        <v>45527</v>
      </c>
      <c r="D390">
        <v>79</v>
      </c>
      <c r="E390">
        <f>IF(
  ISNA(
    _xlfn.XLOOKUP(
      payments_raw[[#This Row],[subscription_id]],
      subscriptions[subscription_id],
      subscriptions[subscription_id]
    )
  ),
  0,
  1
)</f>
        <v>1</v>
      </c>
      <c r="F390" s="1">
        <f>_xlfn.XLOOKUP(payments_raw[[#This Row],[subscription_id]], subscriptions[subscription_id], subscriptions[start_date])</f>
        <v>44609</v>
      </c>
      <c r="G3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0" s="2">
        <f>IF(payments_raw[[#This Row],[payment_date]] &lt; payments_raw[[#This Row],[sub_start_date]], 1, 0)</f>
        <v>0</v>
      </c>
      <c r="I390" s="2">
        <f>IF(AND(payments_raw[[#This Row],[sub_end_date]]&lt;&gt;"", payments_raw[[#This Row],[payment_date]] &gt; payments_raw[[#This Row],[sub_end_date]]), 1, 0)</f>
        <v>0</v>
      </c>
      <c r="J390" s="2">
        <f>IF(payments_raw[[#This Row],[amount]] &lt;= 0, 1, 0)</f>
        <v>0</v>
      </c>
      <c r="K3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1" spans="1:11" x14ac:dyDescent="0.3">
      <c r="A391">
        <v>92265540</v>
      </c>
      <c r="B391">
        <v>2536556</v>
      </c>
      <c r="C391" s="1">
        <v>45511</v>
      </c>
      <c r="D391">
        <v>790</v>
      </c>
      <c r="E391">
        <f>IF(
  ISNA(
    _xlfn.XLOOKUP(
      payments_raw[[#This Row],[subscription_id]],
      subscriptions[subscription_id],
      subscriptions[subscription_id]
    )
  ),
  0,
  1
)</f>
        <v>1</v>
      </c>
      <c r="F391" s="1">
        <f>_xlfn.XLOOKUP(payments_raw[[#This Row],[subscription_id]], subscriptions[subscription_id], subscriptions[start_date])</f>
        <v>44569</v>
      </c>
      <c r="G3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1" s="2">
        <f>IF(payments_raw[[#This Row],[payment_date]] &lt; payments_raw[[#This Row],[sub_start_date]], 1, 0)</f>
        <v>0</v>
      </c>
      <c r="I391" s="2">
        <f>IF(AND(payments_raw[[#This Row],[sub_end_date]]&lt;&gt;"", payments_raw[[#This Row],[payment_date]] &gt; payments_raw[[#This Row],[sub_end_date]]), 1, 0)</f>
        <v>0</v>
      </c>
      <c r="J391" s="2">
        <f>IF(payments_raw[[#This Row],[amount]] &lt;= 0, 1, 0)</f>
        <v>0</v>
      </c>
      <c r="K3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2" spans="1:11" x14ac:dyDescent="0.3">
      <c r="A392">
        <v>53828083</v>
      </c>
      <c r="B392">
        <v>8214533</v>
      </c>
      <c r="C392" s="1">
        <v>45348</v>
      </c>
      <c r="D392">
        <v>19</v>
      </c>
      <c r="E392">
        <f>IF(
  ISNA(
    _xlfn.XLOOKUP(
      payments_raw[[#This Row],[subscription_id]],
      subscriptions[subscription_id],
      subscriptions[subscription_id]
    )
  ),
  0,
  1
)</f>
        <v>1</v>
      </c>
      <c r="F392" s="1">
        <f>_xlfn.XLOOKUP(payments_raw[[#This Row],[subscription_id]], subscriptions[subscription_id], subscriptions[start_date])</f>
        <v>45057</v>
      </c>
      <c r="G3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2" s="2">
        <f>IF(payments_raw[[#This Row],[payment_date]] &lt; payments_raw[[#This Row],[sub_start_date]], 1, 0)</f>
        <v>0</v>
      </c>
      <c r="I392" s="2">
        <f>IF(AND(payments_raw[[#This Row],[sub_end_date]]&lt;&gt;"", payments_raw[[#This Row],[payment_date]] &gt; payments_raw[[#This Row],[sub_end_date]]), 1, 0)</f>
        <v>0</v>
      </c>
      <c r="J392" s="2">
        <f>IF(payments_raw[[#This Row],[amount]] &lt;= 0, 1, 0)</f>
        <v>0</v>
      </c>
      <c r="K3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3" spans="1:11" x14ac:dyDescent="0.3">
      <c r="A393">
        <v>79390232</v>
      </c>
      <c r="B393">
        <v>7459520</v>
      </c>
      <c r="C393" s="1">
        <v>45583</v>
      </c>
      <c r="D393">
        <v>390</v>
      </c>
      <c r="E393">
        <f>IF(
  ISNA(
    _xlfn.XLOOKUP(
      payments_raw[[#This Row],[subscription_id]],
      subscriptions[subscription_id],
      subscriptions[subscription_id]
    )
  ),
  0,
  1
)</f>
        <v>1</v>
      </c>
      <c r="F393" s="1">
        <f>_xlfn.XLOOKUP(payments_raw[[#This Row],[subscription_id]], subscriptions[subscription_id], subscriptions[start_date])</f>
        <v>45284</v>
      </c>
      <c r="G3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3" s="2">
        <f>IF(payments_raw[[#This Row],[payment_date]] &lt; payments_raw[[#This Row],[sub_start_date]], 1, 0)</f>
        <v>0</v>
      </c>
      <c r="I393" s="2">
        <f>IF(AND(payments_raw[[#This Row],[sub_end_date]]&lt;&gt;"", payments_raw[[#This Row],[payment_date]] &gt; payments_raw[[#This Row],[sub_end_date]]), 1, 0)</f>
        <v>0</v>
      </c>
      <c r="J393" s="2">
        <f>IF(payments_raw[[#This Row],[amount]] &lt;= 0, 1, 0)</f>
        <v>0</v>
      </c>
      <c r="K3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4" spans="1:11" x14ac:dyDescent="0.3">
      <c r="A394">
        <v>68840762</v>
      </c>
      <c r="B394">
        <v>4719408</v>
      </c>
      <c r="C394" s="1">
        <v>45120</v>
      </c>
      <c r="D394">
        <v>2990</v>
      </c>
      <c r="E394">
        <f>IF(
  ISNA(
    _xlfn.XLOOKUP(
      payments_raw[[#This Row],[subscription_id]],
      subscriptions[subscription_id],
      subscriptions[subscription_id]
    )
  ),
  0,
  1
)</f>
        <v>1</v>
      </c>
      <c r="F394" s="1">
        <f>_xlfn.XLOOKUP(payments_raw[[#This Row],[subscription_id]], subscriptions[subscription_id], subscriptions[start_date])</f>
        <v>44926</v>
      </c>
      <c r="G3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45144</v>
      </c>
      <c r="H394" s="2">
        <f>IF(payments_raw[[#This Row],[payment_date]] &lt; payments_raw[[#This Row],[sub_start_date]], 1, 0)</f>
        <v>0</v>
      </c>
      <c r="I394" s="2">
        <f>IF(AND(payments_raw[[#This Row],[sub_end_date]]&lt;&gt;"", payments_raw[[#This Row],[payment_date]] &gt; payments_raw[[#This Row],[sub_end_date]]), 1, 0)</f>
        <v>0</v>
      </c>
      <c r="J394" s="2">
        <f>IF(payments_raw[[#This Row],[amount]] &lt;= 0, 1, 0)</f>
        <v>0</v>
      </c>
      <c r="K3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5" spans="1:11" x14ac:dyDescent="0.3">
      <c r="A395">
        <v>78984106</v>
      </c>
      <c r="B395">
        <v>8628047</v>
      </c>
      <c r="C395" s="1">
        <v>45362</v>
      </c>
      <c r="D395">
        <v>790</v>
      </c>
      <c r="E395">
        <f>IF(
  ISNA(
    _xlfn.XLOOKUP(
      payments_raw[[#This Row],[subscription_id]],
      subscriptions[subscription_id],
      subscriptions[subscription_id]
    )
  ),
  0,
  1
)</f>
        <v>1</v>
      </c>
      <c r="F395" s="1">
        <f>_xlfn.XLOOKUP(payments_raw[[#This Row],[subscription_id]], subscriptions[subscription_id], subscriptions[start_date])</f>
        <v>45358</v>
      </c>
      <c r="G3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45447</v>
      </c>
      <c r="H395" s="2">
        <f>IF(payments_raw[[#This Row],[payment_date]] &lt; payments_raw[[#This Row],[sub_start_date]], 1, 0)</f>
        <v>0</v>
      </c>
      <c r="I395" s="2">
        <f>IF(AND(payments_raw[[#This Row],[sub_end_date]]&lt;&gt;"", payments_raw[[#This Row],[payment_date]] &gt; payments_raw[[#This Row],[sub_end_date]]), 1, 0)</f>
        <v>0</v>
      </c>
      <c r="J395" s="2">
        <f>IF(payments_raw[[#This Row],[amount]] &lt;= 0, 1, 0)</f>
        <v>0</v>
      </c>
      <c r="K3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6" spans="1:11" x14ac:dyDescent="0.3">
      <c r="A396">
        <v>83549938</v>
      </c>
      <c r="B396">
        <v>2856109</v>
      </c>
      <c r="C396" s="1">
        <v>45527</v>
      </c>
      <c r="D396">
        <v>2990</v>
      </c>
      <c r="E396">
        <f>IF(
  ISNA(
    _xlfn.XLOOKUP(
      payments_raw[[#This Row],[subscription_id]],
      subscriptions[subscription_id],
      subscriptions[subscription_id]
    )
  ),
  0,
  1
)</f>
        <v>1</v>
      </c>
      <c r="F396" s="1">
        <f>_xlfn.XLOOKUP(payments_raw[[#This Row],[subscription_id]], subscriptions[subscription_id], subscriptions[start_date])</f>
        <v>45154</v>
      </c>
      <c r="G3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6" s="2">
        <f>IF(payments_raw[[#This Row],[payment_date]] &lt; payments_raw[[#This Row],[sub_start_date]], 1, 0)</f>
        <v>0</v>
      </c>
      <c r="I396" s="2">
        <f>IF(AND(payments_raw[[#This Row],[sub_end_date]]&lt;&gt;"", payments_raw[[#This Row],[payment_date]] &gt; payments_raw[[#This Row],[sub_end_date]]), 1, 0)</f>
        <v>0</v>
      </c>
      <c r="J396" s="2">
        <f>IF(payments_raw[[#This Row],[amount]] &lt;= 0, 1, 0)</f>
        <v>0</v>
      </c>
      <c r="K3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7" spans="1:11" x14ac:dyDescent="0.3">
      <c r="A397">
        <v>77907156</v>
      </c>
      <c r="B397">
        <v>6885129</v>
      </c>
      <c r="C397" s="1">
        <v>45106</v>
      </c>
      <c r="D397">
        <v>39</v>
      </c>
      <c r="E397">
        <f>IF(
  ISNA(
    _xlfn.XLOOKUP(
      payments_raw[[#This Row],[subscription_id]],
      subscriptions[subscription_id],
      subscriptions[subscription_id]
    )
  ),
  0,
  1
)</f>
        <v>1</v>
      </c>
      <c r="F397" s="1">
        <f>_xlfn.XLOOKUP(payments_raw[[#This Row],[subscription_id]], subscriptions[subscription_id], subscriptions[start_date])</f>
        <v>45089</v>
      </c>
      <c r="G3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45248</v>
      </c>
      <c r="H397" s="2">
        <f>IF(payments_raw[[#This Row],[payment_date]] &lt; payments_raw[[#This Row],[sub_start_date]], 1, 0)</f>
        <v>0</v>
      </c>
      <c r="I397" s="2">
        <f>IF(AND(payments_raw[[#This Row],[sub_end_date]]&lt;&gt;"", payments_raw[[#This Row],[payment_date]] &gt; payments_raw[[#This Row],[sub_end_date]]), 1, 0)</f>
        <v>0</v>
      </c>
      <c r="J397" s="2">
        <f>IF(payments_raw[[#This Row],[amount]] &lt;= 0, 1, 0)</f>
        <v>0</v>
      </c>
      <c r="K3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8" spans="1:11" x14ac:dyDescent="0.3">
      <c r="A398">
        <v>30579604</v>
      </c>
      <c r="B398">
        <v>4041045</v>
      </c>
      <c r="C398" s="1">
        <v>45531</v>
      </c>
      <c r="D398">
        <v>299</v>
      </c>
      <c r="E398">
        <f>IF(
  ISNA(
    _xlfn.XLOOKUP(
      payments_raw[[#This Row],[subscription_id]],
      subscriptions[subscription_id],
      subscriptions[subscription_id]
    )
  ),
  0,
  1
)</f>
        <v>1</v>
      </c>
      <c r="F398" s="1">
        <f>_xlfn.XLOOKUP(payments_raw[[#This Row],[subscription_id]], subscriptions[subscription_id], subscriptions[start_date])</f>
        <v>45145</v>
      </c>
      <c r="G3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98" s="2">
        <f>IF(payments_raw[[#This Row],[payment_date]] &lt; payments_raw[[#This Row],[sub_start_date]], 1, 0)</f>
        <v>0</v>
      </c>
      <c r="I398" s="2">
        <f>IF(AND(payments_raw[[#This Row],[sub_end_date]]&lt;&gt;"", payments_raw[[#This Row],[payment_date]] &gt; payments_raw[[#This Row],[sub_end_date]]), 1, 0)</f>
        <v>0</v>
      </c>
      <c r="J398" s="2">
        <f>IF(payments_raw[[#This Row],[amount]] &lt;= 0, 1, 0)</f>
        <v>0</v>
      </c>
      <c r="K3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99" spans="1:11" x14ac:dyDescent="0.3">
      <c r="A399">
        <v>69037205</v>
      </c>
      <c r="B399">
        <v>5669772</v>
      </c>
      <c r="C399" s="1">
        <v>45216</v>
      </c>
      <c r="D399">
        <v>390</v>
      </c>
      <c r="E399">
        <f>IF(
  ISNA(
    _xlfn.XLOOKUP(
      payments_raw[[#This Row],[subscription_id]],
      subscriptions[subscription_id],
      subscriptions[subscription_id]
    )
  ),
  0,
  1
)</f>
        <v>1</v>
      </c>
      <c r="F399" s="1">
        <f>_xlfn.XLOOKUP(payments_raw[[#This Row],[subscription_id]], subscriptions[subscription_id], subscriptions[start_date])</f>
        <v>45182</v>
      </c>
      <c r="G3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45246</v>
      </c>
      <c r="H399" s="2">
        <f>IF(payments_raw[[#This Row],[payment_date]] &lt; payments_raw[[#This Row],[sub_start_date]], 1, 0)</f>
        <v>0</v>
      </c>
      <c r="I399" s="2">
        <f>IF(AND(payments_raw[[#This Row],[sub_end_date]]&lt;&gt;"", payments_raw[[#This Row],[payment_date]] &gt; payments_raw[[#This Row],[sub_end_date]]), 1, 0)</f>
        <v>0</v>
      </c>
      <c r="J399" s="2">
        <f>IF(payments_raw[[#This Row],[amount]] &lt;= 0, 1, 0)</f>
        <v>0</v>
      </c>
      <c r="K3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0" spans="1:11" x14ac:dyDescent="0.3">
      <c r="A400">
        <v>36351536</v>
      </c>
      <c r="B400">
        <v>6415010</v>
      </c>
      <c r="C400" s="1">
        <v>44784</v>
      </c>
      <c r="D400">
        <v>79</v>
      </c>
      <c r="E400">
        <f>IF(
  ISNA(
    _xlfn.XLOOKUP(
      payments_raw[[#This Row],[subscription_id]],
      subscriptions[subscription_id],
      subscriptions[subscription_id]
    )
  ),
  0,
  1
)</f>
        <v>1</v>
      </c>
      <c r="F400" s="1">
        <f>_xlfn.XLOOKUP(payments_raw[[#This Row],[subscription_id]], subscriptions[subscription_id], subscriptions[start_date])</f>
        <v>44594</v>
      </c>
      <c r="G4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0" s="2">
        <f>IF(payments_raw[[#This Row],[payment_date]] &lt; payments_raw[[#This Row],[sub_start_date]], 1, 0)</f>
        <v>0</v>
      </c>
      <c r="I400" s="2">
        <f>IF(AND(payments_raw[[#This Row],[sub_end_date]]&lt;&gt;"", payments_raw[[#This Row],[payment_date]] &gt; payments_raw[[#This Row],[sub_end_date]]), 1, 0)</f>
        <v>0</v>
      </c>
      <c r="J400" s="2">
        <f>IF(payments_raw[[#This Row],[amount]] &lt;= 0, 1, 0)</f>
        <v>0</v>
      </c>
      <c r="K4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1" spans="1:11" x14ac:dyDescent="0.3">
      <c r="A401">
        <v>47011857</v>
      </c>
      <c r="B401">
        <v>4673341</v>
      </c>
      <c r="C401" s="1">
        <v>45282</v>
      </c>
      <c r="D401">
        <v>190</v>
      </c>
      <c r="E401">
        <f>IF(
  ISNA(
    _xlfn.XLOOKUP(
      payments_raw[[#This Row],[subscription_id]],
      subscriptions[subscription_id],
      subscriptions[subscription_id]
    )
  ),
  0,
  1
)</f>
        <v>1</v>
      </c>
      <c r="F401" s="1">
        <f>_xlfn.XLOOKUP(payments_raw[[#This Row],[subscription_id]], subscriptions[subscription_id], subscriptions[start_date])</f>
        <v>45257</v>
      </c>
      <c r="G4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45310</v>
      </c>
      <c r="H401" s="2">
        <f>IF(payments_raw[[#This Row],[payment_date]] &lt; payments_raw[[#This Row],[sub_start_date]], 1, 0)</f>
        <v>0</v>
      </c>
      <c r="I401" s="2">
        <f>IF(AND(payments_raw[[#This Row],[sub_end_date]]&lt;&gt;"", payments_raw[[#This Row],[payment_date]] &gt; payments_raw[[#This Row],[sub_end_date]]), 1, 0)</f>
        <v>0</v>
      </c>
      <c r="J401" s="2">
        <f>IF(payments_raw[[#This Row],[amount]] &lt;= 0, 1, 0)</f>
        <v>0</v>
      </c>
      <c r="K4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2" spans="1:11" x14ac:dyDescent="0.3">
      <c r="A402">
        <v>15907381</v>
      </c>
      <c r="B402">
        <v>3190232</v>
      </c>
      <c r="C402" s="1">
        <v>45568</v>
      </c>
      <c r="D402">
        <v>395</v>
      </c>
      <c r="E402">
        <f>IF(
  ISNA(
    _xlfn.XLOOKUP(
      payments_raw[[#This Row],[subscription_id]],
      subscriptions[subscription_id],
      subscriptions[subscription_id]
    )
  ),
  0,
  1
)</f>
        <v>1</v>
      </c>
      <c r="F402" s="1">
        <f>_xlfn.XLOOKUP(payments_raw[[#This Row],[subscription_id]], subscriptions[subscription_id], subscriptions[start_date])</f>
        <v>45491</v>
      </c>
      <c r="G4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45652</v>
      </c>
      <c r="H402" s="2">
        <f>IF(payments_raw[[#This Row],[payment_date]] &lt; payments_raw[[#This Row],[sub_start_date]], 1, 0)</f>
        <v>0</v>
      </c>
      <c r="I402" s="2">
        <f>IF(AND(payments_raw[[#This Row],[sub_end_date]]&lt;&gt;"", payments_raw[[#This Row],[payment_date]] &gt; payments_raw[[#This Row],[sub_end_date]]), 1, 0)</f>
        <v>0</v>
      </c>
      <c r="J402" s="2">
        <f>IF(payments_raw[[#This Row],[amount]] &lt;= 0, 1, 0)</f>
        <v>0</v>
      </c>
      <c r="K4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3" spans="1:11" x14ac:dyDescent="0.3">
      <c r="A403">
        <v>36104468</v>
      </c>
      <c r="B403">
        <v>2918079</v>
      </c>
      <c r="C403" s="1">
        <v>45560</v>
      </c>
      <c r="D403">
        <v>39</v>
      </c>
      <c r="E403">
        <f>IF(
  ISNA(
    _xlfn.XLOOKUP(
      payments_raw[[#This Row],[subscription_id]],
      subscriptions[subscription_id],
      subscriptions[subscription_id]
    )
  ),
  0,
  1
)</f>
        <v>1</v>
      </c>
      <c r="F403" s="1">
        <f>_xlfn.XLOOKUP(payments_raw[[#This Row],[subscription_id]], subscriptions[subscription_id], subscriptions[start_date])</f>
        <v>45132</v>
      </c>
      <c r="G4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3" s="2">
        <f>IF(payments_raw[[#This Row],[payment_date]] &lt; payments_raw[[#This Row],[sub_start_date]], 1, 0)</f>
        <v>0</v>
      </c>
      <c r="I403" s="2">
        <f>IF(AND(payments_raw[[#This Row],[sub_end_date]]&lt;&gt;"", payments_raw[[#This Row],[payment_date]] &gt; payments_raw[[#This Row],[sub_end_date]]), 1, 0)</f>
        <v>0</v>
      </c>
      <c r="J403" s="2">
        <f>IF(payments_raw[[#This Row],[amount]] &lt;= 0, 1, 0)</f>
        <v>0</v>
      </c>
      <c r="K4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4" spans="1:11" x14ac:dyDescent="0.3">
      <c r="A404">
        <v>66047853</v>
      </c>
      <c r="B404">
        <v>5345732</v>
      </c>
      <c r="C404" s="1">
        <v>45093</v>
      </c>
      <c r="D404">
        <v>299</v>
      </c>
      <c r="E404">
        <f>IF(
  ISNA(
    _xlfn.XLOOKUP(
      payments_raw[[#This Row],[subscription_id]],
      subscriptions[subscription_id],
      subscriptions[subscription_id]
    )
  ),
  0,
  1
)</f>
        <v>1</v>
      </c>
      <c r="F404" s="1">
        <f>_xlfn.XLOOKUP(payments_raw[[#This Row],[subscription_id]], subscriptions[subscription_id], subscriptions[start_date])</f>
        <v>45084</v>
      </c>
      <c r="G4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45125</v>
      </c>
      <c r="H404" s="2">
        <f>IF(payments_raw[[#This Row],[payment_date]] &lt; payments_raw[[#This Row],[sub_start_date]], 1, 0)</f>
        <v>0</v>
      </c>
      <c r="I404" s="2">
        <f>IF(AND(payments_raw[[#This Row],[sub_end_date]]&lt;&gt;"", payments_raw[[#This Row],[payment_date]] &gt; payments_raw[[#This Row],[sub_end_date]]), 1, 0)</f>
        <v>0</v>
      </c>
      <c r="J404" s="2">
        <f>IF(payments_raw[[#This Row],[amount]] &lt;= 0, 1, 0)</f>
        <v>0</v>
      </c>
      <c r="K4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5" spans="1:11" x14ac:dyDescent="0.3">
      <c r="A405">
        <v>86260745</v>
      </c>
      <c r="B405">
        <v>5309362</v>
      </c>
      <c r="C405" s="1">
        <v>44789</v>
      </c>
      <c r="D405">
        <v>149</v>
      </c>
      <c r="E405">
        <f>IF(
  ISNA(
    _xlfn.XLOOKUP(
      payments_raw[[#This Row],[subscription_id]],
      subscriptions[subscription_id],
      subscriptions[subscription_id]
    )
  ),
  0,
  1
)</f>
        <v>1</v>
      </c>
      <c r="F405" s="1">
        <f>_xlfn.XLOOKUP(payments_raw[[#This Row],[subscription_id]], subscriptions[subscription_id], subscriptions[start_date])</f>
        <v>44724</v>
      </c>
      <c r="G40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405" s="2">
        <f>IF(payments_raw[[#This Row],[payment_date]] &lt; payments_raw[[#This Row],[sub_start_date]], 1, 0)</f>
        <v>0</v>
      </c>
      <c r="I405" s="2">
        <f>IF(AND(payments_raw[[#This Row],[sub_end_date]]&lt;&gt;"", payments_raw[[#This Row],[payment_date]] &gt; payments_raw[[#This Row],[sub_end_date]]), 1, 0)</f>
        <v>0</v>
      </c>
      <c r="J405" s="2">
        <f>IF(payments_raw[[#This Row],[amount]] &lt;= 0, 1, 0)</f>
        <v>0</v>
      </c>
      <c r="K4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6" spans="1:11" x14ac:dyDescent="0.3">
      <c r="A406">
        <v>38268399</v>
      </c>
      <c r="B406">
        <v>8938605</v>
      </c>
      <c r="C406" s="1">
        <v>45288</v>
      </c>
      <c r="D406">
        <v>299</v>
      </c>
      <c r="E406">
        <f>IF(
  ISNA(
    _xlfn.XLOOKUP(
      payments_raw[[#This Row],[subscription_id]],
      subscriptions[subscription_id],
      subscriptions[subscription_id]
    )
  ),
  0,
  1
)</f>
        <v>1</v>
      </c>
      <c r="F406" s="1">
        <f>_xlfn.XLOOKUP(payments_raw[[#This Row],[subscription_id]], subscriptions[subscription_id], subscriptions[start_date])</f>
        <v>45288</v>
      </c>
      <c r="G4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6" s="2">
        <f>IF(payments_raw[[#This Row],[payment_date]] &lt; payments_raw[[#This Row],[sub_start_date]], 1, 0)</f>
        <v>0</v>
      </c>
      <c r="I406" s="2">
        <f>IF(AND(payments_raw[[#This Row],[sub_end_date]]&lt;&gt;"", payments_raw[[#This Row],[payment_date]] &gt; payments_raw[[#This Row],[sub_end_date]]), 1, 0)</f>
        <v>0</v>
      </c>
      <c r="J406" s="2">
        <f>IF(payments_raw[[#This Row],[amount]] &lt;= 0, 1, 0)</f>
        <v>0</v>
      </c>
      <c r="K4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7" spans="1:11" x14ac:dyDescent="0.3">
      <c r="A407">
        <v>31930027</v>
      </c>
      <c r="B407">
        <v>5125653</v>
      </c>
      <c r="C407" s="1">
        <v>45365</v>
      </c>
      <c r="D407">
        <v>1490</v>
      </c>
      <c r="E407">
        <f>IF(
  ISNA(
    _xlfn.XLOOKUP(
      payments_raw[[#This Row],[subscription_id]],
      subscriptions[subscription_id],
      subscriptions[subscription_id]
    )
  ),
  0,
  1
)</f>
        <v>1</v>
      </c>
      <c r="F407" s="1">
        <f>_xlfn.XLOOKUP(payments_raw[[#This Row],[subscription_id]], subscriptions[subscription_id], subscriptions[start_date])</f>
        <v>45346</v>
      </c>
      <c r="G4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7" s="2">
        <f>IF(payments_raw[[#This Row],[payment_date]] &lt; payments_raw[[#This Row],[sub_start_date]], 1, 0)</f>
        <v>0</v>
      </c>
      <c r="I407" s="2">
        <f>IF(AND(payments_raw[[#This Row],[sub_end_date]]&lt;&gt;"", payments_raw[[#This Row],[payment_date]] &gt; payments_raw[[#This Row],[sub_end_date]]), 1, 0)</f>
        <v>0</v>
      </c>
      <c r="J407" s="2">
        <f>IF(payments_raw[[#This Row],[amount]] &lt;= 0, 1, 0)</f>
        <v>0</v>
      </c>
      <c r="K4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8" spans="1:11" x14ac:dyDescent="0.3">
      <c r="A408">
        <v>74782142</v>
      </c>
      <c r="B408">
        <v>9594324</v>
      </c>
      <c r="C408" s="1">
        <v>45359</v>
      </c>
      <c r="D408">
        <v>2990</v>
      </c>
      <c r="E408">
        <f>IF(
  ISNA(
    _xlfn.XLOOKUP(
      payments_raw[[#This Row],[subscription_id]],
      subscriptions[subscription_id],
      subscriptions[subscription_id]
    )
  ),
  0,
  1
)</f>
        <v>1</v>
      </c>
      <c r="F408" s="1">
        <f>_xlfn.XLOOKUP(payments_raw[[#This Row],[subscription_id]], subscriptions[subscription_id], subscriptions[start_date])</f>
        <v>45326</v>
      </c>
      <c r="G4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8" s="2">
        <f>IF(payments_raw[[#This Row],[payment_date]] &lt; payments_raw[[#This Row],[sub_start_date]], 1, 0)</f>
        <v>0</v>
      </c>
      <c r="I408" s="2">
        <f>IF(AND(payments_raw[[#This Row],[sub_end_date]]&lt;&gt;"", payments_raw[[#This Row],[payment_date]] &gt; payments_raw[[#This Row],[sub_end_date]]), 1, 0)</f>
        <v>0</v>
      </c>
      <c r="J408" s="2">
        <f>IF(payments_raw[[#This Row],[amount]] &lt;= 0, 1, 0)</f>
        <v>0</v>
      </c>
      <c r="K4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09" spans="1:11" x14ac:dyDescent="0.3">
      <c r="A409">
        <v>32226983</v>
      </c>
      <c r="B409">
        <v>9374022</v>
      </c>
      <c r="C409" s="1">
        <v>45621</v>
      </c>
      <c r="D409">
        <v>390</v>
      </c>
      <c r="E409">
        <f>IF(
  ISNA(
    _xlfn.XLOOKUP(
      payments_raw[[#This Row],[subscription_id]],
      subscriptions[subscription_id],
      subscriptions[subscription_id]
    )
  ),
  0,
  1
)</f>
        <v>1</v>
      </c>
      <c r="F409" s="1">
        <f>_xlfn.XLOOKUP(payments_raw[[#This Row],[subscription_id]], subscriptions[subscription_id], subscriptions[start_date])</f>
        <v>45495</v>
      </c>
      <c r="G4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09" s="2">
        <f>IF(payments_raw[[#This Row],[payment_date]] &lt; payments_raw[[#This Row],[sub_start_date]], 1, 0)</f>
        <v>0</v>
      </c>
      <c r="I409" s="2">
        <f>IF(AND(payments_raw[[#This Row],[sub_end_date]]&lt;&gt;"", payments_raw[[#This Row],[payment_date]] &gt; payments_raw[[#This Row],[sub_end_date]]), 1, 0)</f>
        <v>0</v>
      </c>
      <c r="J409" s="2">
        <f>IF(payments_raw[[#This Row],[amount]] &lt;= 0, 1, 0)</f>
        <v>0</v>
      </c>
      <c r="K4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0" spans="1:11" x14ac:dyDescent="0.3">
      <c r="A410">
        <v>99847647</v>
      </c>
      <c r="B410">
        <v>4125920</v>
      </c>
      <c r="C410" s="1">
        <v>45554</v>
      </c>
      <c r="D410">
        <v>390</v>
      </c>
      <c r="E410">
        <f>IF(
  ISNA(
    _xlfn.XLOOKUP(
      payments_raw[[#This Row],[subscription_id]],
      subscriptions[subscription_id],
      subscriptions[subscription_id]
    )
  ),
  0,
  1
)</f>
        <v>1</v>
      </c>
      <c r="F410" s="1">
        <f>_xlfn.XLOOKUP(payments_raw[[#This Row],[subscription_id]], subscriptions[subscription_id], subscriptions[start_date])</f>
        <v>45084</v>
      </c>
      <c r="G4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0" s="2">
        <f>IF(payments_raw[[#This Row],[payment_date]] &lt; payments_raw[[#This Row],[sub_start_date]], 1, 0)</f>
        <v>0</v>
      </c>
      <c r="I410" s="2">
        <f>IF(AND(payments_raw[[#This Row],[sub_end_date]]&lt;&gt;"", payments_raw[[#This Row],[payment_date]] &gt; payments_raw[[#This Row],[sub_end_date]]), 1, 0)</f>
        <v>0</v>
      </c>
      <c r="J410" s="2">
        <f>IF(payments_raw[[#This Row],[amount]] &lt;= 0, 1, 0)</f>
        <v>0</v>
      </c>
      <c r="K4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1" spans="1:11" x14ac:dyDescent="0.3">
      <c r="A411">
        <v>56001399</v>
      </c>
      <c r="B411">
        <v>3436404</v>
      </c>
      <c r="C411" s="1">
        <v>44789</v>
      </c>
      <c r="D411">
        <v>2990</v>
      </c>
      <c r="E411">
        <f>IF(
  ISNA(
    _xlfn.XLOOKUP(
      payments_raw[[#This Row],[subscription_id]],
      subscriptions[subscription_id],
      subscriptions[subscription_id]
    )
  ),
  0,
  1
)</f>
        <v>1</v>
      </c>
      <c r="F411" s="1">
        <f>_xlfn.XLOOKUP(payments_raw[[#This Row],[subscription_id]], subscriptions[subscription_id], subscriptions[start_date])</f>
        <v>44632</v>
      </c>
      <c r="G41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44859</v>
      </c>
      <c r="H411" s="2">
        <f>IF(payments_raw[[#This Row],[payment_date]] &lt; payments_raw[[#This Row],[sub_start_date]], 1, 0)</f>
        <v>0</v>
      </c>
      <c r="I411" s="2">
        <f>IF(AND(payments_raw[[#This Row],[sub_end_date]]&lt;&gt;"", payments_raw[[#This Row],[payment_date]] &gt; payments_raw[[#This Row],[sub_end_date]]), 1, 0)</f>
        <v>0</v>
      </c>
      <c r="J411" s="2">
        <f>IF(payments_raw[[#This Row],[amount]] &lt;= 0, 1, 0)</f>
        <v>0</v>
      </c>
      <c r="K4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2" spans="1:11" x14ac:dyDescent="0.3">
      <c r="A412">
        <v>59944615</v>
      </c>
      <c r="B412">
        <v>5777999</v>
      </c>
      <c r="C412" s="1">
        <v>45381</v>
      </c>
      <c r="D412">
        <v>790</v>
      </c>
      <c r="E412">
        <f>IF(
  ISNA(
    _xlfn.XLOOKUP(
      payments_raw[[#This Row],[subscription_id]],
      subscriptions[subscription_id],
      subscriptions[subscription_id]
    )
  ),
  0,
  1
)</f>
        <v>1</v>
      </c>
      <c r="F412" s="1">
        <f>_xlfn.XLOOKUP(payments_raw[[#This Row],[subscription_id]], subscriptions[subscription_id], subscriptions[start_date])</f>
        <v>44901</v>
      </c>
      <c r="G4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2" s="2">
        <f>IF(payments_raw[[#This Row],[payment_date]] &lt; payments_raw[[#This Row],[sub_start_date]], 1, 0)</f>
        <v>0</v>
      </c>
      <c r="I412" s="2">
        <f>IF(AND(payments_raw[[#This Row],[sub_end_date]]&lt;&gt;"", payments_raw[[#This Row],[payment_date]] &gt; payments_raw[[#This Row],[sub_end_date]]), 1, 0)</f>
        <v>0</v>
      </c>
      <c r="J412" s="2">
        <f>IF(payments_raw[[#This Row],[amount]] &lt;= 0, 1, 0)</f>
        <v>0</v>
      </c>
      <c r="K4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3" spans="1:11" x14ac:dyDescent="0.3">
      <c r="A413">
        <v>44639362</v>
      </c>
      <c r="B413">
        <v>3358248</v>
      </c>
      <c r="C413" s="1">
        <v>45249</v>
      </c>
      <c r="D413">
        <v>39</v>
      </c>
      <c r="E413">
        <f>IF(
  ISNA(
    _xlfn.XLOOKUP(
      payments_raw[[#This Row],[subscription_id]],
      subscriptions[subscription_id],
      subscriptions[subscription_id]
    )
  ),
  0,
  1
)</f>
        <v>1</v>
      </c>
      <c r="F413" s="1">
        <f>_xlfn.XLOOKUP(payments_raw[[#This Row],[subscription_id]], subscriptions[subscription_id], subscriptions[start_date])</f>
        <v>44572</v>
      </c>
      <c r="G4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3" s="2">
        <f>IF(payments_raw[[#This Row],[payment_date]] &lt; payments_raw[[#This Row],[sub_start_date]], 1, 0)</f>
        <v>0</v>
      </c>
      <c r="I413" s="2">
        <f>IF(AND(payments_raw[[#This Row],[sub_end_date]]&lt;&gt;"", payments_raw[[#This Row],[payment_date]] &gt; payments_raw[[#This Row],[sub_end_date]]), 1, 0)</f>
        <v>0</v>
      </c>
      <c r="J413" s="2">
        <f>IF(payments_raw[[#This Row],[amount]] &lt;= 0, 1, 0)</f>
        <v>0</v>
      </c>
      <c r="K4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4" spans="1:11" x14ac:dyDescent="0.3">
      <c r="A414">
        <v>53826526</v>
      </c>
      <c r="B414">
        <v>2729141</v>
      </c>
      <c r="C414" s="1">
        <v>45623</v>
      </c>
      <c r="D414">
        <v>1490</v>
      </c>
      <c r="E414">
        <f>IF(
  ISNA(
    _xlfn.XLOOKUP(
      payments_raw[[#This Row],[subscription_id]],
      subscriptions[subscription_id],
      subscriptions[subscription_id]
    )
  ),
  0,
  1
)</f>
        <v>1</v>
      </c>
      <c r="F414" s="1">
        <f>_xlfn.XLOOKUP(payments_raw[[#This Row],[subscription_id]], subscriptions[subscription_id], subscriptions[start_date])</f>
        <v>45590</v>
      </c>
      <c r="G4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414" s="2">
        <f>IF(payments_raw[[#This Row],[payment_date]] &lt; payments_raw[[#This Row],[sub_start_date]], 1, 0)</f>
        <v>0</v>
      </c>
      <c r="I414" s="2">
        <f>IF(AND(payments_raw[[#This Row],[sub_end_date]]&lt;&gt;"", payments_raw[[#This Row],[payment_date]] &gt; payments_raw[[#This Row],[sub_end_date]]), 1, 0)</f>
        <v>0</v>
      </c>
      <c r="J414" s="2">
        <f>IF(payments_raw[[#This Row],[amount]] &lt;= 0, 1, 0)</f>
        <v>0</v>
      </c>
      <c r="K4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5" spans="1:11" x14ac:dyDescent="0.3">
      <c r="A415">
        <v>89158875</v>
      </c>
      <c r="B415">
        <v>4763343</v>
      </c>
      <c r="C415" s="1">
        <v>45182</v>
      </c>
      <c r="D415">
        <v>299</v>
      </c>
      <c r="E415">
        <f>IF(
  ISNA(
    _xlfn.XLOOKUP(
      payments_raw[[#This Row],[subscription_id]],
      subscriptions[subscription_id],
      subscriptions[subscription_id]
    )
  ),
  0,
  1
)</f>
        <v>1</v>
      </c>
      <c r="F415" s="1">
        <f>_xlfn.XLOOKUP(payments_raw[[#This Row],[subscription_id]], subscriptions[subscription_id], subscriptions[start_date])</f>
        <v>44611</v>
      </c>
      <c r="G4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5" s="2">
        <f>IF(payments_raw[[#This Row],[payment_date]] &lt; payments_raw[[#This Row],[sub_start_date]], 1, 0)</f>
        <v>0</v>
      </c>
      <c r="I415" s="2">
        <f>IF(AND(payments_raw[[#This Row],[sub_end_date]]&lt;&gt;"", payments_raw[[#This Row],[payment_date]] &gt; payments_raw[[#This Row],[sub_end_date]]), 1, 0)</f>
        <v>0</v>
      </c>
      <c r="J415" s="2">
        <f>IF(payments_raw[[#This Row],[amount]] &lt;= 0, 1, 0)</f>
        <v>0</v>
      </c>
      <c r="K4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6" spans="1:11" x14ac:dyDescent="0.3">
      <c r="A416">
        <v>42923144</v>
      </c>
      <c r="B416">
        <v>6916088</v>
      </c>
      <c r="C416" s="1">
        <v>45293</v>
      </c>
      <c r="D416">
        <v>299</v>
      </c>
      <c r="E416">
        <f>IF(
  ISNA(
    _xlfn.XLOOKUP(
      payments_raw[[#This Row],[subscription_id]],
      subscriptions[subscription_id],
      subscriptions[subscription_id]
    )
  ),
  0,
  1
)</f>
        <v>1</v>
      </c>
      <c r="F416" s="1">
        <f>_xlfn.XLOOKUP(payments_raw[[#This Row],[subscription_id]], subscriptions[subscription_id], subscriptions[start_date])</f>
        <v>45178</v>
      </c>
      <c r="G4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45473</v>
      </c>
      <c r="H416" s="2">
        <f>IF(payments_raw[[#This Row],[payment_date]] &lt; payments_raw[[#This Row],[sub_start_date]], 1, 0)</f>
        <v>0</v>
      </c>
      <c r="I416" s="2">
        <f>IF(AND(payments_raw[[#This Row],[sub_end_date]]&lt;&gt;"", payments_raw[[#This Row],[payment_date]] &gt; payments_raw[[#This Row],[sub_end_date]]), 1, 0)</f>
        <v>0</v>
      </c>
      <c r="J416" s="2">
        <f>IF(payments_raw[[#This Row],[amount]] &lt;= 0, 1, 0)</f>
        <v>0</v>
      </c>
      <c r="K4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7" spans="1:11" x14ac:dyDescent="0.3">
      <c r="A417">
        <v>68233497</v>
      </c>
      <c r="B417">
        <v>8827002</v>
      </c>
      <c r="C417" s="1">
        <v>45557</v>
      </c>
      <c r="D417">
        <v>149</v>
      </c>
      <c r="E417">
        <f>IF(
  ISNA(
    _xlfn.XLOOKUP(
      payments_raw[[#This Row],[subscription_id]],
      subscriptions[subscription_id],
      subscriptions[subscription_id]
    )
  ),
  0,
  1
)</f>
        <v>1</v>
      </c>
      <c r="F417" s="1">
        <f>_xlfn.XLOOKUP(payments_raw[[#This Row],[subscription_id]], subscriptions[subscription_id], subscriptions[start_date])</f>
        <v>45434</v>
      </c>
      <c r="G4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7" s="2">
        <f>IF(payments_raw[[#This Row],[payment_date]] &lt; payments_raw[[#This Row],[sub_start_date]], 1, 0)</f>
        <v>0</v>
      </c>
      <c r="I417" s="2">
        <f>IF(AND(payments_raw[[#This Row],[sub_end_date]]&lt;&gt;"", payments_raw[[#This Row],[payment_date]] &gt; payments_raw[[#This Row],[sub_end_date]]), 1, 0)</f>
        <v>0</v>
      </c>
      <c r="J417" s="2">
        <f>IF(payments_raw[[#This Row],[amount]] &lt;= 0, 1, 0)</f>
        <v>0</v>
      </c>
      <c r="K4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8" spans="1:11" x14ac:dyDescent="0.3">
      <c r="A418">
        <v>78294681</v>
      </c>
      <c r="B418">
        <v>9901791</v>
      </c>
      <c r="C418" s="1">
        <v>44672</v>
      </c>
      <c r="D418">
        <v>299</v>
      </c>
      <c r="E418">
        <f>IF(
  ISNA(
    _xlfn.XLOOKUP(
      payments_raw[[#This Row],[subscription_id]],
      subscriptions[subscription_id],
      subscriptions[subscription_id]
    )
  ),
  0,
  1
)</f>
        <v>1</v>
      </c>
      <c r="F418" s="1">
        <f>_xlfn.XLOOKUP(payments_raw[[#This Row],[subscription_id]], subscriptions[subscription_id], subscriptions[start_date])</f>
        <v>44634</v>
      </c>
      <c r="G4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44697</v>
      </c>
      <c r="H418" s="2">
        <f>IF(payments_raw[[#This Row],[payment_date]] &lt; payments_raw[[#This Row],[sub_start_date]], 1, 0)</f>
        <v>0</v>
      </c>
      <c r="I418" s="2">
        <f>IF(AND(payments_raw[[#This Row],[sub_end_date]]&lt;&gt;"", payments_raw[[#This Row],[payment_date]] &gt; payments_raw[[#This Row],[sub_end_date]]), 1, 0)</f>
        <v>0</v>
      </c>
      <c r="J418" s="2">
        <f>IF(payments_raw[[#This Row],[amount]] &lt;= 0, 1, 0)</f>
        <v>0</v>
      </c>
      <c r="K4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19" spans="1:11" x14ac:dyDescent="0.3">
      <c r="A419">
        <v>64319134</v>
      </c>
      <c r="B419">
        <v>5876441</v>
      </c>
      <c r="C419" s="1">
        <v>45081</v>
      </c>
      <c r="D419">
        <v>19</v>
      </c>
      <c r="E419">
        <f>IF(
  ISNA(
    _xlfn.XLOOKUP(
      payments_raw[[#This Row],[subscription_id]],
      subscriptions[subscription_id],
      subscriptions[subscription_id]
    )
  ),
  0,
  1
)</f>
        <v>1</v>
      </c>
      <c r="F419" s="1">
        <f>_xlfn.XLOOKUP(payments_raw[[#This Row],[subscription_id]], subscriptions[subscription_id], subscriptions[start_date])</f>
        <v>45029</v>
      </c>
      <c r="G4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19" s="2">
        <f>IF(payments_raw[[#This Row],[payment_date]] &lt; payments_raw[[#This Row],[sub_start_date]], 1, 0)</f>
        <v>0</v>
      </c>
      <c r="I419" s="2">
        <f>IF(AND(payments_raw[[#This Row],[sub_end_date]]&lt;&gt;"", payments_raw[[#This Row],[payment_date]] &gt; payments_raw[[#This Row],[sub_end_date]]), 1, 0)</f>
        <v>0</v>
      </c>
      <c r="J419" s="2">
        <f>IF(payments_raw[[#This Row],[amount]] &lt;= 0, 1, 0)</f>
        <v>0</v>
      </c>
      <c r="K4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0" spans="1:11" x14ac:dyDescent="0.3">
      <c r="A420">
        <v>50311286</v>
      </c>
      <c r="B420">
        <v>6668492</v>
      </c>
      <c r="C420" s="1">
        <v>45133</v>
      </c>
      <c r="D420">
        <v>190</v>
      </c>
      <c r="E420">
        <f>IF(
  ISNA(
    _xlfn.XLOOKUP(
      payments_raw[[#This Row],[subscription_id]],
      subscriptions[subscription_id],
      subscriptions[subscription_id]
    )
  ),
  0,
  1
)</f>
        <v>1</v>
      </c>
      <c r="F420" s="1">
        <f>_xlfn.XLOOKUP(payments_raw[[#This Row],[subscription_id]], subscriptions[subscription_id], subscriptions[start_date])</f>
        <v>44870</v>
      </c>
      <c r="G4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0" s="2">
        <f>IF(payments_raw[[#This Row],[payment_date]] &lt; payments_raw[[#This Row],[sub_start_date]], 1, 0)</f>
        <v>0</v>
      </c>
      <c r="I420" s="2">
        <f>IF(AND(payments_raw[[#This Row],[sub_end_date]]&lt;&gt;"", payments_raw[[#This Row],[payment_date]] &gt; payments_raw[[#This Row],[sub_end_date]]), 1, 0)</f>
        <v>0</v>
      </c>
      <c r="J420" s="2">
        <f>IF(payments_raw[[#This Row],[amount]] &lt;= 0, 1, 0)</f>
        <v>0</v>
      </c>
      <c r="K4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1" spans="1:11" x14ac:dyDescent="0.3">
      <c r="A421">
        <v>29860461</v>
      </c>
      <c r="B421">
        <v>1768056</v>
      </c>
      <c r="C421" s="1">
        <v>44734</v>
      </c>
      <c r="D421">
        <v>149</v>
      </c>
      <c r="E421">
        <f>IF(
  ISNA(
    _xlfn.XLOOKUP(
      payments_raw[[#This Row],[subscription_id]],
      subscriptions[subscription_id],
      subscriptions[subscription_id]
    )
  ),
  0,
  1
)</f>
        <v>1</v>
      </c>
      <c r="F421" s="1">
        <f>_xlfn.XLOOKUP(payments_raw[[#This Row],[subscription_id]], subscriptions[subscription_id], subscriptions[start_date])</f>
        <v>44592</v>
      </c>
      <c r="G4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44749</v>
      </c>
      <c r="H421" s="2">
        <f>IF(payments_raw[[#This Row],[payment_date]] &lt; payments_raw[[#This Row],[sub_start_date]], 1, 0)</f>
        <v>0</v>
      </c>
      <c r="I421" s="2">
        <f>IF(AND(payments_raw[[#This Row],[sub_end_date]]&lt;&gt;"", payments_raw[[#This Row],[payment_date]] &gt; payments_raw[[#This Row],[sub_end_date]]), 1, 0)</f>
        <v>0</v>
      </c>
      <c r="J421" s="2">
        <f>IF(payments_raw[[#This Row],[amount]] &lt;= 0, 1, 0)</f>
        <v>0</v>
      </c>
      <c r="K4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2" spans="1:11" x14ac:dyDescent="0.3">
      <c r="A422">
        <v>39387314</v>
      </c>
      <c r="B422">
        <v>5307726</v>
      </c>
      <c r="C422" s="1">
        <v>45142</v>
      </c>
      <c r="D422">
        <v>790</v>
      </c>
      <c r="E422">
        <f>IF(
  ISNA(
    _xlfn.XLOOKUP(
      payments_raw[[#This Row],[subscription_id]],
      subscriptions[subscription_id],
      subscriptions[subscription_id]
    )
  ),
  0,
  1
)</f>
        <v>1</v>
      </c>
      <c r="F422" s="1">
        <f>_xlfn.XLOOKUP(payments_raw[[#This Row],[subscription_id]], subscriptions[subscription_id], subscriptions[start_date])</f>
        <v>44633</v>
      </c>
      <c r="G4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2" s="2">
        <f>IF(payments_raw[[#This Row],[payment_date]] &lt; payments_raw[[#This Row],[sub_start_date]], 1, 0)</f>
        <v>0</v>
      </c>
      <c r="I422" s="2">
        <f>IF(AND(payments_raw[[#This Row],[sub_end_date]]&lt;&gt;"", payments_raw[[#This Row],[payment_date]] &gt; payments_raw[[#This Row],[sub_end_date]]), 1, 0)</f>
        <v>0</v>
      </c>
      <c r="J422" s="2">
        <f>IF(payments_raw[[#This Row],[amount]] &lt;= 0, 1, 0)</f>
        <v>0</v>
      </c>
      <c r="K4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3" spans="1:11" x14ac:dyDescent="0.3">
      <c r="A423">
        <v>30569974</v>
      </c>
      <c r="B423">
        <v>4205892</v>
      </c>
      <c r="C423" s="1">
        <v>44933</v>
      </c>
      <c r="D423">
        <v>149</v>
      </c>
      <c r="E423">
        <f>IF(
  ISNA(
    _xlfn.XLOOKUP(
      payments_raw[[#This Row],[subscription_id]],
      subscriptions[subscription_id],
      subscriptions[subscription_id]
    )
  ),
  0,
  1
)</f>
        <v>1</v>
      </c>
      <c r="F423" s="1">
        <f>_xlfn.XLOOKUP(payments_raw[[#This Row],[subscription_id]], subscriptions[subscription_id], subscriptions[start_date])</f>
        <v>44833</v>
      </c>
      <c r="G4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3" s="2">
        <f>IF(payments_raw[[#This Row],[payment_date]] &lt; payments_raw[[#This Row],[sub_start_date]], 1, 0)</f>
        <v>0</v>
      </c>
      <c r="I423" s="2">
        <f>IF(AND(payments_raw[[#This Row],[sub_end_date]]&lt;&gt;"", payments_raw[[#This Row],[payment_date]] &gt; payments_raw[[#This Row],[sub_end_date]]), 1, 0)</f>
        <v>0</v>
      </c>
      <c r="J423" s="2">
        <f>IF(payments_raw[[#This Row],[amount]] &lt;= 0, 1, 0)</f>
        <v>0</v>
      </c>
      <c r="K4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4" spans="1:11" x14ac:dyDescent="0.3">
      <c r="A424">
        <v>77893186</v>
      </c>
      <c r="B424">
        <v>6012276</v>
      </c>
      <c r="C424" s="1">
        <v>44767</v>
      </c>
      <c r="D424">
        <v>299</v>
      </c>
      <c r="E424">
        <f>IF(
  ISNA(
    _xlfn.XLOOKUP(
      payments_raw[[#This Row],[subscription_id]],
      subscriptions[subscription_id],
      subscriptions[subscription_id]
    )
  ),
  0,
  1
)</f>
        <v>1</v>
      </c>
      <c r="F424" s="1">
        <f>_xlfn.XLOOKUP(payments_raw[[#This Row],[subscription_id]], subscriptions[subscription_id], subscriptions[start_date])</f>
        <v>44582</v>
      </c>
      <c r="G42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44949</v>
      </c>
      <c r="H424" s="2">
        <f>IF(payments_raw[[#This Row],[payment_date]] &lt; payments_raw[[#This Row],[sub_start_date]], 1, 0)</f>
        <v>0</v>
      </c>
      <c r="I424" s="2">
        <f>IF(AND(payments_raw[[#This Row],[sub_end_date]]&lt;&gt;"", payments_raw[[#This Row],[payment_date]] &gt; payments_raw[[#This Row],[sub_end_date]]), 1, 0)</f>
        <v>0</v>
      </c>
      <c r="J424" s="2">
        <f>IF(payments_raw[[#This Row],[amount]] &lt;= 0, 1, 0)</f>
        <v>0</v>
      </c>
      <c r="K4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5" spans="1:11" x14ac:dyDescent="0.3">
      <c r="A425">
        <v>63667053</v>
      </c>
      <c r="B425">
        <v>2672723</v>
      </c>
      <c r="C425" s="1">
        <v>45578</v>
      </c>
      <c r="D425">
        <v>2990</v>
      </c>
      <c r="E425">
        <f>IF(
  ISNA(
    _xlfn.XLOOKUP(
      payments_raw[[#This Row],[subscription_id]],
      subscriptions[subscription_id],
      subscriptions[subscription_id]
    )
  ),
  0,
  1
)</f>
        <v>1</v>
      </c>
      <c r="F425" s="1">
        <f>_xlfn.XLOOKUP(payments_raw[[#This Row],[subscription_id]], subscriptions[subscription_id], subscriptions[start_date])</f>
        <v>45471</v>
      </c>
      <c r="G4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5" s="2">
        <f>IF(payments_raw[[#This Row],[payment_date]] &lt; payments_raw[[#This Row],[sub_start_date]], 1, 0)</f>
        <v>0</v>
      </c>
      <c r="I425" s="2">
        <f>IF(AND(payments_raw[[#This Row],[sub_end_date]]&lt;&gt;"", payments_raw[[#This Row],[payment_date]] &gt; payments_raw[[#This Row],[sub_end_date]]), 1, 0)</f>
        <v>0</v>
      </c>
      <c r="J425" s="2">
        <f>IF(payments_raw[[#This Row],[amount]] &lt;= 0, 1, 0)</f>
        <v>0</v>
      </c>
      <c r="K4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6" spans="1:11" x14ac:dyDescent="0.3">
      <c r="A426">
        <v>50142446</v>
      </c>
      <c r="B426">
        <v>2204993</v>
      </c>
      <c r="C426" s="1">
        <v>45224</v>
      </c>
      <c r="D426">
        <v>19</v>
      </c>
      <c r="E426">
        <f>IF(
  ISNA(
    _xlfn.XLOOKUP(
      payments_raw[[#This Row],[subscription_id]],
      subscriptions[subscription_id],
      subscriptions[subscription_id]
    )
  ),
  0,
  1
)</f>
        <v>1</v>
      </c>
      <c r="F426" s="1">
        <f>_xlfn.XLOOKUP(payments_raw[[#This Row],[subscription_id]], subscriptions[subscription_id], subscriptions[start_date])</f>
        <v>45141</v>
      </c>
      <c r="G4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6" s="2">
        <f>IF(payments_raw[[#This Row],[payment_date]] &lt; payments_raw[[#This Row],[sub_start_date]], 1, 0)</f>
        <v>0</v>
      </c>
      <c r="I426" s="2">
        <f>IF(AND(payments_raw[[#This Row],[sub_end_date]]&lt;&gt;"", payments_raw[[#This Row],[payment_date]] &gt; payments_raw[[#This Row],[sub_end_date]]), 1, 0)</f>
        <v>0</v>
      </c>
      <c r="J426" s="2">
        <f>IF(payments_raw[[#This Row],[amount]] &lt;= 0, 1, 0)</f>
        <v>0</v>
      </c>
      <c r="K4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7" spans="1:11" x14ac:dyDescent="0.3">
      <c r="A427">
        <v>93625448</v>
      </c>
      <c r="B427">
        <v>9379307</v>
      </c>
      <c r="C427" s="1">
        <v>45456</v>
      </c>
      <c r="D427">
        <v>79</v>
      </c>
      <c r="E427">
        <f>IF(
  ISNA(
    _xlfn.XLOOKUP(
      payments_raw[[#This Row],[subscription_id]],
      subscriptions[subscription_id],
      subscriptions[subscription_id]
    )
  ),
  0,
  1
)</f>
        <v>1</v>
      </c>
      <c r="F427" s="1">
        <f>_xlfn.XLOOKUP(payments_raw[[#This Row],[subscription_id]], subscriptions[subscription_id], subscriptions[start_date])</f>
        <v>45210</v>
      </c>
      <c r="G4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27" s="2">
        <f>IF(payments_raw[[#This Row],[payment_date]] &lt; payments_raw[[#This Row],[sub_start_date]], 1, 0)</f>
        <v>0</v>
      </c>
      <c r="I427" s="2">
        <f>IF(AND(payments_raw[[#This Row],[sub_end_date]]&lt;&gt;"", payments_raw[[#This Row],[payment_date]] &gt; payments_raw[[#This Row],[sub_end_date]]), 1, 0)</f>
        <v>0</v>
      </c>
      <c r="J427" s="2">
        <f>IF(payments_raw[[#This Row],[amount]] &lt;= 0, 1, 0)</f>
        <v>0</v>
      </c>
      <c r="K4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8" spans="1:11" x14ac:dyDescent="0.3">
      <c r="A428">
        <v>98970561</v>
      </c>
      <c r="B428">
        <v>5519776</v>
      </c>
      <c r="C428" s="1">
        <v>44989</v>
      </c>
      <c r="D428">
        <v>190</v>
      </c>
      <c r="E428">
        <f>IF(
  ISNA(
    _xlfn.XLOOKUP(
      payments_raw[[#This Row],[subscription_id]],
      subscriptions[subscription_id],
      subscriptions[subscription_id]
    )
  ),
  0,
  1
)</f>
        <v>1</v>
      </c>
      <c r="F428" s="1">
        <f>_xlfn.XLOOKUP(payments_raw[[#This Row],[subscription_id]], subscriptions[subscription_id], subscriptions[start_date])</f>
        <v>44956</v>
      </c>
      <c r="G4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45274</v>
      </c>
      <c r="H428" s="2">
        <f>IF(payments_raw[[#This Row],[payment_date]] &lt; payments_raw[[#This Row],[sub_start_date]], 1, 0)</f>
        <v>0</v>
      </c>
      <c r="I428" s="2">
        <f>IF(AND(payments_raw[[#This Row],[sub_end_date]]&lt;&gt;"", payments_raw[[#This Row],[payment_date]] &gt; payments_raw[[#This Row],[sub_end_date]]), 1, 0)</f>
        <v>0</v>
      </c>
      <c r="J428" s="2">
        <f>IF(payments_raw[[#This Row],[amount]] &lt;= 0, 1, 0)</f>
        <v>0</v>
      </c>
      <c r="K4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29" spans="1:11" x14ac:dyDescent="0.3">
      <c r="A429">
        <v>17637396</v>
      </c>
      <c r="B429">
        <v>3012269</v>
      </c>
      <c r="C429" s="1">
        <v>45583</v>
      </c>
      <c r="D429">
        <v>19</v>
      </c>
      <c r="E429">
        <f>IF(
  ISNA(
    _xlfn.XLOOKUP(
      payments_raw[[#This Row],[subscription_id]],
      subscriptions[subscription_id],
      subscriptions[subscription_id]
    )
  ),
  0,
  1
)</f>
        <v>1</v>
      </c>
      <c r="F429" s="1">
        <f>_xlfn.XLOOKUP(payments_raw[[#This Row],[subscription_id]], subscriptions[subscription_id], subscriptions[start_date])</f>
        <v>45472</v>
      </c>
      <c r="G4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45649</v>
      </c>
      <c r="H429" s="2">
        <f>IF(payments_raw[[#This Row],[payment_date]] &lt; payments_raw[[#This Row],[sub_start_date]], 1, 0)</f>
        <v>0</v>
      </c>
      <c r="I429" s="2">
        <f>IF(AND(payments_raw[[#This Row],[sub_end_date]]&lt;&gt;"", payments_raw[[#This Row],[payment_date]] &gt; payments_raw[[#This Row],[sub_end_date]]), 1, 0)</f>
        <v>0</v>
      </c>
      <c r="J429" s="2">
        <f>IF(payments_raw[[#This Row],[amount]] &lt;= 0, 1, 0)</f>
        <v>0</v>
      </c>
      <c r="K4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0" spans="1:11" x14ac:dyDescent="0.3">
      <c r="A430">
        <v>68004568</v>
      </c>
      <c r="B430">
        <v>1351266</v>
      </c>
      <c r="C430" s="1">
        <v>45465</v>
      </c>
      <c r="D430">
        <v>2990</v>
      </c>
      <c r="E430">
        <f>IF(
  ISNA(
    _xlfn.XLOOKUP(
      payments_raw[[#This Row],[subscription_id]],
      subscriptions[subscription_id],
      subscriptions[subscription_id]
    )
  ),
  0,
  1
)</f>
        <v>1</v>
      </c>
      <c r="F430" s="1">
        <f>_xlfn.XLOOKUP(payments_raw[[#This Row],[subscription_id]], subscriptions[subscription_id], subscriptions[start_date])</f>
        <v>45446</v>
      </c>
      <c r="G4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45549</v>
      </c>
      <c r="H430" s="2">
        <f>IF(payments_raw[[#This Row],[payment_date]] &lt; payments_raw[[#This Row],[sub_start_date]], 1, 0)</f>
        <v>0</v>
      </c>
      <c r="I430" s="2">
        <f>IF(AND(payments_raw[[#This Row],[sub_end_date]]&lt;&gt;"", payments_raw[[#This Row],[payment_date]] &gt; payments_raw[[#This Row],[sub_end_date]]), 1, 0)</f>
        <v>0</v>
      </c>
      <c r="J430" s="2">
        <f>IF(payments_raw[[#This Row],[amount]] &lt;= 0, 1, 0)</f>
        <v>0</v>
      </c>
      <c r="K4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1" spans="1:11" x14ac:dyDescent="0.3">
      <c r="A431">
        <v>14106460</v>
      </c>
      <c r="B431">
        <v>5273985</v>
      </c>
      <c r="C431" s="1">
        <v>45317</v>
      </c>
      <c r="D431">
        <v>19</v>
      </c>
      <c r="E431">
        <f>IF(
  ISNA(
    _xlfn.XLOOKUP(
      payments_raw[[#This Row],[subscription_id]],
      subscriptions[subscription_id],
      subscriptions[subscription_id]
    )
  ),
  0,
  1
)</f>
        <v>1</v>
      </c>
      <c r="F431" s="1">
        <f>_xlfn.XLOOKUP(payments_raw[[#This Row],[subscription_id]], subscriptions[subscription_id], subscriptions[start_date])</f>
        <v>44976</v>
      </c>
      <c r="G4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31" s="2">
        <f>IF(payments_raw[[#This Row],[payment_date]] &lt; payments_raw[[#This Row],[sub_start_date]], 1, 0)</f>
        <v>0</v>
      </c>
      <c r="I431" s="2">
        <f>IF(AND(payments_raw[[#This Row],[sub_end_date]]&lt;&gt;"", payments_raw[[#This Row],[payment_date]] &gt; payments_raw[[#This Row],[sub_end_date]]), 1, 0)</f>
        <v>0</v>
      </c>
      <c r="J431" s="2">
        <f>IF(payments_raw[[#This Row],[amount]] &lt;= 0, 1, 0)</f>
        <v>0</v>
      </c>
      <c r="K4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2" spans="1:11" x14ac:dyDescent="0.3">
      <c r="A432">
        <v>25868079</v>
      </c>
      <c r="B432">
        <v>6227531</v>
      </c>
      <c r="C432" s="1">
        <v>45058</v>
      </c>
      <c r="D432">
        <v>2990</v>
      </c>
      <c r="E432">
        <f>IF(
  ISNA(
    _xlfn.XLOOKUP(
      payments_raw[[#This Row],[subscription_id]],
      subscriptions[subscription_id],
      subscriptions[subscription_id]
    )
  ),
  0,
  1
)</f>
        <v>1</v>
      </c>
      <c r="F432" s="1">
        <f>_xlfn.XLOOKUP(payments_raw[[#This Row],[subscription_id]], subscriptions[subscription_id], subscriptions[start_date])</f>
        <v>44901</v>
      </c>
      <c r="G4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45300</v>
      </c>
      <c r="H432" s="2">
        <f>IF(payments_raw[[#This Row],[payment_date]] &lt; payments_raw[[#This Row],[sub_start_date]], 1, 0)</f>
        <v>0</v>
      </c>
      <c r="I432" s="2">
        <f>IF(AND(payments_raw[[#This Row],[sub_end_date]]&lt;&gt;"", payments_raw[[#This Row],[payment_date]] &gt; payments_raw[[#This Row],[sub_end_date]]), 1, 0)</f>
        <v>0</v>
      </c>
      <c r="J432" s="2">
        <f>IF(payments_raw[[#This Row],[amount]] &lt;= 0, 1, 0)</f>
        <v>0</v>
      </c>
      <c r="K4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3" spans="1:11" x14ac:dyDescent="0.3">
      <c r="A433">
        <v>76016435</v>
      </c>
      <c r="B433">
        <v>2333367</v>
      </c>
      <c r="C433" s="1">
        <v>44769</v>
      </c>
      <c r="D433">
        <v>19</v>
      </c>
      <c r="E433">
        <f>IF(
  ISNA(
    _xlfn.XLOOKUP(
      payments_raw[[#This Row],[subscription_id]],
      subscriptions[subscription_id],
      subscriptions[subscription_id]
    )
  ),
  0,
  1
)</f>
        <v>1</v>
      </c>
      <c r="F433" s="1">
        <f>_xlfn.XLOOKUP(payments_raw[[#This Row],[subscription_id]], subscriptions[subscription_id], subscriptions[start_date])</f>
        <v>44719</v>
      </c>
      <c r="G433" s="1">
        <f>IF(_xlfn.XLOOKUP(payments_raw[[#This Row],[subscription_id]], subscriptions[subscription_id], subscriptions[end_date])=0,"",_xlfn.XLOOKUP(payments_raw[[#This Row],[subscription_id]], subscriptions[subscription_id], subscriptions[end_date]))</f>
        <v>44796</v>
      </c>
      <c r="H433" s="2">
        <f>IF(payments_raw[[#This Row],[payment_date]] &lt; payments_raw[[#This Row],[sub_start_date]], 1, 0)</f>
        <v>0</v>
      </c>
      <c r="I433" s="2">
        <f>IF(AND(payments_raw[[#This Row],[sub_end_date]]&lt;&gt;"", payments_raw[[#This Row],[payment_date]] &gt; payments_raw[[#This Row],[sub_end_date]]), 1, 0)</f>
        <v>0</v>
      </c>
      <c r="J433" s="2">
        <f>IF(payments_raw[[#This Row],[amount]] &lt;= 0, 1, 0)</f>
        <v>0</v>
      </c>
      <c r="K4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4" spans="1:11" x14ac:dyDescent="0.3">
      <c r="A434">
        <v>64400820</v>
      </c>
      <c r="B434">
        <v>5519776</v>
      </c>
      <c r="C434" s="1">
        <v>45176</v>
      </c>
      <c r="D434">
        <v>190</v>
      </c>
      <c r="E434">
        <f>IF(
  ISNA(
    _xlfn.XLOOKUP(
      payments_raw[[#This Row],[subscription_id]],
      subscriptions[subscription_id],
      subscriptions[subscription_id]
    )
  ),
  0,
  1
)</f>
        <v>1</v>
      </c>
      <c r="F434" s="1">
        <f>_xlfn.XLOOKUP(payments_raw[[#This Row],[subscription_id]], subscriptions[subscription_id], subscriptions[start_date])</f>
        <v>44956</v>
      </c>
      <c r="G4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45274</v>
      </c>
      <c r="H434" s="2">
        <f>IF(payments_raw[[#This Row],[payment_date]] &lt; payments_raw[[#This Row],[sub_start_date]], 1, 0)</f>
        <v>0</v>
      </c>
      <c r="I434" s="2">
        <f>IF(AND(payments_raw[[#This Row],[sub_end_date]]&lt;&gt;"", payments_raw[[#This Row],[payment_date]] &gt; payments_raw[[#This Row],[sub_end_date]]), 1, 0)</f>
        <v>0</v>
      </c>
      <c r="J434" s="2">
        <f>IF(payments_raw[[#This Row],[amount]] &lt;= 0, 1, 0)</f>
        <v>0</v>
      </c>
      <c r="K4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5" spans="1:11" x14ac:dyDescent="0.3">
      <c r="A435">
        <v>48449029</v>
      </c>
      <c r="B435">
        <v>7997602</v>
      </c>
      <c r="C435" s="1">
        <v>45218</v>
      </c>
      <c r="D435">
        <v>2990</v>
      </c>
      <c r="E435">
        <f>IF(
  ISNA(
    _xlfn.XLOOKUP(
      payments_raw[[#This Row],[subscription_id]],
      subscriptions[subscription_id],
      subscriptions[subscription_id]
    )
  ),
  0,
  1
)</f>
        <v>1</v>
      </c>
      <c r="F435" s="1">
        <f>_xlfn.XLOOKUP(payments_raw[[#This Row],[subscription_id]], subscriptions[subscription_id], subscriptions[start_date])</f>
        <v>45094</v>
      </c>
      <c r="G4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45399</v>
      </c>
      <c r="H435" s="2">
        <f>IF(payments_raw[[#This Row],[payment_date]] &lt; payments_raw[[#This Row],[sub_start_date]], 1, 0)</f>
        <v>0</v>
      </c>
      <c r="I435" s="2">
        <f>IF(AND(payments_raw[[#This Row],[sub_end_date]]&lt;&gt;"", payments_raw[[#This Row],[payment_date]] &gt; payments_raw[[#This Row],[sub_end_date]]), 1, 0)</f>
        <v>0</v>
      </c>
      <c r="J435" s="2">
        <f>IF(payments_raw[[#This Row],[amount]] &lt;= 0, 1, 0)</f>
        <v>0</v>
      </c>
      <c r="K4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6" spans="1:11" x14ac:dyDescent="0.3">
      <c r="A436">
        <v>32131755</v>
      </c>
      <c r="B436">
        <v>2681206</v>
      </c>
      <c r="C436" s="1">
        <v>45031</v>
      </c>
      <c r="D436">
        <v>19</v>
      </c>
      <c r="E436">
        <f>IF(
  ISNA(
    _xlfn.XLOOKUP(
      payments_raw[[#This Row],[subscription_id]],
      subscriptions[subscription_id],
      subscriptions[subscription_id]
    )
  ),
  0,
  1
)</f>
        <v>1</v>
      </c>
      <c r="F436" s="1">
        <f>_xlfn.XLOOKUP(payments_raw[[#This Row],[subscription_id]], subscriptions[subscription_id], subscriptions[start_date])</f>
        <v>44945</v>
      </c>
      <c r="G4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45131</v>
      </c>
      <c r="H436" s="2">
        <f>IF(payments_raw[[#This Row],[payment_date]] &lt; payments_raw[[#This Row],[sub_start_date]], 1, 0)</f>
        <v>0</v>
      </c>
      <c r="I436" s="2">
        <f>IF(AND(payments_raw[[#This Row],[sub_end_date]]&lt;&gt;"", payments_raw[[#This Row],[payment_date]] &gt; payments_raw[[#This Row],[sub_end_date]]), 1, 0)</f>
        <v>0</v>
      </c>
      <c r="J436" s="2">
        <f>IF(payments_raw[[#This Row],[amount]] &lt;= 0, 1, 0)</f>
        <v>0</v>
      </c>
      <c r="K4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7" spans="1:11" x14ac:dyDescent="0.3">
      <c r="A437">
        <v>53908376</v>
      </c>
      <c r="B437">
        <v>4244232</v>
      </c>
      <c r="C437" s="1">
        <v>45119</v>
      </c>
      <c r="D437">
        <v>790</v>
      </c>
      <c r="E437">
        <f>IF(
  ISNA(
    _xlfn.XLOOKUP(
      payments_raw[[#This Row],[subscription_id]],
      subscriptions[subscription_id],
      subscriptions[subscription_id]
    )
  ),
  0,
  1
)</f>
        <v>1</v>
      </c>
      <c r="F437" s="1">
        <f>_xlfn.XLOOKUP(payments_raw[[#This Row],[subscription_id]], subscriptions[subscription_id], subscriptions[start_date])</f>
        <v>45071</v>
      </c>
      <c r="G4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45137</v>
      </c>
      <c r="H437" s="2">
        <f>IF(payments_raw[[#This Row],[payment_date]] &lt; payments_raw[[#This Row],[sub_start_date]], 1, 0)</f>
        <v>0</v>
      </c>
      <c r="I437" s="2">
        <f>IF(AND(payments_raw[[#This Row],[sub_end_date]]&lt;&gt;"", payments_raw[[#This Row],[payment_date]] &gt; payments_raw[[#This Row],[sub_end_date]]), 1, 0)</f>
        <v>0</v>
      </c>
      <c r="J437" s="2">
        <f>IF(payments_raw[[#This Row],[amount]] &lt;= 0, 1, 0)</f>
        <v>0</v>
      </c>
      <c r="K4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8" spans="1:11" x14ac:dyDescent="0.3">
      <c r="A438">
        <v>23510334</v>
      </c>
      <c r="B438">
        <v>8917395</v>
      </c>
      <c r="C438" s="1">
        <v>44753</v>
      </c>
      <c r="D438">
        <v>269.10000000000002</v>
      </c>
      <c r="E438">
        <f>IF(
  ISNA(
    _xlfn.XLOOKUP(
      payments_raw[[#This Row],[subscription_id]],
      subscriptions[subscription_id],
      subscriptions[subscription_id]
    )
  ),
  0,
  1
)</f>
        <v>1</v>
      </c>
      <c r="F438" s="1">
        <f>_xlfn.XLOOKUP(payments_raw[[#This Row],[subscription_id]], subscriptions[subscription_id], subscriptions[start_date])</f>
        <v>44748</v>
      </c>
      <c r="G43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438" s="2">
        <f>IF(payments_raw[[#This Row],[payment_date]] &lt; payments_raw[[#This Row],[sub_start_date]], 1, 0)</f>
        <v>0</v>
      </c>
      <c r="I438" s="2">
        <f>IF(AND(payments_raw[[#This Row],[sub_end_date]]&lt;&gt;"", payments_raw[[#This Row],[payment_date]] &gt; payments_raw[[#This Row],[sub_end_date]]), 1, 0)</f>
        <v>0</v>
      </c>
      <c r="J438" s="2">
        <f>IF(payments_raw[[#This Row],[amount]] &lt;= 0, 1, 0)</f>
        <v>0</v>
      </c>
      <c r="K4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39" spans="1:11" x14ac:dyDescent="0.3">
      <c r="A439">
        <v>11139490</v>
      </c>
      <c r="B439">
        <v>8216043</v>
      </c>
      <c r="C439" s="1">
        <v>45569</v>
      </c>
      <c r="D439">
        <v>2990</v>
      </c>
      <c r="E439">
        <f>IF(
  ISNA(
    _xlfn.XLOOKUP(
      payments_raw[[#This Row],[subscription_id]],
      subscriptions[subscription_id],
      subscriptions[subscription_id]
    )
  ),
  0,
  1
)</f>
        <v>1</v>
      </c>
      <c r="F439" s="1">
        <f>_xlfn.XLOOKUP(payments_raw[[#This Row],[subscription_id]], subscriptions[subscription_id], subscriptions[start_date])</f>
        <v>45531</v>
      </c>
      <c r="G4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39" s="2">
        <f>IF(payments_raw[[#This Row],[payment_date]] &lt; payments_raw[[#This Row],[sub_start_date]], 1, 0)</f>
        <v>0</v>
      </c>
      <c r="I439" s="2">
        <f>IF(AND(payments_raw[[#This Row],[sub_end_date]]&lt;&gt;"", payments_raw[[#This Row],[payment_date]] &gt; payments_raw[[#This Row],[sub_end_date]]), 1, 0)</f>
        <v>0</v>
      </c>
      <c r="J439" s="2">
        <f>IF(payments_raw[[#This Row],[amount]] &lt;= 0, 1, 0)</f>
        <v>0</v>
      </c>
      <c r="K4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0" spans="1:11" x14ac:dyDescent="0.3">
      <c r="A440">
        <v>76122158</v>
      </c>
      <c r="B440">
        <v>6461406</v>
      </c>
      <c r="C440" s="1">
        <v>45494</v>
      </c>
      <c r="D440">
        <v>2990</v>
      </c>
      <c r="E440">
        <f>IF(
  ISNA(
    _xlfn.XLOOKUP(
      payments_raw[[#This Row],[subscription_id]],
      subscriptions[subscription_id],
      subscriptions[subscription_id]
    )
  ),
  0,
  1
)</f>
        <v>1</v>
      </c>
      <c r="F440" s="1">
        <f>_xlfn.XLOOKUP(payments_raw[[#This Row],[subscription_id]], subscriptions[subscription_id], subscriptions[start_date])</f>
        <v>45471</v>
      </c>
      <c r="G4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0" s="2">
        <f>IF(payments_raw[[#This Row],[payment_date]] &lt; payments_raw[[#This Row],[sub_start_date]], 1, 0)</f>
        <v>0</v>
      </c>
      <c r="I440" s="2">
        <f>IF(AND(payments_raw[[#This Row],[sub_end_date]]&lt;&gt;"", payments_raw[[#This Row],[payment_date]] &gt; payments_raw[[#This Row],[sub_end_date]]), 1, 0)</f>
        <v>0</v>
      </c>
      <c r="J440" s="2">
        <f>IF(payments_raw[[#This Row],[amount]] &lt;= 0, 1, 0)</f>
        <v>0</v>
      </c>
      <c r="K4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1" spans="1:11" x14ac:dyDescent="0.3">
      <c r="A441">
        <v>96969029</v>
      </c>
      <c r="B441">
        <v>5519127</v>
      </c>
      <c r="C441" s="1">
        <v>45459</v>
      </c>
      <c r="D441">
        <v>390</v>
      </c>
      <c r="E441">
        <f>IF(
  ISNA(
    _xlfn.XLOOKUP(
      payments_raw[[#This Row],[subscription_id]],
      subscriptions[subscription_id],
      subscriptions[subscription_id]
    )
  ),
  0,
  1
)</f>
        <v>1</v>
      </c>
      <c r="F441" s="1">
        <f>_xlfn.XLOOKUP(payments_raw[[#This Row],[subscription_id]], subscriptions[subscription_id], subscriptions[start_date])</f>
        <v>45382</v>
      </c>
      <c r="G4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1" s="2">
        <f>IF(payments_raw[[#This Row],[payment_date]] &lt; payments_raw[[#This Row],[sub_start_date]], 1, 0)</f>
        <v>0</v>
      </c>
      <c r="I441" s="2">
        <f>IF(AND(payments_raw[[#This Row],[sub_end_date]]&lt;&gt;"", payments_raw[[#This Row],[payment_date]] &gt; payments_raw[[#This Row],[sub_end_date]]), 1, 0)</f>
        <v>0</v>
      </c>
      <c r="J441" s="2">
        <f>IF(payments_raw[[#This Row],[amount]] &lt;= 0, 1, 0)</f>
        <v>0</v>
      </c>
      <c r="K4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2" spans="1:11" x14ac:dyDescent="0.3">
      <c r="A442">
        <v>10280147</v>
      </c>
      <c r="B442">
        <v>8503322</v>
      </c>
      <c r="C442" s="1">
        <v>45446</v>
      </c>
      <c r="D442">
        <v>19</v>
      </c>
      <c r="E442">
        <f>IF(
  ISNA(
    _xlfn.XLOOKUP(
      payments_raw[[#This Row],[subscription_id]],
      subscriptions[subscription_id],
      subscriptions[subscription_id]
    )
  ),
  0,
  1
)</f>
        <v>1</v>
      </c>
      <c r="F442" s="1">
        <f>_xlfn.XLOOKUP(payments_raw[[#This Row],[subscription_id]], subscriptions[subscription_id], subscriptions[start_date])</f>
        <v>45205</v>
      </c>
      <c r="G4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2" s="2">
        <f>IF(payments_raw[[#This Row],[payment_date]] &lt; payments_raw[[#This Row],[sub_start_date]], 1, 0)</f>
        <v>0</v>
      </c>
      <c r="I442" s="2">
        <f>IF(AND(payments_raw[[#This Row],[sub_end_date]]&lt;&gt;"", payments_raw[[#This Row],[payment_date]] &gt; payments_raw[[#This Row],[sub_end_date]]), 1, 0)</f>
        <v>0</v>
      </c>
      <c r="J442" s="2">
        <f>IF(payments_raw[[#This Row],[amount]] &lt;= 0, 1, 0)</f>
        <v>0</v>
      </c>
      <c r="K4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3" spans="1:11" x14ac:dyDescent="0.3">
      <c r="A443">
        <v>27915825</v>
      </c>
      <c r="B443">
        <v>5832995</v>
      </c>
      <c r="C443" s="1">
        <v>45013</v>
      </c>
      <c r="D443">
        <v>39</v>
      </c>
      <c r="E443">
        <f>IF(
  ISNA(
    _xlfn.XLOOKUP(
      payments_raw[[#This Row],[subscription_id]],
      subscriptions[subscription_id],
      subscriptions[subscription_id]
    )
  ),
  0,
  1
)</f>
        <v>1</v>
      </c>
      <c r="F443" s="1">
        <f>_xlfn.XLOOKUP(payments_raw[[#This Row],[subscription_id]], subscriptions[subscription_id], subscriptions[start_date])</f>
        <v>44715</v>
      </c>
      <c r="G4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3" s="2">
        <f>IF(payments_raw[[#This Row],[payment_date]] &lt; payments_raw[[#This Row],[sub_start_date]], 1, 0)</f>
        <v>0</v>
      </c>
      <c r="I443" s="2">
        <f>IF(AND(payments_raw[[#This Row],[sub_end_date]]&lt;&gt;"", payments_raw[[#This Row],[payment_date]] &gt; payments_raw[[#This Row],[sub_end_date]]), 1, 0)</f>
        <v>0</v>
      </c>
      <c r="J443" s="2">
        <f>IF(payments_raw[[#This Row],[amount]] &lt;= 0, 1, 0)</f>
        <v>0</v>
      </c>
      <c r="K4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4" spans="1:11" x14ac:dyDescent="0.3">
      <c r="A444">
        <v>59226631</v>
      </c>
      <c r="B444">
        <v>8279693</v>
      </c>
      <c r="C444" s="1">
        <v>45498</v>
      </c>
      <c r="D444">
        <v>2990</v>
      </c>
      <c r="E444">
        <f>IF(
  ISNA(
    _xlfn.XLOOKUP(
      payments_raw[[#This Row],[subscription_id]],
      subscriptions[subscription_id],
      subscriptions[subscription_id]
    )
  ),
  0,
  1
)</f>
        <v>1</v>
      </c>
      <c r="F444" s="1">
        <f>_xlfn.XLOOKUP(payments_raw[[#This Row],[subscription_id]], subscriptions[subscription_id], subscriptions[start_date])</f>
        <v>45316</v>
      </c>
      <c r="G4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4" s="2">
        <f>IF(payments_raw[[#This Row],[payment_date]] &lt; payments_raw[[#This Row],[sub_start_date]], 1, 0)</f>
        <v>0</v>
      </c>
      <c r="I444" s="2">
        <f>IF(AND(payments_raw[[#This Row],[sub_end_date]]&lt;&gt;"", payments_raw[[#This Row],[payment_date]] &gt; payments_raw[[#This Row],[sub_end_date]]), 1, 0)</f>
        <v>0</v>
      </c>
      <c r="J444" s="2">
        <f>IF(payments_raw[[#This Row],[amount]] &lt;= 0, 1, 0)</f>
        <v>0</v>
      </c>
      <c r="K4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5" spans="1:11" x14ac:dyDescent="0.3">
      <c r="A445">
        <v>21746761</v>
      </c>
      <c r="B445">
        <v>3797952</v>
      </c>
      <c r="C445" s="1">
        <v>44850</v>
      </c>
      <c r="D445">
        <v>1490</v>
      </c>
      <c r="E445">
        <f>IF(
  ISNA(
    _xlfn.XLOOKUP(
      payments_raw[[#This Row],[subscription_id]],
      subscriptions[subscription_id],
      subscriptions[subscription_id]
    )
  ),
  0,
  1
)</f>
        <v>1</v>
      </c>
      <c r="F445" s="1">
        <f>_xlfn.XLOOKUP(payments_raw[[#This Row],[subscription_id]], subscriptions[subscription_id], subscriptions[start_date])</f>
        <v>44809</v>
      </c>
      <c r="G4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5" s="2">
        <f>IF(payments_raw[[#This Row],[payment_date]] &lt; payments_raw[[#This Row],[sub_start_date]], 1, 0)</f>
        <v>0</v>
      </c>
      <c r="I445" s="2">
        <f>IF(AND(payments_raw[[#This Row],[sub_end_date]]&lt;&gt;"", payments_raw[[#This Row],[payment_date]] &gt; payments_raw[[#This Row],[sub_end_date]]), 1, 0)</f>
        <v>0</v>
      </c>
      <c r="J445" s="2">
        <f>IF(payments_raw[[#This Row],[amount]] &lt;= 0, 1, 0)</f>
        <v>0</v>
      </c>
      <c r="K4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6" spans="1:11" x14ac:dyDescent="0.3">
      <c r="A446">
        <v>51576275</v>
      </c>
      <c r="B446">
        <v>4158231</v>
      </c>
      <c r="C446" s="1">
        <v>45162</v>
      </c>
      <c r="D446">
        <v>269.10000000000002</v>
      </c>
      <c r="E446">
        <f>IF(
  ISNA(
    _xlfn.XLOOKUP(
      payments_raw[[#This Row],[subscription_id]],
      subscriptions[subscription_id],
      subscriptions[subscription_id]
    )
  ),
  0,
  1
)</f>
        <v>1</v>
      </c>
      <c r="F446" s="1">
        <f>_xlfn.XLOOKUP(payments_raw[[#This Row],[subscription_id]], subscriptions[subscription_id], subscriptions[start_date])</f>
        <v>45120</v>
      </c>
      <c r="G4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45240</v>
      </c>
      <c r="H446" s="2">
        <f>IF(payments_raw[[#This Row],[payment_date]] &lt; payments_raw[[#This Row],[sub_start_date]], 1, 0)</f>
        <v>0</v>
      </c>
      <c r="I446" s="2">
        <f>IF(AND(payments_raw[[#This Row],[sub_end_date]]&lt;&gt;"", payments_raw[[#This Row],[payment_date]] &gt; payments_raw[[#This Row],[sub_end_date]]), 1, 0)</f>
        <v>0</v>
      </c>
      <c r="J446" s="2">
        <f>IF(payments_raw[[#This Row],[amount]] &lt;= 0, 1, 0)</f>
        <v>0</v>
      </c>
      <c r="K4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7" spans="1:11" x14ac:dyDescent="0.3">
      <c r="A447">
        <v>21052264</v>
      </c>
      <c r="B447">
        <v>7550021</v>
      </c>
      <c r="C447" s="1">
        <v>44957</v>
      </c>
      <c r="D447">
        <v>190</v>
      </c>
      <c r="E447">
        <f>IF(
  ISNA(
    _xlfn.XLOOKUP(
      payments_raw[[#This Row],[subscription_id]],
      subscriptions[subscription_id],
      subscriptions[subscription_id]
    )
  ),
  0,
  1
)</f>
        <v>1</v>
      </c>
      <c r="F447" s="1">
        <f>_xlfn.XLOOKUP(payments_raw[[#This Row],[subscription_id]], subscriptions[subscription_id], subscriptions[start_date])</f>
        <v>44917</v>
      </c>
      <c r="G4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7" s="2">
        <f>IF(payments_raw[[#This Row],[payment_date]] &lt; payments_raw[[#This Row],[sub_start_date]], 1, 0)</f>
        <v>0</v>
      </c>
      <c r="I447" s="2">
        <f>IF(AND(payments_raw[[#This Row],[sub_end_date]]&lt;&gt;"", payments_raw[[#This Row],[payment_date]] &gt; payments_raw[[#This Row],[sub_end_date]]), 1, 0)</f>
        <v>0</v>
      </c>
      <c r="J447" s="2">
        <f>IF(payments_raw[[#This Row],[amount]] &lt;= 0, 1, 0)</f>
        <v>0</v>
      </c>
      <c r="K4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8" spans="1:11" x14ac:dyDescent="0.3">
      <c r="A448">
        <v>35803109</v>
      </c>
      <c r="B448">
        <v>4808186</v>
      </c>
      <c r="C448" s="1">
        <v>45472</v>
      </c>
      <c r="D448">
        <v>190</v>
      </c>
      <c r="E448">
        <f>IF(
  ISNA(
    _xlfn.XLOOKUP(
      payments_raw[[#This Row],[subscription_id]],
      subscriptions[subscription_id],
      subscriptions[subscription_id]
    )
  ),
  0,
  1
)</f>
        <v>1</v>
      </c>
      <c r="F448" s="1">
        <f>_xlfn.XLOOKUP(payments_raw[[#This Row],[subscription_id]], subscriptions[subscription_id], subscriptions[start_date])</f>
        <v>45385</v>
      </c>
      <c r="G4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48" s="2">
        <f>IF(payments_raw[[#This Row],[payment_date]] &lt; payments_raw[[#This Row],[sub_start_date]], 1, 0)</f>
        <v>0</v>
      </c>
      <c r="I448" s="2">
        <f>IF(AND(payments_raw[[#This Row],[sub_end_date]]&lt;&gt;"", payments_raw[[#This Row],[payment_date]] &gt; payments_raw[[#This Row],[sub_end_date]]), 1, 0)</f>
        <v>0</v>
      </c>
      <c r="J448" s="2">
        <f>IF(payments_raw[[#This Row],[amount]] &lt;= 0, 1, 0)</f>
        <v>0</v>
      </c>
      <c r="K4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49" spans="1:11" x14ac:dyDescent="0.3">
      <c r="A449">
        <v>75815017</v>
      </c>
      <c r="B449">
        <v>1805615</v>
      </c>
      <c r="C449" s="1">
        <v>44973</v>
      </c>
      <c r="D449">
        <v>19</v>
      </c>
      <c r="E449">
        <f>IF(
  ISNA(
    _xlfn.XLOOKUP(
      payments_raw[[#This Row],[subscription_id]],
      subscriptions[subscription_id],
      subscriptions[subscription_id]
    )
  ),
  0,
  1
)</f>
        <v>1</v>
      </c>
      <c r="F449" s="1">
        <f>_xlfn.XLOOKUP(payments_raw[[#This Row],[subscription_id]], subscriptions[subscription_id], subscriptions[start_date])</f>
        <v>44967</v>
      </c>
      <c r="G4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449" s="2">
        <f>IF(payments_raw[[#This Row],[payment_date]] &lt; payments_raw[[#This Row],[sub_start_date]], 1, 0)</f>
        <v>0</v>
      </c>
      <c r="I449" s="2">
        <f>IF(AND(payments_raw[[#This Row],[sub_end_date]]&lt;&gt;"", payments_raw[[#This Row],[payment_date]] &gt; payments_raw[[#This Row],[sub_end_date]]), 1, 0)</f>
        <v>0</v>
      </c>
      <c r="J449" s="2">
        <f>IF(payments_raw[[#This Row],[amount]] &lt;= 0, 1, 0)</f>
        <v>0</v>
      </c>
      <c r="K4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0" spans="1:11" x14ac:dyDescent="0.3">
      <c r="A450">
        <v>49114862</v>
      </c>
      <c r="B450">
        <v>6832167</v>
      </c>
      <c r="C450" s="1">
        <v>45505</v>
      </c>
      <c r="D450">
        <v>390</v>
      </c>
      <c r="E450">
        <f>IF(
  ISNA(
    _xlfn.XLOOKUP(
      payments_raw[[#This Row],[subscription_id]],
      subscriptions[subscription_id],
      subscriptions[subscription_id]
    )
  ),
  0,
  1
)</f>
        <v>1</v>
      </c>
      <c r="F450" s="1">
        <f>_xlfn.XLOOKUP(payments_raw[[#This Row],[subscription_id]], subscriptions[subscription_id], subscriptions[start_date])</f>
        <v>45190</v>
      </c>
      <c r="G4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50" s="2">
        <f>IF(payments_raw[[#This Row],[payment_date]] &lt; payments_raw[[#This Row],[sub_start_date]], 1, 0)</f>
        <v>0</v>
      </c>
      <c r="I450" s="2">
        <f>IF(AND(payments_raw[[#This Row],[sub_end_date]]&lt;&gt;"", payments_raw[[#This Row],[payment_date]] &gt; payments_raw[[#This Row],[sub_end_date]]), 1, 0)</f>
        <v>0</v>
      </c>
      <c r="J450" s="2">
        <f>IF(payments_raw[[#This Row],[amount]] &lt;= 0, 1, 0)</f>
        <v>0</v>
      </c>
      <c r="K4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1" spans="1:11" x14ac:dyDescent="0.3">
      <c r="A451">
        <v>19621170</v>
      </c>
      <c r="B451">
        <v>6309658</v>
      </c>
      <c r="C451" s="1">
        <v>45221</v>
      </c>
      <c r="D451">
        <v>39</v>
      </c>
      <c r="E451">
        <f>IF(
  ISNA(
    _xlfn.XLOOKUP(
      payments_raw[[#This Row],[subscription_id]],
      subscriptions[subscription_id],
      subscriptions[subscription_id]
    )
  ),
  0,
  1
)</f>
        <v>1</v>
      </c>
      <c r="F451" s="1">
        <f>_xlfn.XLOOKUP(payments_raw[[#This Row],[subscription_id]], subscriptions[subscription_id], subscriptions[start_date])</f>
        <v>44908</v>
      </c>
      <c r="G4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45238</v>
      </c>
      <c r="H451" s="2">
        <f>IF(payments_raw[[#This Row],[payment_date]] &lt; payments_raw[[#This Row],[sub_start_date]], 1, 0)</f>
        <v>0</v>
      </c>
      <c r="I451" s="2">
        <f>IF(AND(payments_raw[[#This Row],[sub_end_date]]&lt;&gt;"", payments_raw[[#This Row],[payment_date]] &gt; payments_raw[[#This Row],[sub_end_date]]), 1, 0)</f>
        <v>0</v>
      </c>
      <c r="J451" s="2">
        <f>IF(payments_raw[[#This Row],[amount]] &lt;= 0, 1, 0)</f>
        <v>0</v>
      </c>
      <c r="K4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2" spans="1:11" x14ac:dyDescent="0.3">
      <c r="A452">
        <v>18716437</v>
      </c>
      <c r="B452">
        <v>9705913</v>
      </c>
      <c r="C452" s="1">
        <v>45567</v>
      </c>
      <c r="D452">
        <v>39</v>
      </c>
      <c r="E452">
        <f>IF(
  ISNA(
    _xlfn.XLOOKUP(
      payments_raw[[#This Row],[subscription_id]],
      subscriptions[subscription_id],
      subscriptions[subscription_id]
    )
  ),
  0,
  1
)</f>
        <v>1</v>
      </c>
      <c r="F452" s="1">
        <f>_xlfn.XLOOKUP(payments_raw[[#This Row],[subscription_id]], subscriptions[subscription_id], subscriptions[start_date])</f>
        <v>45094</v>
      </c>
      <c r="G4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52" s="2">
        <f>IF(payments_raw[[#This Row],[payment_date]] &lt; payments_raw[[#This Row],[sub_start_date]], 1, 0)</f>
        <v>0</v>
      </c>
      <c r="I452" s="2">
        <f>IF(AND(payments_raw[[#This Row],[sub_end_date]]&lt;&gt;"", payments_raw[[#This Row],[payment_date]] &gt; payments_raw[[#This Row],[sub_end_date]]), 1, 0)</f>
        <v>0</v>
      </c>
      <c r="J452" s="2">
        <f>IF(payments_raw[[#This Row],[amount]] &lt;= 0, 1, 0)</f>
        <v>0</v>
      </c>
      <c r="K4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3" spans="1:11" x14ac:dyDescent="0.3">
      <c r="A453">
        <v>44894223</v>
      </c>
      <c r="B453">
        <v>2953918</v>
      </c>
      <c r="C453" s="1">
        <v>45326</v>
      </c>
      <c r="D453">
        <v>390</v>
      </c>
      <c r="E453">
        <f>IF(
  ISNA(
    _xlfn.XLOOKUP(
      payments_raw[[#This Row],[subscription_id]],
      subscriptions[subscription_id],
      subscriptions[subscription_id]
    )
  ),
  0,
  1
)</f>
        <v>1</v>
      </c>
      <c r="F453" s="1">
        <f>_xlfn.XLOOKUP(payments_raw[[#This Row],[subscription_id]], subscriptions[subscription_id], subscriptions[start_date])</f>
        <v>45286</v>
      </c>
      <c r="G4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453" s="2">
        <f>IF(payments_raw[[#This Row],[payment_date]] &lt; payments_raw[[#This Row],[sub_start_date]], 1, 0)</f>
        <v>0</v>
      </c>
      <c r="I453" s="2">
        <f>IF(AND(payments_raw[[#This Row],[sub_end_date]]&lt;&gt;"", payments_raw[[#This Row],[payment_date]] &gt; payments_raw[[#This Row],[sub_end_date]]), 1, 0)</f>
        <v>0</v>
      </c>
      <c r="J453" s="2">
        <f>IF(payments_raw[[#This Row],[amount]] &lt;= 0, 1, 0)</f>
        <v>0</v>
      </c>
      <c r="K4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4" spans="1:11" x14ac:dyDescent="0.3">
      <c r="A454">
        <v>79107561</v>
      </c>
      <c r="B454">
        <v>3483052</v>
      </c>
      <c r="C454" s="1">
        <v>45432</v>
      </c>
      <c r="D454">
        <v>2990</v>
      </c>
      <c r="E454">
        <f>IF(
  ISNA(
    _xlfn.XLOOKUP(
      payments_raw[[#This Row],[subscription_id]],
      subscriptions[subscription_id],
      subscriptions[subscription_id]
    )
  ),
  0,
  1
)</f>
        <v>1</v>
      </c>
      <c r="F454" s="1">
        <f>_xlfn.XLOOKUP(payments_raw[[#This Row],[subscription_id]], subscriptions[subscription_id], subscriptions[start_date])</f>
        <v>45408</v>
      </c>
      <c r="G4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454" s="2">
        <f>IF(payments_raw[[#This Row],[payment_date]] &lt; payments_raw[[#This Row],[sub_start_date]], 1, 0)</f>
        <v>0</v>
      </c>
      <c r="I454" s="2">
        <f>IF(AND(payments_raw[[#This Row],[sub_end_date]]&lt;&gt;"", payments_raw[[#This Row],[payment_date]] &gt; payments_raw[[#This Row],[sub_end_date]]), 1, 0)</f>
        <v>0</v>
      </c>
      <c r="J454" s="2">
        <f>IF(payments_raw[[#This Row],[amount]] &lt;= 0, 1, 0)</f>
        <v>0</v>
      </c>
      <c r="K4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5" spans="1:11" x14ac:dyDescent="0.3">
      <c r="A455">
        <v>40036841</v>
      </c>
      <c r="B455">
        <v>4349462</v>
      </c>
      <c r="C455" s="1">
        <v>44924</v>
      </c>
      <c r="D455">
        <v>19</v>
      </c>
      <c r="E455">
        <f>IF(
  ISNA(
    _xlfn.XLOOKUP(
      payments_raw[[#This Row],[subscription_id]],
      subscriptions[subscription_id],
      subscriptions[subscription_id]
    )
  ),
  0,
  1
)</f>
        <v>1</v>
      </c>
      <c r="F455" s="1">
        <f>_xlfn.XLOOKUP(payments_raw[[#This Row],[subscription_id]], subscriptions[subscription_id], subscriptions[start_date])</f>
        <v>44748</v>
      </c>
      <c r="G45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44972</v>
      </c>
      <c r="H455" s="2">
        <f>IF(payments_raw[[#This Row],[payment_date]] &lt; payments_raw[[#This Row],[sub_start_date]], 1, 0)</f>
        <v>0</v>
      </c>
      <c r="I455" s="2">
        <f>IF(AND(payments_raw[[#This Row],[sub_end_date]]&lt;&gt;"", payments_raw[[#This Row],[payment_date]] &gt; payments_raw[[#This Row],[sub_end_date]]), 1, 0)</f>
        <v>0</v>
      </c>
      <c r="J455" s="2">
        <f>IF(payments_raw[[#This Row],[amount]] &lt;= 0, 1, 0)</f>
        <v>0</v>
      </c>
      <c r="K4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6" spans="1:11" x14ac:dyDescent="0.3">
      <c r="A456">
        <v>62800378</v>
      </c>
      <c r="B456">
        <v>4119134</v>
      </c>
      <c r="C456" s="1">
        <v>45467</v>
      </c>
      <c r="D456">
        <v>790</v>
      </c>
      <c r="E456">
        <f>IF(
  ISNA(
    _xlfn.XLOOKUP(
      payments_raw[[#This Row],[subscription_id]],
      subscriptions[subscription_id],
      subscriptions[subscription_id]
    )
  ),
  0,
  1
)</f>
        <v>1</v>
      </c>
      <c r="F456" s="1">
        <f>_xlfn.XLOOKUP(payments_raw[[#This Row],[subscription_id]], subscriptions[subscription_id], subscriptions[start_date])</f>
        <v>45294</v>
      </c>
      <c r="G4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56" s="2">
        <f>IF(payments_raw[[#This Row],[payment_date]] &lt; payments_raw[[#This Row],[sub_start_date]], 1, 0)</f>
        <v>0</v>
      </c>
      <c r="I456" s="2">
        <f>IF(AND(payments_raw[[#This Row],[sub_end_date]]&lt;&gt;"", payments_raw[[#This Row],[payment_date]] &gt; payments_raw[[#This Row],[sub_end_date]]), 1, 0)</f>
        <v>0</v>
      </c>
      <c r="J456" s="2">
        <f>IF(payments_raw[[#This Row],[amount]] &lt;= 0, 1, 0)</f>
        <v>0</v>
      </c>
      <c r="K4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7" spans="1:11" x14ac:dyDescent="0.3">
      <c r="A457">
        <v>73439392</v>
      </c>
      <c r="B457">
        <v>1885043</v>
      </c>
      <c r="C457" s="1">
        <v>45355</v>
      </c>
      <c r="D457">
        <v>149</v>
      </c>
      <c r="E457">
        <f>IF(
  ISNA(
    _xlfn.XLOOKUP(
      payments_raw[[#This Row],[subscription_id]],
      subscriptions[subscription_id],
      subscriptions[subscription_id]
    )
  ),
  0,
  1
)</f>
        <v>1</v>
      </c>
      <c r="F457" s="1">
        <f>_xlfn.XLOOKUP(payments_raw[[#This Row],[subscription_id]], subscriptions[subscription_id], subscriptions[start_date])</f>
        <v>45240</v>
      </c>
      <c r="G4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457" s="2">
        <f>IF(payments_raw[[#This Row],[payment_date]] &lt; payments_raw[[#This Row],[sub_start_date]], 1, 0)</f>
        <v>0</v>
      </c>
      <c r="I457" s="2">
        <f>IF(AND(payments_raw[[#This Row],[sub_end_date]]&lt;&gt;"", payments_raw[[#This Row],[payment_date]] &gt; payments_raw[[#This Row],[sub_end_date]]), 1, 0)</f>
        <v>0</v>
      </c>
      <c r="J457" s="2">
        <f>IF(payments_raw[[#This Row],[amount]] &lt;= 0, 1, 0)</f>
        <v>0</v>
      </c>
      <c r="K4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8" spans="1:11" x14ac:dyDescent="0.3">
      <c r="A458">
        <v>78300164</v>
      </c>
      <c r="B458">
        <v>2875419</v>
      </c>
      <c r="C458" s="1">
        <v>45221</v>
      </c>
      <c r="D458">
        <v>2990</v>
      </c>
      <c r="E458">
        <f>IF(
  ISNA(
    _xlfn.XLOOKUP(
      payments_raw[[#This Row],[subscription_id]],
      subscriptions[subscription_id],
      subscriptions[subscription_id]
    )
  ),
  0,
  1
)</f>
        <v>1</v>
      </c>
      <c r="F458" s="1">
        <f>_xlfn.XLOOKUP(payments_raw[[#This Row],[subscription_id]], subscriptions[subscription_id], subscriptions[start_date])</f>
        <v>44908</v>
      </c>
      <c r="G4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58" s="2">
        <f>IF(payments_raw[[#This Row],[payment_date]] &lt; payments_raw[[#This Row],[sub_start_date]], 1, 0)</f>
        <v>0</v>
      </c>
      <c r="I458" s="2">
        <f>IF(AND(payments_raw[[#This Row],[sub_end_date]]&lt;&gt;"", payments_raw[[#This Row],[payment_date]] &gt; payments_raw[[#This Row],[sub_end_date]]), 1, 0)</f>
        <v>0</v>
      </c>
      <c r="J458" s="2">
        <f>IF(payments_raw[[#This Row],[amount]] &lt;= 0, 1, 0)</f>
        <v>0</v>
      </c>
      <c r="K4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59" spans="1:11" x14ac:dyDescent="0.3">
      <c r="A459">
        <v>63833929</v>
      </c>
      <c r="B459">
        <v>9532750</v>
      </c>
      <c r="C459" s="1">
        <v>45607</v>
      </c>
      <c r="D459">
        <v>149</v>
      </c>
      <c r="E459">
        <f>IF(
  ISNA(
    _xlfn.XLOOKUP(
      payments_raw[[#This Row],[subscription_id]],
      subscriptions[subscription_id],
      subscriptions[subscription_id]
    )
  ),
  0,
  1
)</f>
        <v>1</v>
      </c>
      <c r="F459" s="1">
        <f>_xlfn.XLOOKUP(payments_raw[[#This Row],[subscription_id]], subscriptions[subscription_id], subscriptions[start_date])</f>
        <v>45393</v>
      </c>
      <c r="G4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59" s="2">
        <f>IF(payments_raw[[#This Row],[payment_date]] &lt; payments_raw[[#This Row],[sub_start_date]], 1, 0)</f>
        <v>0</v>
      </c>
      <c r="I459" s="2">
        <f>IF(AND(payments_raw[[#This Row],[sub_end_date]]&lt;&gt;"", payments_raw[[#This Row],[payment_date]] &gt; payments_raw[[#This Row],[sub_end_date]]), 1, 0)</f>
        <v>0</v>
      </c>
      <c r="J459" s="2">
        <f>IF(payments_raw[[#This Row],[amount]] &lt;= 0, 1, 0)</f>
        <v>0</v>
      </c>
      <c r="K4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0" spans="1:11" x14ac:dyDescent="0.3">
      <c r="A460">
        <v>41557954</v>
      </c>
      <c r="B460">
        <v>9406983</v>
      </c>
      <c r="C460" s="1">
        <v>45611</v>
      </c>
      <c r="D460">
        <v>2990</v>
      </c>
      <c r="E460">
        <f>IF(
  ISNA(
    _xlfn.XLOOKUP(
      payments_raw[[#This Row],[subscription_id]],
      subscriptions[subscription_id],
      subscriptions[subscription_id]
    )
  ),
  0,
  1
)</f>
        <v>1</v>
      </c>
      <c r="F460" s="1">
        <f>_xlfn.XLOOKUP(payments_raw[[#This Row],[subscription_id]], subscriptions[subscription_id], subscriptions[start_date])</f>
        <v>45205</v>
      </c>
      <c r="G4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0" s="2">
        <f>IF(payments_raw[[#This Row],[payment_date]] &lt; payments_raw[[#This Row],[sub_start_date]], 1, 0)</f>
        <v>0</v>
      </c>
      <c r="I460" s="2">
        <f>IF(AND(payments_raw[[#This Row],[sub_end_date]]&lt;&gt;"", payments_raw[[#This Row],[payment_date]] &gt; payments_raw[[#This Row],[sub_end_date]]), 1, 0)</f>
        <v>0</v>
      </c>
      <c r="J460" s="2">
        <f>IF(payments_raw[[#This Row],[amount]] &lt;= 0, 1, 0)</f>
        <v>0</v>
      </c>
      <c r="K4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1" spans="1:11" x14ac:dyDescent="0.3">
      <c r="A461">
        <v>51517045</v>
      </c>
      <c r="B461">
        <v>1885043</v>
      </c>
      <c r="C461" s="1">
        <v>45410</v>
      </c>
      <c r="D461">
        <v>149</v>
      </c>
      <c r="E461">
        <f>IF(
  ISNA(
    _xlfn.XLOOKUP(
      payments_raw[[#This Row],[subscription_id]],
      subscriptions[subscription_id],
      subscriptions[subscription_id]
    )
  ),
  0,
  1
)</f>
        <v>1</v>
      </c>
      <c r="F461" s="1">
        <f>_xlfn.XLOOKUP(payments_raw[[#This Row],[subscription_id]], subscriptions[subscription_id], subscriptions[start_date])</f>
        <v>45240</v>
      </c>
      <c r="G4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461" s="2">
        <f>IF(payments_raw[[#This Row],[payment_date]] &lt; payments_raw[[#This Row],[sub_start_date]], 1, 0)</f>
        <v>0</v>
      </c>
      <c r="I461" s="2">
        <f>IF(AND(payments_raw[[#This Row],[sub_end_date]]&lt;&gt;"", payments_raw[[#This Row],[payment_date]] &gt; payments_raw[[#This Row],[sub_end_date]]), 1, 0)</f>
        <v>0</v>
      </c>
      <c r="J461" s="2">
        <f>IF(payments_raw[[#This Row],[amount]] &lt;= 0, 1, 0)</f>
        <v>0</v>
      </c>
      <c r="K4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2" spans="1:11" x14ac:dyDescent="0.3">
      <c r="A462">
        <v>42303694</v>
      </c>
      <c r="B462">
        <v>3209515</v>
      </c>
      <c r="C462" s="1">
        <v>45396</v>
      </c>
      <c r="D462">
        <v>299</v>
      </c>
      <c r="E462">
        <f>IF(
  ISNA(
    _xlfn.XLOOKUP(
      payments_raw[[#This Row],[subscription_id]],
      subscriptions[subscription_id],
      subscriptions[subscription_id]
    )
  ),
  0,
  1
)</f>
        <v>1</v>
      </c>
      <c r="F462" s="1">
        <f>_xlfn.XLOOKUP(payments_raw[[#This Row],[subscription_id]], subscriptions[subscription_id], subscriptions[start_date])</f>
        <v>45337</v>
      </c>
      <c r="G4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462" s="2">
        <f>IF(payments_raw[[#This Row],[payment_date]] &lt; payments_raw[[#This Row],[sub_start_date]], 1, 0)</f>
        <v>0</v>
      </c>
      <c r="I462" s="2">
        <f>IF(AND(payments_raw[[#This Row],[sub_end_date]]&lt;&gt;"", payments_raw[[#This Row],[payment_date]] &gt; payments_raw[[#This Row],[sub_end_date]]), 1, 0)</f>
        <v>0</v>
      </c>
      <c r="J462" s="2">
        <f>IF(payments_raw[[#This Row],[amount]] &lt;= 0, 1, 0)</f>
        <v>0</v>
      </c>
      <c r="K4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3" spans="1:11" x14ac:dyDescent="0.3">
      <c r="A463">
        <v>30833152</v>
      </c>
      <c r="B463">
        <v>3316596</v>
      </c>
      <c r="C463" s="1">
        <v>45589</v>
      </c>
      <c r="D463">
        <v>17.100000000000001</v>
      </c>
      <c r="E463">
        <f>IF(
  ISNA(
    _xlfn.XLOOKUP(
      payments_raw[[#This Row],[subscription_id]],
      subscriptions[subscription_id],
      subscriptions[subscription_id]
    )
  ),
  0,
  1
)</f>
        <v>1</v>
      </c>
      <c r="F463" s="1">
        <f>_xlfn.XLOOKUP(payments_raw[[#This Row],[subscription_id]], subscriptions[subscription_id], subscriptions[start_date])</f>
        <v>45585</v>
      </c>
      <c r="G4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3" s="2">
        <f>IF(payments_raw[[#This Row],[payment_date]] &lt; payments_raw[[#This Row],[sub_start_date]], 1, 0)</f>
        <v>0</v>
      </c>
      <c r="I463" s="2">
        <f>IF(AND(payments_raw[[#This Row],[sub_end_date]]&lt;&gt;"", payments_raw[[#This Row],[payment_date]] &gt; payments_raw[[#This Row],[sub_end_date]]), 1, 0)</f>
        <v>0</v>
      </c>
      <c r="J463" s="2">
        <f>IF(payments_raw[[#This Row],[amount]] &lt;= 0, 1, 0)</f>
        <v>0</v>
      </c>
      <c r="K4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4" spans="1:11" x14ac:dyDescent="0.3">
      <c r="A464">
        <v>25799861</v>
      </c>
      <c r="B464">
        <v>2670640</v>
      </c>
      <c r="C464" s="1">
        <v>44971</v>
      </c>
      <c r="D464">
        <v>790</v>
      </c>
      <c r="E464">
        <f>IF(
  ISNA(
    _xlfn.XLOOKUP(
      payments_raw[[#This Row],[subscription_id]],
      subscriptions[subscription_id],
      subscriptions[subscription_id]
    )
  ),
  0,
  1
)</f>
        <v>1</v>
      </c>
      <c r="F464" s="1">
        <f>_xlfn.XLOOKUP(payments_raw[[#This Row],[subscription_id]], subscriptions[subscription_id], subscriptions[start_date])</f>
        <v>44820</v>
      </c>
      <c r="G4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4" s="2">
        <f>IF(payments_raw[[#This Row],[payment_date]] &lt; payments_raw[[#This Row],[sub_start_date]], 1, 0)</f>
        <v>0</v>
      </c>
      <c r="I464" s="2">
        <f>IF(AND(payments_raw[[#This Row],[sub_end_date]]&lt;&gt;"", payments_raw[[#This Row],[payment_date]] &gt; payments_raw[[#This Row],[sub_end_date]]), 1, 0)</f>
        <v>0</v>
      </c>
      <c r="J464" s="2">
        <f>IF(payments_raw[[#This Row],[amount]] &lt;= 0, 1, 0)</f>
        <v>0</v>
      </c>
      <c r="K4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5" spans="1:11" x14ac:dyDescent="0.3">
      <c r="A465">
        <v>70253048</v>
      </c>
      <c r="B465">
        <v>7697098</v>
      </c>
      <c r="C465" s="1">
        <v>45097</v>
      </c>
      <c r="D465">
        <v>190</v>
      </c>
      <c r="E465">
        <f>IF(
  ISNA(
    _xlfn.XLOOKUP(
      payments_raw[[#This Row],[subscription_id]],
      subscriptions[subscription_id],
      subscriptions[subscription_id]
    )
  ),
  0,
  1
)</f>
        <v>1</v>
      </c>
      <c r="F465" s="1">
        <f>_xlfn.XLOOKUP(payments_raw[[#This Row],[subscription_id]], subscriptions[subscription_id], subscriptions[start_date])</f>
        <v>44968</v>
      </c>
      <c r="G4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5" s="2">
        <f>IF(payments_raw[[#This Row],[payment_date]] &lt; payments_raw[[#This Row],[sub_start_date]], 1, 0)</f>
        <v>0</v>
      </c>
      <c r="I465" s="2">
        <f>IF(AND(payments_raw[[#This Row],[sub_end_date]]&lt;&gt;"", payments_raw[[#This Row],[payment_date]] &gt; payments_raw[[#This Row],[sub_end_date]]), 1, 0)</f>
        <v>0</v>
      </c>
      <c r="J465" s="2">
        <f>IF(payments_raw[[#This Row],[amount]] &lt;= 0, 1, 0)</f>
        <v>0</v>
      </c>
      <c r="K4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6" spans="1:11" x14ac:dyDescent="0.3">
      <c r="A466">
        <v>19857239</v>
      </c>
      <c r="B466">
        <v>2410072</v>
      </c>
      <c r="C466" s="1">
        <v>45044</v>
      </c>
      <c r="D466">
        <v>19</v>
      </c>
      <c r="E466">
        <f>IF(
  ISNA(
    _xlfn.XLOOKUP(
      payments_raw[[#This Row],[subscription_id]],
      subscriptions[subscription_id],
      subscriptions[subscription_id]
    )
  ),
  0,
  1
)</f>
        <v>1</v>
      </c>
      <c r="F466" s="1">
        <f>_xlfn.XLOOKUP(payments_raw[[#This Row],[subscription_id]], subscriptions[subscription_id], subscriptions[start_date])</f>
        <v>44755</v>
      </c>
      <c r="G4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6" s="2">
        <f>IF(payments_raw[[#This Row],[payment_date]] &lt; payments_raw[[#This Row],[sub_start_date]], 1, 0)</f>
        <v>0</v>
      </c>
      <c r="I466" s="2">
        <f>IF(AND(payments_raw[[#This Row],[sub_end_date]]&lt;&gt;"", payments_raw[[#This Row],[payment_date]] &gt; payments_raw[[#This Row],[sub_end_date]]), 1, 0)</f>
        <v>0</v>
      </c>
      <c r="J466" s="2">
        <f>IF(payments_raw[[#This Row],[amount]] &lt;= 0, 1, 0)</f>
        <v>0</v>
      </c>
      <c r="K4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7" spans="1:11" x14ac:dyDescent="0.3">
      <c r="A467">
        <v>52943014</v>
      </c>
      <c r="B467">
        <v>7210098</v>
      </c>
      <c r="C467" s="1">
        <v>45220</v>
      </c>
      <c r="D467">
        <v>149</v>
      </c>
      <c r="E467">
        <f>IF(
  ISNA(
    _xlfn.XLOOKUP(
      payments_raw[[#This Row],[subscription_id]],
      subscriptions[subscription_id],
      subscriptions[subscription_id]
    )
  ),
  0,
  1
)</f>
        <v>1</v>
      </c>
      <c r="F467" s="1">
        <f>_xlfn.XLOOKUP(payments_raw[[#This Row],[subscription_id]], subscriptions[subscription_id], subscriptions[start_date])</f>
        <v>45072</v>
      </c>
      <c r="G4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45316</v>
      </c>
      <c r="H467" s="2">
        <f>IF(payments_raw[[#This Row],[payment_date]] &lt; payments_raw[[#This Row],[sub_start_date]], 1, 0)</f>
        <v>0</v>
      </c>
      <c r="I467" s="2">
        <f>IF(AND(payments_raw[[#This Row],[sub_end_date]]&lt;&gt;"", payments_raw[[#This Row],[payment_date]] &gt; payments_raw[[#This Row],[sub_end_date]]), 1, 0)</f>
        <v>0</v>
      </c>
      <c r="J467" s="2">
        <f>IF(payments_raw[[#This Row],[amount]] &lt;= 0, 1, 0)</f>
        <v>0</v>
      </c>
      <c r="K4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8" spans="1:11" x14ac:dyDescent="0.3">
      <c r="A468">
        <v>74638823</v>
      </c>
      <c r="B468">
        <v>1713952</v>
      </c>
      <c r="C468" s="1">
        <v>45614</v>
      </c>
      <c r="D468">
        <v>390</v>
      </c>
      <c r="E468">
        <f>IF(
  ISNA(
    _xlfn.XLOOKUP(
      payments_raw[[#This Row],[subscription_id]],
      subscriptions[subscription_id],
      subscriptions[subscription_id]
    )
  ),
  0,
  1
)</f>
        <v>1</v>
      </c>
      <c r="F468" s="1">
        <f>_xlfn.XLOOKUP(payments_raw[[#This Row],[subscription_id]], subscriptions[subscription_id], subscriptions[start_date])</f>
        <v>45503</v>
      </c>
      <c r="G4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8" s="2">
        <f>IF(payments_raw[[#This Row],[payment_date]] &lt; payments_raw[[#This Row],[sub_start_date]], 1, 0)</f>
        <v>0</v>
      </c>
      <c r="I468" s="2">
        <f>IF(AND(payments_raw[[#This Row],[sub_end_date]]&lt;&gt;"", payments_raw[[#This Row],[payment_date]] &gt; payments_raw[[#This Row],[sub_end_date]]), 1, 0)</f>
        <v>0</v>
      </c>
      <c r="J468" s="2">
        <f>IF(payments_raw[[#This Row],[amount]] &lt;= 0, 1, 0)</f>
        <v>0</v>
      </c>
      <c r="K4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69" spans="1:11" x14ac:dyDescent="0.3">
      <c r="A469">
        <v>96477961</v>
      </c>
      <c r="B469">
        <v>4865865</v>
      </c>
      <c r="C469" s="1">
        <v>45587</v>
      </c>
      <c r="D469">
        <v>2990</v>
      </c>
      <c r="E469">
        <f>IF(
  ISNA(
    _xlfn.XLOOKUP(
      payments_raw[[#This Row],[subscription_id]],
      subscriptions[subscription_id],
      subscriptions[subscription_id]
    )
  ),
  0,
  1
)</f>
        <v>1</v>
      </c>
      <c r="F469" s="1">
        <f>_xlfn.XLOOKUP(payments_raw[[#This Row],[subscription_id]], subscriptions[subscription_id], subscriptions[start_date])</f>
        <v>44903</v>
      </c>
      <c r="G4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69" s="2">
        <f>IF(payments_raw[[#This Row],[payment_date]] &lt; payments_raw[[#This Row],[sub_start_date]], 1, 0)</f>
        <v>0</v>
      </c>
      <c r="I469" s="2">
        <f>IF(AND(payments_raw[[#This Row],[sub_end_date]]&lt;&gt;"", payments_raw[[#This Row],[payment_date]] &gt; payments_raw[[#This Row],[sub_end_date]]), 1, 0)</f>
        <v>0</v>
      </c>
      <c r="J469" s="2">
        <f>IF(payments_raw[[#This Row],[amount]] &lt;= 0, 1, 0)</f>
        <v>0</v>
      </c>
      <c r="K4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0" spans="1:11" x14ac:dyDescent="0.3">
      <c r="A470">
        <v>84104323</v>
      </c>
      <c r="B470">
        <v>6268490</v>
      </c>
      <c r="C470" s="1">
        <v>45439</v>
      </c>
      <c r="D470">
        <v>390</v>
      </c>
      <c r="E470">
        <f>IF(
  ISNA(
    _xlfn.XLOOKUP(
      payments_raw[[#This Row],[subscription_id]],
      subscriptions[subscription_id],
      subscriptions[subscription_id]
    )
  ),
  0,
  1
)</f>
        <v>1</v>
      </c>
      <c r="F470" s="1">
        <f>_xlfn.XLOOKUP(payments_raw[[#This Row],[subscription_id]], subscriptions[subscription_id], subscriptions[start_date])</f>
        <v>44693</v>
      </c>
      <c r="G4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0" s="2">
        <f>IF(payments_raw[[#This Row],[payment_date]] &lt; payments_raw[[#This Row],[sub_start_date]], 1, 0)</f>
        <v>0</v>
      </c>
      <c r="I470" s="2">
        <f>IF(AND(payments_raw[[#This Row],[sub_end_date]]&lt;&gt;"", payments_raw[[#This Row],[payment_date]] &gt; payments_raw[[#This Row],[sub_end_date]]), 1, 0)</f>
        <v>0</v>
      </c>
      <c r="J470" s="2">
        <f>IF(payments_raw[[#This Row],[amount]] &lt;= 0, 1, 0)</f>
        <v>0</v>
      </c>
      <c r="K4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1" spans="1:11" x14ac:dyDescent="0.3">
      <c r="A471">
        <v>38155104</v>
      </c>
      <c r="B471">
        <v>6281742</v>
      </c>
      <c r="C471" s="1">
        <v>45040</v>
      </c>
      <c r="D471">
        <v>2990</v>
      </c>
      <c r="E471">
        <f>IF(
  ISNA(
    _xlfn.XLOOKUP(
      payments_raw[[#This Row],[subscription_id]],
      subscriptions[subscription_id],
      subscriptions[subscription_id]
    )
  ),
  0,
  1
)</f>
        <v>1</v>
      </c>
      <c r="F471" s="1">
        <f>_xlfn.XLOOKUP(payments_raw[[#This Row],[subscription_id]], subscriptions[subscription_id], subscriptions[start_date])</f>
        <v>44798</v>
      </c>
      <c r="G4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45055</v>
      </c>
      <c r="H471" s="2">
        <f>IF(payments_raw[[#This Row],[payment_date]] &lt; payments_raw[[#This Row],[sub_start_date]], 1, 0)</f>
        <v>0</v>
      </c>
      <c r="I471" s="2">
        <f>IF(AND(payments_raw[[#This Row],[sub_end_date]]&lt;&gt;"", payments_raw[[#This Row],[payment_date]] &gt; payments_raw[[#This Row],[sub_end_date]]), 1, 0)</f>
        <v>0</v>
      </c>
      <c r="J471" s="2">
        <f>IF(payments_raw[[#This Row],[amount]] &lt;= 0, 1, 0)</f>
        <v>0</v>
      </c>
      <c r="K4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2" spans="1:11" x14ac:dyDescent="0.3">
      <c r="A472">
        <v>58883349</v>
      </c>
      <c r="B472">
        <v>7503423</v>
      </c>
      <c r="C472" s="1">
        <v>45211</v>
      </c>
      <c r="D472">
        <v>790</v>
      </c>
      <c r="E472">
        <f>IF(
  ISNA(
    _xlfn.XLOOKUP(
      payments_raw[[#This Row],[subscription_id]],
      subscriptions[subscription_id],
      subscriptions[subscription_id]
    )
  ),
  0,
  1
)</f>
        <v>1</v>
      </c>
      <c r="F472" s="1">
        <f>_xlfn.XLOOKUP(payments_raw[[#This Row],[subscription_id]], subscriptions[subscription_id], subscriptions[start_date])</f>
        <v>45051</v>
      </c>
      <c r="G4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2" s="2">
        <f>IF(payments_raw[[#This Row],[payment_date]] &lt; payments_raw[[#This Row],[sub_start_date]], 1, 0)</f>
        <v>0</v>
      </c>
      <c r="I472" s="2">
        <f>IF(AND(payments_raw[[#This Row],[sub_end_date]]&lt;&gt;"", payments_raw[[#This Row],[payment_date]] &gt; payments_raw[[#This Row],[sub_end_date]]), 1, 0)</f>
        <v>0</v>
      </c>
      <c r="J472" s="2">
        <f>IF(payments_raw[[#This Row],[amount]] &lt;= 0, 1, 0)</f>
        <v>0</v>
      </c>
      <c r="K4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3" spans="1:11" x14ac:dyDescent="0.3">
      <c r="A473">
        <v>56316611</v>
      </c>
      <c r="B473">
        <v>1443289</v>
      </c>
      <c r="C473" s="1">
        <v>45440</v>
      </c>
      <c r="D473">
        <v>111.75</v>
      </c>
      <c r="E473">
        <f>IF(
  ISNA(
    _xlfn.XLOOKUP(
      payments_raw[[#This Row],[subscription_id]],
      subscriptions[subscription_id],
      subscriptions[subscription_id]
    )
  ),
  0,
  1
)</f>
        <v>1</v>
      </c>
      <c r="F473" s="1">
        <f>_xlfn.XLOOKUP(payments_raw[[#This Row],[subscription_id]], subscriptions[subscription_id], subscriptions[start_date])</f>
        <v>45424</v>
      </c>
      <c r="G4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3" s="2">
        <f>IF(payments_raw[[#This Row],[payment_date]] &lt; payments_raw[[#This Row],[sub_start_date]], 1, 0)</f>
        <v>0</v>
      </c>
      <c r="I473" s="2">
        <f>IF(AND(payments_raw[[#This Row],[sub_end_date]]&lt;&gt;"", payments_raw[[#This Row],[payment_date]] &gt; payments_raw[[#This Row],[sub_end_date]]), 1, 0)</f>
        <v>0</v>
      </c>
      <c r="J473" s="2">
        <f>IF(payments_raw[[#This Row],[amount]] &lt;= 0, 1, 0)</f>
        <v>0</v>
      </c>
      <c r="K4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4" spans="1:11" x14ac:dyDescent="0.3">
      <c r="A474">
        <v>62285733</v>
      </c>
      <c r="B474">
        <v>1689543</v>
      </c>
      <c r="C474" s="1">
        <v>45288</v>
      </c>
      <c r="D474">
        <v>149</v>
      </c>
      <c r="E474">
        <f>IF(
  ISNA(
    _xlfn.XLOOKUP(
      payments_raw[[#This Row],[subscription_id]],
      subscriptions[subscription_id],
      subscriptions[subscription_id]
    )
  ),
  0,
  1
)</f>
        <v>1</v>
      </c>
      <c r="F474" s="1">
        <f>_xlfn.XLOOKUP(payments_raw[[#This Row],[subscription_id]], subscriptions[subscription_id], subscriptions[start_date])</f>
        <v>45265</v>
      </c>
      <c r="G4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474" s="2">
        <f>IF(payments_raw[[#This Row],[payment_date]] &lt; payments_raw[[#This Row],[sub_start_date]], 1, 0)</f>
        <v>0</v>
      </c>
      <c r="I474" s="2">
        <f>IF(AND(payments_raw[[#This Row],[sub_end_date]]&lt;&gt;"", payments_raw[[#This Row],[payment_date]] &gt; payments_raw[[#This Row],[sub_end_date]]), 1, 0)</f>
        <v>0</v>
      </c>
      <c r="J474" s="2">
        <f>IF(payments_raw[[#This Row],[amount]] &lt;= 0, 1, 0)</f>
        <v>0</v>
      </c>
      <c r="K4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5" spans="1:11" x14ac:dyDescent="0.3">
      <c r="A475">
        <v>72210446</v>
      </c>
      <c r="B475">
        <v>7697098</v>
      </c>
      <c r="C475" s="1">
        <v>45642</v>
      </c>
      <c r="D475">
        <v>190</v>
      </c>
      <c r="E475">
        <f>IF(
  ISNA(
    _xlfn.XLOOKUP(
      payments_raw[[#This Row],[subscription_id]],
      subscriptions[subscription_id],
      subscriptions[subscription_id]
    )
  ),
  0,
  1
)</f>
        <v>1</v>
      </c>
      <c r="F475" s="1">
        <f>_xlfn.XLOOKUP(payments_raw[[#This Row],[subscription_id]], subscriptions[subscription_id], subscriptions[start_date])</f>
        <v>44968</v>
      </c>
      <c r="G4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5" s="2">
        <f>IF(payments_raw[[#This Row],[payment_date]] &lt; payments_raw[[#This Row],[sub_start_date]], 1, 0)</f>
        <v>0</v>
      </c>
      <c r="I475" s="2">
        <f>IF(AND(payments_raw[[#This Row],[sub_end_date]]&lt;&gt;"", payments_raw[[#This Row],[payment_date]] &gt; payments_raw[[#This Row],[sub_end_date]]), 1, 0)</f>
        <v>0</v>
      </c>
      <c r="J475" s="2">
        <f>IF(payments_raw[[#This Row],[amount]] &lt;= 0, 1, 0)</f>
        <v>0</v>
      </c>
      <c r="K4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6" spans="1:11" x14ac:dyDescent="0.3">
      <c r="A476">
        <v>53430116</v>
      </c>
      <c r="B476">
        <v>9745909</v>
      </c>
      <c r="C476" s="1">
        <v>45442</v>
      </c>
      <c r="D476">
        <v>39</v>
      </c>
      <c r="E476">
        <f>IF(
  ISNA(
    _xlfn.XLOOKUP(
      payments_raw[[#This Row],[subscription_id]],
      subscriptions[subscription_id],
      subscriptions[subscription_id]
    )
  ),
  0,
  1
)</f>
        <v>1</v>
      </c>
      <c r="F476" s="1">
        <f>_xlfn.XLOOKUP(payments_raw[[#This Row],[subscription_id]], subscriptions[subscription_id], subscriptions[start_date])</f>
        <v>45212</v>
      </c>
      <c r="G4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6" s="2">
        <f>IF(payments_raw[[#This Row],[payment_date]] &lt; payments_raw[[#This Row],[sub_start_date]], 1, 0)</f>
        <v>0</v>
      </c>
      <c r="I476" s="2">
        <f>IF(AND(payments_raw[[#This Row],[sub_end_date]]&lt;&gt;"", payments_raw[[#This Row],[payment_date]] &gt; payments_raw[[#This Row],[sub_end_date]]), 1, 0)</f>
        <v>0</v>
      </c>
      <c r="J476" s="2">
        <f>IF(payments_raw[[#This Row],[amount]] &lt;= 0, 1, 0)</f>
        <v>0</v>
      </c>
      <c r="K4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7" spans="1:11" x14ac:dyDescent="0.3">
      <c r="A477">
        <v>53876873</v>
      </c>
      <c r="B477">
        <v>8114847</v>
      </c>
      <c r="C477" s="1">
        <v>45107</v>
      </c>
      <c r="D477">
        <v>39</v>
      </c>
      <c r="E477">
        <f>IF(
  ISNA(
    _xlfn.XLOOKUP(
      payments_raw[[#This Row],[subscription_id]],
      subscriptions[subscription_id],
      subscriptions[subscription_id]
    )
  ),
  0,
  1
)</f>
        <v>1</v>
      </c>
      <c r="F477" s="1">
        <f>_xlfn.XLOOKUP(payments_raw[[#This Row],[subscription_id]], subscriptions[subscription_id], subscriptions[start_date])</f>
        <v>44999</v>
      </c>
      <c r="G4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45126</v>
      </c>
      <c r="H477" s="2">
        <f>IF(payments_raw[[#This Row],[payment_date]] &lt; payments_raw[[#This Row],[sub_start_date]], 1, 0)</f>
        <v>0</v>
      </c>
      <c r="I477" s="2">
        <f>IF(AND(payments_raw[[#This Row],[sub_end_date]]&lt;&gt;"", payments_raw[[#This Row],[payment_date]] &gt; payments_raw[[#This Row],[sub_end_date]]), 1, 0)</f>
        <v>0</v>
      </c>
      <c r="J477" s="2">
        <f>IF(payments_raw[[#This Row],[amount]] &lt;= 0, 1, 0)</f>
        <v>0</v>
      </c>
      <c r="K4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8" spans="1:11" x14ac:dyDescent="0.3">
      <c r="A478">
        <v>86043568</v>
      </c>
      <c r="B478">
        <v>3895499</v>
      </c>
      <c r="C478" s="1">
        <v>45649</v>
      </c>
      <c r="D478">
        <v>390</v>
      </c>
      <c r="E478">
        <f>IF(
  ISNA(
    _xlfn.XLOOKUP(
      payments_raw[[#This Row],[subscription_id]],
      subscriptions[subscription_id],
      subscriptions[subscription_id]
    )
  ),
  0,
  1
)</f>
        <v>1</v>
      </c>
      <c r="F478" s="1">
        <f>_xlfn.XLOOKUP(payments_raw[[#This Row],[subscription_id]], subscriptions[subscription_id], subscriptions[start_date])</f>
        <v>45470</v>
      </c>
      <c r="G4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8" s="2">
        <f>IF(payments_raw[[#This Row],[payment_date]] &lt; payments_raw[[#This Row],[sub_start_date]], 1, 0)</f>
        <v>0</v>
      </c>
      <c r="I478" s="2">
        <f>IF(AND(payments_raw[[#This Row],[sub_end_date]]&lt;&gt;"", payments_raw[[#This Row],[payment_date]] &gt; payments_raw[[#This Row],[sub_end_date]]), 1, 0)</f>
        <v>0</v>
      </c>
      <c r="J478" s="2">
        <f>IF(payments_raw[[#This Row],[amount]] &lt;= 0, 1, 0)</f>
        <v>0</v>
      </c>
      <c r="K4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79" spans="1:11" x14ac:dyDescent="0.3">
      <c r="A479">
        <v>32035748</v>
      </c>
      <c r="B479">
        <v>8479960</v>
      </c>
      <c r="C479" s="1">
        <v>45257</v>
      </c>
      <c r="D479">
        <v>19</v>
      </c>
      <c r="E479">
        <f>IF(
  ISNA(
    _xlfn.XLOOKUP(
      payments_raw[[#This Row],[subscription_id]],
      subscriptions[subscription_id],
      subscriptions[subscription_id]
    )
  ),
  0,
  1
)</f>
        <v>1</v>
      </c>
      <c r="F479" s="1">
        <f>_xlfn.XLOOKUP(payments_raw[[#This Row],[subscription_id]], subscriptions[subscription_id], subscriptions[start_date])</f>
        <v>45001</v>
      </c>
      <c r="G4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79" s="2">
        <f>IF(payments_raw[[#This Row],[payment_date]] &lt; payments_raw[[#This Row],[sub_start_date]], 1, 0)</f>
        <v>0</v>
      </c>
      <c r="I479" s="2">
        <f>IF(AND(payments_raw[[#This Row],[sub_end_date]]&lt;&gt;"", payments_raw[[#This Row],[payment_date]] &gt; payments_raw[[#This Row],[sub_end_date]]), 1, 0)</f>
        <v>0</v>
      </c>
      <c r="J479" s="2">
        <f>IF(payments_raw[[#This Row],[amount]] &lt;= 0, 1, 0)</f>
        <v>0</v>
      </c>
      <c r="K4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0" spans="1:11" x14ac:dyDescent="0.3">
      <c r="A480">
        <v>75349833</v>
      </c>
      <c r="B480">
        <v>9118679</v>
      </c>
      <c r="C480" s="1">
        <v>45257</v>
      </c>
      <c r="D480">
        <v>19</v>
      </c>
      <c r="E480">
        <f>IF(
  ISNA(
    _xlfn.XLOOKUP(
      payments_raw[[#This Row],[subscription_id]],
      subscriptions[subscription_id],
      subscriptions[subscription_id]
    )
  ),
  0,
  1
)</f>
        <v>1</v>
      </c>
      <c r="F480" s="1">
        <f>_xlfn.XLOOKUP(payments_raw[[#This Row],[subscription_id]], subscriptions[subscription_id], subscriptions[start_date])</f>
        <v>44572</v>
      </c>
      <c r="G4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80" s="2">
        <f>IF(payments_raw[[#This Row],[payment_date]] &lt; payments_raw[[#This Row],[sub_start_date]], 1, 0)</f>
        <v>0</v>
      </c>
      <c r="I480" s="2">
        <f>IF(AND(payments_raw[[#This Row],[sub_end_date]]&lt;&gt;"", payments_raw[[#This Row],[payment_date]] &gt; payments_raw[[#This Row],[sub_end_date]]), 1, 0)</f>
        <v>0</v>
      </c>
      <c r="J480" s="2">
        <f>IF(payments_raw[[#This Row],[amount]] &lt;= 0, 1, 0)</f>
        <v>0</v>
      </c>
      <c r="K4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1" spans="1:11" x14ac:dyDescent="0.3">
      <c r="A481">
        <v>28836248</v>
      </c>
      <c r="B481">
        <v>9175606</v>
      </c>
      <c r="C481" s="1">
        <v>45280</v>
      </c>
      <c r="D481">
        <v>149</v>
      </c>
      <c r="E481">
        <f>IF(
  ISNA(
    _xlfn.XLOOKUP(
      payments_raw[[#This Row],[subscription_id]],
      subscriptions[subscription_id],
      subscriptions[subscription_id]
    )
  ),
  0,
  1
)</f>
        <v>1</v>
      </c>
      <c r="F481" s="1">
        <f>_xlfn.XLOOKUP(payments_raw[[#This Row],[subscription_id]], subscriptions[subscription_id], subscriptions[start_date])</f>
        <v>45158</v>
      </c>
      <c r="G4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81" s="2">
        <f>IF(payments_raw[[#This Row],[payment_date]] &lt; payments_raw[[#This Row],[sub_start_date]], 1, 0)</f>
        <v>0</v>
      </c>
      <c r="I481" s="2">
        <f>IF(AND(payments_raw[[#This Row],[sub_end_date]]&lt;&gt;"", payments_raw[[#This Row],[payment_date]] &gt; payments_raw[[#This Row],[sub_end_date]]), 1, 0)</f>
        <v>0</v>
      </c>
      <c r="J481" s="2">
        <f>IF(payments_raw[[#This Row],[amount]] &lt;= 0, 1, 0)</f>
        <v>0</v>
      </c>
      <c r="K4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2" spans="1:11" x14ac:dyDescent="0.3">
      <c r="A482">
        <v>76485777</v>
      </c>
      <c r="B482">
        <v>9176462</v>
      </c>
      <c r="C482" s="1">
        <v>45567</v>
      </c>
      <c r="D482">
        <v>790</v>
      </c>
      <c r="E482">
        <f>IF(
  ISNA(
    _xlfn.XLOOKUP(
      payments_raw[[#This Row],[subscription_id]],
      subscriptions[subscription_id],
      subscriptions[subscription_id]
    )
  ),
  0,
  1
)</f>
        <v>1</v>
      </c>
      <c r="F482" s="1">
        <f>_xlfn.XLOOKUP(payments_raw[[#This Row],[subscription_id]], subscriptions[subscription_id], subscriptions[start_date])</f>
        <v>45496</v>
      </c>
      <c r="G4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482" s="2">
        <f>IF(payments_raw[[#This Row],[payment_date]] &lt; payments_raw[[#This Row],[sub_start_date]], 1, 0)</f>
        <v>0</v>
      </c>
      <c r="I482" s="2">
        <f>IF(AND(payments_raw[[#This Row],[sub_end_date]]&lt;&gt;"", payments_raw[[#This Row],[payment_date]] &gt; payments_raw[[#This Row],[sub_end_date]]), 1, 0)</f>
        <v>0</v>
      </c>
      <c r="J482" s="2">
        <f>IF(payments_raw[[#This Row],[amount]] &lt;= 0, 1, 0)</f>
        <v>0</v>
      </c>
      <c r="K4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3" spans="1:11" x14ac:dyDescent="0.3">
      <c r="A483">
        <v>34228034</v>
      </c>
      <c r="B483">
        <v>3929930</v>
      </c>
      <c r="C483" s="1">
        <v>45085</v>
      </c>
      <c r="D483">
        <v>95</v>
      </c>
      <c r="E483">
        <f>IF(
  ISNA(
    _xlfn.XLOOKUP(
      payments_raw[[#This Row],[subscription_id]],
      subscriptions[subscription_id],
      subscriptions[subscription_id]
    )
  ),
  0,
  1
)</f>
        <v>1</v>
      </c>
      <c r="F483" s="1">
        <f>_xlfn.XLOOKUP(payments_raw[[#This Row],[subscription_id]], subscriptions[subscription_id], subscriptions[start_date])</f>
        <v>44872</v>
      </c>
      <c r="G4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483" s="2">
        <f>IF(payments_raw[[#This Row],[payment_date]] &lt; payments_raw[[#This Row],[sub_start_date]], 1, 0)</f>
        <v>0</v>
      </c>
      <c r="I483" s="2">
        <f>IF(AND(payments_raw[[#This Row],[sub_end_date]]&lt;&gt;"", payments_raw[[#This Row],[payment_date]] &gt; payments_raw[[#This Row],[sub_end_date]]), 1, 0)</f>
        <v>0</v>
      </c>
      <c r="J483" s="2">
        <f>IF(payments_raw[[#This Row],[amount]] &lt;= 0, 1, 0)</f>
        <v>0</v>
      </c>
      <c r="K4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4" spans="1:11" x14ac:dyDescent="0.3">
      <c r="A484">
        <v>94763590</v>
      </c>
      <c r="B484">
        <v>3929930</v>
      </c>
      <c r="C484" s="1">
        <v>45056</v>
      </c>
      <c r="D484">
        <v>190</v>
      </c>
      <c r="E484">
        <f>IF(
  ISNA(
    _xlfn.XLOOKUP(
      payments_raw[[#This Row],[subscription_id]],
      subscriptions[subscription_id],
      subscriptions[subscription_id]
    )
  ),
  0,
  1
)</f>
        <v>1</v>
      </c>
      <c r="F484" s="1">
        <f>_xlfn.XLOOKUP(payments_raw[[#This Row],[subscription_id]], subscriptions[subscription_id], subscriptions[start_date])</f>
        <v>44872</v>
      </c>
      <c r="G4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484" s="2">
        <f>IF(payments_raw[[#This Row],[payment_date]] &lt; payments_raw[[#This Row],[sub_start_date]], 1, 0)</f>
        <v>0</v>
      </c>
      <c r="I484" s="2">
        <f>IF(AND(payments_raw[[#This Row],[sub_end_date]]&lt;&gt;"", payments_raw[[#This Row],[payment_date]] &gt; payments_raw[[#This Row],[sub_end_date]]), 1, 0)</f>
        <v>0</v>
      </c>
      <c r="J484" s="2">
        <f>IF(payments_raw[[#This Row],[amount]] &lt;= 0, 1, 0)</f>
        <v>0</v>
      </c>
      <c r="K4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5" spans="1:11" x14ac:dyDescent="0.3">
      <c r="A485">
        <v>92527384</v>
      </c>
      <c r="B485">
        <v>2906975</v>
      </c>
      <c r="C485" s="1">
        <v>44831</v>
      </c>
      <c r="D485">
        <v>390</v>
      </c>
      <c r="E485">
        <f>IF(
  ISNA(
    _xlfn.XLOOKUP(
      payments_raw[[#This Row],[subscription_id]],
      subscriptions[subscription_id],
      subscriptions[subscription_id]
    )
  ),
  0,
  1
)</f>
        <v>1</v>
      </c>
      <c r="F485" s="1">
        <f>_xlfn.XLOOKUP(payments_raw[[#This Row],[subscription_id]], subscriptions[subscription_id], subscriptions[start_date])</f>
        <v>44641</v>
      </c>
      <c r="G48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44924</v>
      </c>
      <c r="H485" s="2">
        <f>IF(payments_raw[[#This Row],[payment_date]] &lt; payments_raw[[#This Row],[sub_start_date]], 1, 0)</f>
        <v>0</v>
      </c>
      <c r="I485" s="2">
        <f>IF(AND(payments_raw[[#This Row],[sub_end_date]]&lt;&gt;"", payments_raw[[#This Row],[payment_date]] &gt; payments_raw[[#This Row],[sub_end_date]]), 1, 0)</f>
        <v>0</v>
      </c>
      <c r="J485" s="2">
        <f>IF(payments_raw[[#This Row],[amount]] &lt;= 0, 1, 0)</f>
        <v>0</v>
      </c>
      <c r="K4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6" spans="1:11" x14ac:dyDescent="0.3">
      <c r="A486">
        <v>24038805</v>
      </c>
      <c r="B486">
        <v>8155525</v>
      </c>
      <c r="C486" s="1">
        <v>45596</v>
      </c>
      <c r="D486">
        <v>79</v>
      </c>
      <c r="E486">
        <f>IF(
  ISNA(
    _xlfn.XLOOKUP(
      payments_raw[[#This Row],[subscription_id]],
      subscriptions[subscription_id],
      subscriptions[subscription_id]
    )
  ),
  0,
  1
)</f>
        <v>1</v>
      </c>
      <c r="F486" s="1">
        <f>_xlfn.XLOOKUP(payments_raw[[#This Row],[subscription_id]], subscriptions[subscription_id], subscriptions[start_date])</f>
        <v>45473</v>
      </c>
      <c r="G4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86" s="2">
        <f>IF(payments_raw[[#This Row],[payment_date]] &lt; payments_raw[[#This Row],[sub_start_date]], 1, 0)</f>
        <v>0</v>
      </c>
      <c r="I486" s="2">
        <f>IF(AND(payments_raw[[#This Row],[sub_end_date]]&lt;&gt;"", payments_raw[[#This Row],[payment_date]] &gt; payments_raw[[#This Row],[sub_end_date]]), 1, 0)</f>
        <v>0</v>
      </c>
      <c r="J486" s="2">
        <f>IF(payments_raw[[#This Row],[amount]] &lt;= 0, 1, 0)</f>
        <v>0</v>
      </c>
      <c r="K4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7" spans="1:11" x14ac:dyDescent="0.3">
      <c r="A487">
        <v>77253402</v>
      </c>
      <c r="B487">
        <v>6883514</v>
      </c>
      <c r="C487" s="1">
        <v>45009</v>
      </c>
      <c r="D487">
        <v>79</v>
      </c>
      <c r="E487">
        <f>IF(
  ISNA(
    _xlfn.XLOOKUP(
      payments_raw[[#This Row],[subscription_id]],
      subscriptions[subscription_id],
      subscriptions[subscription_id]
    )
  ),
  0,
  1
)</f>
        <v>1</v>
      </c>
      <c r="F487" s="1">
        <f>_xlfn.XLOOKUP(payments_raw[[#This Row],[subscription_id]], subscriptions[subscription_id], subscriptions[start_date])</f>
        <v>44803</v>
      </c>
      <c r="G4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87" s="2">
        <f>IF(payments_raw[[#This Row],[payment_date]] &lt; payments_raw[[#This Row],[sub_start_date]], 1, 0)</f>
        <v>0</v>
      </c>
      <c r="I487" s="2">
        <f>IF(AND(payments_raw[[#This Row],[sub_end_date]]&lt;&gt;"", payments_raw[[#This Row],[payment_date]] &gt; payments_raw[[#This Row],[sub_end_date]]), 1, 0)</f>
        <v>0</v>
      </c>
      <c r="J487" s="2">
        <f>IF(payments_raw[[#This Row],[amount]] &lt;= 0, 1, 0)</f>
        <v>0</v>
      </c>
      <c r="K4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8" spans="1:11" x14ac:dyDescent="0.3">
      <c r="A488">
        <v>54629799</v>
      </c>
      <c r="B488">
        <v>3046457</v>
      </c>
      <c r="C488" s="1">
        <v>44806</v>
      </c>
      <c r="D488">
        <v>1490</v>
      </c>
      <c r="E488">
        <f>IF(
  ISNA(
    _xlfn.XLOOKUP(
      payments_raw[[#This Row],[subscription_id]],
      subscriptions[subscription_id],
      subscriptions[subscription_id]
    )
  ),
  0,
  1
)</f>
        <v>1</v>
      </c>
      <c r="F488" s="1">
        <f>_xlfn.XLOOKUP(payments_raw[[#This Row],[subscription_id]], subscriptions[subscription_id], subscriptions[start_date])</f>
        <v>44677</v>
      </c>
      <c r="G48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44809</v>
      </c>
      <c r="H488" s="2">
        <f>IF(payments_raw[[#This Row],[payment_date]] &lt; payments_raw[[#This Row],[sub_start_date]], 1, 0)</f>
        <v>0</v>
      </c>
      <c r="I488" s="2">
        <f>IF(AND(payments_raw[[#This Row],[sub_end_date]]&lt;&gt;"", payments_raw[[#This Row],[payment_date]] &gt; payments_raw[[#This Row],[sub_end_date]]), 1, 0)</f>
        <v>0</v>
      </c>
      <c r="J488" s="2">
        <f>IF(payments_raw[[#This Row],[amount]] &lt;= 0, 1, 0)</f>
        <v>0</v>
      </c>
      <c r="K4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89" spans="1:11" x14ac:dyDescent="0.3">
      <c r="A489">
        <v>62437549</v>
      </c>
      <c r="B489">
        <v>9616197</v>
      </c>
      <c r="C489" s="1">
        <v>44947</v>
      </c>
      <c r="D489">
        <v>79</v>
      </c>
      <c r="E489">
        <f>IF(
  ISNA(
    _xlfn.XLOOKUP(
      payments_raw[[#This Row],[subscription_id]],
      subscriptions[subscription_id],
      subscriptions[subscription_id]
    )
  ),
  0,
  1
)</f>
        <v>1</v>
      </c>
      <c r="F489" s="1">
        <f>_xlfn.XLOOKUP(payments_raw[[#This Row],[subscription_id]], subscriptions[subscription_id], subscriptions[start_date])</f>
        <v>44880</v>
      </c>
      <c r="G48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489" s="2">
        <f>IF(payments_raw[[#This Row],[payment_date]] &lt; payments_raw[[#This Row],[sub_start_date]], 1, 0)</f>
        <v>0</v>
      </c>
      <c r="I489" s="2">
        <f>IF(AND(payments_raw[[#This Row],[sub_end_date]]&lt;&gt;"", payments_raw[[#This Row],[payment_date]] &gt; payments_raw[[#This Row],[sub_end_date]]), 1, 0)</f>
        <v>0</v>
      </c>
      <c r="J489" s="2">
        <f>IF(payments_raw[[#This Row],[amount]] &lt;= 0, 1, 0)</f>
        <v>0</v>
      </c>
      <c r="K4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0" spans="1:11" x14ac:dyDescent="0.3">
      <c r="A490">
        <v>92203497</v>
      </c>
      <c r="B490">
        <v>6678849</v>
      </c>
      <c r="C490" s="1">
        <v>45606</v>
      </c>
      <c r="D490">
        <v>299</v>
      </c>
      <c r="E490">
        <f>IF(
  ISNA(
    _xlfn.XLOOKUP(
      payments_raw[[#This Row],[subscription_id]],
      subscriptions[subscription_id],
      subscriptions[subscription_id]
    )
  ),
  0,
  1
)</f>
        <v>1</v>
      </c>
      <c r="F490" s="1">
        <f>_xlfn.XLOOKUP(payments_raw[[#This Row],[subscription_id]], subscriptions[subscription_id], subscriptions[start_date])</f>
        <v>45450</v>
      </c>
      <c r="G4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490" s="2">
        <f>IF(payments_raw[[#This Row],[payment_date]] &lt; payments_raw[[#This Row],[sub_start_date]], 1, 0)</f>
        <v>0</v>
      </c>
      <c r="I490" s="2">
        <f>IF(AND(payments_raw[[#This Row],[sub_end_date]]&lt;&gt;"", payments_raw[[#This Row],[payment_date]] &gt; payments_raw[[#This Row],[sub_end_date]]), 1, 0)</f>
        <v>0</v>
      </c>
      <c r="J490" s="2">
        <f>IF(payments_raw[[#This Row],[amount]] &lt;= 0, 1, 0)</f>
        <v>0</v>
      </c>
      <c r="K4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1" spans="1:11" x14ac:dyDescent="0.3">
      <c r="A491">
        <v>15291565</v>
      </c>
      <c r="B491">
        <v>9298107</v>
      </c>
      <c r="C491" s="1">
        <v>45150</v>
      </c>
      <c r="D491">
        <v>190</v>
      </c>
      <c r="E491">
        <f>IF(
  ISNA(
    _xlfn.XLOOKUP(
      payments_raw[[#This Row],[subscription_id]],
      subscriptions[subscription_id],
      subscriptions[subscription_id]
    )
  ),
  0,
  1
)</f>
        <v>1</v>
      </c>
      <c r="F491" s="1">
        <f>_xlfn.XLOOKUP(payments_raw[[#This Row],[subscription_id]], subscriptions[subscription_id], subscriptions[start_date])</f>
        <v>44685</v>
      </c>
      <c r="G4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91" s="2">
        <f>IF(payments_raw[[#This Row],[payment_date]] &lt; payments_raw[[#This Row],[sub_start_date]], 1, 0)</f>
        <v>0</v>
      </c>
      <c r="I491" s="2">
        <f>IF(AND(payments_raw[[#This Row],[sub_end_date]]&lt;&gt;"", payments_raw[[#This Row],[payment_date]] &gt; payments_raw[[#This Row],[sub_end_date]]), 1, 0)</f>
        <v>0</v>
      </c>
      <c r="J491" s="2">
        <f>IF(payments_raw[[#This Row],[amount]] &lt;= 0, 1, 0)</f>
        <v>0</v>
      </c>
      <c r="K4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2" spans="1:11" x14ac:dyDescent="0.3">
      <c r="A492">
        <v>89319341</v>
      </c>
      <c r="B492">
        <v>3074382</v>
      </c>
      <c r="C492" s="1">
        <v>45405</v>
      </c>
      <c r="D492">
        <v>39</v>
      </c>
      <c r="E492">
        <f>IF(
  ISNA(
    _xlfn.XLOOKUP(
      payments_raw[[#This Row],[subscription_id]],
      subscriptions[subscription_id],
      subscriptions[subscription_id]
    )
  ),
  0,
  1
)</f>
        <v>1</v>
      </c>
      <c r="F492" s="1">
        <f>_xlfn.XLOOKUP(payments_raw[[#This Row],[subscription_id]], subscriptions[subscription_id], subscriptions[start_date])</f>
        <v>45335</v>
      </c>
      <c r="G4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492" s="2">
        <f>IF(payments_raw[[#This Row],[payment_date]] &lt; payments_raw[[#This Row],[sub_start_date]], 1, 0)</f>
        <v>0</v>
      </c>
      <c r="I492" s="2">
        <f>IF(AND(payments_raw[[#This Row],[sub_end_date]]&lt;&gt;"", payments_raw[[#This Row],[payment_date]] &gt; payments_raw[[#This Row],[sub_end_date]]), 1, 0)</f>
        <v>0</v>
      </c>
      <c r="J492" s="2">
        <f>IF(payments_raw[[#This Row],[amount]] &lt;= 0, 1, 0)</f>
        <v>0</v>
      </c>
      <c r="K4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3" spans="1:11" x14ac:dyDescent="0.3">
      <c r="A493">
        <v>71261852</v>
      </c>
      <c r="B493">
        <v>3159890</v>
      </c>
      <c r="C493" s="1">
        <v>45350</v>
      </c>
      <c r="D493">
        <v>190</v>
      </c>
      <c r="E493">
        <f>IF(
  ISNA(
    _xlfn.XLOOKUP(
      payments_raw[[#This Row],[subscription_id]],
      subscriptions[subscription_id],
      subscriptions[subscription_id]
    )
  ),
  0,
  1
)</f>
        <v>1</v>
      </c>
      <c r="F493" s="1">
        <f>_xlfn.XLOOKUP(payments_raw[[#This Row],[subscription_id]], subscriptions[subscription_id], subscriptions[start_date])</f>
        <v>45348</v>
      </c>
      <c r="G4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45383</v>
      </c>
      <c r="H493" s="2">
        <f>IF(payments_raw[[#This Row],[payment_date]] &lt; payments_raw[[#This Row],[sub_start_date]], 1, 0)</f>
        <v>0</v>
      </c>
      <c r="I493" s="2">
        <f>IF(AND(payments_raw[[#This Row],[sub_end_date]]&lt;&gt;"", payments_raw[[#This Row],[payment_date]] &gt; payments_raw[[#This Row],[sub_end_date]]), 1, 0)</f>
        <v>0</v>
      </c>
      <c r="J493" s="2">
        <f>IF(payments_raw[[#This Row],[amount]] &lt;= 0, 1, 0)</f>
        <v>0</v>
      </c>
      <c r="K4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4" spans="1:11" x14ac:dyDescent="0.3">
      <c r="A494">
        <v>12404497</v>
      </c>
      <c r="B494">
        <v>2646494</v>
      </c>
      <c r="C494" s="1">
        <v>45305</v>
      </c>
      <c r="D494">
        <v>790</v>
      </c>
      <c r="E494">
        <f>IF(
  ISNA(
    _xlfn.XLOOKUP(
      payments_raw[[#This Row],[subscription_id]],
      subscriptions[subscription_id],
      subscriptions[subscription_id]
    )
  ),
  0,
  1
)</f>
        <v>1</v>
      </c>
      <c r="F494" s="1">
        <f>_xlfn.XLOOKUP(payments_raw[[#This Row],[subscription_id]], subscriptions[subscription_id], subscriptions[start_date])</f>
        <v>45097</v>
      </c>
      <c r="G4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494" s="2">
        <f>IF(payments_raw[[#This Row],[payment_date]] &lt; payments_raw[[#This Row],[sub_start_date]], 1, 0)</f>
        <v>0</v>
      </c>
      <c r="I494" s="2">
        <f>IF(AND(payments_raw[[#This Row],[sub_end_date]]&lt;&gt;"", payments_raw[[#This Row],[payment_date]] &gt; payments_raw[[#This Row],[sub_end_date]]), 1, 0)</f>
        <v>0</v>
      </c>
      <c r="J494" s="2">
        <f>IF(payments_raw[[#This Row],[amount]] &lt;= 0, 1, 0)</f>
        <v>0</v>
      </c>
      <c r="K4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5" spans="1:11" x14ac:dyDescent="0.3">
      <c r="A495">
        <v>18428667</v>
      </c>
      <c r="B495">
        <v>7566239</v>
      </c>
      <c r="C495" s="1">
        <v>45588</v>
      </c>
      <c r="D495">
        <v>149</v>
      </c>
      <c r="E495">
        <f>IF(
  ISNA(
    _xlfn.XLOOKUP(
      payments_raw[[#This Row],[subscription_id]],
      subscriptions[subscription_id],
      subscriptions[subscription_id]
    )
  ),
  0,
  1
)</f>
        <v>1</v>
      </c>
      <c r="F495" s="1">
        <f>_xlfn.XLOOKUP(payments_raw[[#This Row],[subscription_id]], subscriptions[subscription_id], subscriptions[start_date])</f>
        <v>45467</v>
      </c>
      <c r="G4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95" s="2">
        <f>IF(payments_raw[[#This Row],[payment_date]] &lt; payments_raw[[#This Row],[sub_start_date]], 1, 0)</f>
        <v>0</v>
      </c>
      <c r="I495" s="2">
        <f>IF(AND(payments_raw[[#This Row],[sub_end_date]]&lt;&gt;"", payments_raw[[#This Row],[payment_date]] &gt; payments_raw[[#This Row],[sub_end_date]]), 1, 0)</f>
        <v>0</v>
      </c>
      <c r="J495" s="2">
        <f>IF(payments_raw[[#This Row],[amount]] &lt;= 0, 1, 0)</f>
        <v>0</v>
      </c>
      <c r="K4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6" spans="1:11" x14ac:dyDescent="0.3">
      <c r="A496">
        <v>66001691</v>
      </c>
      <c r="B496">
        <v>6772196</v>
      </c>
      <c r="C496" s="1">
        <v>45401</v>
      </c>
      <c r="D496">
        <v>390</v>
      </c>
      <c r="E496">
        <f>IF(
  ISNA(
    _xlfn.XLOOKUP(
      payments_raw[[#This Row],[subscription_id]],
      subscriptions[subscription_id],
      subscriptions[subscription_id]
    )
  ),
  0,
  1
)</f>
        <v>1</v>
      </c>
      <c r="F496" s="1">
        <f>_xlfn.XLOOKUP(payments_raw[[#This Row],[subscription_id]], subscriptions[subscription_id], subscriptions[start_date])</f>
        <v>45283</v>
      </c>
      <c r="G4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496" s="2">
        <f>IF(payments_raw[[#This Row],[payment_date]] &lt; payments_raw[[#This Row],[sub_start_date]], 1, 0)</f>
        <v>0</v>
      </c>
      <c r="I496" s="2">
        <f>IF(AND(payments_raw[[#This Row],[sub_end_date]]&lt;&gt;"", payments_raw[[#This Row],[payment_date]] &gt; payments_raw[[#This Row],[sub_end_date]]), 1, 0)</f>
        <v>0</v>
      </c>
      <c r="J496" s="2">
        <f>IF(payments_raw[[#This Row],[amount]] &lt;= 0, 1, 0)</f>
        <v>0</v>
      </c>
      <c r="K4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7" spans="1:11" x14ac:dyDescent="0.3">
      <c r="A497">
        <v>91706445</v>
      </c>
      <c r="B497">
        <v>9777333</v>
      </c>
      <c r="C497" s="1">
        <v>45541</v>
      </c>
      <c r="D497">
        <v>299</v>
      </c>
      <c r="E497">
        <f>IF(
  ISNA(
    _xlfn.XLOOKUP(
      payments_raw[[#This Row],[subscription_id]],
      subscriptions[subscription_id],
      subscriptions[subscription_id]
    )
  ),
  0,
  1
)</f>
        <v>1</v>
      </c>
      <c r="F497" s="1">
        <f>_xlfn.XLOOKUP(payments_raw[[#This Row],[subscription_id]], subscriptions[subscription_id], subscriptions[start_date])</f>
        <v>45249</v>
      </c>
      <c r="G4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97" s="2">
        <f>IF(payments_raw[[#This Row],[payment_date]] &lt; payments_raw[[#This Row],[sub_start_date]], 1, 0)</f>
        <v>0</v>
      </c>
      <c r="I497" s="2">
        <f>IF(AND(payments_raw[[#This Row],[sub_end_date]]&lt;&gt;"", payments_raw[[#This Row],[payment_date]] &gt; payments_raw[[#This Row],[sub_end_date]]), 1, 0)</f>
        <v>0</v>
      </c>
      <c r="J497" s="2">
        <f>IF(payments_raw[[#This Row],[amount]] &lt;= 0, 1, 0)</f>
        <v>0</v>
      </c>
      <c r="K4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8" spans="1:11" x14ac:dyDescent="0.3">
      <c r="A498">
        <v>52302682</v>
      </c>
      <c r="B498">
        <v>5668364</v>
      </c>
      <c r="C498" s="1">
        <v>45632</v>
      </c>
      <c r="D498">
        <v>390</v>
      </c>
      <c r="E498">
        <f>IF(
  ISNA(
    _xlfn.XLOOKUP(
      payments_raw[[#This Row],[subscription_id]],
      subscriptions[subscription_id],
      subscriptions[subscription_id]
    )
  ),
  0,
  1
)</f>
        <v>1</v>
      </c>
      <c r="F498" s="1">
        <f>_xlfn.XLOOKUP(payments_raw[[#This Row],[subscription_id]], subscriptions[subscription_id], subscriptions[start_date])</f>
        <v>45205</v>
      </c>
      <c r="G4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498" s="2">
        <f>IF(payments_raw[[#This Row],[payment_date]] &lt; payments_raw[[#This Row],[sub_start_date]], 1, 0)</f>
        <v>0</v>
      </c>
      <c r="I498" s="2">
        <f>IF(AND(payments_raw[[#This Row],[sub_end_date]]&lt;&gt;"", payments_raw[[#This Row],[payment_date]] &gt; payments_raw[[#This Row],[sub_end_date]]), 1, 0)</f>
        <v>0</v>
      </c>
      <c r="J498" s="2">
        <f>IF(payments_raw[[#This Row],[amount]] &lt;= 0, 1, 0)</f>
        <v>0</v>
      </c>
      <c r="K4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499" spans="1:11" x14ac:dyDescent="0.3">
      <c r="A499">
        <v>70300178</v>
      </c>
      <c r="B499">
        <v>3182053</v>
      </c>
      <c r="C499" s="1">
        <v>45077</v>
      </c>
      <c r="D499">
        <v>149</v>
      </c>
      <c r="E499">
        <f>IF(
  ISNA(
    _xlfn.XLOOKUP(
      payments_raw[[#This Row],[subscription_id]],
      subscriptions[subscription_id],
      subscriptions[subscription_id]
    )
  ),
  0,
  1
)</f>
        <v>1</v>
      </c>
      <c r="F499" s="1">
        <f>_xlfn.XLOOKUP(payments_raw[[#This Row],[subscription_id]], subscriptions[subscription_id], subscriptions[start_date])</f>
        <v>45010</v>
      </c>
      <c r="G4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499" s="2">
        <f>IF(payments_raw[[#This Row],[payment_date]] &lt; payments_raw[[#This Row],[sub_start_date]], 1, 0)</f>
        <v>0</v>
      </c>
      <c r="I499" s="2">
        <f>IF(AND(payments_raw[[#This Row],[sub_end_date]]&lt;&gt;"", payments_raw[[#This Row],[payment_date]] &gt; payments_raw[[#This Row],[sub_end_date]]), 1, 0)</f>
        <v>0</v>
      </c>
      <c r="J499" s="2">
        <f>IF(payments_raw[[#This Row],[amount]] &lt;= 0, 1, 0)</f>
        <v>0</v>
      </c>
      <c r="K4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0" spans="1:11" x14ac:dyDescent="0.3">
      <c r="A500">
        <v>97517299</v>
      </c>
      <c r="B500">
        <v>8857213</v>
      </c>
      <c r="C500" s="1">
        <v>45067</v>
      </c>
      <c r="D500">
        <v>19</v>
      </c>
      <c r="E500">
        <f>IF(
  ISNA(
    _xlfn.XLOOKUP(
      payments_raw[[#This Row],[subscription_id]],
      subscriptions[subscription_id],
      subscriptions[subscription_id]
    )
  ),
  0,
  1
)</f>
        <v>1</v>
      </c>
      <c r="F500" s="1">
        <f>_xlfn.XLOOKUP(payments_raw[[#This Row],[subscription_id]], subscriptions[subscription_id], subscriptions[start_date])</f>
        <v>45028</v>
      </c>
      <c r="G5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0" s="2">
        <f>IF(payments_raw[[#This Row],[payment_date]] &lt; payments_raw[[#This Row],[sub_start_date]], 1, 0)</f>
        <v>0</v>
      </c>
      <c r="I500" s="2">
        <f>IF(AND(payments_raw[[#This Row],[sub_end_date]]&lt;&gt;"", payments_raw[[#This Row],[payment_date]] &gt; payments_raw[[#This Row],[sub_end_date]]), 1, 0)</f>
        <v>0</v>
      </c>
      <c r="J500" s="2">
        <f>IF(payments_raw[[#This Row],[amount]] &lt;= 0, 1, 0)</f>
        <v>0</v>
      </c>
      <c r="K5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1" spans="1:11" x14ac:dyDescent="0.3">
      <c r="A501">
        <v>99715454</v>
      </c>
      <c r="B501">
        <v>6386706</v>
      </c>
      <c r="C501" s="1">
        <v>44768</v>
      </c>
      <c r="D501">
        <v>39</v>
      </c>
      <c r="E501">
        <f>IF(
  ISNA(
    _xlfn.XLOOKUP(
      payments_raw[[#This Row],[subscription_id]],
      subscriptions[subscription_id],
      subscriptions[subscription_id]
    )
  ),
  0,
  1
)</f>
        <v>1</v>
      </c>
      <c r="F501" s="1">
        <f>_xlfn.XLOOKUP(payments_raw[[#This Row],[subscription_id]], subscriptions[subscription_id], subscriptions[start_date])</f>
        <v>44620</v>
      </c>
      <c r="G50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44819</v>
      </c>
      <c r="H501" s="2">
        <f>IF(payments_raw[[#This Row],[payment_date]] &lt; payments_raw[[#This Row],[sub_start_date]], 1, 0)</f>
        <v>0</v>
      </c>
      <c r="I501" s="2">
        <f>IF(AND(payments_raw[[#This Row],[sub_end_date]]&lt;&gt;"", payments_raw[[#This Row],[payment_date]] &gt; payments_raw[[#This Row],[sub_end_date]]), 1, 0)</f>
        <v>0</v>
      </c>
      <c r="J501" s="2">
        <f>IF(payments_raw[[#This Row],[amount]] &lt;= 0, 1, 0)</f>
        <v>0</v>
      </c>
      <c r="K5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2" spans="1:11" x14ac:dyDescent="0.3">
      <c r="A502">
        <v>45616810</v>
      </c>
      <c r="B502">
        <v>8962478</v>
      </c>
      <c r="C502" s="1">
        <v>45439</v>
      </c>
      <c r="D502">
        <v>39</v>
      </c>
      <c r="E502">
        <f>IF(
  ISNA(
    _xlfn.XLOOKUP(
      payments_raw[[#This Row],[subscription_id]],
      subscriptions[subscription_id],
      subscriptions[subscription_id]
    )
  ),
  0,
  1
)</f>
        <v>1</v>
      </c>
      <c r="F502" s="1">
        <f>_xlfn.XLOOKUP(payments_raw[[#This Row],[subscription_id]], subscriptions[subscription_id], subscriptions[start_date])</f>
        <v>45438</v>
      </c>
      <c r="G5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2" s="2">
        <f>IF(payments_raw[[#This Row],[payment_date]] &lt; payments_raw[[#This Row],[sub_start_date]], 1, 0)</f>
        <v>0</v>
      </c>
      <c r="I502" s="2">
        <f>IF(AND(payments_raw[[#This Row],[sub_end_date]]&lt;&gt;"", payments_raw[[#This Row],[payment_date]] &gt; payments_raw[[#This Row],[sub_end_date]]), 1, 0)</f>
        <v>0</v>
      </c>
      <c r="J502" s="2">
        <f>IF(payments_raw[[#This Row],[amount]] &lt;= 0, 1, 0)</f>
        <v>0</v>
      </c>
      <c r="K5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3" spans="1:11" x14ac:dyDescent="0.3">
      <c r="A503">
        <v>15441743</v>
      </c>
      <c r="B503">
        <v>6193258</v>
      </c>
      <c r="C503" s="1">
        <v>44967</v>
      </c>
      <c r="D503">
        <v>39</v>
      </c>
      <c r="E503">
        <f>IF(
  ISNA(
    _xlfn.XLOOKUP(
      payments_raw[[#This Row],[subscription_id]],
      subscriptions[subscription_id],
      subscriptions[subscription_id]
    )
  ),
  0,
  1
)</f>
        <v>1</v>
      </c>
      <c r="F503" s="1">
        <f>_xlfn.XLOOKUP(payments_raw[[#This Row],[subscription_id]], subscriptions[subscription_id], subscriptions[start_date])</f>
        <v>44740</v>
      </c>
      <c r="G5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3" s="2">
        <f>IF(payments_raw[[#This Row],[payment_date]] &lt; payments_raw[[#This Row],[sub_start_date]], 1, 0)</f>
        <v>0</v>
      </c>
      <c r="I503" s="2">
        <f>IF(AND(payments_raw[[#This Row],[sub_end_date]]&lt;&gt;"", payments_raw[[#This Row],[payment_date]] &gt; payments_raw[[#This Row],[sub_end_date]]), 1, 0)</f>
        <v>0</v>
      </c>
      <c r="J503" s="2">
        <f>IF(payments_raw[[#This Row],[amount]] &lt;= 0, 1, 0)</f>
        <v>0</v>
      </c>
      <c r="K5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4" spans="1:11" x14ac:dyDescent="0.3">
      <c r="A504">
        <v>70297305</v>
      </c>
      <c r="B504">
        <v>4867751</v>
      </c>
      <c r="C504" s="1">
        <v>45247</v>
      </c>
      <c r="D504">
        <v>79</v>
      </c>
      <c r="E504">
        <f>IF(
  ISNA(
    _xlfn.XLOOKUP(
      payments_raw[[#This Row],[subscription_id]],
      subscriptions[subscription_id],
      subscriptions[subscription_id]
    )
  ),
  0,
  1
)</f>
        <v>1</v>
      </c>
      <c r="F504" s="1">
        <f>_xlfn.XLOOKUP(payments_raw[[#This Row],[subscription_id]], subscriptions[subscription_id], subscriptions[start_date])</f>
        <v>45186</v>
      </c>
      <c r="G5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45323</v>
      </c>
      <c r="H504" s="2">
        <f>IF(payments_raw[[#This Row],[payment_date]] &lt; payments_raw[[#This Row],[sub_start_date]], 1, 0)</f>
        <v>0</v>
      </c>
      <c r="I504" s="2">
        <f>IF(AND(payments_raw[[#This Row],[sub_end_date]]&lt;&gt;"", payments_raw[[#This Row],[payment_date]] &gt; payments_raw[[#This Row],[sub_end_date]]), 1, 0)</f>
        <v>0</v>
      </c>
      <c r="J504" s="2">
        <f>IF(payments_raw[[#This Row],[amount]] &lt;= 0, 1, 0)</f>
        <v>0</v>
      </c>
      <c r="K5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5" spans="1:11" x14ac:dyDescent="0.3">
      <c r="A505">
        <v>67715067</v>
      </c>
      <c r="B505">
        <v>9485991</v>
      </c>
      <c r="C505" s="1">
        <v>45482</v>
      </c>
      <c r="D505">
        <v>79</v>
      </c>
      <c r="E505">
        <f>IF(
  ISNA(
    _xlfn.XLOOKUP(
      payments_raw[[#This Row],[subscription_id]],
      subscriptions[subscription_id],
      subscriptions[subscription_id]
    )
  ),
  0,
  1
)</f>
        <v>1</v>
      </c>
      <c r="F505" s="1">
        <f>_xlfn.XLOOKUP(payments_raw[[#This Row],[subscription_id]], subscriptions[subscription_id], subscriptions[start_date])</f>
        <v>45470</v>
      </c>
      <c r="G5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5" s="2">
        <f>IF(payments_raw[[#This Row],[payment_date]] &lt; payments_raw[[#This Row],[sub_start_date]], 1, 0)</f>
        <v>0</v>
      </c>
      <c r="I505" s="2">
        <f>IF(AND(payments_raw[[#This Row],[sub_end_date]]&lt;&gt;"", payments_raw[[#This Row],[payment_date]] &gt; payments_raw[[#This Row],[sub_end_date]]), 1, 0)</f>
        <v>0</v>
      </c>
      <c r="J505" s="2">
        <f>IF(payments_raw[[#This Row],[amount]] &lt;= 0, 1, 0)</f>
        <v>0</v>
      </c>
      <c r="K5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6" spans="1:11" x14ac:dyDescent="0.3">
      <c r="A506">
        <v>46726628</v>
      </c>
      <c r="B506">
        <v>4031041</v>
      </c>
      <c r="C506" s="1">
        <v>45478</v>
      </c>
      <c r="D506">
        <v>299</v>
      </c>
      <c r="E506">
        <f>IF(
  ISNA(
    _xlfn.XLOOKUP(
      payments_raw[[#This Row],[subscription_id]],
      subscriptions[subscription_id],
      subscriptions[subscription_id]
    )
  ),
  0,
  1
)</f>
        <v>1</v>
      </c>
      <c r="F506" s="1">
        <f>_xlfn.XLOOKUP(payments_raw[[#This Row],[subscription_id]], subscriptions[subscription_id], subscriptions[start_date])</f>
        <v>44930</v>
      </c>
      <c r="G5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6" s="2">
        <f>IF(payments_raw[[#This Row],[payment_date]] &lt; payments_raw[[#This Row],[sub_start_date]], 1, 0)</f>
        <v>0</v>
      </c>
      <c r="I506" s="2">
        <f>IF(AND(payments_raw[[#This Row],[sub_end_date]]&lt;&gt;"", payments_raw[[#This Row],[payment_date]] &gt; payments_raw[[#This Row],[sub_end_date]]), 1, 0)</f>
        <v>0</v>
      </c>
      <c r="J506" s="2">
        <f>IF(payments_raw[[#This Row],[amount]] &lt;= 0, 1, 0)</f>
        <v>0</v>
      </c>
      <c r="K5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7" spans="1:11" x14ac:dyDescent="0.3">
      <c r="A507">
        <v>83356152</v>
      </c>
      <c r="B507">
        <v>4530452</v>
      </c>
      <c r="C507" s="1">
        <v>45426</v>
      </c>
      <c r="D507">
        <v>17.100000000000001</v>
      </c>
      <c r="E507">
        <f>IF(
  ISNA(
    _xlfn.XLOOKUP(
      payments_raw[[#This Row],[subscription_id]],
      subscriptions[subscription_id],
      subscriptions[subscription_id]
    )
  ),
  0,
  1
)</f>
        <v>1</v>
      </c>
      <c r="F507" s="1">
        <f>_xlfn.XLOOKUP(payments_raw[[#This Row],[subscription_id]], subscriptions[subscription_id], subscriptions[start_date])</f>
        <v>45213</v>
      </c>
      <c r="G5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7" s="2">
        <f>IF(payments_raw[[#This Row],[payment_date]] &lt; payments_raw[[#This Row],[sub_start_date]], 1, 0)</f>
        <v>0</v>
      </c>
      <c r="I507" s="2">
        <f>IF(AND(payments_raw[[#This Row],[sub_end_date]]&lt;&gt;"", payments_raw[[#This Row],[payment_date]] &gt; payments_raw[[#This Row],[sub_end_date]]), 1, 0)</f>
        <v>0</v>
      </c>
      <c r="J507" s="2">
        <f>IF(payments_raw[[#This Row],[amount]] &lt;= 0, 1, 0)</f>
        <v>0</v>
      </c>
      <c r="K5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8" spans="1:11" x14ac:dyDescent="0.3">
      <c r="A508">
        <v>95901983</v>
      </c>
      <c r="B508">
        <v>6290464</v>
      </c>
      <c r="C508" s="1">
        <v>45111</v>
      </c>
      <c r="D508">
        <v>149</v>
      </c>
      <c r="E508">
        <f>IF(
  ISNA(
    _xlfn.XLOOKUP(
      payments_raw[[#This Row],[subscription_id]],
      subscriptions[subscription_id],
      subscriptions[subscription_id]
    )
  ),
  0,
  1
)</f>
        <v>1</v>
      </c>
      <c r="F508" s="1">
        <f>_xlfn.XLOOKUP(payments_raw[[#This Row],[subscription_id]], subscriptions[subscription_id], subscriptions[start_date])</f>
        <v>45033</v>
      </c>
      <c r="G5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45166</v>
      </c>
      <c r="H508" s="2">
        <f>IF(payments_raw[[#This Row],[payment_date]] &lt; payments_raw[[#This Row],[sub_start_date]], 1, 0)</f>
        <v>0</v>
      </c>
      <c r="I508" s="2">
        <f>IF(AND(payments_raw[[#This Row],[sub_end_date]]&lt;&gt;"", payments_raw[[#This Row],[payment_date]] &gt; payments_raw[[#This Row],[sub_end_date]]), 1, 0)</f>
        <v>0</v>
      </c>
      <c r="J508" s="2">
        <f>IF(payments_raw[[#This Row],[amount]] &lt;= 0, 1, 0)</f>
        <v>0</v>
      </c>
      <c r="K5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09" spans="1:11" x14ac:dyDescent="0.3">
      <c r="A509">
        <v>99028524</v>
      </c>
      <c r="B509">
        <v>1028160</v>
      </c>
      <c r="C509" s="1">
        <v>45224</v>
      </c>
      <c r="D509">
        <v>79</v>
      </c>
      <c r="E509">
        <f>IF(
  ISNA(
    _xlfn.XLOOKUP(
      payments_raw[[#This Row],[subscription_id]],
      subscriptions[subscription_id],
      subscriptions[subscription_id]
    )
  ),
  0,
  1
)</f>
        <v>1</v>
      </c>
      <c r="F509" s="1">
        <f>_xlfn.XLOOKUP(payments_raw[[#This Row],[subscription_id]], subscriptions[subscription_id], subscriptions[start_date])</f>
        <v>45198</v>
      </c>
      <c r="G5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09" s="2">
        <f>IF(payments_raw[[#This Row],[payment_date]] &lt; payments_raw[[#This Row],[sub_start_date]], 1, 0)</f>
        <v>0</v>
      </c>
      <c r="I509" s="2">
        <f>IF(AND(payments_raw[[#This Row],[sub_end_date]]&lt;&gt;"", payments_raw[[#This Row],[payment_date]] &gt; payments_raw[[#This Row],[sub_end_date]]), 1, 0)</f>
        <v>0</v>
      </c>
      <c r="J509" s="2">
        <f>IF(payments_raw[[#This Row],[amount]] &lt;= 0, 1, 0)</f>
        <v>0</v>
      </c>
      <c r="K5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0" spans="1:11" x14ac:dyDescent="0.3">
      <c r="A510">
        <v>87869937</v>
      </c>
      <c r="B510">
        <v>7204577</v>
      </c>
      <c r="C510" s="1">
        <v>45565</v>
      </c>
      <c r="D510">
        <v>2990</v>
      </c>
      <c r="E510">
        <f>IF(
  ISNA(
    _xlfn.XLOOKUP(
      payments_raw[[#This Row],[subscription_id]],
      subscriptions[subscription_id],
      subscriptions[subscription_id]
    )
  ),
  0,
  1
)</f>
        <v>1</v>
      </c>
      <c r="F510" s="1">
        <f>_xlfn.XLOOKUP(payments_raw[[#This Row],[subscription_id]], subscriptions[subscription_id], subscriptions[start_date])</f>
        <v>45538</v>
      </c>
      <c r="G5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0" s="2">
        <f>IF(payments_raw[[#This Row],[payment_date]] &lt; payments_raw[[#This Row],[sub_start_date]], 1, 0)</f>
        <v>0</v>
      </c>
      <c r="I510" s="2">
        <f>IF(AND(payments_raw[[#This Row],[sub_end_date]]&lt;&gt;"", payments_raw[[#This Row],[payment_date]] &gt; payments_raw[[#This Row],[sub_end_date]]), 1, 0)</f>
        <v>0</v>
      </c>
      <c r="J510" s="2">
        <f>IF(payments_raw[[#This Row],[amount]] &lt;= 0, 1, 0)</f>
        <v>0</v>
      </c>
      <c r="K5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1" spans="1:11" x14ac:dyDescent="0.3">
      <c r="A511">
        <v>84136404</v>
      </c>
      <c r="B511">
        <v>6753758</v>
      </c>
      <c r="C511" s="1">
        <v>45406</v>
      </c>
      <c r="D511">
        <v>299</v>
      </c>
      <c r="E511">
        <f>IF(
  ISNA(
    _xlfn.XLOOKUP(
      payments_raw[[#This Row],[subscription_id]],
      subscriptions[subscription_id],
      subscriptions[subscription_id]
    )
  ),
  0,
  1
)</f>
        <v>1</v>
      </c>
      <c r="F511" s="1">
        <f>_xlfn.XLOOKUP(payments_raw[[#This Row],[subscription_id]], subscriptions[subscription_id], subscriptions[start_date])</f>
        <v>45259</v>
      </c>
      <c r="G5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1" s="2">
        <f>IF(payments_raw[[#This Row],[payment_date]] &lt; payments_raw[[#This Row],[sub_start_date]], 1, 0)</f>
        <v>0</v>
      </c>
      <c r="I511" s="2">
        <f>IF(AND(payments_raw[[#This Row],[sub_end_date]]&lt;&gt;"", payments_raw[[#This Row],[payment_date]] &gt; payments_raw[[#This Row],[sub_end_date]]), 1, 0)</f>
        <v>0</v>
      </c>
      <c r="J511" s="2">
        <f>IF(payments_raw[[#This Row],[amount]] &lt;= 0, 1, 0)</f>
        <v>0</v>
      </c>
      <c r="K5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2" spans="1:11" x14ac:dyDescent="0.3">
      <c r="A512">
        <v>41518806</v>
      </c>
      <c r="B512">
        <v>6013965</v>
      </c>
      <c r="C512" s="1">
        <v>45369</v>
      </c>
      <c r="D512">
        <v>190</v>
      </c>
      <c r="E512">
        <f>IF(
  ISNA(
    _xlfn.XLOOKUP(
      payments_raw[[#This Row],[subscription_id]],
      subscriptions[subscription_id],
      subscriptions[subscription_id]
    )
  ),
  0,
  1
)</f>
        <v>1</v>
      </c>
      <c r="F512" s="1">
        <f>_xlfn.XLOOKUP(payments_raw[[#This Row],[subscription_id]], subscriptions[subscription_id], subscriptions[start_date])</f>
        <v>44971</v>
      </c>
      <c r="G5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2" s="2">
        <f>IF(payments_raw[[#This Row],[payment_date]] &lt; payments_raw[[#This Row],[sub_start_date]], 1, 0)</f>
        <v>0</v>
      </c>
      <c r="I512" s="2">
        <f>IF(AND(payments_raw[[#This Row],[sub_end_date]]&lt;&gt;"", payments_raw[[#This Row],[payment_date]] &gt; payments_raw[[#This Row],[sub_end_date]]), 1, 0)</f>
        <v>0</v>
      </c>
      <c r="J512" s="2">
        <f>IF(payments_raw[[#This Row],[amount]] &lt;= 0, 1, 0)</f>
        <v>0</v>
      </c>
      <c r="K5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3" spans="1:11" x14ac:dyDescent="0.3">
      <c r="A513">
        <v>54102252</v>
      </c>
      <c r="B513">
        <v>4293151</v>
      </c>
      <c r="C513" s="1">
        <v>45000</v>
      </c>
      <c r="D513">
        <v>390</v>
      </c>
      <c r="E513">
        <f>IF(
  ISNA(
    _xlfn.XLOOKUP(
      payments_raw[[#This Row],[subscription_id]],
      subscriptions[subscription_id],
      subscriptions[subscription_id]
    )
  ),
  0,
  1
)</f>
        <v>1</v>
      </c>
      <c r="F513" s="1">
        <f>_xlfn.XLOOKUP(payments_raw[[#This Row],[subscription_id]], subscriptions[subscription_id], subscriptions[start_date])</f>
        <v>44819</v>
      </c>
      <c r="G5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3" s="2">
        <f>IF(payments_raw[[#This Row],[payment_date]] &lt; payments_raw[[#This Row],[sub_start_date]], 1, 0)</f>
        <v>0</v>
      </c>
      <c r="I513" s="2">
        <f>IF(AND(payments_raw[[#This Row],[sub_end_date]]&lt;&gt;"", payments_raw[[#This Row],[payment_date]] &gt; payments_raw[[#This Row],[sub_end_date]]), 1, 0)</f>
        <v>0</v>
      </c>
      <c r="J513" s="2">
        <f>IF(payments_raw[[#This Row],[amount]] &lt;= 0, 1, 0)</f>
        <v>0</v>
      </c>
      <c r="K5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4" spans="1:11" x14ac:dyDescent="0.3">
      <c r="A514">
        <v>36878050</v>
      </c>
      <c r="B514">
        <v>8908785</v>
      </c>
      <c r="C514" s="1">
        <v>45340</v>
      </c>
      <c r="D514">
        <v>19</v>
      </c>
      <c r="E514">
        <f>IF(
  ISNA(
    _xlfn.XLOOKUP(
      payments_raw[[#This Row],[subscription_id]],
      subscriptions[subscription_id],
      subscriptions[subscription_id]
    )
  ),
  0,
  1
)</f>
        <v>1</v>
      </c>
      <c r="F514" s="1">
        <f>_xlfn.XLOOKUP(payments_raw[[#This Row],[subscription_id]], subscriptions[subscription_id], subscriptions[start_date])</f>
        <v>45333</v>
      </c>
      <c r="G5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4" s="2">
        <f>IF(payments_raw[[#This Row],[payment_date]] &lt; payments_raw[[#This Row],[sub_start_date]], 1, 0)</f>
        <v>0</v>
      </c>
      <c r="I514" s="2">
        <f>IF(AND(payments_raw[[#This Row],[sub_end_date]]&lt;&gt;"", payments_raw[[#This Row],[payment_date]] &gt; payments_raw[[#This Row],[sub_end_date]]), 1, 0)</f>
        <v>0</v>
      </c>
      <c r="J514" s="2">
        <f>IF(payments_raw[[#This Row],[amount]] &lt;= 0, 1, 0)</f>
        <v>0</v>
      </c>
      <c r="K5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5" spans="1:11" x14ac:dyDescent="0.3">
      <c r="A515">
        <v>20694051</v>
      </c>
      <c r="B515">
        <v>4610191</v>
      </c>
      <c r="C515" s="1">
        <v>45491</v>
      </c>
      <c r="D515">
        <v>1490</v>
      </c>
      <c r="E515">
        <f>IF(
  ISNA(
    _xlfn.XLOOKUP(
      payments_raw[[#This Row],[subscription_id]],
      subscriptions[subscription_id],
      subscriptions[subscription_id]
    )
  ),
  0,
  1
)</f>
        <v>1</v>
      </c>
      <c r="F515" s="1">
        <f>_xlfn.XLOOKUP(payments_raw[[#This Row],[subscription_id]], subscriptions[subscription_id], subscriptions[start_date])</f>
        <v>45323</v>
      </c>
      <c r="G5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5" s="2">
        <f>IF(payments_raw[[#This Row],[payment_date]] &lt; payments_raw[[#This Row],[sub_start_date]], 1, 0)</f>
        <v>0</v>
      </c>
      <c r="I515" s="2">
        <f>IF(AND(payments_raw[[#This Row],[sub_end_date]]&lt;&gt;"", payments_raw[[#This Row],[payment_date]] &gt; payments_raw[[#This Row],[sub_end_date]]), 1, 0)</f>
        <v>0</v>
      </c>
      <c r="J515" s="2">
        <f>IF(payments_raw[[#This Row],[amount]] &lt;= 0, 1, 0)</f>
        <v>0</v>
      </c>
      <c r="K5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6" spans="1:11" x14ac:dyDescent="0.3">
      <c r="A516">
        <v>74406325</v>
      </c>
      <c r="B516">
        <v>1133260</v>
      </c>
      <c r="C516" s="1">
        <v>44883</v>
      </c>
      <c r="D516">
        <v>71.099999999999994</v>
      </c>
      <c r="E516">
        <f>IF(
  ISNA(
    _xlfn.XLOOKUP(
      payments_raw[[#This Row],[subscription_id]],
      subscriptions[subscription_id],
      subscriptions[subscription_id]
    )
  ),
  0,
  1
)</f>
        <v>1</v>
      </c>
      <c r="F516" s="1">
        <f>_xlfn.XLOOKUP(payments_raw[[#This Row],[subscription_id]], subscriptions[subscription_id], subscriptions[start_date])</f>
        <v>44878</v>
      </c>
      <c r="G5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45056</v>
      </c>
      <c r="H516" s="2">
        <f>IF(payments_raw[[#This Row],[payment_date]] &lt; payments_raw[[#This Row],[sub_start_date]], 1, 0)</f>
        <v>0</v>
      </c>
      <c r="I516" s="2">
        <f>IF(AND(payments_raw[[#This Row],[sub_end_date]]&lt;&gt;"", payments_raw[[#This Row],[payment_date]] &gt; payments_raw[[#This Row],[sub_end_date]]), 1, 0)</f>
        <v>0</v>
      </c>
      <c r="J516" s="2">
        <f>IF(payments_raw[[#This Row],[amount]] &lt;= 0, 1, 0)</f>
        <v>0</v>
      </c>
      <c r="K5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7" spans="1:11" x14ac:dyDescent="0.3">
      <c r="A517">
        <v>44654107</v>
      </c>
      <c r="B517">
        <v>3400426</v>
      </c>
      <c r="C517" s="1">
        <v>45421</v>
      </c>
      <c r="D517">
        <v>39</v>
      </c>
      <c r="E517">
        <f>IF(
  ISNA(
    _xlfn.XLOOKUP(
      payments_raw[[#This Row],[subscription_id]],
      subscriptions[subscription_id],
      subscriptions[subscription_id]
    )
  ),
  0,
  1
)</f>
        <v>1</v>
      </c>
      <c r="F517" s="1">
        <f>_xlfn.XLOOKUP(payments_raw[[#This Row],[subscription_id]], subscriptions[subscription_id], subscriptions[start_date])</f>
        <v>45335</v>
      </c>
      <c r="G5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517" s="2">
        <f>IF(payments_raw[[#This Row],[payment_date]] &lt; payments_raw[[#This Row],[sub_start_date]], 1, 0)</f>
        <v>0</v>
      </c>
      <c r="I517" s="2">
        <f>IF(AND(payments_raw[[#This Row],[sub_end_date]]&lt;&gt;"", payments_raw[[#This Row],[payment_date]] &gt; payments_raw[[#This Row],[sub_end_date]]), 1, 0)</f>
        <v>0</v>
      </c>
      <c r="J517" s="2">
        <f>IF(payments_raw[[#This Row],[amount]] &lt;= 0, 1, 0)</f>
        <v>0</v>
      </c>
      <c r="K5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8" spans="1:11" x14ac:dyDescent="0.3">
      <c r="A518">
        <v>44506369</v>
      </c>
      <c r="B518">
        <v>8612879</v>
      </c>
      <c r="C518" s="1">
        <v>45220</v>
      </c>
      <c r="D518">
        <v>390</v>
      </c>
      <c r="E518">
        <f>IF(
  ISNA(
    _xlfn.XLOOKUP(
      payments_raw[[#This Row],[subscription_id]],
      subscriptions[subscription_id],
      subscriptions[subscription_id]
    )
  ),
  0,
  1
)</f>
        <v>1</v>
      </c>
      <c r="F518" s="1">
        <f>_xlfn.XLOOKUP(payments_raw[[#This Row],[subscription_id]], subscriptions[subscription_id], subscriptions[start_date])</f>
        <v>44795</v>
      </c>
      <c r="G5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18" s="2">
        <f>IF(payments_raw[[#This Row],[payment_date]] &lt; payments_raw[[#This Row],[sub_start_date]], 1, 0)</f>
        <v>0</v>
      </c>
      <c r="I518" s="2">
        <f>IF(AND(payments_raw[[#This Row],[sub_end_date]]&lt;&gt;"", payments_raw[[#This Row],[payment_date]] &gt; payments_raw[[#This Row],[sub_end_date]]), 1, 0)</f>
        <v>0</v>
      </c>
      <c r="J518" s="2">
        <f>IF(payments_raw[[#This Row],[amount]] &lt;= 0, 1, 0)</f>
        <v>0</v>
      </c>
      <c r="K5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19" spans="1:11" x14ac:dyDescent="0.3">
      <c r="A519">
        <v>67237068</v>
      </c>
      <c r="B519">
        <v>4415085</v>
      </c>
      <c r="C519" s="1">
        <v>44946</v>
      </c>
      <c r="D519">
        <v>19</v>
      </c>
      <c r="E519">
        <f>IF(
  ISNA(
    _xlfn.XLOOKUP(
      payments_raw[[#This Row],[subscription_id]],
      subscriptions[subscription_id],
      subscriptions[subscription_id]
    )
  ),
  0,
  1
)</f>
        <v>1</v>
      </c>
      <c r="F519" s="1">
        <f>_xlfn.XLOOKUP(payments_raw[[#This Row],[subscription_id]], subscriptions[subscription_id], subscriptions[start_date])</f>
        <v>44842</v>
      </c>
      <c r="G5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519" s="2">
        <f>IF(payments_raw[[#This Row],[payment_date]] &lt; payments_raw[[#This Row],[sub_start_date]], 1, 0)</f>
        <v>0</v>
      </c>
      <c r="I519" s="2">
        <f>IF(AND(payments_raw[[#This Row],[sub_end_date]]&lt;&gt;"", payments_raw[[#This Row],[payment_date]] &gt; payments_raw[[#This Row],[sub_end_date]]), 1, 0)</f>
        <v>0</v>
      </c>
      <c r="J519" s="2">
        <f>IF(payments_raw[[#This Row],[amount]] &lt;= 0, 1, 0)</f>
        <v>0</v>
      </c>
      <c r="K5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0" spans="1:11" x14ac:dyDescent="0.3">
      <c r="A520">
        <v>58510263</v>
      </c>
      <c r="B520">
        <v>1163307</v>
      </c>
      <c r="C520" s="1">
        <v>45332</v>
      </c>
      <c r="D520">
        <v>79</v>
      </c>
      <c r="E520">
        <f>IF(
  ISNA(
    _xlfn.XLOOKUP(
      payments_raw[[#This Row],[subscription_id]],
      subscriptions[subscription_id],
      subscriptions[subscription_id]
    )
  ),
  0,
  1
)</f>
        <v>1</v>
      </c>
      <c r="F520" s="1">
        <f>_xlfn.XLOOKUP(payments_raw[[#This Row],[subscription_id]], subscriptions[subscription_id], subscriptions[start_date])</f>
        <v>45283</v>
      </c>
      <c r="G5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45611</v>
      </c>
      <c r="H520" s="2">
        <f>IF(payments_raw[[#This Row],[payment_date]] &lt; payments_raw[[#This Row],[sub_start_date]], 1, 0)</f>
        <v>0</v>
      </c>
      <c r="I520" s="2">
        <f>IF(AND(payments_raw[[#This Row],[sub_end_date]]&lt;&gt;"", payments_raw[[#This Row],[payment_date]] &gt; payments_raw[[#This Row],[sub_end_date]]), 1, 0)</f>
        <v>0</v>
      </c>
      <c r="J520" s="2">
        <f>IF(payments_raw[[#This Row],[amount]] &lt;= 0, 1, 0)</f>
        <v>0</v>
      </c>
      <c r="K5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1" spans="1:11" x14ac:dyDescent="0.3">
      <c r="A521">
        <v>48759195</v>
      </c>
      <c r="B521">
        <v>3981886</v>
      </c>
      <c r="C521" s="1">
        <v>45408</v>
      </c>
      <c r="D521">
        <v>149</v>
      </c>
      <c r="E521">
        <f>IF(
  ISNA(
    _xlfn.XLOOKUP(
      payments_raw[[#This Row],[subscription_id]],
      subscriptions[subscription_id],
      subscriptions[subscription_id]
    )
  ),
  0,
  1
)</f>
        <v>1</v>
      </c>
      <c r="F521" s="1">
        <f>_xlfn.XLOOKUP(payments_raw[[#This Row],[subscription_id]], subscriptions[subscription_id], subscriptions[start_date])</f>
        <v>45369</v>
      </c>
      <c r="G5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521" s="2">
        <f>IF(payments_raw[[#This Row],[payment_date]] &lt; payments_raw[[#This Row],[sub_start_date]], 1, 0)</f>
        <v>0</v>
      </c>
      <c r="I521" s="2">
        <f>IF(AND(payments_raw[[#This Row],[sub_end_date]]&lt;&gt;"", payments_raw[[#This Row],[payment_date]] &gt; payments_raw[[#This Row],[sub_end_date]]), 1, 0)</f>
        <v>0</v>
      </c>
      <c r="J521" s="2">
        <f>IF(payments_raw[[#This Row],[amount]] &lt;= 0, 1, 0)</f>
        <v>0</v>
      </c>
      <c r="K5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2" spans="1:11" x14ac:dyDescent="0.3">
      <c r="A522">
        <v>83642672</v>
      </c>
      <c r="B522">
        <v>8680384</v>
      </c>
      <c r="C522" s="1">
        <v>45590</v>
      </c>
      <c r="D522">
        <v>39.5</v>
      </c>
      <c r="E522">
        <f>IF(
  ISNA(
    _xlfn.XLOOKUP(
      payments_raw[[#This Row],[subscription_id]],
      subscriptions[subscription_id],
      subscriptions[subscription_id]
    )
  ),
  0,
  1
)</f>
        <v>1</v>
      </c>
      <c r="F522" s="1">
        <f>_xlfn.XLOOKUP(payments_raw[[#This Row],[subscription_id]], subscriptions[subscription_id], subscriptions[start_date])</f>
        <v>44936</v>
      </c>
      <c r="G5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22" s="2">
        <f>IF(payments_raw[[#This Row],[payment_date]] &lt; payments_raw[[#This Row],[sub_start_date]], 1, 0)</f>
        <v>0</v>
      </c>
      <c r="I522" s="2">
        <f>IF(AND(payments_raw[[#This Row],[sub_end_date]]&lt;&gt;"", payments_raw[[#This Row],[payment_date]] &gt; payments_raw[[#This Row],[sub_end_date]]), 1, 0)</f>
        <v>0</v>
      </c>
      <c r="J522" s="2">
        <f>IF(payments_raw[[#This Row],[amount]] &lt;= 0, 1, 0)</f>
        <v>0</v>
      </c>
      <c r="K5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3" spans="1:11" x14ac:dyDescent="0.3">
      <c r="A523">
        <v>26299519</v>
      </c>
      <c r="B523">
        <v>8046664</v>
      </c>
      <c r="C523" s="1">
        <v>45381</v>
      </c>
      <c r="D523">
        <v>39</v>
      </c>
      <c r="E523">
        <f>IF(
  ISNA(
    _xlfn.XLOOKUP(
      payments_raw[[#This Row],[subscription_id]],
      subscriptions[subscription_id],
      subscriptions[subscription_id]
    )
  ),
  0,
  1
)</f>
        <v>1</v>
      </c>
      <c r="F523" s="1">
        <f>_xlfn.XLOOKUP(payments_raw[[#This Row],[subscription_id]], subscriptions[subscription_id], subscriptions[start_date])</f>
        <v>45381</v>
      </c>
      <c r="G5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45462</v>
      </c>
      <c r="H523" s="2">
        <f>IF(payments_raw[[#This Row],[payment_date]] &lt; payments_raw[[#This Row],[sub_start_date]], 1, 0)</f>
        <v>0</v>
      </c>
      <c r="I523" s="2">
        <f>IF(AND(payments_raw[[#This Row],[sub_end_date]]&lt;&gt;"", payments_raw[[#This Row],[payment_date]] &gt; payments_raw[[#This Row],[sub_end_date]]), 1, 0)</f>
        <v>0</v>
      </c>
      <c r="J523" s="2">
        <f>IF(payments_raw[[#This Row],[amount]] &lt;= 0, 1, 0)</f>
        <v>0</v>
      </c>
      <c r="K5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4" spans="1:11" x14ac:dyDescent="0.3">
      <c r="A524">
        <v>18855990</v>
      </c>
      <c r="B524">
        <v>5346875</v>
      </c>
      <c r="C524" s="1">
        <v>45595</v>
      </c>
      <c r="D524">
        <v>790</v>
      </c>
      <c r="E524">
        <f>IF(
  ISNA(
    _xlfn.XLOOKUP(
      payments_raw[[#This Row],[subscription_id]],
      subscriptions[subscription_id],
      subscriptions[subscription_id]
    )
  ),
  0,
  1
)</f>
        <v>1</v>
      </c>
      <c r="F524" s="1">
        <f>_xlfn.XLOOKUP(payments_raw[[#This Row],[subscription_id]], subscriptions[subscription_id], subscriptions[start_date])</f>
        <v>44798</v>
      </c>
      <c r="G5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24" s="2">
        <f>IF(payments_raw[[#This Row],[payment_date]] &lt; payments_raw[[#This Row],[sub_start_date]], 1, 0)</f>
        <v>0</v>
      </c>
      <c r="I524" s="2">
        <f>IF(AND(payments_raw[[#This Row],[sub_end_date]]&lt;&gt;"", payments_raw[[#This Row],[payment_date]] &gt; payments_raw[[#This Row],[sub_end_date]]), 1, 0)</f>
        <v>0</v>
      </c>
      <c r="J524" s="2">
        <f>IF(payments_raw[[#This Row],[amount]] &lt;= 0, 1, 0)</f>
        <v>0</v>
      </c>
      <c r="K5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5" spans="1:11" x14ac:dyDescent="0.3">
      <c r="A525">
        <v>46245645</v>
      </c>
      <c r="B525">
        <v>9214437</v>
      </c>
      <c r="C525" s="1">
        <v>44940</v>
      </c>
      <c r="D525">
        <v>19</v>
      </c>
      <c r="E525">
        <f>IF(
  ISNA(
    _xlfn.XLOOKUP(
      payments_raw[[#This Row],[subscription_id]],
      subscriptions[subscription_id],
      subscriptions[subscription_id]
    )
  ),
  0,
  1
)</f>
        <v>1</v>
      </c>
      <c r="F525" s="1">
        <f>_xlfn.XLOOKUP(payments_raw[[#This Row],[subscription_id]], subscriptions[subscription_id], subscriptions[start_date])</f>
        <v>44757</v>
      </c>
      <c r="G5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25" s="2">
        <f>IF(payments_raw[[#This Row],[payment_date]] &lt; payments_raw[[#This Row],[sub_start_date]], 1, 0)</f>
        <v>0</v>
      </c>
      <c r="I525" s="2">
        <f>IF(AND(payments_raw[[#This Row],[sub_end_date]]&lt;&gt;"", payments_raw[[#This Row],[payment_date]] &gt; payments_raw[[#This Row],[sub_end_date]]), 1, 0)</f>
        <v>0</v>
      </c>
      <c r="J525" s="2">
        <f>IF(payments_raw[[#This Row],[amount]] &lt;= 0, 1, 0)</f>
        <v>0</v>
      </c>
      <c r="K5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6" spans="1:11" x14ac:dyDescent="0.3">
      <c r="A526">
        <v>70571332</v>
      </c>
      <c r="B526">
        <v>2921009</v>
      </c>
      <c r="C526" s="1">
        <v>45005</v>
      </c>
      <c r="D526">
        <v>2990</v>
      </c>
      <c r="E526">
        <f>IF(
  ISNA(
    _xlfn.XLOOKUP(
      payments_raw[[#This Row],[subscription_id]],
      subscriptions[subscription_id],
      subscriptions[subscription_id]
    )
  ),
  0,
  1
)</f>
        <v>1</v>
      </c>
      <c r="F526" s="1">
        <f>_xlfn.XLOOKUP(payments_raw[[#This Row],[subscription_id]], subscriptions[subscription_id], subscriptions[start_date])</f>
        <v>44962</v>
      </c>
      <c r="G5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45055</v>
      </c>
      <c r="H526" s="2">
        <f>IF(payments_raw[[#This Row],[payment_date]] &lt; payments_raw[[#This Row],[sub_start_date]], 1, 0)</f>
        <v>0</v>
      </c>
      <c r="I526" s="2">
        <f>IF(AND(payments_raw[[#This Row],[sub_end_date]]&lt;&gt;"", payments_raw[[#This Row],[payment_date]] &gt; payments_raw[[#This Row],[sub_end_date]]), 1, 0)</f>
        <v>0</v>
      </c>
      <c r="J526" s="2">
        <f>IF(payments_raw[[#This Row],[amount]] &lt;= 0, 1, 0)</f>
        <v>0</v>
      </c>
      <c r="K5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7" spans="1:11" x14ac:dyDescent="0.3">
      <c r="A527">
        <v>81751708</v>
      </c>
      <c r="B527">
        <v>6362719</v>
      </c>
      <c r="C527" s="1">
        <v>45368</v>
      </c>
      <c r="D527">
        <v>1490</v>
      </c>
      <c r="E527">
        <f>IF(
  ISNA(
    _xlfn.XLOOKUP(
      payments_raw[[#This Row],[subscription_id]],
      subscriptions[subscription_id],
      subscriptions[subscription_id]
    )
  ),
  0,
  1
)</f>
        <v>1</v>
      </c>
      <c r="F527" s="1">
        <f>_xlfn.XLOOKUP(payments_raw[[#This Row],[subscription_id]], subscriptions[subscription_id], subscriptions[start_date])</f>
        <v>45309</v>
      </c>
      <c r="G5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527" s="2">
        <f>IF(payments_raw[[#This Row],[payment_date]] &lt; payments_raw[[#This Row],[sub_start_date]], 1, 0)</f>
        <v>0</v>
      </c>
      <c r="I527" s="2">
        <f>IF(AND(payments_raw[[#This Row],[sub_end_date]]&lt;&gt;"", payments_raw[[#This Row],[payment_date]] &gt; payments_raw[[#This Row],[sub_end_date]]), 1, 0)</f>
        <v>0</v>
      </c>
      <c r="J527" s="2">
        <f>IF(payments_raw[[#This Row],[amount]] &lt;= 0, 1, 0)</f>
        <v>0</v>
      </c>
      <c r="K5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8" spans="1:11" x14ac:dyDescent="0.3">
      <c r="A528">
        <v>74591190</v>
      </c>
      <c r="B528">
        <v>6901033</v>
      </c>
      <c r="C528" s="1">
        <v>45454</v>
      </c>
      <c r="D528">
        <v>190</v>
      </c>
      <c r="E528">
        <f>IF(
  ISNA(
    _xlfn.XLOOKUP(
      payments_raw[[#This Row],[subscription_id]],
      subscriptions[subscription_id],
      subscriptions[subscription_id]
    )
  ),
  0,
  1
)</f>
        <v>1</v>
      </c>
      <c r="F528" s="1">
        <f>_xlfn.XLOOKUP(payments_raw[[#This Row],[subscription_id]], subscriptions[subscription_id], subscriptions[start_date])</f>
        <v>45283</v>
      </c>
      <c r="G5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528" s="2">
        <f>IF(payments_raw[[#This Row],[payment_date]] &lt; payments_raw[[#This Row],[sub_start_date]], 1, 0)</f>
        <v>0</v>
      </c>
      <c r="I528" s="2">
        <f>IF(AND(payments_raw[[#This Row],[sub_end_date]]&lt;&gt;"", payments_raw[[#This Row],[payment_date]] &gt; payments_raw[[#This Row],[sub_end_date]]), 1, 0)</f>
        <v>0</v>
      </c>
      <c r="J528" s="2">
        <f>IF(payments_raw[[#This Row],[amount]] &lt;= 0, 1, 0)</f>
        <v>0</v>
      </c>
      <c r="K5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29" spans="1:11" x14ac:dyDescent="0.3">
      <c r="A529">
        <v>21176055</v>
      </c>
      <c r="B529">
        <v>5812771</v>
      </c>
      <c r="C529" s="1">
        <v>45010</v>
      </c>
      <c r="D529">
        <v>149</v>
      </c>
      <c r="E529">
        <f>IF(
  ISNA(
    _xlfn.XLOOKUP(
      payments_raw[[#This Row],[subscription_id]],
      subscriptions[subscription_id],
      subscriptions[subscription_id]
    )
  ),
  0,
  1
)</f>
        <v>1</v>
      </c>
      <c r="F529" s="1">
        <f>_xlfn.XLOOKUP(payments_raw[[#This Row],[subscription_id]], subscriptions[subscription_id], subscriptions[start_date])</f>
        <v>44919</v>
      </c>
      <c r="G5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529" s="2">
        <f>IF(payments_raw[[#This Row],[payment_date]] &lt; payments_raw[[#This Row],[sub_start_date]], 1, 0)</f>
        <v>0</v>
      </c>
      <c r="I529" s="2">
        <f>IF(AND(payments_raw[[#This Row],[sub_end_date]]&lt;&gt;"", payments_raw[[#This Row],[payment_date]] &gt; payments_raw[[#This Row],[sub_end_date]]), 1, 0)</f>
        <v>0</v>
      </c>
      <c r="J529" s="2">
        <f>IF(payments_raw[[#This Row],[amount]] &lt;= 0, 1, 0)</f>
        <v>0</v>
      </c>
      <c r="K5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0" spans="1:11" x14ac:dyDescent="0.3">
      <c r="A530">
        <v>57411092</v>
      </c>
      <c r="B530">
        <v>5937884</v>
      </c>
      <c r="C530" s="1">
        <v>45540</v>
      </c>
      <c r="D530">
        <v>1490</v>
      </c>
      <c r="E530">
        <f>IF(
  ISNA(
    _xlfn.XLOOKUP(
      payments_raw[[#This Row],[subscription_id]],
      subscriptions[subscription_id],
      subscriptions[subscription_id]
    )
  ),
  0,
  1
)</f>
        <v>1</v>
      </c>
      <c r="F530" s="1">
        <f>_xlfn.XLOOKUP(payments_raw[[#This Row],[subscription_id]], subscriptions[subscription_id], subscriptions[start_date])</f>
        <v>45518</v>
      </c>
      <c r="G5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530" s="2">
        <f>IF(payments_raw[[#This Row],[payment_date]] &lt; payments_raw[[#This Row],[sub_start_date]], 1, 0)</f>
        <v>0</v>
      </c>
      <c r="I530" s="2">
        <f>IF(AND(payments_raw[[#This Row],[sub_end_date]]&lt;&gt;"", payments_raw[[#This Row],[payment_date]] &gt; payments_raw[[#This Row],[sub_end_date]]), 1, 0)</f>
        <v>0</v>
      </c>
      <c r="J530" s="2">
        <f>IF(payments_raw[[#This Row],[amount]] &lt;= 0, 1, 0)</f>
        <v>0</v>
      </c>
      <c r="K5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1" spans="1:11" x14ac:dyDescent="0.3">
      <c r="A531">
        <v>35407437</v>
      </c>
      <c r="B531">
        <v>6290464</v>
      </c>
      <c r="C531" s="1">
        <v>45097</v>
      </c>
      <c r="D531">
        <v>149</v>
      </c>
      <c r="E531">
        <f>IF(
  ISNA(
    _xlfn.XLOOKUP(
      payments_raw[[#This Row],[subscription_id]],
      subscriptions[subscription_id],
      subscriptions[subscription_id]
    )
  ),
  0,
  1
)</f>
        <v>1</v>
      </c>
      <c r="F531" s="1">
        <f>_xlfn.XLOOKUP(payments_raw[[#This Row],[subscription_id]], subscriptions[subscription_id], subscriptions[start_date])</f>
        <v>45033</v>
      </c>
      <c r="G5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45166</v>
      </c>
      <c r="H531" s="2">
        <f>IF(payments_raw[[#This Row],[payment_date]] &lt; payments_raw[[#This Row],[sub_start_date]], 1, 0)</f>
        <v>0</v>
      </c>
      <c r="I531" s="2">
        <f>IF(AND(payments_raw[[#This Row],[sub_end_date]]&lt;&gt;"", payments_raw[[#This Row],[payment_date]] &gt; payments_raw[[#This Row],[sub_end_date]]), 1, 0)</f>
        <v>0</v>
      </c>
      <c r="J531" s="2">
        <f>IF(payments_raw[[#This Row],[amount]] &lt;= 0, 1, 0)</f>
        <v>0</v>
      </c>
      <c r="K5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2" spans="1:11" x14ac:dyDescent="0.3">
      <c r="A532">
        <v>93260889</v>
      </c>
      <c r="B532">
        <v>5021865</v>
      </c>
      <c r="C532" s="1">
        <v>45104</v>
      </c>
      <c r="D532">
        <v>39</v>
      </c>
      <c r="E532">
        <f>IF(
  ISNA(
    _xlfn.XLOOKUP(
      payments_raw[[#This Row],[subscription_id]],
      subscriptions[subscription_id],
      subscriptions[subscription_id]
    )
  ),
  0,
  1
)</f>
        <v>1</v>
      </c>
      <c r="F532" s="1">
        <f>_xlfn.XLOOKUP(payments_raw[[#This Row],[subscription_id]], subscriptions[subscription_id], subscriptions[start_date])</f>
        <v>45016</v>
      </c>
      <c r="G5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2" s="2">
        <f>IF(payments_raw[[#This Row],[payment_date]] &lt; payments_raw[[#This Row],[sub_start_date]], 1, 0)</f>
        <v>0</v>
      </c>
      <c r="I532" s="2">
        <f>IF(AND(payments_raw[[#This Row],[sub_end_date]]&lt;&gt;"", payments_raw[[#This Row],[payment_date]] &gt; payments_raw[[#This Row],[sub_end_date]]), 1, 0)</f>
        <v>0</v>
      </c>
      <c r="J532" s="2">
        <f>IF(payments_raw[[#This Row],[amount]] &lt;= 0, 1, 0)</f>
        <v>0</v>
      </c>
      <c r="K5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3" spans="1:11" x14ac:dyDescent="0.3">
      <c r="A533">
        <v>31782481</v>
      </c>
      <c r="B533">
        <v>8769633</v>
      </c>
      <c r="C533" s="1">
        <v>44741</v>
      </c>
      <c r="D533">
        <v>149</v>
      </c>
      <c r="E533">
        <f>IF(
  ISNA(
    _xlfn.XLOOKUP(
      payments_raw[[#This Row],[subscription_id]],
      subscriptions[subscription_id],
      subscriptions[subscription_id]
    )
  ),
  0,
  1
)</f>
        <v>1</v>
      </c>
      <c r="F533" s="1">
        <f>_xlfn.XLOOKUP(payments_raw[[#This Row],[subscription_id]], subscriptions[subscription_id], subscriptions[start_date])</f>
        <v>44723</v>
      </c>
      <c r="G53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44800</v>
      </c>
      <c r="H533" s="2">
        <f>IF(payments_raw[[#This Row],[payment_date]] &lt; payments_raw[[#This Row],[sub_start_date]], 1, 0)</f>
        <v>0</v>
      </c>
      <c r="I533" s="2">
        <f>IF(AND(payments_raw[[#This Row],[sub_end_date]]&lt;&gt;"", payments_raw[[#This Row],[payment_date]] &gt; payments_raw[[#This Row],[sub_end_date]]), 1, 0)</f>
        <v>0</v>
      </c>
      <c r="J533" s="2">
        <f>IF(payments_raw[[#This Row],[amount]] &lt;= 0, 1, 0)</f>
        <v>0</v>
      </c>
      <c r="K5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4" spans="1:11" x14ac:dyDescent="0.3">
      <c r="A534">
        <v>80073291</v>
      </c>
      <c r="B534">
        <v>7725530</v>
      </c>
      <c r="C534" s="1">
        <v>45586</v>
      </c>
      <c r="D534">
        <v>2990</v>
      </c>
      <c r="E534">
        <f>IF(
  ISNA(
    _xlfn.XLOOKUP(
      payments_raw[[#This Row],[subscription_id]],
      subscriptions[subscription_id],
      subscriptions[subscription_id]
    )
  ),
  0,
  1
)</f>
        <v>1</v>
      </c>
      <c r="F534" s="1">
        <f>_xlfn.XLOOKUP(payments_raw[[#This Row],[subscription_id]], subscriptions[subscription_id], subscriptions[start_date])</f>
        <v>45169</v>
      </c>
      <c r="G5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4" s="2">
        <f>IF(payments_raw[[#This Row],[payment_date]] &lt; payments_raw[[#This Row],[sub_start_date]], 1, 0)</f>
        <v>0</v>
      </c>
      <c r="I534" s="2">
        <f>IF(AND(payments_raw[[#This Row],[sub_end_date]]&lt;&gt;"", payments_raw[[#This Row],[payment_date]] &gt; payments_raw[[#This Row],[sub_end_date]]), 1, 0)</f>
        <v>0</v>
      </c>
      <c r="J534" s="2">
        <f>IF(payments_raw[[#This Row],[amount]] &lt;= 0, 1, 0)</f>
        <v>0</v>
      </c>
      <c r="K5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5" spans="1:11" x14ac:dyDescent="0.3">
      <c r="A535">
        <v>36061115</v>
      </c>
      <c r="B535">
        <v>6293212</v>
      </c>
      <c r="C535" s="1">
        <v>45598</v>
      </c>
      <c r="D535">
        <v>299</v>
      </c>
      <c r="E535">
        <f>IF(
  ISNA(
    _xlfn.XLOOKUP(
      payments_raw[[#This Row],[subscription_id]],
      subscriptions[subscription_id],
      subscriptions[subscription_id]
    )
  ),
  0,
  1
)</f>
        <v>1</v>
      </c>
      <c r="F535" s="1">
        <f>_xlfn.XLOOKUP(payments_raw[[#This Row],[subscription_id]], subscriptions[subscription_id], subscriptions[start_date])</f>
        <v>45476</v>
      </c>
      <c r="G5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5" s="2">
        <f>IF(payments_raw[[#This Row],[payment_date]] &lt; payments_raw[[#This Row],[sub_start_date]], 1, 0)</f>
        <v>0</v>
      </c>
      <c r="I535" s="2">
        <f>IF(AND(payments_raw[[#This Row],[sub_end_date]]&lt;&gt;"", payments_raw[[#This Row],[payment_date]] &gt; payments_raw[[#This Row],[sub_end_date]]), 1, 0)</f>
        <v>0</v>
      </c>
      <c r="J535" s="2">
        <f>IF(payments_raw[[#This Row],[amount]] &lt;= 0, 1, 0)</f>
        <v>0</v>
      </c>
      <c r="K5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6" spans="1:11" x14ac:dyDescent="0.3">
      <c r="A536">
        <v>94767925</v>
      </c>
      <c r="B536">
        <v>4096510</v>
      </c>
      <c r="C536" s="1">
        <v>45454</v>
      </c>
      <c r="D536">
        <v>292.5</v>
      </c>
      <c r="E536">
        <f>IF(
  ISNA(
    _xlfn.XLOOKUP(
      payments_raw[[#This Row],[subscription_id]],
      subscriptions[subscription_id],
      subscriptions[subscription_id]
    )
  ),
  0,
  1
)</f>
        <v>1</v>
      </c>
      <c r="F536" s="1">
        <f>_xlfn.XLOOKUP(payments_raw[[#This Row],[subscription_id]], subscriptions[subscription_id], subscriptions[start_date])</f>
        <v>45095</v>
      </c>
      <c r="G5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6" s="2">
        <f>IF(payments_raw[[#This Row],[payment_date]] &lt; payments_raw[[#This Row],[sub_start_date]], 1, 0)</f>
        <v>0</v>
      </c>
      <c r="I536" s="2">
        <f>IF(AND(payments_raw[[#This Row],[sub_end_date]]&lt;&gt;"", payments_raw[[#This Row],[payment_date]] &gt; payments_raw[[#This Row],[sub_end_date]]), 1, 0)</f>
        <v>0</v>
      </c>
      <c r="J536" s="2">
        <f>IF(payments_raw[[#This Row],[amount]] &lt;= 0, 1, 0)</f>
        <v>0</v>
      </c>
      <c r="K5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7" spans="1:11" x14ac:dyDescent="0.3">
      <c r="A537">
        <v>68035954</v>
      </c>
      <c r="B537">
        <v>1154157</v>
      </c>
      <c r="C537" s="1">
        <v>45531</v>
      </c>
      <c r="D537">
        <v>790</v>
      </c>
      <c r="E537">
        <f>IF(
  ISNA(
    _xlfn.XLOOKUP(
      payments_raw[[#This Row],[subscription_id]],
      subscriptions[subscription_id],
      subscriptions[subscription_id]
    )
  ),
  0,
  1
)</f>
        <v>1</v>
      </c>
      <c r="F537" s="1">
        <f>_xlfn.XLOOKUP(payments_raw[[#This Row],[subscription_id]], subscriptions[subscription_id], subscriptions[start_date])</f>
        <v>45505</v>
      </c>
      <c r="G5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7" s="2">
        <f>IF(payments_raw[[#This Row],[payment_date]] &lt; payments_raw[[#This Row],[sub_start_date]], 1, 0)</f>
        <v>0</v>
      </c>
      <c r="I537" s="2">
        <f>IF(AND(payments_raw[[#This Row],[sub_end_date]]&lt;&gt;"", payments_raw[[#This Row],[payment_date]] &gt; payments_raw[[#This Row],[sub_end_date]]), 1, 0)</f>
        <v>0</v>
      </c>
      <c r="J537" s="2">
        <f>IF(payments_raw[[#This Row],[amount]] &lt;= 0, 1, 0)</f>
        <v>0</v>
      </c>
      <c r="K5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8" spans="1:11" x14ac:dyDescent="0.3">
      <c r="A538">
        <v>64017185</v>
      </c>
      <c r="B538">
        <v>6819465</v>
      </c>
      <c r="C538" s="1">
        <v>45589</v>
      </c>
      <c r="D538">
        <v>299</v>
      </c>
      <c r="E538">
        <f>IF(
  ISNA(
    _xlfn.XLOOKUP(
      payments_raw[[#This Row],[subscription_id]],
      subscriptions[subscription_id],
      subscriptions[subscription_id]
    )
  ),
  0,
  1
)</f>
        <v>1</v>
      </c>
      <c r="F538" s="1">
        <f>_xlfn.XLOOKUP(payments_raw[[#This Row],[subscription_id]], subscriptions[subscription_id], subscriptions[start_date])</f>
        <v>45562</v>
      </c>
      <c r="G5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538" s="2">
        <f>IF(payments_raw[[#This Row],[payment_date]] &lt; payments_raw[[#This Row],[sub_start_date]], 1, 0)</f>
        <v>0</v>
      </c>
      <c r="I538" s="2">
        <f>IF(AND(payments_raw[[#This Row],[sub_end_date]]&lt;&gt;"", payments_raw[[#This Row],[payment_date]] &gt; payments_raw[[#This Row],[sub_end_date]]), 1, 0)</f>
        <v>0</v>
      </c>
      <c r="J538" s="2">
        <f>IF(payments_raw[[#This Row],[amount]] &lt;= 0, 1, 0)</f>
        <v>0</v>
      </c>
      <c r="K5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39" spans="1:11" x14ac:dyDescent="0.3">
      <c r="A539">
        <v>93359286</v>
      </c>
      <c r="B539">
        <v>8014552</v>
      </c>
      <c r="C539" s="1">
        <v>45581</v>
      </c>
      <c r="D539">
        <v>790</v>
      </c>
      <c r="E539">
        <f>IF(
  ISNA(
    _xlfn.XLOOKUP(
      payments_raw[[#This Row],[subscription_id]],
      subscriptions[subscription_id],
      subscriptions[subscription_id]
    )
  ),
  0,
  1
)</f>
        <v>1</v>
      </c>
      <c r="F539" s="1">
        <f>_xlfn.XLOOKUP(payments_raw[[#This Row],[subscription_id]], subscriptions[subscription_id], subscriptions[start_date])</f>
        <v>45418</v>
      </c>
      <c r="G5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39" s="2">
        <f>IF(payments_raw[[#This Row],[payment_date]] &lt; payments_raw[[#This Row],[sub_start_date]], 1, 0)</f>
        <v>0</v>
      </c>
      <c r="I539" s="2">
        <f>IF(AND(payments_raw[[#This Row],[sub_end_date]]&lt;&gt;"", payments_raw[[#This Row],[payment_date]] &gt; payments_raw[[#This Row],[sub_end_date]]), 1, 0)</f>
        <v>0</v>
      </c>
      <c r="J539" s="2">
        <f>IF(payments_raw[[#This Row],[amount]] &lt;= 0, 1, 0)</f>
        <v>0</v>
      </c>
      <c r="K5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0" spans="1:11" x14ac:dyDescent="0.3">
      <c r="A540">
        <v>88699165</v>
      </c>
      <c r="B540">
        <v>6938019</v>
      </c>
      <c r="C540" s="1">
        <v>45589</v>
      </c>
      <c r="D540">
        <v>1490</v>
      </c>
      <c r="E540">
        <f>IF(
  ISNA(
    _xlfn.XLOOKUP(
      payments_raw[[#This Row],[subscription_id]],
      subscriptions[subscription_id],
      subscriptions[subscription_id]
    )
  ),
  0,
  1
)</f>
        <v>1</v>
      </c>
      <c r="F540" s="1">
        <f>_xlfn.XLOOKUP(payments_raw[[#This Row],[subscription_id]], subscriptions[subscription_id], subscriptions[start_date])</f>
        <v>45207</v>
      </c>
      <c r="G5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0" s="2">
        <f>IF(payments_raw[[#This Row],[payment_date]] &lt; payments_raw[[#This Row],[sub_start_date]], 1, 0)</f>
        <v>0</v>
      </c>
      <c r="I540" s="2">
        <f>IF(AND(payments_raw[[#This Row],[sub_end_date]]&lt;&gt;"", payments_raw[[#This Row],[payment_date]] &gt; payments_raw[[#This Row],[sub_end_date]]), 1, 0)</f>
        <v>0</v>
      </c>
      <c r="J540" s="2">
        <f>IF(payments_raw[[#This Row],[amount]] &lt;= 0, 1, 0)</f>
        <v>0</v>
      </c>
      <c r="K5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1" spans="1:11" x14ac:dyDescent="0.3">
      <c r="A541">
        <v>40434030</v>
      </c>
      <c r="B541">
        <v>6604510</v>
      </c>
      <c r="C541" s="1">
        <v>45618</v>
      </c>
      <c r="D541">
        <v>2990</v>
      </c>
      <c r="E541">
        <f>IF(
  ISNA(
    _xlfn.XLOOKUP(
      payments_raw[[#This Row],[subscription_id]],
      subscriptions[subscription_id],
      subscriptions[subscription_id]
    )
  ),
  0,
  1
)</f>
        <v>1</v>
      </c>
      <c r="F541" s="1">
        <f>_xlfn.XLOOKUP(payments_raw[[#This Row],[subscription_id]], subscriptions[subscription_id], subscriptions[start_date])</f>
        <v>45512</v>
      </c>
      <c r="G5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541" s="2">
        <f>IF(payments_raw[[#This Row],[payment_date]] &lt; payments_raw[[#This Row],[sub_start_date]], 1, 0)</f>
        <v>0</v>
      </c>
      <c r="I541" s="2">
        <f>IF(AND(payments_raw[[#This Row],[sub_end_date]]&lt;&gt;"", payments_raw[[#This Row],[payment_date]] &gt; payments_raw[[#This Row],[sub_end_date]]), 1, 0)</f>
        <v>0</v>
      </c>
      <c r="J541" s="2">
        <f>IF(payments_raw[[#This Row],[amount]] &lt;= 0, 1, 0)</f>
        <v>0</v>
      </c>
      <c r="K5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2" spans="1:11" x14ac:dyDescent="0.3">
      <c r="A542">
        <v>76353912</v>
      </c>
      <c r="B542">
        <v>2574505</v>
      </c>
      <c r="C542" s="1">
        <v>45643</v>
      </c>
      <c r="D542">
        <v>790</v>
      </c>
      <c r="E542">
        <f>IF(
  ISNA(
    _xlfn.XLOOKUP(
      payments_raw[[#This Row],[subscription_id]],
      subscriptions[subscription_id],
      subscriptions[subscription_id]
    )
  ),
  0,
  1
)</f>
        <v>1</v>
      </c>
      <c r="F542" s="1">
        <f>_xlfn.XLOOKUP(payments_raw[[#This Row],[subscription_id]], subscriptions[subscription_id], subscriptions[start_date])</f>
        <v>45501</v>
      </c>
      <c r="G5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2" s="2">
        <f>IF(payments_raw[[#This Row],[payment_date]] &lt; payments_raw[[#This Row],[sub_start_date]], 1, 0)</f>
        <v>0</v>
      </c>
      <c r="I542" s="2">
        <f>IF(AND(payments_raw[[#This Row],[sub_end_date]]&lt;&gt;"", payments_raw[[#This Row],[payment_date]] &gt; payments_raw[[#This Row],[sub_end_date]]), 1, 0)</f>
        <v>0</v>
      </c>
      <c r="J542" s="2">
        <f>IF(payments_raw[[#This Row],[amount]] &lt;= 0, 1, 0)</f>
        <v>0</v>
      </c>
      <c r="K5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3" spans="1:11" x14ac:dyDescent="0.3">
      <c r="A543">
        <v>61979251</v>
      </c>
      <c r="B543">
        <v>2497768</v>
      </c>
      <c r="C543" s="1">
        <v>45040</v>
      </c>
      <c r="D543">
        <v>390</v>
      </c>
      <c r="E543">
        <f>IF(
  ISNA(
    _xlfn.XLOOKUP(
      payments_raw[[#This Row],[subscription_id]],
      subscriptions[subscription_id],
      subscriptions[subscription_id]
    )
  ),
  0,
  1
)</f>
        <v>1</v>
      </c>
      <c r="F543" s="1">
        <f>_xlfn.XLOOKUP(payments_raw[[#This Row],[subscription_id]], subscriptions[subscription_id], subscriptions[start_date])</f>
        <v>44958</v>
      </c>
      <c r="G5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45181</v>
      </c>
      <c r="H543" s="2">
        <f>IF(payments_raw[[#This Row],[payment_date]] &lt; payments_raw[[#This Row],[sub_start_date]], 1, 0)</f>
        <v>0</v>
      </c>
      <c r="I543" s="2">
        <f>IF(AND(payments_raw[[#This Row],[sub_end_date]]&lt;&gt;"", payments_raw[[#This Row],[payment_date]] &gt; payments_raw[[#This Row],[sub_end_date]]), 1, 0)</f>
        <v>0</v>
      </c>
      <c r="J543" s="2">
        <f>IF(payments_raw[[#This Row],[amount]] &lt;= 0, 1, 0)</f>
        <v>0</v>
      </c>
      <c r="K5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4" spans="1:11" x14ac:dyDescent="0.3">
      <c r="A544">
        <v>36724504</v>
      </c>
      <c r="B544">
        <v>2856109</v>
      </c>
      <c r="C544" s="1">
        <v>45614</v>
      </c>
      <c r="D544">
        <v>2242.5</v>
      </c>
      <c r="E544">
        <f>IF(
  ISNA(
    _xlfn.XLOOKUP(
      payments_raw[[#This Row],[subscription_id]],
      subscriptions[subscription_id],
      subscriptions[subscription_id]
    )
  ),
  0,
  1
)</f>
        <v>1</v>
      </c>
      <c r="F544" s="1">
        <f>_xlfn.XLOOKUP(payments_raw[[#This Row],[subscription_id]], subscriptions[subscription_id], subscriptions[start_date])</f>
        <v>45154</v>
      </c>
      <c r="G5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4" s="2">
        <f>IF(payments_raw[[#This Row],[payment_date]] &lt; payments_raw[[#This Row],[sub_start_date]], 1, 0)</f>
        <v>0</v>
      </c>
      <c r="I544" s="2">
        <f>IF(AND(payments_raw[[#This Row],[sub_end_date]]&lt;&gt;"", payments_raw[[#This Row],[payment_date]] &gt; payments_raw[[#This Row],[sub_end_date]]), 1, 0)</f>
        <v>0</v>
      </c>
      <c r="J544" s="2">
        <f>IF(payments_raw[[#This Row],[amount]] &lt;= 0, 1, 0)</f>
        <v>0</v>
      </c>
      <c r="K5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5" spans="1:11" x14ac:dyDescent="0.3">
      <c r="A545">
        <v>35243741</v>
      </c>
      <c r="B545">
        <v>5395541</v>
      </c>
      <c r="C545" s="1">
        <v>44934</v>
      </c>
      <c r="D545">
        <v>390</v>
      </c>
      <c r="E545">
        <f>IF(
  ISNA(
    _xlfn.XLOOKUP(
      payments_raw[[#This Row],[subscription_id]],
      subscriptions[subscription_id],
      subscriptions[subscription_id]
    )
  ),
  0,
  1
)</f>
        <v>1</v>
      </c>
      <c r="F545" s="1">
        <f>_xlfn.XLOOKUP(payments_raw[[#This Row],[subscription_id]], subscriptions[subscription_id], subscriptions[start_date])</f>
        <v>44931</v>
      </c>
      <c r="G5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5" s="2">
        <f>IF(payments_raw[[#This Row],[payment_date]] &lt; payments_raw[[#This Row],[sub_start_date]], 1, 0)</f>
        <v>0</v>
      </c>
      <c r="I545" s="2">
        <f>IF(AND(payments_raw[[#This Row],[sub_end_date]]&lt;&gt;"", payments_raw[[#This Row],[payment_date]] &gt; payments_raw[[#This Row],[sub_end_date]]), 1, 0)</f>
        <v>0</v>
      </c>
      <c r="J545" s="2">
        <f>IF(payments_raw[[#This Row],[amount]] &lt;= 0, 1, 0)</f>
        <v>0</v>
      </c>
      <c r="K5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6" spans="1:11" x14ac:dyDescent="0.3">
      <c r="A546">
        <v>12297985</v>
      </c>
      <c r="B546">
        <v>3161173</v>
      </c>
      <c r="C546" s="1">
        <v>45031</v>
      </c>
      <c r="D546">
        <v>2990</v>
      </c>
      <c r="E546">
        <f>IF(
  ISNA(
    _xlfn.XLOOKUP(
      payments_raw[[#This Row],[subscription_id]],
      subscriptions[subscription_id],
      subscriptions[subscription_id]
    )
  ),
  0,
  1
)</f>
        <v>1</v>
      </c>
      <c r="F546" s="1">
        <f>_xlfn.XLOOKUP(payments_raw[[#This Row],[subscription_id]], subscriptions[subscription_id], subscriptions[start_date])</f>
        <v>44984</v>
      </c>
      <c r="G5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45058</v>
      </c>
      <c r="H546" s="2">
        <f>IF(payments_raw[[#This Row],[payment_date]] &lt; payments_raw[[#This Row],[sub_start_date]], 1, 0)</f>
        <v>0</v>
      </c>
      <c r="I546" s="2">
        <f>IF(AND(payments_raw[[#This Row],[sub_end_date]]&lt;&gt;"", payments_raw[[#This Row],[payment_date]] &gt; payments_raw[[#This Row],[sub_end_date]]), 1, 0)</f>
        <v>0</v>
      </c>
      <c r="J546" s="2">
        <f>IF(payments_raw[[#This Row],[amount]] &lt;= 0, 1, 0)</f>
        <v>0</v>
      </c>
      <c r="K5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7" spans="1:11" x14ac:dyDescent="0.3">
      <c r="A547">
        <v>65771986</v>
      </c>
      <c r="B547">
        <v>7364768</v>
      </c>
      <c r="C547" s="1">
        <v>45633</v>
      </c>
      <c r="D547">
        <v>19</v>
      </c>
      <c r="E547">
        <f>IF(
  ISNA(
    _xlfn.XLOOKUP(
      payments_raw[[#This Row],[subscription_id]],
      subscriptions[subscription_id],
      subscriptions[subscription_id]
    )
  ),
  0,
  1
)</f>
        <v>1</v>
      </c>
      <c r="F547" s="1">
        <f>_xlfn.XLOOKUP(payments_raw[[#This Row],[subscription_id]], subscriptions[subscription_id], subscriptions[start_date])</f>
        <v>45538</v>
      </c>
      <c r="G5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7" s="2">
        <f>IF(payments_raw[[#This Row],[payment_date]] &lt; payments_raw[[#This Row],[sub_start_date]], 1, 0)</f>
        <v>0</v>
      </c>
      <c r="I547" s="2">
        <f>IF(AND(payments_raw[[#This Row],[sub_end_date]]&lt;&gt;"", payments_raw[[#This Row],[payment_date]] &gt; payments_raw[[#This Row],[sub_end_date]]), 1, 0)</f>
        <v>0</v>
      </c>
      <c r="J547" s="2">
        <f>IF(payments_raw[[#This Row],[amount]] &lt;= 0, 1, 0)</f>
        <v>0</v>
      </c>
      <c r="K5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8" spans="1:11" x14ac:dyDescent="0.3">
      <c r="A548">
        <v>52301424</v>
      </c>
      <c r="B548">
        <v>7382330</v>
      </c>
      <c r="C548" s="1">
        <v>45544</v>
      </c>
      <c r="D548">
        <v>790</v>
      </c>
      <c r="E548">
        <f>IF(
  ISNA(
    _xlfn.XLOOKUP(
      payments_raw[[#This Row],[subscription_id]],
      subscriptions[subscription_id],
      subscriptions[subscription_id]
    )
  ),
  0,
  1
)</f>
        <v>1</v>
      </c>
      <c r="F548" s="1">
        <f>_xlfn.XLOOKUP(payments_raw[[#This Row],[subscription_id]], subscriptions[subscription_id], subscriptions[start_date])</f>
        <v>44662</v>
      </c>
      <c r="G5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48" s="2">
        <f>IF(payments_raw[[#This Row],[payment_date]] &lt; payments_raw[[#This Row],[sub_start_date]], 1, 0)</f>
        <v>0</v>
      </c>
      <c r="I548" s="2">
        <f>IF(AND(payments_raw[[#This Row],[sub_end_date]]&lt;&gt;"", payments_raw[[#This Row],[payment_date]] &gt; payments_raw[[#This Row],[sub_end_date]]), 1, 0)</f>
        <v>0</v>
      </c>
      <c r="J548" s="2">
        <f>IF(payments_raw[[#This Row],[amount]] &lt;= 0, 1, 0)</f>
        <v>0</v>
      </c>
      <c r="K5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49" spans="1:11" x14ac:dyDescent="0.3">
      <c r="A549">
        <v>27995861</v>
      </c>
      <c r="B549">
        <v>8253691</v>
      </c>
      <c r="C549" s="1">
        <v>44968</v>
      </c>
      <c r="D549">
        <v>35.1</v>
      </c>
      <c r="E549">
        <f>IF(
  ISNA(
    _xlfn.XLOOKUP(
      payments_raw[[#This Row],[subscription_id]],
      subscriptions[subscription_id],
      subscriptions[subscription_id]
    )
  ),
  0,
  1
)</f>
        <v>1</v>
      </c>
      <c r="F549" s="1">
        <f>_xlfn.XLOOKUP(payments_raw[[#This Row],[subscription_id]], subscriptions[subscription_id], subscriptions[start_date])</f>
        <v>44861</v>
      </c>
      <c r="G54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549" s="2">
        <f>IF(payments_raw[[#This Row],[payment_date]] &lt; payments_raw[[#This Row],[sub_start_date]], 1, 0)</f>
        <v>0</v>
      </c>
      <c r="I549" s="2">
        <f>IF(AND(payments_raw[[#This Row],[sub_end_date]]&lt;&gt;"", payments_raw[[#This Row],[payment_date]] &gt; payments_raw[[#This Row],[sub_end_date]]), 1, 0)</f>
        <v>0</v>
      </c>
      <c r="J549" s="2">
        <f>IF(payments_raw[[#This Row],[amount]] &lt;= 0, 1, 0)</f>
        <v>0</v>
      </c>
      <c r="K5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0" spans="1:11" x14ac:dyDescent="0.3">
      <c r="A550">
        <v>85351481</v>
      </c>
      <c r="B550">
        <v>4020978</v>
      </c>
      <c r="C550" s="1">
        <v>45205</v>
      </c>
      <c r="D550">
        <v>39</v>
      </c>
      <c r="E550">
        <f>IF(
  ISNA(
    _xlfn.XLOOKUP(
      payments_raw[[#This Row],[subscription_id]],
      subscriptions[subscription_id],
      subscriptions[subscription_id]
    )
  ),
  0,
  1
)</f>
        <v>1</v>
      </c>
      <c r="F550" s="1">
        <f>_xlfn.XLOOKUP(payments_raw[[#This Row],[subscription_id]], subscriptions[subscription_id], subscriptions[start_date])</f>
        <v>45176</v>
      </c>
      <c r="G5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45355</v>
      </c>
      <c r="H550" s="2">
        <f>IF(payments_raw[[#This Row],[payment_date]] &lt; payments_raw[[#This Row],[sub_start_date]], 1, 0)</f>
        <v>0</v>
      </c>
      <c r="I550" s="2">
        <f>IF(AND(payments_raw[[#This Row],[sub_end_date]]&lt;&gt;"", payments_raw[[#This Row],[payment_date]] &gt; payments_raw[[#This Row],[sub_end_date]]), 1, 0)</f>
        <v>0</v>
      </c>
      <c r="J550" s="2">
        <f>IF(payments_raw[[#This Row],[amount]] &lt;= 0, 1, 0)</f>
        <v>0</v>
      </c>
      <c r="K5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1" spans="1:11" x14ac:dyDescent="0.3">
      <c r="A551">
        <v>73542673</v>
      </c>
      <c r="B551">
        <v>1684054</v>
      </c>
      <c r="C551" s="1">
        <v>45571</v>
      </c>
      <c r="D551">
        <v>190</v>
      </c>
      <c r="E551">
        <f>IF(
  ISNA(
    _xlfn.XLOOKUP(
      payments_raw[[#This Row],[subscription_id]],
      subscriptions[subscription_id],
      subscriptions[subscription_id]
    )
  ),
  0,
  1
)</f>
        <v>1</v>
      </c>
      <c r="F551" s="1">
        <f>_xlfn.XLOOKUP(payments_raw[[#This Row],[subscription_id]], subscriptions[subscription_id], subscriptions[start_date])</f>
        <v>45065</v>
      </c>
      <c r="G5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51" s="2">
        <f>IF(payments_raw[[#This Row],[payment_date]] &lt; payments_raw[[#This Row],[sub_start_date]], 1, 0)</f>
        <v>0</v>
      </c>
      <c r="I551" s="2">
        <f>IF(AND(payments_raw[[#This Row],[sub_end_date]]&lt;&gt;"", payments_raw[[#This Row],[payment_date]] &gt; payments_raw[[#This Row],[sub_end_date]]), 1, 0)</f>
        <v>0</v>
      </c>
      <c r="J551" s="2">
        <f>IF(payments_raw[[#This Row],[amount]] &lt;= 0, 1, 0)</f>
        <v>0</v>
      </c>
      <c r="K5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2" spans="1:11" x14ac:dyDescent="0.3">
      <c r="A552">
        <v>84035112</v>
      </c>
      <c r="B552">
        <v>3601089</v>
      </c>
      <c r="C552" s="1">
        <v>44830</v>
      </c>
      <c r="D552">
        <v>19</v>
      </c>
      <c r="E552">
        <f>IF(
  ISNA(
    _xlfn.XLOOKUP(
      payments_raw[[#This Row],[subscription_id]],
      subscriptions[subscription_id],
      subscriptions[subscription_id]
    )
  ),
  0,
  1
)</f>
        <v>1</v>
      </c>
      <c r="F552" s="1">
        <f>_xlfn.XLOOKUP(payments_raw[[#This Row],[subscription_id]], subscriptions[subscription_id], subscriptions[start_date])</f>
        <v>44738</v>
      </c>
      <c r="G55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44841</v>
      </c>
      <c r="H552" s="2">
        <f>IF(payments_raw[[#This Row],[payment_date]] &lt; payments_raw[[#This Row],[sub_start_date]], 1, 0)</f>
        <v>0</v>
      </c>
      <c r="I552" s="2">
        <f>IF(AND(payments_raw[[#This Row],[sub_end_date]]&lt;&gt;"", payments_raw[[#This Row],[payment_date]] &gt; payments_raw[[#This Row],[sub_end_date]]), 1, 0)</f>
        <v>0</v>
      </c>
      <c r="J552" s="2">
        <f>IF(payments_raw[[#This Row],[amount]] &lt;= 0, 1, 0)</f>
        <v>0</v>
      </c>
      <c r="K5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3" spans="1:11" x14ac:dyDescent="0.3">
      <c r="A553">
        <v>26072981</v>
      </c>
      <c r="B553">
        <v>1028160</v>
      </c>
      <c r="C553" s="1">
        <v>45517</v>
      </c>
      <c r="D553">
        <v>79</v>
      </c>
      <c r="E553">
        <f>IF(
  ISNA(
    _xlfn.XLOOKUP(
      payments_raw[[#This Row],[subscription_id]],
      subscriptions[subscription_id],
      subscriptions[subscription_id]
    )
  ),
  0,
  1
)</f>
        <v>1</v>
      </c>
      <c r="F553" s="1">
        <f>_xlfn.XLOOKUP(payments_raw[[#This Row],[subscription_id]], subscriptions[subscription_id], subscriptions[start_date])</f>
        <v>45198</v>
      </c>
      <c r="G5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53" s="2">
        <f>IF(payments_raw[[#This Row],[payment_date]] &lt; payments_raw[[#This Row],[sub_start_date]], 1, 0)</f>
        <v>0</v>
      </c>
      <c r="I553" s="2">
        <f>IF(AND(payments_raw[[#This Row],[sub_end_date]]&lt;&gt;"", payments_raw[[#This Row],[payment_date]] &gt; payments_raw[[#This Row],[sub_end_date]]), 1, 0)</f>
        <v>0</v>
      </c>
      <c r="J553" s="2">
        <f>IF(payments_raw[[#This Row],[amount]] &lt;= 0, 1, 0)</f>
        <v>0</v>
      </c>
      <c r="K5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4" spans="1:11" x14ac:dyDescent="0.3">
      <c r="A554">
        <v>95641687</v>
      </c>
      <c r="B554">
        <v>4767947</v>
      </c>
      <c r="C554" s="1">
        <v>44716</v>
      </c>
      <c r="D554">
        <v>1490</v>
      </c>
      <c r="E554">
        <f>IF(
  ISNA(
    _xlfn.XLOOKUP(
      payments_raw[[#This Row],[subscription_id]],
      subscriptions[subscription_id],
      subscriptions[subscription_id]
    )
  ),
  0,
  1
)</f>
        <v>1</v>
      </c>
      <c r="F554" s="1">
        <f>_xlfn.XLOOKUP(payments_raw[[#This Row],[subscription_id]], subscriptions[subscription_id], subscriptions[start_date])</f>
        <v>44676</v>
      </c>
      <c r="G55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44766</v>
      </c>
      <c r="H554" s="2">
        <f>IF(payments_raw[[#This Row],[payment_date]] &lt; payments_raw[[#This Row],[sub_start_date]], 1, 0)</f>
        <v>0</v>
      </c>
      <c r="I554" s="2">
        <f>IF(AND(payments_raw[[#This Row],[sub_end_date]]&lt;&gt;"", payments_raw[[#This Row],[payment_date]] &gt; payments_raw[[#This Row],[sub_end_date]]), 1, 0)</f>
        <v>0</v>
      </c>
      <c r="J554" s="2">
        <f>IF(payments_raw[[#This Row],[amount]] &lt;= 0, 1, 0)</f>
        <v>0</v>
      </c>
      <c r="K5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5" spans="1:11" x14ac:dyDescent="0.3">
      <c r="A555">
        <v>82085863</v>
      </c>
      <c r="B555">
        <v>2422780</v>
      </c>
      <c r="C555" s="1">
        <v>44755</v>
      </c>
      <c r="D555">
        <v>39</v>
      </c>
      <c r="E555">
        <f>IF(
  ISNA(
    _xlfn.XLOOKUP(
      payments_raw[[#This Row],[subscription_id]],
      subscriptions[subscription_id],
      subscriptions[subscription_id]
    )
  ),
  0,
  1
)</f>
        <v>1</v>
      </c>
      <c r="F555" s="1">
        <f>_xlfn.XLOOKUP(payments_raw[[#This Row],[subscription_id]], subscriptions[subscription_id], subscriptions[start_date])</f>
        <v>44650</v>
      </c>
      <c r="G555" s="1">
        <f>IF(_xlfn.XLOOKUP(payments_raw[[#This Row],[subscription_id]], subscriptions[subscription_id], subscriptions[end_date])=0,"",_xlfn.XLOOKUP(payments_raw[[#This Row],[subscription_id]], subscriptions[subscription_id], subscriptions[end_date]))</f>
        <v>44771</v>
      </c>
      <c r="H555" s="2">
        <f>IF(payments_raw[[#This Row],[payment_date]] &lt; payments_raw[[#This Row],[sub_start_date]], 1, 0)</f>
        <v>0</v>
      </c>
      <c r="I555" s="2">
        <f>IF(AND(payments_raw[[#This Row],[sub_end_date]]&lt;&gt;"", payments_raw[[#This Row],[payment_date]] &gt; payments_raw[[#This Row],[sub_end_date]]), 1, 0)</f>
        <v>0</v>
      </c>
      <c r="J555" s="2">
        <f>IF(payments_raw[[#This Row],[amount]] &lt;= 0, 1, 0)</f>
        <v>0</v>
      </c>
      <c r="K5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6" spans="1:11" x14ac:dyDescent="0.3">
      <c r="A556">
        <v>15226275</v>
      </c>
      <c r="B556">
        <v>8596473</v>
      </c>
      <c r="C556" s="1">
        <v>44966</v>
      </c>
      <c r="D556">
        <v>111.75</v>
      </c>
      <c r="E556">
        <f>IF(
  ISNA(
    _xlfn.XLOOKUP(
      payments_raw[[#This Row],[subscription_id]],
      subscriptions[subscription_id],
      subscriptions[subscription_id]
    )
  ),
  0,
  1
)</f>
        <v>1</v>
      </c>
      <c r="F556" s="1">
        <f>_xlfn.XLOOKUP(payments_raw[[#This Row],[subscription_id]], subscriptions[subscription_id], subscriptions[start_date])</f>
        <v>44912</v>
      </c>
      <c r="G5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556" s="2">
        <f>IF(payments_raw[[#This Row],[payment_date]] &lt; payments_raw[[#This Row],[sub_start_date]], 1, 0)</f>
        <v>0</v>
      </c>
      <c r="I556" s="2">
        <f>IF(AND(payments_raw[[#This Row],[sub_end_date]]&lt;&gt;"", payments_raw[[#This Row],[payment_date]] &gt; payments_raw[[#This Row],[sub_end_date]]), 1, 0)</f>
        <v>0</v>
      </c>
      <c r="J556" s="2">
        <f>IF(payments_raw[[#This Row],[amount]] &lt;= 0, 1, 0)</f>
        <v>0</v>
      </c>
      <c r="K5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7" spans="1:11" x14ac:dyDescent="0.3">
      <c r="A557">
        <v>99231121</v>
      </c>
      <c r="B557">
        <v>5509606</v>
      </c>
      <c r="C557" s="1">
        <v>45119</v>
      </c>
      <c r="D557">
        <v>2990</v>
      </c>
      <c r="E557">
        <f>IF(
  ISNA(
    _xlfn.XLOOKUP(
      payments_raw[[#This Row],[subscription_id]],
      subscriptions[subscription_id],
      subscriptions[subscription_id]
    )
  ),
  0,
  1
)</f>
        <v>1</v>
      </c>
      <c r="F557" s="1">
        <f>_xlfn.XLOOKUP(payments_raw[[#This Row],[subscription_id]], subscriptions[subscription_id], subscriptions[start_date])</f>
        <v>44979</v>
      </c>
      <c r="G5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57" s="2">
        <f>IF(payments_raw[[#This Row],[payment_date]] &lt; payments_raw[[#This Row],[sub_start_date]], 1, 0)</f>
        <v>0</v>
      </c>
      <c r="I557" s="2">
        <f>IF(AND(payments_raw[[#This Row],[sub_end_date]]&lt;&gt;"", payments_raw[[#This Row],[payment_date]] &gt; payments_raw[[#This Row],[sub_end_date]]), 1, 0)</f>
        <v>0</v>
      </c>
      <c r="J557" s="2">
        <f>IF(payments_raw[[#This Row],[amount]] &lt;= 0, 1, 0)</f>
        <v>0</v>
      </c>
      <c r="K5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8" spans="1:11" x14ac:dyDescent="0.3">
      <c r="A558">
        <v>60946520</v>
      </c>
      <c r="B558">
        <v>7680763</v>
      </c>
      <c r="C558" s="1">
        <v>45301</v>
      </c>
      <c r="D558">
        <v>190</v>
      </c>
      <c r="E558">
        <f>IF(
  ISNA(
    _xlfn.XLOOKUP(
      payments_raw[[#This Row],[subscription_id]],
      subscriptions[subscription_id],
      subscriptions[subscription_id]
    )
  ),
  0,
  1
)</f>
        <v>1</v>
      </c>
      <c r="F558" s="1">
        <f>_xlfn.XLOOKUP(payments_raw[[#This Row],[subscription_id]], subscriptions[subscription_id], subscriptions[start_date])</f>
        <v>45145</v>
      </c>
      <c r="G5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58" s="2">
        <f>IF(payments_raw[[#This Row],[payment_date]] &lt; payments_raw[[#This Row],[sub_start_date]], 1, 0)</f>
        <v>0</v>
      </c>
      <c r="I558" s="2">
        <f>IF(AND(payments_raw[[#This Row],[sub_end_date]]&lt;&gt;"", payments_raw[[#This Row],[payment_date]] &gt; payments_raw[[#This Row],[sub_end_date]]), 1, 0)</f>
        <v>0</v>
      </c>
      <c r="J558" s="2">
        <f>IF(payments_raw[[#This Row],[amount]] &lt;= 0, 1, 0)</f>
        <v>0</v>
      </c>
      <c r="K5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59" spans="1:11" x14ac:dyDescent="0.3">
      <c r="A559">
        <v>65301707</v>
      </c>
      <c r="B559">
        <v>9278176</v>
      </c>
      <c r="C559" s="1">
        <v>45154</v>
      </c>
      <c r="D559">
        <v>19</v>
      </c>
      <c r="E559">
        <f>IF(
  ISNA(
    _xlfn.XLOOKUP(
      payments_raw[[#This Row],[subscription_id]],
      subscriptions[subscription_id],
      subscriptions[subscription_id]
    )
  ),
  0,
  1
)</f>
        <v>1</v>
      </c>
      <c r="F559" s="1">
        <f>_xlfn.XLOOKUP(payments_raw[[#This Row],[subscription_id]], subscriptions[subscription_id], subscriptions[start_date])</f>
        <v>45078</v>
      </c>
      <c r="G5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59" s="2">
        <f>IF(payments_raw[[#This Row],[payment_date]] &lt; payments_raw[[#This Row],[sub_start_date]], 1, 0)</f>
        <v>0</v>
      </c>
      <c r="I559" s="2">
        <f>IF(AND(payments_raw[[#This Row],[sub_end_date]]&lt;&gt;"", payments_raw[[#This Row],[payment_date]] &gt; payments_raw[[#This Row],[sub_end_date]]), 1, 0)</f>
        <v>0</v>
      </c>
      <c r="J559" s="2">
        <f>IF(payments_raw[[#This Row],[amount]] &lt;= 0, 1, 0)</f>
        <v>0</v>
      </c>
      <c r="K5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0" spans="1:11" x14ac:dyDescent="0.3">
      <c r="A560">
        <v>58826428</v>
      </c>
      <c r="B560">
        <v>6076086</v>
      </c>
      <c r="C560" s="1">
        <v>45590</v>
      </c>
      <c r="D560">
        <v>299</v>
      </c>
      <c r="E560">
        <f>IF(
  ISNA(
    _xlfn.XLOOKUP(
      payments_raw[[#This Row],[subscription_id]],
      subscriptions[subscription_id],
      subscriptions[subscription_id]
    )
  ),
  0,
  1
)</f>
        <v>1</v>
      </c>
      <c r="F560" s="1">
        <f>_xlfn.XLOOKUP(payments_raw[[#This Row],[subscription_id]], subscriptions[subscription_id], subscriptions[start_date])</f>
        <v>45586</v>
      </c>
      <c r="G5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45640</v>
      </c>
      <c r="H560" s="2">
        <f>IF(payments_raw[[#This Row],[payment_date]] &lt; payments_raw[[#This Row],[sub_start_date]], 1, 0)</f>
        <v>0</v>
      </c>
      <c r="I560" s="2">
        <f>IF(AND(payments_raw[[#This Row],[sub_end_date]]&lt;&gt;"", payments_raw[[#This Row],[payment_date]] &gt; payments_raw[[#This Row],[sub_end_date]]), 1, 0)</f>
        <v>0</v>
      </c>
      <c r="J560" s="2">
        <f>IF(payments_raw[[#This Row],[amount]] &lt;= 0, 1, 0)</f>
        <v>0</v>
      </c>
      <c r="K5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1" spans="1:11" x14ac:dyDescent="0.3">
      <c r="A561">
        <v>50241177</v>
      </c>
      <c r="B561">
        <v>2443147</v>
      </c>
      <c r="C561" s="1">
        <v>44819</v>
      </c>
      <c r="D561">
        <v>111.75</v>
      </c>
      <c r="E561">
        <f>IF(
  ISNA(
    _xlfn.XLOOKUP(
      payments_raw[[#This Row],[subscription_id]],
      subscriptions[subscription_id],
      subscriptions[subscription_id]
    )
  ),
  0,
  1
)</f>
        <v>1</v>
      </c>
      <c r="F561" s="1">
        <f>_xlfn.XLOOKUP(payments_raw[[#This Row],[subscription_id]], subscriptions[subscription_id], subscriptions[start_date])</f>
        <v>44611</v>
      </c>
      <c r="G56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561" s="2">
        <f>IF(payments_raw[[#This Row],[payment_date]] &lt; payments_raw[[#This Row],[sub_start_date]], 1, 0)</f>
        <v>0</v>
      </c>
      <c r="I561" s="2">
        <f>IF(AND(payments_raw[[#This Row],[sub_end_date]]&lt;&gt;"", payments_raw[[#This Row],[payment_date]] &gt; payments_raw[[#This Row],[sub_end_date]]), 1, 0)</f>
        <v>0</v>
      </c>
      <c r="J561" s="2">
        <f>IF(payments_raw[[#This Row],[amount]] &lt;= 0, 1, 0)</f>
        <v>0</v>
      </c>
      <c r="K5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2" spans="1:11" x14ac:dyDescent="0.3">
      <c r="A562">
        <v>53990376</v>
      </c>
      <c r="B562">
        <v>6134915</v>
      </c>
      <c r="C562" s="1">
        <v>45435</v>
      </c>
      <c r="D562">
        <v>299</v>
      </c>
      <c r="E562">
        <f>IF(
  ISNA(
    _xlfn.XLOOKUP(
      payments_raw[[#This Row],[subscription_id]],
      subscriptions[subscription_id],
      subscriptions[subscription_id]
    )
  ),
  0,
  1
)</f>
        <v>1</v>
      </c>
      <c r="F562" s="1">
        <f>_xlfn.XLOOKUP(payments_raw[[#This Row],[subscription_id]], subscriptions[subscription_id], subscriptions[start_date])</f>
        <v>45388</v>
      </c>
      <c r="G5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45553</v>
      </c>
      <c r="H562" s="2">
        <f>IF(payments_raw[[#This Row],[payment_date]] &lt; payments_raw[[#This Row],[sub_start_date]], 1, 0)</f>
        <v>0</v>
      </c>
      <c r="I562" s="2">
        <f>IF(AND(payments_raw[[#This Row],[sub_end_date]]&lt;&gt;"", payments_raw[[#This Row],[payment_date]] &gt; payments_raw[[#This Row],[sub_end_date]]), 1, 0)</f>
        <v>0</v>
      </c>
      <c r="J562" s="2">
        <f>IF(payments_raw[[#This Row],[amount]] &lt;= 0, 1, 0)</f>
        <v>0</v>
      </c>
      <c r="K5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3" spans="1:11" x14ac:dyDescent="0.3">
      <c r="A563">
        <v>28444834</v>
      </c>
      <c r="B563">
        <v>6668492</v>
      </c>
      <c r="C563" s="1">
        <v>45407</v>
      </c>
      <c r="D563">
        <v>190</v>
      </c>
      <c r="E563">
        <f>IF(
  ISNA(
    _xlfn.XLOOKUP(
      payments_raw[[#This Row],[subscription_id]],
      subscriptions[subscription_id],
      subscriptions[subscription_id]
    )
  ),
  0,
  1
)</f>
        <v>1</v>
      </c>
      <c r="F563" s="1">
        <f>_xlfn.XLOOKUP(payments_raw[[#This Row],[subscription_id]], subscriptions[subscription_id], subscriptions[start_date])</f>
        <v>44870</v>
      </c>
      <c r="G5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63" s="2">
        <f>IF(payments_raw[[#This Row],[payment_date]] &lt; payments_raw[[#This Row],[sub_start_date]], 1, 0)</f>
        <v>0</v>
      </c>
      <c r="I563" s="2">
        <f>IF(AND(payments_raw[[#This Row],[sub_end_date]]&lt;&gt;"", payments_raw[[#This Row],[payment_date]] &gt; payments_raw[[#This Row],[sub_end_date]]), 1, 0)</f>
        <v>0</v>
      </c>
      <c r="J563" s="2">
        <f>IF(payments_raw[[#This Row],[amount]] &lt;= 0, 1, 0)</f>
        <v>0</v>
      </c>
      <c r="K5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4" spans="1:11" x14ac:dyDescent="0.3">
      <c r="A564">
        <v>23438230</v>
      </c>
      <c r="B564">
        <v>5668364</v>
      </c>
      <c r="C564" s="1">
        <v>45390</v>
      </c>
      <c r="D564">
        <v>390</v>
      </c>
      <c r="E564">
        <f>IF(
  ISNA(
    _xlfn.XLOOKUP(
      payments_raw[[#This Row],[subscription_id]],
      subscriptions[subscription_id],
      subscriptions[subscription_id]
    )
  ),
  0,
  1
)</f>
        <v>1</v>
      </c>
      <c r="F564" s="1">
        <f>_xlfn.XLOOKUP(payments_raw[[#This Row],[subscription_id]], subscriptions[subscription_id], subscriptions[start_date])</f>
        <v>45205</v>
      </c>
      <c r="G5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64" s="2">
        <f>IF(payments_raw[[#This Row],[payment_date]] &lt; payments_raw[[#This Row],[sub_start_date]], 1, 0)</f>
        <v>0</v>
      </c>
      <c r="I564" s="2">
        <f>IF(AND(payments_raw[[#This Row],[sub_end_date]]&lt;&gt;"", payments_raw[[#This Row],[payment_date]] &gt; payments_raw[[#This Row],[sub_end_date]]), 1, 0)</f>
        <v>0</v>
      </c>
      <c r="J564" s="2">
        <f>IF(payments_raw[[#This Row],[amount]] &lt;= 0, 1, 0)</f>
        <v>0</v>
      </c>
      <c r="K5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5" spans="1:11" x14ac:dyDescent="0.3">
      <c r="A565">
        <v>45460303</v>
      </c>
      <c r="B565">
        <v>6281742</v>
      </c>
      <c r="C565" s="1">
        <v>44968</v>
      </c>
      <c r="D565">
        <v>2990</v>
      </c>
      <c r="E565">
        <f>IF(
  ISNA(
    _xlfn.XLOOKUP(
      payments_raw[[#This Row],[subscription_id]],
      subscriptions[subscription_id],
      subscriptions[subscription_id]
    )
  ),
  0,
  1
)</f>
        <v>1</v>
      </c>
      <c r="F565" s="1">
        <f>_xlfn.XLOOKUP(payments_raw[[#This Row],[subscription_id]], subscriptions[subscription_id], subscriptions[start_date])</f>
        <v>44798</v>
      </c>
      <c r="G5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45055</v>
      </c>
      <c r="H565" s="2">
        <f>IF(payments_raw[[#This Row],[payment_date]] &lt; payments_raw[[#This Row],[sub_start_date]], 1, 0)</f>
        <v>0</v>
      </c>
      <c r="I565" s="2">
        <f>IF(AND(payments_raw[[#This Row],[sub_end_date]]&lt;&gt;"", payments_raw[[#This Row],[payment_date]] &gt; payments_raw[[#This Row],[sub_end_date]]), 1, 0)</f>
        <v>0</v>
      </c>
      <c r="J565" s="2">
        <f>IF(payments_raw[[#This Row],[amount]] &lt;= 0, 1, 0)</f>
        <v>0</v>
      </c>
      <c r="K5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6" spans="1:11" x14ac:dyDescent="0.3">
      <c r="A566">
        <v>26606352</v>
      </c>
      <c r="B566">
        <v>5519776</v>
      </c>
      <c r="C566" s="1">
        <v>45049</v>
      </c>
      <c r="D566">
        <v>190</v>
      </c>
      <c r="E566">
        <f>IF(
  ISNA(
    _xlfn.XLOOKUP(
      payments_raw[[#This Row],[subscription_id]],
      subscriptions[subscription_id],
      subscriptions[subscription_id]
    )
  ),
  0,
  1
)</f>
        <v>1</v>
      </c>
      <c r="F566" s="1">
        <f>_xlfn.XLOOKUP(payments_raw[[#This Row],[subscription_id]], subscriptions[subscription_id], subscriptions[start_date])</f>
        <v>44956</v>
      </c>
      <c r="G5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45274</v>
      </c>
      <c r="H566" s="2">
        <f>IF(payments_raw[[#This Row],[payment_date]] &lt; payments_raw[[#This Row],[sub_start_date]], 1, 0)</f>
        <v>0</v>
      </c>
      <c r="I566" s="2">
        <f>IF(AND(payments_raw[[#This Row],[sub_end_date]]&lt;&gt;"", payments_raw[[#This Row],[payment_date]] &gt; payments_raw[[#This Row],[sub_end_date]]), 1, 0)</f>
        <v>0</v>
      </c>
      <c r="J566" s="2">
        <f>IF(payments_raw[[#This Row],[amount]] &lt;= 0, 1, 0)</f>
        <v>0</v>
      </c>
      <c r="K5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7" spans="1:11" x14ac:dyDescent="0.3">
      <c r="A567">
        <v>88145345</v>
      </c>
      <c r="B567">
        <v>7861979</v>
      </c>
      <c r="C567" s="1">
        <v>45505</v>
      </c>
      <c r="D567">
        <v>95</v>
      </c>
      <c r="E567">
        <f>IF(
  ISNA(
    _xlfn.XLOOKUP(
      payments_raw[[#This Row],[subscription_id]],
      subscriptions[subscription_id],
      subscriptions[subscription_id]
    )
  ),
  0,
  1
)</f>
        <v>1</v>
      </c>
      <c r="F567" s="1">
        <f>_xlfn.XLOOKUP(payments_raw[[#This Row],[subscription_id]], subscriptions[subscription_id], subscriptions[start_date])</f>
        <v>44686</v>
      </c>
      <c r="G5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67" s="2">
        <f>IF(payments_raw[[#This Row],[payment_date]] &lt; payments_raw[[#This Row],[sub_start_date]], 1, 0)</f>
        <v>0</v>
      </c>
      <c r="I567" s="2">
        <f>IF(AND(payments_raw[[#This Row],[sub_end_date]]&lt;&gt;"", payments_raw[[#This Row],[payment_date]] &gt; payments_raw[[#This Row],[sub_end_date]]), 1, 0)</f>
        <v>0</v>
      </c>
      <c r="J567" s="2">
        <f>IF(payments_raw[[#This Row],[amount]] &lt;= 0, 1, 0)</f>
        <v>0</v>
      </c>
      <c r="K5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8" spans="1:11" x14ac:dyDescent="0.3">
      <c r="A568">
        <v>47113201</v>
      </c>
      <c r="B568">
        <v>3728089</v>
      </c>
      <c r="C568" s="1">
        <v>45342</v>
      </c>
      <c r="D568">
        <v>79</v>
      </c>
      <c r="E568">
        <f>IF(
  ISNA(
    _xlfn.XLOOKUP(
      payments_raw[[#This Row],[subscription_id]],
      subscriptions[subscription_id],
      subscriptions[subscription_id]
    )
  ),
  0,
  1
)</f>
        <v>1</v>
      </c>
      <c r="F568" s="1">
        <f>_xlfn.XLOOKUP(payments_raw[[#This Row],[subscription_id]], subscriptions[subscription_id], subscriptions[start_date])</f>
        <v>45183</v>
      </c>
      <c r="G5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68" s="2">
        <f>IF(payments_raw[[#This Row],[payment_date]] &lt; payments_raw[[#This Row],[sub_start_date]], 1, 0)</f>
        <v>0</v>
      </c>
      <c r="I568" s="2">
        <f>IF(AND(payments_raw[[#This Row],[sub_end_date]]&lt;&gt;"", payments_raw[[#This Row],[payment_date]] &gt; payments_raw[[#This Row],[sub_end_date]]), 1, 0)</f>
        <v>0</v>
      </c>
      <c r="J568" s="2">
        <f>IF(payments_raw[[#This Row],[amount]] &lt;= 0, 1, 0)</f>
        <v>0</v>
      </c>
      <c r="K5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69" spans="1:11" x14ac:dyDescent="0.3">
      <c r="A569">
        <v>83847719</v>
      </c>
      <c r="B569">
        <v>3436404</v>
      </c>
      <c r="C569" s="1">
        <v>44825</v>
      </c>
      <c r="D569">
        <v>2990</v>
      </c>
      <c r="E569">
        <f>IF(
  ISNA(
    _xlfn.XLOOKUP(
      payments_raw[[#This Row],[subscription_id]],
      subscriptions[subscription_id],
      subscriptions[subscription_id]
    )
  ),
  0,
  1
)</f>
        <v>1</v>
      </c>
      <c r="F569" s="1">
        <f>_xlfn.XLOOKUP(payments_raw[[#This Row],[subscription_id]], subscriptions[subscription_id], subscriptions[start_date])</f>
        <v>44632</v>
      </c>
      <c r="G56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44859</v>
      </c>
      <c r="H569" s="2">
        <f>IF(payments_raw[[#This Row],[payment_date]] &lt; payments_raw[[#This Row],[sub_start_date]], 1, 0)</f>
        <v>0</v>
      </c>
      <c r="I569" s="2">
        <f>IF(AND(payments_raw[[#This Row],[sub_end_date]]&lt;&gt;"", payments_raw[[#This Row],[payment_date]] &gt; payments_raw[[#This Row],[sub_end_date]]), 1, 0)</f>
        <v>0</v>
      </c>
      <c r="J569" s="2">
        <f>IF(payments_raw[[#This Row],[amount]] &lt;= 0, 1, 0)</f>
        <v>0</v>
      </c>
      <c r="K5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0" spans="1:11" x14ac:dyDescent="0.3">
      <c r="A570">
        <v>20692205</v>
      </c>
      <c r="B570">
        <v>4020978</v>
      </c>
      <c r="C570" s="1">
        <v>45316</v>
      </c>
      <c r="D570">
        <v>39</v>
      </c>
      <c r="E570">
        <f>IF(
  ISNA(
    _xlfn.XLOOKUP(
      payments_raw[[#This Row],[subscription_id]],
      subscriptions[subscription_id],
      subscriptions[subscription_id]
    )
  ),
  0,
  1
)</f>
        <v>1</v>
      </c>
      <c r="F570" s="1">
        <f>_xlfn.XLOOKUP(payments_raw[[#This Row],[subscription_id]], subscriptions[subscription_id], subscriptions[start_date])</f>
        <v>45176</v>
      </c>
      <c r="G5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45355</v>
      </c>
      <c r="H570" s="2">
        <f>IF(payments_raw[[#This Row],[payment_date]] &lt; payments_raw[[#This Row],[sub_start_date]], 1, 0)</f>
        <v>0</v>
      </c>
      <c r="I570" s="2">
        <f>IF(AND(payments_raw[[#This Row],[sub_end_date]]&lt;&gt;"", payments_raw[[#This Row],[payment_date]] &gt; payments_raw[[#This Row],[sub_end_date]]), 1, 0)</f>
        <v>0</v>
      </c>
      <c r="J570" s="2">
        <f>IF(payments_raw[[#This Row],[amount]] &lt;= 0, 1, 0)</f>
        <v>0</v>
      </c>
      <c r="K5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1" spans="1:11" x14ac:dyDescent="0.3">
      <c r="A571">
        <v>83291553</v>
      </c>
      <c r="B571">
        <v>3059370</v>
      </c>
      <c r="C571" s="1">
        <v>45362</v>
      </c>
      <c r="D571">
        <v>39</v>
      </c>
      <c r="E571">
        <f>IF(
  ISNA(
    _xlfn.XLOOKUP(
      payments_raw[[#This Row],[subscription_id]],
      subscriptions[subscription_id],
      subscriptions[subscription_id]
    )
  ),
  0,
  1
)</f>
        <v>1</v>
      </c>
      <c r="F571" s="1">
        <f>_xlfn.XLOOKUP(payments_raw[[#This Row],[subscription_id]], subscriptions[subscription_id], subscriptions[start_date])</f>
        <v>45324</v>
      </c>
      <c r="G5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571" s="2">
        <f>IF(payments_raw[[#This Row],[payment_date]] &lt; payments_raw[[#This Row],[sub_start_date]], 1, 0)</f>
        <v>0</v>
      </c>
      <c r="I571" s="2">
        <f>IF(AND(payments_raw[[#This Row],[sub_end_date]]&lt;&gt;"", payments_raw[[#This Row],[payment_date]] &gt; payments_raw[[#This Row],[sub_end_date]]), 1, 0)</f>
        <v>0</v>
      </c>
      <c r="J571" s="2">
        <f>IF(payments_raw[[#This Row],[amount]] &lt;= 0, 1, 0)</f>
        <v>0</v>
      </c>
      <c r="K5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2" spans="1:11" x14ac:dyDescent="0.3">
      <c r="A572">
        <v>98301804</v>
      </c>
      <c r="B572">
        <v>6540763</v>
      </c>
      <c r="C572" s="1">
        <v>45071</v>
      </c>
      <c r="D572">
        <v>299</v>
      </c>
      <c r="E572">
        <f>IF(
  ISNA(
    _xlfn.XLOOKUP(
      payments_raw[[#This Row],[subscription_id]],
      subscriptions[subscription_id],
      subscriptions[subscription_id]
    )
  ),
  0,
  1
)</f>
        <v>1</v>
      </c>
      <c r="F572" s="1">
        <f>_xlfn.XLOOKUP(payments_raw[[#This Row],[subscription_id]], subscriptions[subscription_id], subscriptions[start_date])</f>
        <v>44767</v>
      </c>
      <c r="G5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72" s="2">
        <f>IF(payments_raw[[#This Row],[payment_date]] &lt; payments_raw[[#This Row],[sub_start_date]], 1, 0)</f>
        <v>0</v>
      </c>
      <c r="I572" s="2">
        <f>IF(AND(payments_raw[[#This Row],[sub_end_date]]&lt;&gt;"", payments_raw[[#This Row],[payment_date]] &gt; payments_raw[[#This Row],[sub_end_date]]), 1, 0)</f>
        <v>0</v>
      </c>
      <c r="J572" s="2">
        <f>IF(payments_raw[[#This Row],[amount]] &lt;= 0, 1, 0)</f>
        <v>0</v>
      </c>
      <c r="K5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3" spans="1:11" x14ac:dyDescent="0.3">
      <c r="A573">
        <v>64176956</v>
      </c>
      <c r="B573">
        <v>9060201</v>
      </c>
      <c r="C573" s="1">
        <v>45481</v>
      </c>
      <c r="D573">
        <v>1490</v>
      </c>
      <c r="E573">
        <f>IF(
  ISNA(
    _xlfn.XLOOKUP(
      payments_raw[[#This Row],[subscription_id]],
      subscriptions[subscription_id],
      subscriptions[subscription_id]
    )
  ),
  0,
  1
)</f>
        <v>1</v>
      </c>
      <c r="F573" s="1">
        <f>_xlfn.XLOOKUP(payments_raw[[#This Row],[subscription_id]], subscriptions[subscription_id], subscriptions[start_date])</f>
        <v>45471</v>
      </c>
      <c r="G5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45658</v>
      </c>
      <c r="H573" s="2">
        <f>IF(payments_raw[[#This Row],[payment_date]] &lt; payments_raw[[#This Row],[sub_start_date]], 1, 0)</f>
        <v>0</v>
      </c>
      <c r="I573" s="2">
        <f>IF(AND(payments_raw[[#This Row],[sub_end_date]]&lt;&gt;"", payments_raw[[#This Row],[payment_date]] &gt; payments_raw[[#This Row],[sub_end_date]]), 1, 0)</f>
        <v>0</v>
      </c>
      <c r="J573" s="2">
        <f>IF(payments_raw[[#This Row],[amount]] &lt;= 0, 1, 0)</f>
        <v>0</v>
      </c>
      <c r="K5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4" spans="1:11" x14ac:dyDescent="0.3">
      <c r="A574">
        <v>66394418</v>
      </c>
      <c r="B574">
        <v>8196619</v>
      </c>
      <c r="C574" s="1">
        <v>45116</v>
      </c>
      <c r="D574">
        <v>190</v>
      </c>
      <c r="E574">
        <f>IF(
  ISNA(
    _xlfn.XLOOKUP(
      payments_raw[[#This Row],[subscription_id]],
      subscriptions[subscription_id],
      subscriptions[subscription_id]
    )
  ),
  0,
  1
)</f>
        <v>1</v>
      </c>
      <c r="F574" s="1">
        <f>_xlfn.XLOOKUP(payments_raw[[#This Row],[subscription_id]], subscriptions[subscription_id], subscriptions[start_date])</f>
        <v>45069</v>
      </c>
      <c r="G5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574" s="2">
        <f>IF(payments_raw[[#This Row],[payment_date]] &lt; payments_raw[[#This Row],[sub_start_date]], 1, 0)</f>
        <v>0</v>
      </c>
      <c r="I574" s="2">
        <f>IF(AND(payments_raw[[#This Row],[sub_end_date]]&lt;&gt;"", payments_raw[[#This Row],[payment_date]] &gt; payments_raw[[#This Row],[sub_end_date]]), 1, 0)</f>
        <v>0</v>
      </c>
      <c r="J574" s="2">
        <f>IF(payments_raw[[#This Row],[amount]] &lt;= 0, 1, 0)</f>
        <v>0</v>
      </c>
      <c r="K5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5" spans="1:11" x14ac:dyDescent="0.3">
      <c r="A575">
        <v>46111036</v>
      </c>
      <c r="B575">
        <v>3864241</v>
      </c>
      <c r="C575" s="1">
        <v>45653</v>
      </c>
      <c r="D575">
        <v>1495</v>
      </c>
      <c r="E575">
        <f>IF(
  ISNA(
    _xlfn.XLOOKUP(
      payments_raw[[#This Row],[subscription_id]],
      subscriptions[subscription_id],
      subscriptions[subscription_id]
    )
  ),
  0,
  1
)</f>
        <v>1</v>
      </c>
      <c r="F575" s="1">
        <f>_xlfn.XLOOKUP(payments_raw[[#This Row],[subscription_id]], subscriptions[subscription_id], subscriptions[start_date])</f>
        <v>45559</v>
      </c>
      <c r="G5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75" s="2">
        <f>IF(payments_raw[[#This Row],[payment_date]] &lt; payments_raw[[#This Row],[sub_start_date]], 1, 0)</f>
        <v>0</v>
      </c>
      <c r="I575" s="2">
        <f>IF(AND(payments_raw[[#This Row],[sub_end_date]]&lt;&gt;"", payments_raw[[#This Row],[payment_date]] &gt; payments_raw[[#This Row],[sub_end_date]]), 1, 0)</f>
        <v>0</v>
      </c>
      <c r="J575" s="2">
        <f>IF(payments_raw[[#This Row],[amount]] &lt;= 0, 1, 0)</f>
        <v>0</v>
      </c>
      <c r="K5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6" spans="1:11" x14ac:dyDescent="0.3">
      <c r="A576">
        <v>22658740</v>
      </c>
      <c r="B576">
        <v>1371031</v>
      </c>
      <c r="C576" s="1">
        <v>45630</v>
      </c>
      <c r="D576">
        <v>224.25</v>
      </c>
      <c r="E576">
        <f>IF(
  ISNA(
    _xlfn.XLOOKUP(
      payments_raw[[#This Row],[subscription_id]],
      subscriptions[subscription_id],
      subscriptions[subscription_id]
    )
  ),
  0,
  1
)</f>
        <v>1</v>
      </c>
      <c r="F576" s="1">
        <f>_xlfn.XLOOKUP(payments_raw[[#This Row],[subscription_id]], subscriptions[subscription_id], subscriptions[start_date])</f>
        <v>45480</v>
      </c>
      <c r="G5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76" s="2">
        <f>IF(payments_raw[[#This Row],[payment_date]] &lt; payments_raw[[#This Row],[sub_start_date]], 1, 0)</f>
        <v>0</v>
      </c>
      <c r="I576" s="2">
        <f>IF(AND(payments_raw[[#This Row],[sub_end_date]]&lt;&gt;"", payments_raw[[#This Row],[payment_date]] &gt; payments_raw[[#This Row],[sub_end_date]]), 1, 0)</f>
        <v>0</v>
      </c>
      <c r="J576" s="2">
        <f>IF(payments_raw[[#This Row],[amount]] &lt;= 0, 1, 0)</f>
        <v>0</v>
      </c>
      <c r="K5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7" spans="1:11" x14ac:dyDescent="0.3">
      <c r="A577">
        <v>15707588</v>
      </c>
      <c r="B577">
        <v>6938019</v>
      </c>
      <c r="C577" s="1">
        <v>45447</v>
      </c>
      <c r="D577">
        <v>1490</v>
      </c>
      <c r="E577">
        <f>IF(
  ISNA(
    _xlfn.XLOOKUP(
      payments_raw[[#This Row],[subscription_id]],
      subscriptions[subscription_id],
      subscriptions[subscription_id]
    )
  ),
  0,
  1
)</f>
        <v>1</v>
      </c>
      <c r="F577" s="1">
        <f>_xlfn.XLOOKUP(payments_raw[[#This Row],[subscription_id]], subscriptions[subscription_id], subscriptions[start_date])</f>
        <v>45207</v>
      </c>
      <c r="G5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77" s="2">
        <f>IF(payments_raw[[#This Row],[payment_date]] &lt; payments_raw[[#This Row],[sub_start_date]], 1, 0)</f>
        <v>0</v>
      </c>
      <c r="I577" s="2">
        <f>IF(AND(payments_raw[[#This Row],[sub_end_date]]&lt;&gt;"", payments_raw[[#This Row],[payment_date]] &gt; payments_raw[[#This Row],[sub_end_date]]), 1, 0)</f>
        <v>0</v>
      </c>
      <c r="J577" s="2">
        <f>IF(payments_raw[[#This Row],[amount]] &lt;= 0, 1, 0)</f>
        <v>0</v>
      </c>
      <c r="K5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8" spans="1:11" x14ac:dyDescent="0.3">
      <c r="A578">
        <v>64490879</v>
      </c>
      <c r="B578">
        <v>5366631</v>
      </c>
      <c r="C578" s="1">
        <v>45599</v>
      </c>
      <c r="D578">
        <v>390</v>
      </c>
      <c r="E578">
        <f>IF(
  ISNA(
    _xlfn.XLOOKUP(
      payments_raw[[#This Row],[subscription_id]],
      subscriptions[subscription_id],
      subscriptions[subscription_id]
    )
  ),
  0,
  1
)</f>
        <v>1</v>
      </c>
      <c r="F578" s="1">
        <f>_xlfn.XLOOKUP(payments_raw[[#This Row],[subscription_id]], subscriptions[subscription_id], subscriptions[start_date])</f>
        <v>45461</v>
      </c>
      <c r="G5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578" s="2">
        <f>IF(payments_raw[[#This Row],[payment_date]] &lt; payments_raw[[#This Row],[sub_start_date]], 1, 0)</f>
        <v>0</v>
      </c>
      <c r="I578" s="2">
        <f>IF(AND(payments_raw[[#This Row],[sub_end_date]]&lt;&gt;"", payments_raw[[#This Row],[payment_date]] &gt; payments_raw[[#This Row],[sub_end_date]]), 1, 0)</f>
        <v>0</v>
      </c>
      <c r="J578" s="2">
        <f>IF(payments_raw[[#This Row],[amount]] &lt;= 0, 1, 0)</f>
        <v>0</v>
      </c>
      <c r="K5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79" spans="1:11" x14ac:dyDescent="0.3">
      <c r="A579">
        <v>31314707</v>
      </c>
      <c r="B579">
        <v>3806907</v>
      </c>
      <c r="C579" s="1">
        <v>44937</v>
      </c>
      <c r="D579">
        <v>190</v>
      </c>
      <c r="E579">
        <f>IF(
  ISNA(
    _xlfn.XLOOKUP(
      payments_raw[[#This Row],[subscription_id]],
      subscriptions[subscription_id],
      subscriptions[subscription_id]
    )
  ),
  0,
  1
)</f>
        <v>1</v>
      </c>
      <c r="F579" s="1">
        <f>_xlfn.XLOOKUP(payments_raw[[#This Row],[subscription_id]], subscriptions[subscription_id], subscriptions[start_date])</f>
        <v>44862</v>
      </c>
      <c r="G57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44943</v>
      </c>
      <c r="H579" s="2">
        <f>IF(payments_raw[[#This Row],[payment_date]] &lt; payments_raw[[#This Row],[sub_start_date]], 1, 0)</f>
        <v>0</v>
      </c>
      <c r="I579" s="2">
        <f>IF(AND(payments_raw[[#This Row],[sub_end_date]]&lt;&gt;"", payments_raw[[#This Row],[payment_date]] &gt; payments_raw[[#This Row],[sub_end_date]]), 1, 0)</f>
        <v>0</v>
      </c>
      <c r="J579" s="2">
        <f>IF(payments_raw[[#This Row],[amount]] &lt;= 0, 1, 0)</f>
        <v>0</v>
      </c>
      <c r="K5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0" spans="1:11" x14ac:dyDescent="0.3">
      <c r="A580">
        <v>43229057</v>
      </c>
      <c r="B580">
        <v>9798778</v>
      </c>
      <c r="C580" s="1">
        <v>45485</v>
      </c>
      <c r="D580">
        <v>79</v>
      </c>
      <c r="E580">
        <f>IF(
  ISNA(
    _xlfn.XLOOKUP(
      payments_raw[[#This Row],[subscription_id]],
      subscriptions[subscription_id],
      subscriptions[subscription_id]
    )
  ),
  0,
  1
)</f>
        <v>1</v>
      </c>
      <c r="F580" s="1">
        <f>_xlfn.XLOOKUP(payments_raw[[#This Row],[subscription_id]], subscriptions[subscription_id], subscriptions[start_date])</f>
        <v>45465</v>
      </c>
      <c r="G5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0" s="2">
        <f>IF(payments_raw[[#This Row],[payment_date]] &lt; payments_raw[[#This Row],[sub_start_date]], 1, 0)</f>
        <v>0</v>
      </c>
      <c r="I580" s="2">
        <f>IF(AND(payments_raw[[#This Row],[sub_end_date]]&lt;&gt;"", payments_raw[[#This Row],[payment_date]] &gt; payments_raw[[#This Row],[sub_end_date]]), 1, 0)</f>
        <v>0</v>
      </c>
      <c r="J580" s="2">
        <f>IF(payments_raw[[#This Row],[amount]] &lt;= 0, 1, 0)</f>
        <v>0</v>
      </c>
      <c r="K5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1" spans="1:11" x14ac:dyDescent="0.3">
      <c r="A581">
        <v>34847621</v>
      </c>
      <c r="B581">
        <v>2299399</v>
      </c>
      <c r="C581" s="1">
        <v>45629</v>
      </c>
      <c r="D581">
        <v>190</v>
      </c>
      <c r="E581">
        <f>IF(
  ISNA(
    _xlfn.XLOOKUP(
      payments_raw[[#This Row],[subscription_id]],
      subscriptions[subscription_id],
      subscriptions[subscription_id]
    )
  ),
  0,
  1
)</f>
        <v>1</v>
      </c>
      <c r="F581" s="1">
        <f>_xlfn.XLOOKUP(payments_raw[[#This Row],[subscription_id]], subscriptions[subscription_id], subscriptions[start_date])</f>
        <v>45047</v>
      </c>
      <c r="G5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1" s="2">
        <f>IF(payments_raw[[#This Row],[payment_date]] &lt; payments_raw[[#This Row],[sub_start_date]], 1, 0)</f>
        <v>0</v>
      </c>
      <c r="I581" s="2">
        <f>IF(AND(payments_raw[[#This Row],[sub_end_date]]&lt;&gt;"", payments_raw[[#This Row],[payment_date]] &gt; payments_raw[[#This Row],[sub_end_date]]), 1, 0)</f>
        <v>0</v>
      </c>
      <c r="J581" s="2">
        <f>IF(payments_raw[[#This Row],[amount]] &lt;= 0, 1, 0)</f>
        <v>0</v>
      </c>
      <c r="K5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2" spans="1:11" x14ac:dyDescent="0.3">
      <c r="A582">
        <v>23941705</v>
      </c>
      <c r="B582">
        <v>1601759</v>
      </c>
      <c r="C582" s="1">
        <v>45365</v>
      </c>
      <c r="D582">
        <v>390</v>
      </c>
      <c r="E582">
        <f>IF(
  ISNA(
    _xlfn.XLOOKUP(
      payments_raw[[#This Row],[subscription_id]],
      subscriptions[subscription_id],
      subscriptions[subscription_id]
    )
  ),
  0,
  1
)</f>
        <v>1</v>
      </c>
      <c r="F582" s="1">
        <f>_xlfn.XLOOKUP(payments_raw[[#This Row],[subscription_id]], subscriptions[subscription_id], subscriptions[start_date])</f>
        <v>45043</v>
      </c>
      <c r="G5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45405</v>
      </c>
      <c r="H582" s="2">
        <f>IF(payments_raw[[#This Row],[payment_date]] &lt; payments_raw[[#This Row],[sub_start_date]], 1, 0)</f>
        <v>0</v>
      </c>
      <c r="I582" s="2">
        <f>IF(AND(payments_raw[[#This Row],[sub_end_date]]&lt;&gt;"", payments_raw[[#This Row],[payment_date]] &gt; payments_raw[[#This Row],[sub_end_date]]), 1, 0)</f>
        <v>0</v>
      </c>
      <c r="J582" s="2">
        <f>IF(payments_raw[[#This Row],[amount]] &lt;= 0, 1, 0)</f>
        <v>0</v>
      </c>
      <c r="K5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3" spans="1:11" x14ac:dyDescent="0.3">
      <c r="A583">
        <v>73124701</v>
      </c>
      <c r="B583">
        <v>4557877</v>
      </c>
      <c r="C583" s="1">
        <v>45093</v>
      </c>
      <c r="D583">
        <v>39</v>
      </c>
      <c r="E583">
        <f>IF(
  ISNA(
    _xlfn.XLOOKUP(
      payments_raw[[#This Row],[subscription_id]],
      subscriptions[subscription_id],
      subscriptions[subscription_id]
    )
  ),
  0,
  1
)</f>
        <v>1</v>
      </c>
      <c r="F583" s="1">
        <f>_xlfn.XLOOKUP(payments_raw[[#This Row],[subscription_id]], subscriptions[subscription_id], subscriptions[start_date])</f>
        <v>44870</v>
      </c>
      <c r="G5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3" s="2">
        <f>IF(payments_raw[[#This Row],[payment_date]] &lt; payments_raw[[#This Row],[sub_start_date]], 1, 0)</f>
        <v>0</v>
      </c>
      <c r="I583" s="2">
        <f>IF(AND(payments_raw[[#This Row],[sub_end_date]]&lt;&gt;"", payments_raw[[#This Row],[payment_date]] &gt; payments_raw[[#This Row],[sub_end_date]]), 1, 0)</f>
        <v>0</v>
      </c>
      <c r="J583" s="2">
        <f>IF(payments_raw[[#This Row],[amount]] &lt;= 0, 1, 0)</f>
        <v>0</v>
      </c>
      <c r="K5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4" spans="1:11" x14ac:dyDescent="0.3">
      <c r="A584">
        <v>27000208</v>
      </c>
      <c r="B584">
        <v>8375951</v>
      </c>
      <c r="C584" s="1">
        <v>44857</v>
      </c>
      <c r="D584">
        <v>1490</v>
      </c>
      <c r="E584">
        <f>IF(
  ISNA(
    _xlfn.XLOOKUP(
      payments_raw[[#This Row],[subscription_id]],
      subscriptions[subscription_id],
      subscriptions[subscription_id]
    )
  ),
  0,
  1
)</f>
        <v>1</v>
      </c>
      <c r="F584" s="1">
        <f>_xlfn.XLOOKUP(payments_raw[[#This Row],[subscription_id]], subscriptions[subscription_id], subscriptions[start_date])</f>
        <v>44814</v>
      </c>
      <c r="G5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584" s="2">
        <f>IF(payments_raw[[#This Row],[payment_date]] &lt; payments_raw[[#This Row],[sub_start_date]], 1, 0)</f>
        <v>0</v>
      </c>
      <c r="I584" s="2">
        <f>IF(AND(payments_raw[[#This Row],[sub_end_date]]&lt;&gt;"", payments_raw[[#This Row],[payment_date]] &gt; payments_raw[[#This Row],[sub_end_date]]), 1, 0)</f>
        <v>0</v>
      </c>
      <c r="J584" s="2">
        <f>IF(payments_raw[[#This Row],[amount]] &lt;= 0, 1, 0)</f>
        <v>0</v>
      </c>
      <c r="K5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5" spans="1:11" x14ac:dyDescent="0.3">
      <c r="A585">
        <v>78408689</v>
      </c>
      <c r="B585">
        <v>4606999</v>
      </c>
      <c r="C585" s="1">
        <v>45589</v>
      </c>
      <c r="D585">
        <v>39</v>
      </c>
      <c r="E585">
        <f>IF(
  ISNA(
    _xlfn.XLOOKUP(
      payments_raw[[#This Row],[subscription_id]],
      subscriptions[subscription_id],
      subscriptions[subscription_id]
    )
  ),
  0,
  1
)</f>
        <v>1</v>
      </c>
      <c r="F585" s="1">
        <f>_xlfn.XLOOKUP(payments_raw[[#This Row],[subscription_id]], subscriptions[subscription_id], subscriptions[start_date])</f>
        <v>45559</v>
      </c>
      <c r="G5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5" s="2">
        <f>IF(payments_raw[[#This Row],[payment_date]] &lt; payments_raw[[#This Row],[sub_start_date]], 1, 0)</f>
        <v>0</v>
      </c>
      <c r="I585" s="2">
        <f>IF(AND(payments_raw[[#This Row],[sub_end_date]]&lt;&gt;"", payments_raw[[#This Row],[payment_date]] &gt; payments_raw[[#This Row],[sub_end_date]]), 1, 0)</f>
        <v>0</v>
      </c>
      <c r="J585" s="2">
        <f>IF(payments_raw[[#This Row],[amount]] &lt;= 0, 1, 0)</f>
        <v>0</v>
      </c>
      <c r="K5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6" spans="1:11" x14ac:dyDescent="0.3">
      <c r="A586">
        <v>10709540</v>
      </c>
      <c r="B586">
        <v>8573586</v>
      </c>
      <c r="C586" s="1">
        <v>45595</v>
      </c>
      <c r="D586">
        <v>39</v>
      </c>
      <c r="E586">
        <f>IF(
  ISNA(
    _xlfn.XLOOKUP(
      payments_raw[[#This Row],[subscription_id]],
      subscriptions[subscription_id],
      subscriptions[subscription_id]
    )
  ),
  0,
  1
)</f>
        <v>1</v>
      </c>
      <c r="F586" s="1">
        <f>_xlfn.XLOOKUP(payments_raw[[#This Row],[subscription_id]], subscriptions[subscription_id], subscriptions[start_date])</f>
        <v>45421</v>
      </c>
      <c r="G5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6" s="2">
        <f>IF(payments_raw[[#This Row],[payment_date]] &lt; payments_raw[[#This Row],[sub_start_date]], 1, 0)</f>
        <v>0</v>
      </c>
      <c r="I586" s="2">
        <f>IF(AND(payments_raw[[#This Row],[sub_end_date]]&lt;&gt;"", payments_raw[[#This Row],[payment_date]] &gt; payments_raw[[#This Row],[sub_end_date]]), 1, 0)</f>
        <v>0</v>
      </c>
      <c r="J586" s="2">
        <f>IF(payments_raw[[#This Row],[amount]] &lt;= 0, 1, 0)</f>
        <v>0</v>
      </c>
      <c r="K5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7" spans="1:11" x14ac:dyDescent="0.3">
      <c r="A587">
        <v>46683639</v>
      </c>
      <c r="B587">
        <v>6792299</v>
      </c>
      <c r="C587" s="1">
        <v>44833</v>
      </c>
      <c r="D587">
        <v>790</v>
      </c>
      <c r="E587">
        <f>IF(
  ISNA(
    _xlfn.XLOOKUP(
      payments_raw[[#This Row],[subscription_id]],
      subscriptions[subscription_id],
      subscriptions[subscription_id]
    )
  ),
  0,
  1
)</f>
        <v>1</v>
      </c>
      <c r="F587" s="1">
        <f>_xlfn.XLOOKUP(payments_raw[[#This Row],[subscription_id]], subscriptions[subscription_id], subscriptions[start_date])</f>
        <v>44760</v>
      </c>
      <c r="G58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44869</v>
      </c>
      <c r="H587" s="2">
        <f>IF(payments_raw[[#This Row],[payment_date]] &lt; payments_raw[[#This Row],[sub_start_date]], 1, 0)</f>
        <v>0</v>
      </c>
      <c r="I587" s="2">
        <f>IF(AND(payments_raw[[#This Row],[sub_end_date]]&lt;&gt;"", payments_raw[[#This Row],[payment_date]] &gt; payments_raw[[#This Row],[sub_end_date]]), 1, 0)</f>
        <v>0</v>
      </c>
      <c r="J587" s="2">
        <f>IF(payments_raw[[#This Row],[amount]] &lt;= 0, 1, 0)</f>
        <v>0</v>
      </c>
      <c r="K5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8" spans="1:11" x14ac:dyDescent="0.3">
      <c r="A588">
        <v>35172528</v>
      </c>
      <c r="B588">
        <v>8165734</v>
      </c>
      <c r="C588" s="1">
        <v>44969</v>
      </c>
      <c r="D588">
        <v>79</v>
      </c>
      <c r="E588">
        <f>IF(
  ISNA(
    _xlfn.XLOOKUP(
      payments_raw[[#This Row],[subscription_id]],
      subscriptions[subscription_id],
      subscriptions[subscription_id]
    )
  ),
  0,
  1
)</f>
        <v>1</v>
      </c>
      <c r="F588" s="1">
        <f>_xlfn.XLOOKUP(payments_raw[[#This Row],[subscription_id]], subscriptions[subscription_id], subscriptions[start_date])</f>
        <v>44906</v>
      </c>
      <c r="G58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588" s="2">
        <f>IF(payments_raw[[#This Row],[payment_date]] &lt; payments_raw[[#This Row],[sub_start_date]], 1, 0)</f>
        <v>0</v>
      </c>
      <c r="I588" s="2">
        <f>IF(AND(payments_raw[[#This Row],[sub_end_date]]&lt;&gt;"", payments_raw[[#This Row],[payment_date]] &gt; payments_raw[[#This Row],[sub_end_date]]), 1, 0)</f>
        <v>0</v>
      </c>
      <c r="J588" s="2">
        <f>IF(payments_raw[[#This Row],[amount]] &lt;= 0, 1, 0)</f>
        <v>0</v>
      </c>
      <c r="K5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89" spans="1:11" x14ac:dyDescent="0.3">
      <c r="A589">
        <v>17968729</v>
      </c>
      <c r="B589">
        <v>1174981</v>
      </c>
      <c r="C589" s="1">
        <v>45591</v>
      </c>
      <c r="D589">
        <v>79</v>
      </c>
      <c r="E589">
        <f>IF(
  ISNA(
    _xlfn.XLOOKUP(
      payments_raw[[#This Row],[subscription_id]],
      subscriptions[subscription_id],
      subscriptions[subscription_id]
    )
  ),
  0,
  1
)</f>
        <v>1</v>
      </c>
      <c r="F589" s="1">
        <f>_xlfn.XLOOKUP(payments_raw[[#This Row],[subscription_id]], subscriptions[subscription_id], subscriptions[start_date])</f>
        <v>45371</v>
      </c>
      <c r="G5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89" s="2">
        <f>IF(payments_raw[[#This Row],[payment_date]] &lt; payments_raw[[#This Row],[sub_start_date]], 1, 0)</f>
        <v>0</v>
      </c>
      <c r="I589" s="2">
        <f>IF(AND(payments_raw[[#This Row],[sub_end_date]]&lt;&gt;"", payments_raw[[#This Row],[payment_date]] &gt; payments_raw[[#This Row],[sub_end_date]]), 1, 0)</f>
        <v>0</v>
      </c>
      <c r="J589" s="2">
        <f>IF(payments_raw[[#This Row],[amount]] &lt;= 0, 1, 0)</f>
        <v>0</v>
      </c>
      <c r="K5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0" spans="1:11" x14ac:dyDescent="0.3">
      <c r="A590">
        <v>99507425</v>
      </c>
      <c r="B590">
        <v>7064624</v>
      </c>
      <c r="C590" s="1">
        <v>45093</v>
      </c>
      <c r="D590">
        <v>790</v>
      </c>
      <c r="E590">
        <f>IF(
  ISNA(
    _xlfn.XLOOKUP(
      payments_raw[[#This Row],[subscription_id]],
      subscriptions[subscription_id],
      subscriptions[subscription_id]
    )
  ),
  0,
  1
)</f>
        <v>1</v>
      </c>
      <c r="F590" s="1">
        <f>_xlfn.XLOOKUP(payments_raw[[#This Row],[subscription_id]], subscriptions[subscription_id], subscriptions[start_date])</f>
        <v>44696</v>
      </c>
      <c r="G5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90" s="2">
        <f>IF(payments_raw[[#This Row],[payment_date]] &lt; payments_raw[[#This Row],[sub_start_date]], 1, 0)</f>
        <v>0</v>
      </c>
      <c r="I590" s="2">
        <f>IF(AND(payments_raw[[#This Row],[sub_end_date]]&lt;&gt;"", payments_raw[[#This Row],[payment_date]] &gt; payments_raw[[#This Row],[sub_end_date]]), 1, 0)</f>
        <v>0</v>
      </c>
      <c r="J590" s="2">
        <f>IF(payments_raw[[#This Row],[amount]] &lt;= 0, 1, 0)</f>
        <v>0</v>
      </c>
      <c r="K5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1" spans="1:11" x14ac:dyDescent="0.3">
      <c r="A591">
        <v>80837586</v>
      </c>
      <c r="B591">
        <v>6529924</v>
      </c>
      <c r="C591" s="1">
        <v>44988</v>
      </c>
      <c r="D591">
        <v>190</v>
      </c>
      <c r="E591">
        <f>IF(
  ISNA(
    _xlfn.XLOOKUP(
      payments_raw[[#This Row],[subscription_id]],
      subscriptions[subscription_id],
      subscriptions[subscription_id]
    )
  ),
  0,
  1
)</f>
        <v>1</v>
      </c>
      <c r="F591" s="1">
        <f>_xlfn.XLOOKUP(payments_raw[[#This Row],[subscription_id]], subscriptions[subscription_id], subscriptions[start_date])</f>
        <v>44689</v>
      </c>
      <c r="G5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91" s="2">
        <f>IF(payments_raw[[#This Row],[payment_date]] &lt; payments_raw[[#This Row],[sub_start_date]], 1, 0)</f>
        <v>0</v>
      </c>
      <c r="I591" s="2">
        <f>IF(AND(payments_raw[[#This Row],[sub_end_date]]&lt;&gt;"", payments_raw[[#This Row],[payment_date]] &gt; payments_raw[[#This Row],[sub_end_date]]), 1, 0)</f>
        <v>0</v>
      </c>
      <c r="J591" s="2">
        <f>IF(payments_raw[[#This Row],[amount]] &lt;= 0, 1, 0)</f>
        <v>0</v>
      </c>
      <c r="K5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2" spans="1:11" x14ac:dyDescent="0.3">
      <c r="A592">
        <v>64293834</v>
      </c>
      <c r="B592">
        <v>8641031</v>
      </c>
      <c r="C592" s="1">
        <v>45630</v>
      </c>
      <c r="D592">
        <v>390</v>
      </c>
      <c r="E592">
        <f>IF(
  ISNA(
    _xlfn.XLOOKUP(
      payments_raw[[#This Row],[subscription_id]],
      subscriptions[subscription_id],
      subscriptions[subscription_id]
    )
  ),
  0,
  1
)</f>
        <v>1</v>
      </c>
      <c r="F592" s="1">
        <f>_xlfn.XLOOKUP(payments_raw[[#This Row],[subscription_id]], subscriptions[subscription_id], subscriptions[start_date])</f>
        <v>45593</v>
      </c>
      <c r="G5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45649</v>
      </c>
      <c r="H592" s="2">
        <f>IF(payments_raw[[#This Row],[payment_date]] &lt; payments_raw[[#This Row],[sub_start_date]], 1, 0)</f>
        <v>0</v>
      </c>
      <c r="I592" s="2">
        <f>IF(AND(payments_raw[[#This Row],[sub_end_date]]&lt;&gt;"", payments_raw[[#This Row],[payment_date]] &gt; payments_raw[[#This Row],[sub_end_date]]), 1, 0)</f>
        <v>0</v>
      </c>
      <c r="J592" s="2">
        <f>IF(payments_raw[[#This Row],[amount]] &lt;= 0, 1, 0)</f>
        <v>0</v>
      </c>
      <c r="K5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3" spans="1:11" x14ac:dyDescent="0.3">
      <c r="A593">
        <v>87622366</v>
      </c>
      <c r="B593">
        <v>6739966</v>
      </c>
      <c r="C593" s="1">
        <v>44980</v>
      </c>
      <c r="D593">
        <v>149</v>
      </c>
      <c r="E593">
        <f>IF(
  ISNA(
    _xlfn.XLOOKUP(
      payments_raw[[#This Row],[subscription_id]],
      subscriptions[subscription_id],
      subscriptions[subscription_id]
    )
  ),
  0,
  1
)</f>
        <v>1</v>
      </c>
      <c r="F593" s="1">
        <f>_xlfn.XLOOKUP(payments_raw[[#This Row],[subscription_id]], subscriptions[subscription_id], subscriptions[start_date])</f>
        <v>44833</v>
      </c>
      <c r="G5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45231</v>
      </c>
      <c r="H593" s="2">
        <f>IF(payments_raw[[#This Row],[payment_date]] &lt; payments_raw[[#This Row],[sub_start_date]], 1, 0)</f>
        <v>0</v>
      </c>
      <c r="I593" s="2">
        <f>IF(AND(payments_raw[[#This Row],[sub_end_date]]&lt;&gt;"", payments_raw[[#This Row],[payment_date]] &gt; payments_raw[[#This Row],[sub_end_date]]), 1, 0)</f>
        <v>0</v>
      </c>
      <c r="J593" s="2">
        <f>IF(payments_raw[[#This Row],[amount]] &lt;= 0, 1, 0)</f>
        <v>0</v>
      </c>
      <c r="K5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4" spans="1:11" x14ac:dyDescent="0.3">
      <c r="A594">
        <v>92729773</v>
      </c>
      <c r="B594">
        <v>5125653</v>
      </c>
      <c r="C594" s="1">
        <v>45409</v>
      </c>
      <c r="D594">
        <v>1490</v>
      </c>
      <c r="E594">
        <f>IF(
  ISNA(
    _xlfn.XLOOKUP(
      payments_raw[[#This Row],[subscription_id]],
      subscriptions[subscription_id],
      subscriptions[subscription_id]
    )
  ),
  0,
  1
)</f>
        <v>1</v>
      </c>
      <c r="F594" s="1">
        <f>_xlfn.XLOOKUP(payments_raw[[#This Row],[subscription_id]], subscriptions[subscription_id], subscriptions[start_date])</f>
        <v>45346</v>
      </c>
      <c r="G5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94" s="2">
        <f>IF(payments_raw[[#This Row],[payment_date]] &lt; payments_raw[[#This Row],[sub_start_date]], 1, 0)</f>
        <v>0</v>
      </c>
      <c r="I594" s="2">
        <f>IF(AND(payments_raw[[#This Row],[sub_end_date]]&lt;&gt;"", payments_raw[[#This Row],[payment_date]] &gt; payments_raw[[#This Row],[sub_end_date]]), 1, 0)</f>
        <v>0</v>
      </c>
      <c r="J594" s="2">
        <f>IF(payments_raw[[#This Row],[amount]] &lt;= 0, 1, 0)</f>
        <v>0</v>
      </c>
      <c r="K5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5" spans="1:11" x14ac:dyDescent="0.3">
      <c r="A595">
        <v>44225424</v>
      </c>
      <c r="B595">
        <v>8878038</v>
      </c>
      <c r="C595" s="1">
        <v>45291</v>
      </c>
      <c r="D595">
        <v>19</v>
      </c>
      <c r="E595">
        <f>IF(
  ISNA(
    _xlfn.XLOOKUP(
      payments_raw[[#This Row],[subscription_id]],
      subscriptions[subscription_id],
      subscriptions[subscription_id]
    )
  ),
  0,
  1
)</f>
        <v>1</v>
      </c>
      <c r="F595" s="1">
        <f>_xlfn.XLOOKUP(payments_raw[[#This Row],[subscription_id]], subscriptions[subscription_id], subscriptions[start_date])</f>
        <v>45137</v>
      </c>
      <c r="G5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45294</v>
      </c>
      <c r="H595" s="2">
        <f>IF(payments_raw[[#This Row],[payment_date]] &lt; payments_raw[[#This Row],[sub_start_date]], 1, 0)</f>
        <v>0</v>
      </c>
      <c r="I595" s="2">
        <f>IF(AND(payments_raw[[#This Row],[sub_end_date]]&lt;&gt;"", payments_raw[[#This Row],[payment_date]] &gt; payments_raw[[#This Row],[sub_end_date]]), 1, 0)</f>
        <v>0</v>
      </c>
      <c r="J595" s="2">
        <f>IF(payments_raw[[#This Row],[amount]] &lt;= 0, 1, 0)</f>
        <v>0</v>
      </c>
      <c r="K5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6" spans="1:11" x14ac:dyDescent="0.3">
      <c r="A596">
        <v>25382790</v>
      </c>
      <c r="B596">
        <v>3376783</v>
      </c>
      <c r="C596" s="1">
        <v>45278</v>
      </c>
      <c r="D596">
        <v>149</v>
      </c>
      <c r="E596">
        <f>IF(
  ISNA(
    _xlfn.XLOOKUP(
      payments_raw[[#This Row],[subscription_id]],
      subscriptions[subscription_id],
      subscriptions[subscription_id]
    )
  ),
  0,
  1
)</f>
        <v>1</v>
      </c>
      <c r="F596" s="1">
        <f>_xlfn.XLOOKUP(payments_raw[[#This Row],[subscription_id]], subscriptions[subscription_id], subscriptions[start_date])</f>
        <v>45175</v>
      </c>
      <c r="G5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596" s="2">
        <f>IF(payments_raw[[#This Row],[payment_date]] &lt; payments_raw[[#This Row],[sub_start_date]], 1, 0)</f>
        <v>0</v>
      </c>
      <c r="I596" s="2">
        <f>IF(AND(payments_raw[[#This Row],[sub_end_date]]&lt;&gt;"", payments_raw[[#This Row],[payment_date]] &gt; payments_raw[[#This Row],[sub_end_date]]), 1, 0)</f>
        <v>0</v>
      </c>
      <c r="J596" s="2">
        <f>IF(payments_raw[[#This Row],[amount]] &lt;= 0, 1, 0)</f>
        <v>0</v>
      </c>
      <c r="K5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7" spans="1:11" x14ac:dyDescent="0.3">
      <c r="A597">
        <v>43948523</v>
      </c>
      <c r="B597">
        <v>8015348</v>
      </c>
      <c r="C597" s="1">
        <v>45444</v>
      </c>
      <c r="D597">
        <v>2990</v>
      </c>
      <c r="E597">
        <f>IF(
  ISNA(
    _xlfn.XLOOKUP(
      payments_raw[[#This Row],[subscription_id]],
      subscriptions[subscription_id],
      subscriptions[subscription_id]
    )
  ),
  0,
  1
)</f>
        <v>1</v>
      </c>
      <c r="F597" s="1">
        <f>_xlfn.XLOOKUP(payments_raw[[#This Row],[subscription_id]], subscriptions[subscription_id], subscriptions[start_date])</f>
        <v>45379</v>
      </c>
      <c r="G5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97" s="2">
        <f>IF(payments_raw[[#This Row],[payment_date]] &lt; payments_raw[[#This Row],[sub_start_date]], 1, 0)</f>
        <v>0</v>
      </c>
      <c r="I597" s="2">
        <f>IF(AND(payments_raw[[#This Row],[sub_end_date]]&lt;&gt;"", payments_raw[[#This Row],[payment_date]] &gt; payments_raw[[#This Row],[sub_end_date]]), 1, 0)</f>
        <v>0</v>
      </c>
      <c r="J597" s="2">
        <f>IF(payments_raw[[#This Row],[amount]] &lt;= 0, 1, 0)</f>
        <v>0</v>
      </c>
      <c r="K5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8" spans="1:11" x14ac:dyDescent="0.3">
      <c r="A598">
        <v>96009479</v>
      </c>
      <c r="B598">
        <v>6272014</v>
      </c>
      <c r="C598" s="1">
        <v>44909</v>
      </c>
      <c r="D598">
        <v>190</v>
      </c>
      <c r="E598">
        <f>IF(
  ISNA(
    _xlfn.XLOOKUP(
      payments_raw[[#This Row],[subscription_id]],
      subscriptions[subscription_id],
      subscriptions[subscription_id]
    )
  ),
  0,
  1
)</f>
        <v>1</v>
      </c>
      <c r="F598" s="1">
        <f>_xlfn.XLOOKUP(payments_raw[[#This Row],[subscription_id]], subscriptions[subscription_id], subscriptions[start_date])</f>
        <v>44761</v>
      </c>
      <c r="G59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44933</v>
      </c>
      <c r="H598" s="2">
        <f>IF(payments_raw[[#This Row],[payment_date]] &lt; payments_raw[[#This Row],[sub_start_date]], 1, 0)</f>
        <v>0</v>
      </c>
      <c r="I598" s="2">
        <f>IF(AND(payments_raw[[#This Row],[sub_end_date]]&lt;&gt;"", payments_raw[[#This Row],[payment_date]] &gt; payments_raw[[#This Row],[sub_end_date]]), 1, 0)</f>
        <v>0</v>
      </c>
      <c r="J598" s="2">
        <f>IF(payments_raw[[#This Row],[amount]] &lt;= 0, 1, 0)</f>
        <v>0</v>
      </c>
      <c r="K5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599" spans="1:11" x14ac:dyDescent="0.3">
      <c r="A599">
        <v>43390704</v>
      </c>
      <c r="B599">
        <v>3429724</v>
      </c>
      <c r="C599" s="1">
        <v>45126</v>
      </c>
      <c r="D599">
        <v>790</v>
      </c>
      <c r="E599">
        <f>IF(
  ISNA(
    _xlfn.XLOOKUP(
      payments_raw[[#This Row],[subscription_id]],
      subscriptions[subscription_id],
      subscriptions[subscription_id]
    )
  ),
  0,
  1
)</f>
        <v>1</v>
      </c>
      <c r="F599" s="1">
        <f>_xlfn.XLOOKUP(payments_raw[[#This Row],[subscription_id]], subscriptions[subscription_id], subscriptions[start_date])</f>
        <v>44991</v>
      </c>
      <c r="G5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599" s="2">
        <f>IF(payments_raw[[#This Row],[payment_date]] &lt; payments_raw[[#This Row],[sub_start_date]], 1, 0)</f>
        <v>0</v>
      </c>
      <c r="I599" s="2">
        <f>IF(AND(payments_raw[[#This Row],[sub_end_date]]&lt;&gt;"", payments_raw[[#This Row],[payment_date]] &gt; payments_raw[[#This Row],[sub_end_date]]), 1, 0)</f>
        <v>0</v>
      </c>
      <c r="J599" s="2">
        <f>IF(payments_raw[[#This Row],[amount]] &lt;= 0, 1, 0)</f>
        <v>0</v>
      </c>
      <c r="K5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0" spans="1:11" x14ac:dyDescent="0.3">
      <c r="A600">
        <v>40984920</v>
      </c>
      <c r="B600">
        <v>2255341</v>
      </c>
      <c r="C600" s="1">
        <v>45488</v>
      </c>
      <c r="D600">
        <v>39</v>
      </c>
      <c r="E600">
        <f>IF(
  ISNA(
    _xlfn.XLOOKUP(
      payments_raw[[#This Row],[subscription_id]],
      subscriptions[subscription_id],
      subscriptions[subscription_id]
    )
  ),
  0,
  1
)</f>
        <v>1</v>
      </c>
      <c r="F600" s="1">
        <f>_xlfn.XLOOKUP(payments_raw[[#This Row],[subscription_id]], subscriptions[subscription_id], subscriptions[start_date])</f>
        <v>45425</v>
      </c>
      <c r="G6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600" s="2">
        <f>IF(payments_raw[[#This Row],[payment_date]] &lt; payments_raw[[#This Row],[sub_start_date]], 1, 0)</f>
        <v>0</v>
      </c>
      <c r="I600" s="2">
        <f>IF(AND(payments_raw[[#This Row],[sub_end_date]]&lt;&gt;"", payments_raw[[#This Row],[payment_date]] &gt; payments_raw[[#This Row],[sub_end_date]]), 1, 0)</f>
        <v>0</v>
      </c>
      <c r="J600" s="2">
        <f>IF(payments_raw[[#This Row],[amount]] &lt;= 0, 1, 0)</f>
        <v>0</v>
      </c>
      <c r="K6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1" spans="1:11" x14ac:dyDescent="0.3">
      <c r="A601">
        <v>19690419</v>
      </c>
      <c r="B601">
        <v>2681206</v>
      </c>
      <c r="C601" s="1">
        <v>45120</v>
      </c>
      <c r="D601">
        <v>19</v>
      </c>
      <c r="E601">
        <f>IF(
  ISNA(
    _xlfn.XLOOKUP(
      payments_raw[[#This Row],[subscription_id]],
      subscriptions[subscription_id],
      subscriptions[subscription_id]
    )
  ),
  0,
  1
)</f>
        <v>1</v>
      </c>
      <c r="F601" s="1">
        <f>_xlfn.XLOOKUP(payments_raw[[#This Row],[subscription_id]], subscriptions[subscription_id], subscriptions[start_date])</f>
        <v>44945</v>
      </c>
      <c r="G6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45131</v>
      </c>
      <c r="H601" s="2">
        <f>IF(payments_raw[[#This Row],[payment_date]] &lt; payments_raw[[#This Row],[sub_start_date]], 1, 0)</f>
        <v>0</v>
      </c>
      <c r="I601" s="2">
        <f>IF(AND(payments_raw[[#This Row],[sub_end_date]]&lt;&gt;"", payments_raw[[#This Row],[payment_date]] &gt; payments_raw[[#This Row],[sub_end_date]]), 1, 0)</f>
        <v>0</v>
      </c>
      <c r="J601" s="2">
        <f>IF(payments_raw[[#This Row],[amount]] &lt;= 0, 1, 0)</f>
        <v>0</v>
      </c>
      <c r="K6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2" spans="1:11" x14ac:dyDescent="0.3">
      <c r="A602">
        <v>39277674</v>
      </c>
      <c r="B602">
        <v>8494305</v>
      </c>
      <c r="C602" s="1">
        <v>45576</v>
      </c>
      <c r="D602">
        <v>39</v>
      </c>
      <c r="E602">
        <f>IF(
  ISNA(
    _xlfn.XLOOKUP(
      payments_raw[[#This Row],[subscription_id]],
      subscriptions[subscription_id],
      subscriptions[subscription_id]
    )
  ),
  0,
  1
)</f>
        <v>1</v>
      </c>
      <c r="F602" s="1">
        <f>_xlfn.XLOOKUP(payments_raw[[#This Row],[subscription_id]], subscriptions[subscription_id], subscriptions[start_date])</f>
        <v>45541</v>
      </c>
      <c r="G6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602" s="2">
        <f>IF(payments_raw[[#This Row],[payment_date]] &lt; payments_raw[[#This Row],[sub_start_date]], 1, 0)</f>
        <v>0</v>
      </c>
      <c r="I602" s="2">
        <f>IF(AND(payments_raw[[#This Row],[sub_end_date]]&lt;&gt;"", payments_raw[[#This Row],[payment_date]] &gt; payments_raw[[#This Row],[sub_end_date]]), 1, 0)</f>
        <v>0</v>
      </c>
      <c r="J602" s="2">
        <f>IF(payments_raw[[#This Row],[amount]] &lt;= 0, 1, 0)</f>
        <v>0</v>
      </c>
      <c r="K6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3" spans="1:11" x14ac:dyDescent="0.3">
      <c r="A603">
        <v>87118114</v>
      </c>
      <c r="B603">
        <v>8350507</v>
      </c>
      <c r="C603" s="1">
        <v>45146</v>
      </c>
      <c r="D603">
        <v>790</v>
      </c>
      <c r="E603">
        <f>IF(
  ISNA(
    _xlfn.XLOOKUP(
      payments_raw[[#This Row],[subscription_id]],
      subscriptions[subscription_id],
      subscriptions[subscription_id]
    )
  ),
  0,
  1
)</f>
        <v>1</v>
      </c>
      <c r="F603" s="1">
        <f>_xlfn.XLOOKUP(payments_raw[[#This Row],[subscription_id]], subscriptions[subscription_id], subscriptions[start_date])</f>
        <v>45144</v>
      </c>
      <c r="G6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03" s="2">
        <f>IF(payments_raw[[#This Row],[payment_date]] &lt; payments_raw[[#This Row],[sub_start_date]], 1, 0)</f>
        <v>0</v>
      </c>
      <c r="I603" s="2">
        <f>IF(AND(payments_raw[[#This Row],[sub_end_date]]&lt;&gt;"", payments_raw[[#This Row],[payment_date]] &gt; payments_raw[[#This Row],[sub_end_date]]), 1, 0)</f>
        <v>0</v>
      </c>
      <c r="J603" s="2">
        <f>IF(payments_raw[[#This Row],[amount]] &lt;= 0, 1, 0)</f>
        <v>0</v>
      </c>
      <c r="K6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4" spans="1:11" x14ac:dyDescent="0.3">
      <c r="A604">
        <v>24867878</v>
      </c>
      <c r="B604">
        <v>3825261</v>
      </c>
      <c r="C604" s="1">
        <v>45658</v>
      </c>
      <c r="D604">
        <v>9.5</v>
      </c>
      <c r="E604">
        <f>IF(
  ISNA(
    _xlfn.XLOOKUP(
      payments_raw[[#This Row],[subscription_id]],
      subscriptions[subscription_id],
      subscriptions[subscription_id]
    )
  ),
  0,
  1
)</f>
        <v>1</v>
      </c>
      <c r="F604" s="1">
        <f>_xlfn.XLOOKUP(payments_raw[[#This Row],[subscription_id]], subscriptions[subscription_id], subscriptions[start_date])</f>
        <v>45569</v>
      </c>
      <c r="G6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04" s="2">
        <f>IF(payments_raw[[#This Row],[payment_date]] &lt; payments_raw[[#This Row],[sub_start_date]], 1, 0)</f>
        <v>0</v>
      </c>
      <c r="I604" s="2">
        <f>IF(AND(payments_raw[[#This Row],[sub_end_date]]&lt;&gt;"", payments_raw[[#This Row],[payment_date]] &gt; payments_raw[[#This Row],[sub_end_date]]), 1, 0)</f>
        <v>0</v>
      </c>
      <c r="J604" s="2">
        <f>IF(payments_raw[[#This Row],[amount]] &lt;= 0, 1, 0)</f>
        <v>0</v>
      </c>
      <c r="K6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5" spans="1:11" x14ac:dyDescent="0.3">
      <c r="A605">
        <v>55816159</v>
      </c>
      <c r="B605">
        <v>5715786</v>
      </c>
      <c r="C605" s="1">
        <v>45471</v>
      </c>
      <c r="D605">
        <v>2990</v>
      </c>
      <c r="E605">
        <f>IF(
  ISNA(
    _xlfn.XLOOKUP(
      payments_raw[[#This Row],[subscription_id]],
      subscriptions[subscription_id],
      subscriptions[subscription_id]
    )
  ),
  0,
  1
)</f>
        <v>1</v>
      </c>
      <c r="F605" s="1">
        <f>_xlfn.XLOOKUP(payments_raw[[#This Row],[subscription_id]], subscriptions[subscription_id], subscriptions[start_date])</f>
        <v>45366</v>
      </c>
      <c r="G6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05" s="2">
        <f>IF(payments_raw[[#This Row],[payment_date]] &lt; payments_raw[[#This Row],[sub_start_date]], 1, 0)</f>
        <v>0</v>
      </c>
      <c r="I605" s="2">
        <f>IF(AND(payments_raw[[#This Row],[sub_end_date]]&lt;&gt;"", payments_raw[[#This Row],[payment_date]] &gt; payments_raw[[#This Row],[sub_end_date]]), 1, 0)</f>
        <v>0</v>
      </c>
      <c r="J605" s="2">
        <f>IF(payments_raw[[#This Row],[amount]] &lt;= 0, 1, 0)</f>
        <v>0</v>
      </c>
      <c r="K6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6" spans="1:11" x14ac:dyDescent="0.3">
      <c r="A606">
        <v>29728335</v>
      </c>
      <c r="B606">
        <v>9714808</v>
      </c>
      <c r="C606" s="1">
        <v>45225</v>
      </c>
      <c r="D606">
        <v>79</v>
      </c>
      <c r="E606">
        <f>IF(
  ISNA(
    _xlfn.XLOOKUP(
      payments_raw[[#This Row],[subscription_id]],
      subscriptions[subscription_id],
      subscriptions[subscription_id]
    )
  ),
  0,
  1
)</f>
        <v>1</v>
      </c>
      <c r="F606" s="1">
        <f>_xlfn.XLOOKUP(payments_raw[[#This Row],[subscription_id]], subscriptions[subscription_id], subscriptions[start_date])</f>
        <v>45162</v>
      </c>
      <c r="G6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45419</v>
      </c>
      <c r="H606" s="2">
        <f>IF(payments_raw[[#This Row],[payment_date]] &lt; payments_raw[[#This Row],[sub_start_date]], 1, 0)</f>
        <v>0</v>
      </c>
      <c r="I606" s="2">
        <f>IF(AND(payments_raw[[#This Row],[sub_end_date]]&lt;&gt;"", payments_raw[[#This Row],[payment_date]] &gt; payments_raw[[#This Row],[sub_end_date]]), 1, 0)</f>
        <v>0</v>
      </c>
      <c r="J606" s="2">
        <f>IF(payments_raw[[#This Row],[amount]] &lt;= 0, 1, 0)</f>
        <v>0</v>
      </c>
      <c r="K6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7" spans="1:11" x14ac:dyDescent="0.3">
      <c r="A607">
        <v>53635741</v>
      </c>
      <c r="B607">
        <v>5409982</v>
      </c>
      <c r="C607" s="1">
        <v>45580</v>
      </c>
      <c r="D607">
        <v>149</v>
      </c>
      <c r="E607">
        <f>IF(
  ISNA(
    _xlfn.XLOOKUP(
      payments_raw[[#This Row],[subscription_id]],
      subscriptions[subscription_id],
      subscriptions[subscription_id]
    )
  ),
  0,
  1
)</f>
        <v>1</v>
      </c>
      <c r="F607" s="1">
        <f>_xlfn.XLOOKUP(payments_raw[[#This Row],[subscription_id]], subscriptions[subscription_id], subscriptions[start_date])</f>
        <v>45528</v>
      </c>
      <c r="G6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607" s="2">
        <f>IF(payments_raw[[#This Row],[payment_date]] &lt; payments_raw[[#This Row],[sub_start_date]], 1, 0)</f>
        <v>0</v>
      </c>
      <c r="I607" s="2">
        <f>IF(AND(payments_raw[[#This Row],[sub_end_date]]&lt;&gt;"", payments_raw[[#This Row],[payment_date]] &gt; payments_raw[[#This Row],[sub_end_date]]), 1, 0)</f>
        <v>0</v>
      </c>
      <c r="J607" s="2">
        <f>IF(payments_raw[[#This Row],[amount]] &lt;= 0, 1, 0)</f>
        <v>0</v>
      </c>
      <c r="K6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8" spans="1:11" x14ac:dyDescent="0.3">
      <c r="A608">
        <v>79641006</v>
      </c>
      <c r="B608">
        <v>4896735</v>
      </c>
      <c r="C608" s="1">
        <v>45518</v>
      </c>
      <c r="D608">
        <v>2990</v>
      </c>
      <c r="E608">
        <f>IF(
  ISNA(
    _xlfn.XLOOKUP(
      payments_raw[[#This Row],[subscription_id]],
      subscriptions[subscription_id],
      subscriptions[subscription_id]
    )
  ),
  0,
  1
)</f>
        <v>1</v>
      </c>
      <c r="F608" s="1">
        <f>_xlfn.XLOOKUP(payments_raw[[#This Row],[subscription_id]], subscriptions[subscription_id], subscriptions[start_date])</f>
        <v>45170</v>
      </c>
      <c r="G6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08" s="2">
        <f>IF(payments_raw[[#This Row],[payment_date]] &lt; payments_raw[[#This Row],[sub_start_date]], 1, 0)</f>
        <v>0</v>
      </c>
      <c r="I608" s="2">
        <f>IF(AND(payments_raw[[#This Row],[sub_end_date]]&lt;&gt;"", payments_raw[[#This Row],[payment_date]] &gt; payments_raw[[#This Row],[sub_end_date]]), 1, 0)</f>
        <v>0</v>
      </c>
      <c r="J608" s="2">
        <f>IF(payments_raw[[#This Row],[amount]] &lt;= 0, 1, 0)</f>
        <v>0</v>
      </c>
      <c r="K6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09" spans="1:11" x14ac:dyDescent="0.3">
      <c r="A609">
        <v>99002424</v>
      </c>
      <c r="B609">
        <v>2463496</v>
      </c>
      <c r="C609" s="1">
        <v>44985</v>
      </c>
      <c r="D609">
        <v>190</v>
      </c>
      <c r="E609">
        <f>IF(
  ISNA(
    _xlfn.XLOOKUP(
      payments_raw[[#This Row],[subscription_id]],
      subscriptions[subscription_id],
      subscriptions[subscription_id]
    )
  ),
  0,
  1
)</f>
        <v>1</v>
      </c>
      <c r="F609" s="1">
        <f>_xlfn.XLOOKUP(payments_raw[[#This Row],[subscription_id]], subscriptions[subscription_id], subscriptions[start_date])</f>
        <v>44779</v>
      </c>
      <c r="G6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09" s="2">
        <f>IF(payments_raw[[#This Row],[payment_date]] &lt; payments_raw[[#This Row],[sub_start_date]], 1, 0)</f>
        <v>0</v>
      </c>
      <c r="I609" s="2">
        <f>IF(AND(payments_raw[[#This Row],[sub_end_date]]&lt;&gt;"", payments_raw[[#This Row],[payment_date]] &gt; payments_raw[[#This Row],[sub_end_date]]), 1, 0)</f>
        <v>0</v>
      </c>
      <c r="J609" s="2">
        <f>IF(payments_raw[[#This Row],[amount]] &lt;= 0, 1, 0)</f>
        <v>0</v>
      </c>
      <c r="K6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0" spans="1:11" x14ac:dyDescent="0.3">
      <c r="A610">
        <v>29584444</v>
      </c>
      <c r="B610">
        <v>3806907</v>
      </c>
      <c r="C610" s="1">
        <v>44888</v>
      </c>
      <c r="D610">
        <v>190</v>
      </c>
      <c r="E610">
        <f>IF(
  ISNA(
    _xlfn.XLOOKUP(
      payments_raw[[#This Row],[subscription_id]],
      subscriptions[subscription_id],
      subscriptions[subscription_id]
    )
  ),
  0,
  1
)</f>
        <v>1</v>
      </c>
      <c r="F610" s="1">
        <f>_xlfn.XLOOKUP(payments_raw[[#This Row],[subscription_id]], subscriptions[subscription_id], subscriptions[start_date])</f>
        <v>44862</v>
      </c>
      <c r="G61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44943</v>
      </c>
      <c r="H610" s="2">
        <f>IF(payments_raw[[#This Row],[payment_date]] &lt; payments_raw[[#This Row],[sub_start_date]], 1, 0)</f>
        <v>0</v>
      </c>
      <c r="I610" s="2">
        <f>IF(AND(payments_raw[[#This Row],[sub_end_date]]&lt;&gt;"", payments_raw[[#This Row],[payment_date]] &gt; payments_raw[[#This Row],[sub_end_date]]), 1, 0)</f>
        <v>0</v>
      </c>
      <c r="J610" s="2">
        <f>IF(payments_raw[[#This Row],[amount]] &lt;= 0, 1, 0)</f>
        <v>0</v>
      </c>
      <c r="K6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1" spans="1:11" x14ac:dyDescent="0.3">
      <c r="A611">
        <v>35233025</v>
      </c>
      <c r="B611">
        <v>2295356</v>
      </c>
      <c r="C611" s="1">
        <v>45583</v>
      </c>
      <c r="D611">
        <v>79</v>
      </c>
      <c r="E611">
        <f>IF(
  ISNA(
    _xlfn.XLOOKUP(
      payments_raw[[#This Row],[subscription_id]],
      subscriptions[subscription_id],
      subscriptions[subscription_id]
    )
  ),
  0,
  1
)</f>
        <v>1</v>
      </c>
      <c r="F611" s="1">
        <f>_xlfn.XLOOKUP(payments_raw[[#This Row],[subscription_id]], subscriptions[subscription_id], subscriptions[start_date])</f>
        <v>45521</v>
      </c>
      <c r="G6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1" s="2">
        <f>IF(payments_raw[[#This Row],[payment_date]] &lt; payments_raw[[#This Row],[sub_start_date]], 1, 0)</f>
        <v>0</v>
      </c>
      <c r="I611" s="2">
        <f>IF(AND(payments_raw[[#This Row],[sub_end_date]]&lt;&gt;"", payments_raw[[#This Row],[payment_date]] &gt; payments_raw[[#This Row],[sub_end_date]]), 1, 0)</f>
        <v>0</v>
      </c>
      <c r="J611" s="2">
        <f>IF(payments_raw[[#This Row],[amount]] &lt;= 0, 1, 0)</f>
        <v>0</v>
      </c>
      <c r="K6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2" spans="1:11" x14ac:dyDescent="0.3">
      <c r="A612">
        <v>46761893</v>
      </c>
      <c r="B612">
        <v>5437558</v>
      </c>
      <c r="C612" s="1">
        <v>45302</v>
      </c>
      <c r="D612">
        <v>195</v>
      </c>
      <c r="E612">
        <f>IF(
  ISNA(
    _xlfn.XLOOKUP(
      payments_raw[[#This Row],[subscription_id]],
      subscriptions[subscription_id],
      subscriptions[subscription_id]
    )
  ),
  0,
  1
)</f>
        <v>1</v>
      </c>
      <c r="F612" s="1">
        <f>_xlfn.XLOOKUP(payments_raw[[#This Row],[subscription_id]], subscriptions[subscription_id], subscriptions[start_date])</f>
        <v>45191</v>
      </c>
      <c r="G6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45433</v>
      </c>
      <c r="H612" s="2">
        <f>IF(payments_raw[[#This Row],[payment_date]] &lt; payments_raw[[#This Row],[sub_start_date]], 1, 0)</f>
        <v>0</v>
      </c>
      <c r="I612" s="2">
        <f>IF(AND(payments_raw[[#This Row],[sub_end_date]]&lt;&gt;"", payments_raw[[#This Row],[payment_date]] &gt; payments_raw[[#This Row],[sub_end_date]]), 1, 0)</f>
        <v>0</v>
      </c>
      <c r="J612" s="2">
        <f>IF(payments_raw[[#This Row],[amount]] &lt;= 0, 1, 0)</f>
        <v>0</v>
      </c>
      <c r="K6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3" spans="1:11" x14ac:dyDescent="0.3">
      <c r="A613">
        <v>68155654</v>
      </c>
      <c r="B613">
        <v>8545615</v>
      </c>
      <c r="C613" s="1">
        <v>45572</v>
      </c>
      <c r="D613">
        <v>149</v>
      </c>
      <c r="E613">
        <f>IF(
  ISNA(
    _xlfn.XLOOKUP(
      payments_raw[[#This Row],[subscription_id]],
      subscriptions[subscription_id],
      subscriptions[subscription_id]
    )
  ),
  0,
  1
)</f>
        <v>1</v>
      </c>
      <c r="F613" s="1">
        <f>_xlfn.XLOOKUP(payments_raw[[#This Row],[subscription_id]], subscriptions[subscription_id], subscriptions[start_date])</f>
        <v>45454</v>
      </c>
      <c r="G6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3" s="2">
        <f>IF(payments_raw[[#This Row],[payment_date]] &lt; payments_raw[[#This Row],[sub_start_date]], 1, 0)</f>
        <v>0</v>
      </c>
      <c r="I613" s="2">
        <f>IF(AND(payments_raw[[#This Row],[sub_end_date]]&lt;&gt;"", payments_raw[[#This Row],[payment_date]] &gt; payments_raw[[#This Row],[sub_end_date]]), 1, 0)</f>
        <v>0</v>
      </c>
      <c r="J613" s="2">
        <f>IF(payments_raw[[#This Row],[amount]] &lt;= 0, 1, 0)</f>
        <v>0</v>
      </c>
      <c r="K6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4" spans="1:11" x14ac:dyDescent="0.3">
      <c r="A614">
        <v>17998345</v>
      </c>
      <c r="B614">
        <v>6400269</v>
      </c>
      <c r="C614" s="1">
        <v>45478</v>
      </c>
      <c r="D614">
        <v>190</v>
      </c>
      <c r="E614">
        <f>IF(
  ISNA(
    _xlfn.XLOOKUP(
      payments_raw[[#This Row],[subscription_id]],
      subscriptions[subscription_id],
      subscriptions[subscription_id]
    )
  ),
  0,
  1
)</f>
        <v>1</v>
      </c>
      <c r="F614" s="1">
        <f>_xlfn.XLOOKUP(payments_raw[[#This Row],[subscription_id]], subscriptions[subscription_id], subscriptions[start_date])</f>
        <v>45383</v>
      </c>
      <c r="G6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45501</v>
      </c>
      <c r="H614" s="2">
        <f>IF(payments_raw[[#This Row],[payment_date]] &lt; payments_raw[[#This Row],[sub_start_date]], 1, 0)</f>
        <v>0</v>
      </c>
      <c r="I614" s="2">
        <f>IF(AND(payments_raw[[#This Row],[sub_end_date]]&lt;&gt;"", payments_raw[[#This Row],[payment_date]] &gt; payments_raw[[#This Row],[sub_end_date]]), 1, 0)</f>
        <v>0</v>
      </c>
      <c r="J614" s="2">
        <f>IF(payments_raw[[#This Row],[amount]] &lt;= 0, 1, 0)</f>
        <v>0</v>
      </c>
      <c r="K6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5" spans="1:11" x14ac:dyDescent="0.3">
      <c r="A615">
        <v>48798708</v>
      </c>
      <c r="B615">
        <v>6228876</v>
      </c>
      <c r="C615" s="1">
        <v>45262</v>
      </c>
      <c r="D615">
        <v>1490</v>
      </c>
      <c r="E615">
        <f>IF(
  ISNA(
    _xlfn.XLOOKUP(
      payments_raw[[#This Row],[subscription_id]],
      subscriptions[subscription_id],
      subscriptions[subscription_id]
    )
  ),
  0,
  1
)</f>
        <v>1</v>
      </c>
      <c r="F615" s="1">
        <f>_xlfn.XLOOKUP(payments_raw[[#This Row],[subscription_id]], subscriptions[subscription_id], subscriptions[start_date])</f>
        <v>45158</v>
      </c>
      <c r="G6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5" s="2">
        <f>IF(payments_raw[[#This Row],[payment_date]] &lt; payments_raw[[#This Row],[sub_start_date]], 1, 0)</f>
        <v>0</v>
      </c>
      <c r="I615" s="2">
        <f>IF(AND(payments_raw[[#This Row],[sub_end_date]]&lt;&gt;"", payments_raw[[#This Row],[payment_date]] &gt; payments_raw[[#This Row],[sub_end_date]]), 1, 0)</f>
        <v>0</v>
      </c>
      <c r="J615" s="2">
        <f>IF(payments_raw[[#This Row],[amount]] &lt;= 0, 1, 0)</f>
        <v>0</v>
      </c>
      <c r="K6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6" spans="1:11" x14ac:dyDescent="0.3">
      <c r="A616">
        <v>48548665</v>
      </c>
      <c r="B616">
        <v>4038296</v>
      </c>
      <c r="C616" s="1">
        <v>45420</v>
      </c>
      <c r="D616">
        <v>79</v>
      </c>
      <c r="E616">
        <f>IF(
  ISNA(
    _xlfn.XLOOKUP(
      payments_raw[[#This Row],[subscription_id]],
      subscriptions[subscription_id],
      subscriptions[subscription_id]
    )
  ),
  0,
  1
)</f>
        <v>1</v>
      </c>
      <c r="F616" s="1">
        <f>_xlfn.XLOOKUP(payments_raw[[#This Row],[subscription_id]], subscriptions[subscription_id], subscriptions[start_date])</f>
        <v>45348</v>
      </c>
      <c r="G6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6" s="2">
        <f>IF(payments_raw[[#This Row],[payment_date]] &lt; payments_raw[[#This Row],[sub_start_date]], 1, 0)</f>
        <v>0</v>
      </c>
      <c r="I616" s="2">
        <f>IF(AND(payments_raw[[#This Row],[sub_end_date]]&lt;&gt;"", payments_raw[[#This Row],[payment_date]] &gt; payments_raw[[#This Row],[sub_end_date]]), 1, 0)</f>
        <v>0</v>
      </c>
      <c r="J616" s="2">
        <f>IF(payments_raw[[#This Row],[amount]] &lt;= 0, 1, 0)</f>
        <v>0</v>
      </c>
      <c r="K6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7" spans="1:11" x14ac:dyDescent="0.3">
      <c r="A617">
        <v>33764601</v>
      </c>
      <c r="B617">
        <v>7188568</v>
      </c>
      <c r="C617" s="1">
        <v>45517</v>
      </c>
      <c r="D617">
        <v>2990</v>
      </c>
      <c r="E617">
        <f>IF(
  ISNA(
    _xlfn.XLOOKUP(
      payments_raw[[#This Row],[subscription_id]],
      subscriptions[subscription_id],
      subscriptions[subscription_id]
    )
  ),
  0,
  1
)</f>
        <v>1</v>
      </c>
      <c r="F617" s="1">
        <f>_xlfn.XLOOKUP(payments_raw[[#This Row],[subscription_id]], subscriptions[subscription_id], subscriptions[start_date])</f>
        <v>45081</v>
      </c>
      <c r="G6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7" s="2">
        <f>IF(payments_raw[[#This Row],[payment_date]] &lt; payments_raw[[#This Row],[sub_start_date]], 1, 0)</f>
        <v>0</v>
      </c>
      <c r="I617" s="2">
        <f>IF(AND(payments_raw[[#This Row],[sub_end_date]]&lt;&gt;"", payments_raw[[#This Row],[payment_date]] &gt; payments_raw[[#This Row],[sub_end_date]]), 1, 0)</f>
        <v>0</v>
      </c>
      <c r="J617" s="2">
        <f>IF(payments_raw[[#This Row],[amount]] &lt;= 0, 1, 0)</f>
        <v>0</v>
      </c>
      <c r="K6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8" spans="1:11" x14ac:dyDescent="0.3">
      <c r="A618">
        <v>73516387</v>
      </c>
      <c r="B618">
        <v>6677240</v>
      </c>
      <c r="C618" s="1">
        <v>45540</v>
      </c>
      <c r="D618">
        <v>299</v>
      </c>
      <c r="E618">
        <f>IF(
  ISNA(
    _xlfn.XLOOKUP(
      payments_raw[[#This Row],[subscription_id]],
      subscriptions[subscription_id],
      subscriptions[subscription_id]
    )
  ),
  0,
  1
)</f>
        <v>1</v>
      </c>
      <c r="F618" s="1">
        <f>_xlfn.XLOOKUP(payments_raw[[#This Row],[subscription_id]], subscriptions[subscription_id], subscriptions[start_date])</f>
        <v>44736</v>
      </c>
      <c r="G6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8" s="2">
        <f>IF(payments_raw[[#This Row],[payment_date]] &lt; payments_raw[[#This Row],[sub_start_date]], 1, 0)</f>
        <v>0</v>
      </c>
      <c r="I618" s="2">
        <f>IF(AND(payments_raw[[#This Row],[sub_end_date]]&lt;&gt;"", payments_raw[[#This Row],[payment_date]] &gt; payments_raw[[#This Row],[sub_end_date]]), 1, 0)</f>
        <v>0</v>
      </c>
      <c r="J618" s="2">
        <f>IF(payments_raw[[#This Row],[amount]] &lt;= 0, 1, 0)</f>
        <v>0</v>
      </c>
      <c r="K6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19" spans="1:11" x14ac:dyDescent="0.3">
      <c r="A619">
        <v>18763750</v>
      </c>
      <c r="B619">
        <v>5021865</v>
      </c>
      <c r="C619" s="1">
        <v>45616</v>
      </c>
      <c r="D619">
        <v>39</v>
      </c>
      <c r="E619">
        <f>IF(
  ISNA(
    _xlfn.XLOOKUP(
      payments_raw[[#This Row],[subscription_id]],
      subscriptions[subscription_id],
      subscriptions[subscription_id]
    )
  ),
  0,
  1
)</f>
        <v>1</v>
      </c>
      <c r="F619" s="1">
        <f>_xlfn.XLOOKUP(payments_raw[[#This Row],[subscription_id]], subscriptions[subscription_id], subscriptions[start_date])</f>
        <v>45016</v>
      </c>
      <c r="G6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19" s="2">
        <f>IF(payments_raw[[#This Row],[payment_date]] &lt; payments_raw[[#This Row],[sub_start_date]], 1, 0)</f>
        <v>0</v>
      </c>
      <c r="I619" s="2">
        <f>IF(AND(payments_raw[[#This Row],[sub_end_date]]&lt;&gt;"", payments_raw[[#This Row],[payment_date]] &gt; payments_raw[[#This Row],[sub_end_date]]), 1, 0)</f>
        <v>0</v>
      </c>
      <c r="J619" s="2">
        <f>IF(payments_raw[[#This Row],[amount]] &lt;= 0, 1, 0)</f>
        <v>0</v>
      </c>
      <c r="K6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0" spans="1:11" x14ac:dyDescent="0.3">
      <c r="A620">
        <v>50694236</v>
      </c>
      <c r="B620">
        <v>8654679</v>
      </c>
      <c r="C620" s="1">
        <v>45022</v>
      </c>
      <c r="D620">
        <v>2990</v>
      </c>
      <c r="E620">
        <f>IF(
  ISNA(
    _xlfn.XLOOKUP(
      payments_raw[[#This Row],[subscription_id]],
      subscriptions[subscription_id],
      subscriptions[subscription_id]
    )
  ),
  0,
  1
)</f>
        <v>1</v>
      </c>
      <c r="F620" s="1">
        <f>_xlfn.XLOOKUP(payments_raw[[#This Row],[subscription_id]], subscriptions[subscription_id], subscriptions[start_date])</f>
        <v>44563</v>
      </c>
      <c r="G6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20" s="2">
        <f>IF(payments_raw[[#This Row],[payment_date]] &lt; payments_raw[[#This Row],[sub_start_date]], 1, 0)</f>
        <v>0</v>
      </c>
      <c r="I620" s="2">
        <f>IF(AND(payments_raw[[#This Row],[sub_end_date]]&lt;&gt;"", payments_raw[[#This Row],[payment_date]] &gt; payments_raw[[#This Row],[sub_end_date]]), 1, 0)</f>
        <v>0</v>
      </c>
      <c r="J620" s="2">
        <f>IF(payments_raw[[#This Row],[amount]] &lt;= 0, 1, 0)</f>
        <v>0</v>
      </c>
      <c r="K6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1" spans="1:11" x14ac:dyDescent="0.3">
      <c r="A621">
        <v>46992495</v>
      </c>
      <c r="B621">
        <v>9616197</v>
      </c>
      <c r="C621" s="1">
        <v>44941</v>
      </c>
      <c r="D621">
        <v>79</v>
      </c>
      <c r="E621">
        <f>IF(
  ISNA(
    _xlfn.XLOOKUP(
      payments_raw[[#This Row],[subscription_id]],
      subscriptions[subscription_id],
      subscriptions[subscription_id]
    )
  ),
  0,
  1
)</f>
        <v>1</v>
      </c>
      <c r="F621" s="1">
        <f>_xlfn.XLOOKUP(payments_raw[[#This Row],[subscription_id]], subscriptions[subscription_id], subscriptions[start_date])</f>
        <v>44880</v>
      </c>
      <c r="G6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621" s="2">
        <f>IF(payments_raw[[#This Row],[payment_date]] &lt; payments_raw[[#This Row],[sub_start_date]], 1, 0)</f>
        <v>0</v>
      </c>
      <c r="I621" s="2">
        <f>IF(AND(payments_raw[[#This Row],[sub_end_date]]&lt;&gt;"", payments_raw[[#This Row],[payment_date]] &gt; payments_raw[[#This Row],[sub_end_date]]), 1, 0)</f>
        <v>0</v>
      </c>
      <c r="J621" s="2">
        <f>IF(payments_raw[[#This Row],[amount]] &lt;= 0, 1, 0)</f>
        <v>0</v>
      </c>
      <c r="K6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2" spans="1:11" x14ac:dyDescent="0.3">
      <c r="A622">
        <v>46190400</v>
      </c>
      <c r="B622">
        <v>9616197</v>
      </c>
      <c r="C622" s="1">
        <v>44900</v>
      </c>
      <c r="D622">
        <v>79</v>
      </c>
      <c r="E622">
        <f>IF(
  ISNA(
    _xlfn.XLOOKUP(
      payments_raw[[#This Row],[subscription_id]],
      subscriptions[subscription_id],
      subscriptions[subscription_id]
    )
  ),
  0,
  1
)</f>
        <v>1</v>
      </c>
      <c r="F622" s="1">
        <f>_xlfn.XLOOKUP(payments_raw[[#This Row],[subscription_id]], subscriptions[subscription_id], subscriptions[start_date])</f>
        <v>44880</v>
      </c>
      <c r="G62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622" s="2">
        <f>IF(payments_raw[[#This Row],[payment_date]] &lt; payments_raw[[#This Row],[sub_start_date]], 1, 0)</f>
        <v>0</v>
      </c>
      <c r="I622" s="2">
        <f>IF(AND(payments_raw[[#This Row],[sub_end_date]]&lt;&gt;"", payments_raw[[#This Row],[payment_date]] &gt; payments_raw[[#This Row],[sub_end_date]]), 1, 0)</f>
        <v>0</v>
      </c>
      <c r="J622" s="2">
        <f>IF(payments_raw[[#This Row],[amount]] &lt;= 0, 1, 0)</f>
        <v>0</v>
      </c>
      <c r="K6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3" spans="1:11" x14ac:dyDescent="0.3">
      <c r="A623">
        <v>68804717</v>
      </c>
      <c r="B623">
        <v>1666811</v>
      </c>
      <c r="C623" s="1">
        <v>45097</v>
      </c>
      <c r="D623">
        <v>9.5</v>
      </c>
      <c r="E623">
        <f>IF(
  ISNA(
    _xlfn.XLOOKUP(
      payments_raw[[#This Row],[subscription_id]],
      subscriptions[subscription_id],
      subscriptions[subscription_id]
    )
  ),
  0,
  1
)</f>
        <v>1</v>
      </c>
      <c r="F623" s="1">
        <f>_xlfn.XLOOKUP(payments_raw[[#This Row],[subscription_id]], subscriptions[subscription_id], subscriptions[start_date])</f>
        <v>44961</v>
      </c>
      <c r="G6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23" s="2">
        <f>IF(payments_raw[[#This Row],[payment_date]] &lt; payments_raw[[#This Row],[sub_start_date]], 1, 0)</f>
        <v>0</v>
      </c>
      <c r="I623" s="2">
        <f>IF(AND(payments_raw[[#This Row],[sub_end_date]]&lt;&gt;"", payments_raw[[#This Row],[payment_date]] &gt; payments_raw[[#This Row],[sub_end_date]]), 1, 0)</f>
        <v>0</v>
      </c>
      <c r="J623" s="2">
        <f>IF(payments_raw[[#This Row],[amount]] &lt;= 0, 1, 0)</f>
        <v>0</v>
      </c>
      <c r="K6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4" spans="1:11" x14ac:dyDescent="0.3">
      <c r="A624">
        <v>96600010</v>
      </c>
      <c r="B624">
        <v>1226440</v>
      </c>
      <c r="C624" s="1">
        <v>44643</v>
      </c>
      <c r="D624">
        <v>190</v>
      </c>
      <c r="E624">
        <f>IF(
  ISNA(
    _xlfn.XLOOKUP(
      payments_raw[[#This Row],[subscription_id]],
      subscriptions[subscription_id],
      subscriptions[subscription_id]
    )
  ),
  0,
  1
)</f>
        <v>1</v>
      </c>
      <c r="F624" s="1">
        <f>_xlfn.XLOOKUP(payments_raw[[#This Row],[subscription_id]], subscriptions[subscription_id], subscriptions[start_date])</f>
        <v>44581</v>
      </c>
      <c r="G624" s="1">
        <f>IF(_xlfn.XLOOKUP(payments_raw[[#This Row],[subscription_id]], subscriptions[subscription_id], subscriptions[end_date])=0,"",_xlfn.XLOOKUP(payments_raw[[#This Row],[subscription_id]], subscriptions[subscription_id], subscriptions[end_date]))</f>
        <v>44665</v>
      </c>
      <c r="H624" s="2">
        <f>IF(payments_raw[[#This Row],[payment_date]] &lt; payments_raw[[#This Row],[sub_start_date]], 1, 0)</f>
        <v>0</v>
      </c>
      <c r="I624" s="2">
        <f>IF(AND(payments_raw[[#This Row],[sub_end_date]]&lt;&gt;"", payments_raw[[#This Row],[payment_date]] &gt; payments_raw[[#This Row],[sub_end_date]]), 1, 0)</f>
        <v>0</v>
      </c>
      <c r="J624" s="2">
        <f>IF(payments_raw[[#This Row],[amount]] &lt;= 0, 1, 0)</f>
        <v>0</v>
      </c>
      <c r="K6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5" spans="1:11" x14ac:dyDescent="0.3">
      <c r="A625">
        <v>84054169</v>
      </c>
      <c r="B625">
        <v>5519127</v>
      </c>
      <c r="C625" s="1">
        <v>45642</v>
      </c>
      <c r="D625">
        <v>390</v>
      </c>
      <c r="E625">
        <f>IF(
  ISNA(
    _xlfn.XLOOKUP(
      payments_raw[[#This Row],[subscription_id]],
      subscriptions[subscription_id],
      subscriptions[subscription_id]
    )
  ),
  0,
  1
)</f>
        <v>1</v>
      </c>
      <c r="F625" s="1">
        <f>_xlfn.XLOOKUP(payments_raw[[#This Row],[subscription_id]], subscriptions[subscription_id], subscriptions[start_date])</f>
        <v>45382</v>
      </c>
      <c r="G6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25" s="2">
        <f>IF(payments_raw[[#This Row],[payment_date]] &lt; payments_raw[[#This Row],[sub_start_date]], 1, 0)</f>
        <v>0</v>
      </c>
      <c r="I625" s="2">
        <f>IF(AND(payments_raw[[#This Row],[sub_end_date]]&lt;&gt;"", payments_raw[[#This Row],[payment_date]] &gt; payments_raw[[#This Row],[sub_end_date]]), 1, 0)</f>
        <v>0</v>
      </c>
      <c r="J625" s="2">
        <f>IF(payments_raw[[#This Row],[amount]] &lt;= 0, 1, 0)</f>
        <v>0</v>
      </c>
      <c r="K6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6" spans="1:11" x14ac:dyDescent="0.3">
      <c r="A626">
        <v>29420254</v>
      </c>
      <c r="B626">
        <v>6196562</v>
      </c>
      <c r="C626" s="1">
        <v>45037</v>
      </c>
      <c r="D626">
        <v>19</v>
      </c>
      <c r="E626">
        <f>IF(
  ISNA(
    _xlfn.XLOOKUP(
      payments_raw[[#This Row],[subscription_id]],
      subscriptions[subscription_id],
      subscriptions[subscription_id]
    )
  ),
  0,
  1
)</f>
        <v>1</v>
      </c>
      <c r="F626" s="1">
        <f>_xlfn.XLOOKUP(payments_raw[[#This Row],[subscription_id]], subscriptions[subscription_id], subscriptions[start_date])</f>
        <v>44981</v>
      </c>
      <c r="G6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45345</v>
      </c>
      <c r="H626" s="2">
        <f>IF(payments_raw[[#This Row],[payment_date]] &lt; payments_raw[[#This Row],[sub_start_date]], 1, 0)</f>
        <v>0</v>
      </c>
      <c r="I626" s="2">
        <f>IF(AND(payments_raw[[#This Row],[sub_end_date]]&lt;&gt;"", payments_raw[[#This Row],[payment_date]] &gt; payments_raw[[#This Row],[sub_end_date]]), 1, 0)</f>
        <v>0</v>
      </c>
      <c r="J626" s="2">
        <f>IF(payments_raw[[#This Row],[amount]] &lt;= 0, 1, 0)</f>
        <v>0</v>
      </c>
      <c r="K6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7" spans="1:11" x14ac:dyDescent="0.3">
      <c r="A627">
        <v>59772507</v>
      </c>
      <c r="B627">
        <v>8044465</v>
      </c>
      <c r="C627" s="1">
        <v>45231</v>
      </c>
      <c r="D627">
        <v>790</v>
      </c>
      <c r="E627">
        <f>IF(
  ISNA(
    _xlfn.XLOOKUP(
      payments_raw[[#This Row],[subscription_id]],
      subscriptions[subscription_id],
      subscriptions[subscription_id]
    )
  ),
  0,
  1
)</f>
        <v>1</v>
      </c>
      <c r="F627" s="1">
        <f>_xlfn.XLOOKUP(payments_raw[[#This Row],[subscription_id]], subscriptions[subscription_id], subscriptions[start_date])</f>
        <v>44697</v>
      </c>
      <c r="G6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27" s="2">
        <f>IF(payments_raw[[#This Row],[payment_date]] &lt; payments_raw[[#This Row],[sub_start_date]], 1, 0)</f>
        <v>0</v>
      </c>
      <c r="I627" s="2">
        <f>IF(AND(payments_raw[[#This Row],[sub_end_date]]&lt;&gt;"", payments_raw[[#This Row],[payment_date]] &gt; payments_raw[[#This Row],[sub_end_date]]), 1, 0)</f>
        <v>0</v>
      </c>
      <c r="J627" s="2">
        <f>IF(payments_raw[[#This Row],[amount]] &lt;= 0, 1, 0)</f>
        <v>0</v>
      </c>
      <c r="K6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8" spans="1:11" x14ac:dyDescent="0.3">
      <c r="A628">
        <v>23265355</v>
      </c>
      <c r="B628">
        <v>6362719</v>
      </c>
      <c r="C628" s="1">
        <v>45343</v>
      </c>
      <c r="D628">
        <v>1490</v>
      </c>
      <c r="E628">
        <f>IF(
  ISNA(
    _xlfn.XLOOKUP(
      payments_raw[[#This Row],[subscription_id]],
      subscriptions[subscription_id],
      subscriptions[subscription_id]
    )
  ),
  0,
  1
)</f>
        <v>1</v>
      </c>
      <c r="F628" s="1">
        <f>_xlfn.XLOOKUP(payments_raw[[#This Row],[subscription_id]], subscriptions[subscription_id], subscriptions[start_date])</f>
        <v>45309</v>
      </c>
      <c r="G6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628" s="2">
        <f>IF(payments_raw[[#This Row],[payment_date]] &lt; payments_raw[[#This Row],[sub_start_date]], 1, 0)</f>
        <v>0</v>
      </c>
      <c r="I628" s="2">
        <f>IF(AND(payments_raw[[#This Row],[sub_end_date]]&lt;&gt;"", payments_raw[[#This Row],[payment_date]] &gt; payments_raw[[#This Row],[sub_end_date]]), 1, 0)</f>
        <v>0</v>
      </c>
      <c r="J628" s="2">
        <f>IF(payments_raw[[#This Row],[amount]] &lt;= 0, 1, 0)</f>
        <v>0</v>
      </c>
      <c r="K6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29" spans="1:11" x14ac:dyDescent="0.3">
      <c r="A629">
        <v>79320842</v>
      </c>
      <c r="B629">
        <v>6268490</v>
      </c>
      <c r="C629" s="1">
        <v>45511</v>
      </c>
      <c r="D629">
        <v>390</v>
      </c>
      <c r="E629">
        <f>IF(
  ISNA(
    _xlfn.XLOOKUP(
      payments_raw[[#This Row],[subscription_id]],
      subscriptions[subscription_id],
      subscriptions[subscription_id]
    )
  ),
  0,
  1
)</f>
        <v>1</v>
      </c>
      <c r="F629" s="1">
        <f>_xlfn.XLOOKUP(payments_raw[[#This Row],[subscription_id]], subscriptions[subscription_id], subscriptions[start_date])</f>
        <v>44693</v>
      </c>
      <c r="G6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29" s="2">
        <f>IF(payments_raw[[#This Row],[payment_date]] &lt; payments_raw[[#This Row],[sub_start_date]], 1, 0)</f>
        <v>0</v>
      </c>
      <c r="I629" s="2">
        <f>IF(AND(payments_raw[[#This Row],[sub_end_date]]&lt;&gt;"", payments_raw[[#This Row],[payment_date]] &gt; payments_raw[[#This Row],[sub_end_date]]), 1, 0)</f>
        <v>0</v>
      </c>
      <c r="J629" s="2">
        <f>IF(payments_raw[[#This Row],[amount]] &lt;= 0, 1, 0)</f>
        <v>0</v>
      </c>
      <c r="K6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0" spans="1:11" x14ac:dyDescent="0.3">
      <c r="A630">
        <v>64185675</v>
      </c>
      <c r="B630">
        <v>2463496</v>
      </c>
      <c r="C630" s="1">
        <v>44799</v>
      </c>
      <c r="D630">
        <v>95</v>
      </c>
      <c r="E630">
        <f>IF(
  ISNA(
    _xlfn.XLOOKUP(
      payments_raw[[#This Row],[subscription_id]],
      subscriptions[subscription_id],
      subscriptions[subscription_id]
    )
  ),
  0,
  1
)</f>
        <v>1</v>
      </c>
      <c r="F630" s="1">
        <f>_xlfn.XLOOKUP(payments_raw[[#This Row],[subscription_id]], subscriptions[subscription_id], subscriptions[start_date])</f>
        <v>44779</v>
      </c>
      <c r="G6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0" s="2">
        <f>IF(payments_raw[[#This Row],[payment_date]] &lt; payments_raw[[#This Row],[sub_start_date]], 1, 0)</f>
        <v>0</v>
      </c>
      <c r="I630" s="2">
        <f>IF(AND(payments_raw[[#This Row],[sub_end_date]]&lt;&gt;"", payments_raw[[#This Row],[payment_date]] &gt; payments_raw[[#This Row],[sub_end_date]]), 1, 0)</f>
        <v>0</v>
      </c>
      <c r="J630" s="2">
        <f>IF(payments_raw[[#This Row],[amount]] &lt;= 0, 1, 0)</f>
        <v>0</v>
      </c>
      <c r="K6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1" spans="1:11" x14ac:dyDescent="0.3">
      <c r="A631">
        <v>42376774</v>
      </c>
      <c r="B631">
        <v>7550021</v>
      </c>
      <c r="C631" s="1">
        <v>45206</v>
      </c>
      <c r="D631">
        <v>190</v>
      </c>
      <c r="E631">
        <f>IF(
  ISNA(
    _xlfn.XLOOKUP(
      payments_raw[[#This Row],[subscription_id]],
      subscriptions[subscription_id],
      subscriptions[subscription_id]
    )
  ),
  0,
  1
)</f>
        <v>1</v>
      </c>
      <c r="F631" s="1">
        <f>_xlfn.XLOOKUP(payments_raw[[#This Row],[subscription_id]], subscriptions[subscription_id], subscriptions[start_date])</f>
        <v>44917</v>
      </c>
      <c r="G6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1" s="2">
        <f>IF(payments_raw[[#This Row],[payment_date]] &lt; payments_raw[[#This Row],[sub_start_date]], 1, 0)</f>
        <v>0</v>
      </c>
      <c r="I631" s="2">
        <f>IF(AND(payments_raw[[#This Row],[sub_end_date]]&lt;&gt;"", payments_raw[[#This Row],[payment_date]] &gt; payments_raw[[#This Row],[sub_end_date]]), 1, 0)</f>
        <v>0</v>
      </c>
      <c r="J631" s="2">
        <f>IF(payments_raw[[#This Row],[amount]] &lt;= 0, 1, 0)</f>
        <v>0</v>
      </c>
      <c r="K6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2" spans="1:11" x14ac:dyDescent="0.3">
      <c r="A632">
        <v>42788611</v>
      </c>
      <c r="B632">
        <v>9214437</v>
      </c>
      <c r="C632" s="1">
        <v>45532</v>
      </c>
      <c r="D632">
        <v>19</v>
      </c>
      <c r="E632">
        <f>IF(
  ISNA(
    _xlfn.XLOOKUP(
      payments_raw[[#This Row],[subscription_id]],
      subscriptions[subscription_id],
      subscriptions[subscription_id]
    )
  ),
  0,
  1
)</f>
        <v>1</v>
      </c>
      <c r="F632" s="1">
        <f>_xlfn.XLOOKUP(payments_raw[[#This Row],[subscription_id]], subscriptions[subscription_id], subscriptions[start_date])</f>
        <v>44757</v>
      </c>
      <c r="G6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2" s="2">
        <f>IF(payments_raw[[#This Row],[payment_date]] &lt; payments_raw[[#This Row],[sub_start_date]], 1, 0)</f>
        <v>0</v>
      </c>
      <c r="I632" s="2">
        <f>IF(AND(payments_raw[[#This Row],[sub_end_date]]&lt;&gt;"", payments_raw[[#This Row],[payment_date]] &gt; payments_raw[[#This Row],[sub_end_date]]), 1, 0)</f>
        <v>0</v>
      </c>
      <c r="J632" s="2">
        <f>IF(payments_raw[[#This Row],[amount]] &lt;= 0, 1, 0)</f>
        <v>0</v>
      </c>
      <c r="K6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3" spans="1:11" x14ac:dyDescent="0.3">
      <c r="A633">
        <v>84619451</v>
      </c>
      <c r="B633">
        <v>7987624</v>
      </c>
      <c r="C633" s="1">
        <v>44961</v>
      </c>
      <c r="D633">
        <v>2990</v>
      </c>
      <c r="E633">
        <f>IF(
  ISNA(
    _xlfn.XLOOKUP(
      payments_raw[[#This Row],[subscription_id]],
      subscriptions[subscription_id],
      subscriptions[subscription_id]
    )
  ),
  0,
  1
)</f>
        <v>1</v>
      </c>
      <c r="F633" s="1">
        <f>_xlfn.XLOOKUP(payments_raw[[#This Row],[subscription_id]], subscriptions[subscription_id], subscriptions[start_date])</f>
        <v>44868</v>
      </c>
      <c r="G6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633" s="2">
        <f>IF(payments_raw[[#This Row],[payment_date]] &lt; payments_raw[[#This Row],[sub_start_date]], 1, 0)</f>
        <v>0</v>
      </c>
      <c r="I633" s="2">
        <f>IF(AND(payments_raw[[#This Row],[sub_end_date]]&lt;&gt;"", payments_raw[[#This Row],[payment_date]] &gt; payments_raw[[#This Row],[sub_end_date]]), 1, 0)</f>
        <v>0</v>
      </c>
      <c r="J633" s="2">
        <f>IF(payments_raw[[#This Row],[amount]] &lt;= 0, 1, 0)</f>
        <v>0</v>
      </c>
      <c r="K6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4" spans="1:11" x14ac:dyDescent="0.3">
      <c r="A634">
        <v>80910956</v>
      </c>
      <c r="B634">
        <v>1757936</v>
      </c>
      <c r="C634" s="1">
        <v>44603</v>
      </c>
      <c r="D634">
        <v>299</v>
      </c>
      <c r="E634">
        <f>IF(
  ISNA(
    _xlfn.XLOOKUP(
      payments_raw[[#This Row],[subscription_id]],
      subscriptions[subscription_id],
      subscriptions[subscription_id]
    )
  ),
  0,
  1
)</f>
        <v>1</v>
      </c>
      <c r="F634" s="1">
        <f>_xlfn.XLOOKUP(payments_raw[[#This Row],[subscription_id]], subscriptions[subscription_id], subscriptions[start_date])</f>
        <v>44597</v>
      </c>
      <c r="G6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4" s="2">
        <f>IF(payments_raw[[#This Row],[payment_date]] &lt; payments_raw[[#This Row],[sub_start_date]], 1, 0)</f>
        <v>0</v>
      </c>
      <c r="I634" s="2">
        <f>IF(AND(payments_raw[[#This Row],[sub_end_date]]&lt;&gt;"", payments_raw[[#This Row],[payment_date]] &gt; payments_raw[[#This Row],[sub_end_date]]), 1, 0)</f>
        <v>0</v>
      </c>
      <c r="J634" s="2">
        <f>IF(payments_raw[[#This Row],[amount]] &lt;= 0, 1, 0)</f>
        <v>0</v>
      </c>
      <c r="K6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5" spans="1:11" x14ac:dyDescent="0.3">
      <c r="A635">
        <v>12626646</v>
      </c>
      <c r="B635">
        <v>2325287</v>
      </c>
      <c r="C635" s="1">
        <v>45398</v>
      </c>
      <c r="D635">
        <v>1490</v>
      </c>
      <c r="E635">
        <f>IF(
  ISNA(
    _xlfn.XLOOKUP(
      payments_raw[[#This Row],[subscription_id]],
      subscriptions[subscription_id],
      subscriptions[subscription_id]
    )
  ),
  0,
  1
)</f>
        <v>1</v>
      </c>
      <c r="F635" s="1">
        <f>_xlfn.XLOOKUP(payments_raw[[#This Row],[subscription_id]], subscriptions[subscription_id], subscriptions[start_date])</f>
        <v>45063</v>
      </c>
      <c r="G6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5" s="2">
        <f>IF(payments_raw[[#This Row],[payment_date]] &lt; payments_raw[[#This Row],[sub_start_date]], 1, 0)</f>
        <v>0</v>
      </c>
      <c r="I635" s="2">
        <f>IF(AND(payments_raw[[#This Row],[sub_end_date]]&lt;&gt;"", payments_raw[[#This Row],[payment_date]] &gt; payments_raw[[#This Row],[sub_end_date]]), 1, 0)</f>
        <v>0</v>
      </c>
      <c r="J635" s="2">
        <f>IF(payments_raw[[#This Row],[amount]] &lt;= 0, 1, 0)</f>
        <v>0</v>
      </c>
      <c r="K6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6" spans="1:11" x14ac:dyDescent="0.3">
      <c r="A636">
        <v>84339493</v>
      </c>
      <c r="B636">
        <v>3948283</v>
      </c>
      <c r="C636" s="1">
        <v>45403</v>
      </c>
      <c r="D636">
        <v>299</v>
      </c>
      <c r="E636">
        <f>IF(
  ISNA(
    _xlfn.XLOOKUP(
      payments_raw[[#This Row],[subscription_id]],
      subscriptions[subscription_id],
      subscriptions[subscription_id]
    )
  ),
  0,
  1
)</f>
        <v>1</v>
      </c>
      <c r="F636" s="1">
        <f>_xlfn.XLOOKUP(payments_raw[[#This Row],[subscription_id]], subscriptions[subscription_id], subscriptions[start_date])</f>
        <v>45189</v>
      </c>
      <c r="G6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6" s="2">
        <f>IF(payments_raw[[#This Row],[payment_date]] &lt; payments_raw[[#This Row],[sub_start_date]], 1, 0)</f>
        <v>0</v>
      </c>
      <c r="I636" s="2">
        <f>IF(AND(payments_raw[[#This Row],[sub_end_date]]&lt;&gt;"", payments_raw[[#This Row],[payment_date]] &gt; payments_raw[[#This Row],[sub_end_date]]), 1, 0)</f>
        <v>0</v>
      </c>
      <c r="J636" s="2">
        <f>IF(payments_raw[[#This Row],[amount]] &lt;= 0, 1, 0)</f>
        <v>0</v>
      </c>
      <c r="K6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7" spans="1:11" x14ac:dyDescent="0.3">
      <c r="A637">
        <v>10196027</v>
      </c>
      <c r="B637">
        <v>9098468</v>
      </c>
      <c r="C637" s="1">
        <v>45516</v>
      </c>
      <c r="D637">
        <v>39</v>
      </c>
      <c r="E637">
        <f>IF(
  ISNA(
    _xlfn.XLOOKUP(
      payments_raw[[#This Row],[subscription_id]],
      subscriptions[subscription_id],
      subscriptions[subscription_id]
    )
  ),
  0,
  1
)</f>
        <v>1</v>
      </c>
      <c r="F637" s="1">
        <f>_xlfn.XLOOKUP(payments_raw[[#This Row],[subscription_id]], subscriptions[subscription_id], subscriptions[start_date])</f>
        <v>45024</v>
      </c>
      <c r="G6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7" s="2">
        <f>IF(payments_raw[[#This Row],[payment_date]] &lt; payments_raw[[#This Row],[sub_start_date]], 1, 0)</f>
        <v>0</v>
      </c>
      <c r="I637" s="2">
        <f>IF(AND(payments_raw[[#This Row],[sub_end_date]]&lt;&gt;"", payments_raw[[#This Row],[payment_date]] &gt; payments_raw[[#This Row],[sub_end_date]]), 1, 0)</f>
        <v>0</v>
      </c>
      <c r="J637" s="2">
        <f>IF(payments_raw[[#This Row],[amount]] &lt;= 0, 1, 0)</f>
        <v>0</v>
      </c>
      <c r="K6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8" spans="1:11" x14ac:dyDescent="0.3">
      <c r="A638">
        <v>24558091</v>
      </c>
      <c r="B638">
        <v>5692416</v>
      </c>
      <c r="C638" s="1">
        <v>45236</v>
      </c>
      <c r="D638">
        <v>790</v>
      </c>
      <c r="E638">
        <f>IF(
  ISNA(
    _xlfn.XLOOKUP(
      payments_raw[[#This Row],[subscription_id]],
      subscriptions[subscription_id],
      subscriptions[subscription_id]
    )
  ),
  0,
  1
)</f>
        <v>1</v>
      </c>
      <c r="F638" s="1">
        <f>_xlfn.XLOOKUP(payments_raw[[#This Row],[subscription_id]], subscriptions[subscription_id], subscriptions[start_date])</f>
        <v>44923</v>
      </c>
      <c r="G6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8" s="2">
        <f>IF(payments_raw[[#This Row],[payment_date]] &lt; payments_raw[[#This Row],[sub_start_date]], 1, 0)</f>
        <v>0</v>
      </c>
      <c r="I638" s="2">
        <f>IF(AND(payments_raw[[#This Row],[sub_end_date]]&lt;&gt;"", payments_raw[[#This Row],[payment_date]] &gt; payments_raw[[#This Row],[sub_end_date]]), 1, 0)</f>
        <v>0</v>
      </c>
      <c r="J638" s="2">
        <f>IF(payments_raw[[#This Row],[amount]] &lt;= 0, 1, 0)</f>
        <v>0</v>
      </c>
      <c r="K6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39" spans="1:11" x14ac:dyDescent="0.3">
      <c r="A639">
        <v>67022224</v>
      </c>
      <c r="B639">
        <v>4757489</v>
      </c>
      <c r="C639" s="1">
        <v>45578</v>
      </c>
      <c r="D639">
        <v>79</v>
      </c>
      <c r="E639">
        <f>IF(
  ISNA(
    _xlfn.XLOOKUP(
      payments_raw[[#This Row],[subscription_id]],
      subscriptions[subscription_id],
      subscriptions[subscription_id]
    )
  ),
  0,
  1
)</f>
        <v>1</v>
      </c>
      <c r="F639" s="1">
        <f>_xlfn.XLOOKUP(payments_raw[[#This Row],[subscription_id]], subscriptions[subscription_id], subscriptions[start_date])</f>
        <v>45514</v>
      </c>
      <c r="G6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39" s="2">
        <f>IF(payments_raw[[#This Row],[payment_date]] &lt; payments_raw[[#This Row],[sub_start_date]], 1, 0)</f>
        <v>0</v>
      </c>
      <c r="I639" s="2">
        <f>IF(AND(payments_raw[[#This Row],[sub_end_date]]&lt;&gt;"", payments_raw[[#This Row],[payment_date]] &gt; payments_raw[[#This Row],[sub_end_date]]), 1, 0)</f>
        <v>0</v>
      </c>
      <c r="J639" s="2">
        <f>IF(payments_raw[[#This Row],[amount]] &lt;= 0, 1, 0)</f>
        <v>0</v>
      </c>
      <c r="K6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0" spans="1:11" x14ac:dyDescent="0.3">
      <c r="A640">
        <v>46499378</v>
      </c>
      <c r="B640">
        <v>5843397</v>
      </c>
      <c r="C640" s="1">
        <v>45586</v>
      </c>
      <c r="D640">
        <v>79</v>
      </c>
      <c r="E640">
        <f>IF(
  ISNA(
    _xlfn.XLOOKUP(
      payments_raw[[#This Row],[subscription_id]],
      subscriptions[subscription_id],
      subscriptions[subscription_id]
    )
  ),
  0,
  1
)</f>
        <v>1</v>
      </c>
      <c r="F640" s="1">
        <f>_xlfn.XLOOKUP(payments_raw[[#This Row],[subscription_id]], subscriptions[subscription_id], subscriptions[start_date])</f>
        <v>44986</v>
      </c>
      <c r="G6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0" s="2">
        <f>IF(payments_raw[[#This Row],[payment_date]] &lt; payments_raw[[#This Row],[sub_start_date]], 1, 0)</f>
        <v>0</v>
      </c>
      <c r="I640" s="2">
        <f>IF(AND(payments_raw[[#This Row],[sub_end_date]]&lt;&gt;"", payments_raw[[#This Row],[payment_date]] &gt; payments_raw[[#This Row],[sub_end_date]]), 1, 0)</f>
        <v>0</v>
      </c>
      <c r="J640" s="2">
        <f>IF(payments_raw[[#This Row],[amount]] &lt;= 0, 1, 0)</f>
        <v>0</v>
      </c>
      <c r="K6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1" spans="1:11" x14ac:dyDescent="0.3">
      <c r="A641">
        <v>63949308</v>
      </c>
      <c r="B641">
        <v>5621624</v>
      </c>
      <c r="C641" s="1">
        <v>45574</v>
      </c>
      <c r="D641">
        <v>790</v>
      </c>
      <c r="E641">
        <f>IF(
  ISNA(
    _xlfn.XLOOKUP(
      payments_raw[[#This Row],[subscription_id]],
      subscriptions[subscription_id],
      subscriptions[subscription_id]
    )
  ),
  0,
  1
)</f>
        <v>1</v>
      </c>
      <c r="F641" s="1">
        <f>_xlfn.XLOOKUP(payments_raw[[#This Row],[subscription_id]], subscriptions[subscription_id], subscriptions[start_date])</f>
        <v>45232</v>
      </c>
      <c r="G6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1" s="2">
        <f>IF(payments_raw[[#This Row],[payment_date]] &lt; payments_raw[[#This Row],[sub_start_date]], 1, 0)</f>
        <v>0</v>
      </c>
      <c r="I641" s="2">
        <f>IF(AND(payments_raw[[#This Row],[sub_end_date]]&lt;&gt;"", payments_raw[[#This Row],[payment_date]] &gt; payments_raw[[#This Row],[sub_end_date]]), 1, 0)</f>
        <v>0</v>
      </c>
      <c r="J641" s="2">
        <f>IF(payments_raw[[#This Row],[amount]] &lt;= 0, 1, 0)</f>
        <v>0</v>
      </c>
      <c r="K6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2" spans="1:11" x14ac:dyDescent="0.3">
      <c r="A642">
        <v>90741671</v>
      </c>
      <c r="B642">
        <v>6492500</v>
      </c>
      <c r="C642" s="1">
        <v>45048</v>
      </c>
      <c r="D642">
        <v>39</v>
      </c>
      <c r="E642">
        <f>IF(
  ISNA(
    _xlfn.XLOOKUP(
      payments_raw[[#This Row],[subscription_id]],
      subscriptions[subscription_id],
      subscriptions[subscription_id]
    )
  ),
  0,
  1
)</f>
        <v>1</v>
      </c>
      <c r="F642" s="1">
        <f>_xlfn.XLOOKUP(payments_raw[[#This Row],[subscription_id]], subscriptions[subscription_id], subscriptions[start_date])</f>
        <v>44904</v>
      </c>
      <c r="G6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45065</v>
      </c>
      <c r="H642" s="2">
        <f>IF(payments_raw[[#This Row],[payment_date]] &lt; payments_raw[[#This Row],[sub_start_date]], 1, 0)</f>
        <v>0</v>
      </c>
      <c r="I642" s="2">
        <f>IF(AND(payments_raw[[#This Row],[sub_end_date]]&lt;&gt;"", payments_raw[[#This Row],[payment_date]] &gt; payments_raw[[#This Row],[sub_end_date]]), 1, 0)</f>
        <v>0</v>
      </c>
      <c r="J642" s="2">
        <f>IF(payments_raw[[#This Row],[amount]] &lt;= 0, 1, 0)</f>
        <v>0</v>
      </c>
      <c r="K6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3" spans="1:11" x14ac:dyDescent="0.3">
      <c r="A643">
        <v>22896972</v>
      </c>
      <c r="B643">
        <v>5557932</v>
      </c>
      <c r="C643" s="1">
        <v>45408</v>
      </c>
      <c r="D643">
        <v>19</v>
      </c>
      <c r="E643">
        <f>IF(
  ISNA(
    _xlfn.XLOOKUP(
      payments_raw[[#This Row],[subscription_id]],
      subscriptions[subscription_id],
      subscriptions[subscription_id]
    )
  ),
  0,
  1
)</f>
        <v>1</v>
      </c>
      <c r="F643" s="1">
        <f>_xlfn.XLOOKUP(payments_raw[[#This Row],[subscription_id]], subscriptions[subscription_id], subscriptions[start_date])</f>
        <v>45214</v>
      </c>
      <c r="G6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643" s="2">
        <f>IF(payments_raw[[#This Row],[payment_date]] &lt; payments_raw[[#This Row],[sub_start_date]], 1, 0)</f>
        <v>0</v>
      </c>
      <c r="I643" s="2">
        <f>IF(AND(payments_raw[[#This Row],[sub_end_date]]&lt;&gt;"", payments_raw[[#This Row],[payment_date]] &gt; payments_raw[[#This Row],[sub_end_date]]), 1, 0)</f>
        <v>0</v>
      </c>
      <c r="J643" s="2">
        <f>IF(payments_raw[[#This Row],[amount]] &lt;= 0, 1, 0)</f>
        <v>0</v>
      </c>
      <c r="K6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4" spans="1:11" x14ac:dyDescent="0.3">
      <c r="A644">
        <v>36342744</v>
      </c>
      <c r="B644">
        <v>1965457</v>
      </c>
      <c r="C644" s="1">
        <v>45398</v>
      </c>
      <c r="D644">
        <v>390</v>
      </c>
      <c r="E644">
        <f>IF(
  ISNA(
    _xlfn.XLOOKUP(
      payments_raw[[#This Row],[subscription_id]],
      subscriptions[subscription_id],
      subscriptions[subscription_id]
    )
  ),
  0,
  1
)</f>
        <v>1</v>
      </c>
      <c r="F644" s="1">
        <f>_xlfn.XLOOKUP(payments_raw[[#This Row],[subscription_id]], subscriptions[subscription_id], subscriptions[start_date])</f>
        <v>45273</v>
      </c>
      <c r="G6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4" s="2">
        <f>IF(payments_raw[[#This Row],[payment_date]] &lt; payments_raw[[#This Row],[sub_start_date]], 1, 0)</f>
        <v>0</v>
      </c>
      <c r="I644" s="2">
        <f>IF(AND(payments_raw[[#This Row],[sub_end_date]]&lt;&gt;"", payments_raw[[#This Row],[payment_date]] &gt; payments_raw[[#This Row],[sub_end_date]]), 1, 0)</f>
        <v>0</v>
      </c>
      <c r="J644" s="2">
        <f>IF(payments_raw[[#This Row],[amount]] &lt;= 0, 1, 0)</f>
        <v>0</v>
      </c>
      <c r="K6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5" spans="1:11" x14ac:dyDescent="0.3">
      <c r="A645">
        <v>55117017</v>
      </c>
      <c r="B645">
        <v>2348021</v>
      </c>
      <c r="C645" s="1">
        <v>44993</v>
      </c>
      <c r="D645">
        <v>39</v>
      </c>
      <c r="E645">
        <f>IF(
  ISNA(
    _xlfn.XLOOKUP(
      payments_raw[[#This Row],[subscription_id]],
      subscriptions[subscription_id],
      subscriptions[subscription_id]
    )
  ),
  0,
  1
)</f>
        <v>1</v>
      </c>
      <c r="F645" s="1">
        <f>_xlfn.XLOOKUP(payments_raw[[#This Row],[subscription_id]], subscriptions[subscription_id], subscriptions[start_date])</f>
        <v>44948</v>
      </c>
      <c r="G6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45062</v>
      </c>
      <c r="H645" s="2">
        <f>IF(payments_raw[[#This Row],[payment_date]] &lt; payments_raw[[#This Row],[sub_start_date]], 1, 0)</f>
        <v>0</v>
      </c>
      <c r="I645" s="2">
        <f>IF(AND(payments_raw[[#This Row],[sub_end_date]]&lt;&gt;"", payments_raw[[#This Row],[payment_date]] &gt; payments_raw[[#This Row],[sub_end_date]]), 1, 0)</f>
        <v>0</v>
      </c>
      <c r="J645" s="2">
        <f>IF(payments_raw[[#This Row],[amount]] &lt;= 0, 1, 0)</f>
        <v>0</v>
      </c>
      <c r="K6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6" spans="1:11" x14ac:dyDescent="0.3">
      <c r="A646">
        <v>42368904</v>
      </c>
      <c r="B646">
        <v>3140306</v>
      </c>
      <c r="C646" s="1">
        <v>45637</v>
      </c>
      <c r="D646">
        <v>19</v>
      </c>
      <c r="E646">
        <f>IF(
  ISNA(
    _xlfn.XLOOKUP(
      payments_raw[[#This Row],[subscription_id]],
      subscriptions[subscription_id],
      subscriptions[subscription_id]
    )
  ),
  0,
  1
)</f>
        <v>1</v>
      </c>
      <c r="F646" s="1">
        <f>_xlfn.XLOOKUP(payments_raw[[#This Row],[subscription_id]], subscriptions[subscription_id], subscriptions[start_date])</f>
        <v>45092</v>
      </c>
      <c r="G6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6" s="2">
        <f>IF(payments_raw[[#This Row],[payment_date]] &lt; payments_raw[[#This Row],[sub_start_date]], 1, 0)</f>
        <v>0</v>
      </c>
      <c r="I646" s="2">
        <f>IF(AND(payments_raw[[#This Row],[sub_end_date]]&lt;&gt;"", payments_raw[[#This Row],[payment_date]] &gt; payments_raw[[#This Row],[sub_end_date]]), 1, 0)</f>
        <v>0</v>
      </c>
      <c r="J646" s="2">
        <f>IF(payments_raw[[#This Row],[amount]] &lt;= 0, 1, 0)</f>
        <v>0</v>
      </c>
      <c r="K6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7" spans="1:11" x14ac:dyDescent="0.3">
      <c r="A647">
        <v>40544959</v>
      </c>
      <c r="B647">
        <v>2120248</v>
      </c>
      <c r="C647" s="1">
        <v>45389</v>
      </c>
      <c r="D647">
        <v>149</v>
      </c>
      <c r="E647">
        <f>IF(
  ISNA(
    _xlfn.XLOOKUP(
      payments_raw[[#This Row],[subscription_id]],
      subscriptions[subscription_id],
      subscriptions[subscription_id]
    )
  ),
  0,
  1
)</f>
        <v>1</v>
      </c>
      <c r="F647" s="1">
        <f>_xlfn.XLOOKUP(payments_raw[[#This Row],[subscription_id]], subscriptions[subscription_id], subscriptions[start_date])</f>
        <v>45279</v>
      </c>
      <c r="G6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45424</v>
      </c>
      <c r="H647" s="2">
        <f>IF(payments_raw[[#This Row],[payment_date]] &lt; payments_raw[[#This Row],[sub_start_date]], 1, 0)</f>
        <v>0</v>
      </c>
      <c r="I647" s="2">
        <f>IF(AND(payments_raw[[#This Row],[sub_end_date]]&lt;&gt;"", payments_raw[[#This Row],[payment_date]] &gt; payments_raw[[#This Row],[sub_end_date]]), 1, 0)</f>
        <v>0</v>
      </c>
      <c r="J647" s="2">
        <f>IF(payments_raw[[#This Row],[amount]] &lt;= 0, 1, 0)</f>
        <v>0</v>
      </c>
      <c r="K6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8" spans="1:11" x14ac:dyDescent="0.3">
      <c r="A648">
        <v>12205381</v>
      </c>
      <c r="B648">
        <v>8172232</v>
      </c>
      <c r="C648" s="1">
        <v>45384</v>
      </c>
      <c r="D648">
        <v>19</v>
      </c>
      <c r="E648">
        <f>IF(
  ISNA(
    _xlfn.XLOOKUP(
      payments_raw[[#This Row],[subscription_id]],
      subscriptions[subscription_id],
      subscriptions[subscription_id]
    )
  ),
  0,
  1
)</f>
        <v>1</v>
      </c>
      <c r="F648" s="1">
        <f>_xlfn.XLOOKUP(payments_raw[[#This Row],[subscription_id]], subscriptions[subscription_id], subscriptions[start_date])</f>
        <v>45345</v>
      </c>
      <c r="G6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8" s="2">
        <f>IF(payments_raw[[#This Row],[payment_date]] &lt; payments_raw[[#This Row],[sub_start_date]], 1, 0)</f>
        <v>0</v>
      </c>
      <c r="I648" s="2">
        <f>IF(AND(payments_raw[[#This Row],[sub_end_date]]&lt;&gt;"", payments_raw[[#This Row],[payment_date]] &gt; payments_raw[[#This Row],[sub_end_date]]), 1, 0)</f>
        <v>0</v>
      </c>
      <c r="J648" s="2">
        <f>IF(payments_raw[[#This Row],[amount]] &lt;= 0, 1, 0)</f>
        <v>0</v>
      </c>
      <c r="K6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49" spans="1:11" x14ac:dyDescent="0.3">
      <c r="A649">
        <v>28387256</v>
      </c>
      <c r="B649">
        <v>5273985</v>
      </c>
      <c r="C649" s="1">
        <v>45212</v>
      </c>
      <c r="D649">
        <v>19</v>
      </c>
      <c r="E649">
        <f>IF(
  ISNA(
    _xlfn.XLOOKUP(
      payments_raw[[#This Row],[subscription_id]],
      subscriptions[subscription_id],
      subscriptions[subscription_id]
    )
  ),
  0,
  1
)</f>
        <v>1</v>
      </c>
      <c r="F649" s="1">
        <f>_xlfn.XLOOKUP(payments_raw[[#This Row],[subscription_id]], subscriptions[subscription_id], subscriptions[start_date])</f>
        <v>44976</v>
      </c>
      <c r="G6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49" s="2">
        <f>IF(payments_raw[[#This Row],[payment_date]] &lt; payments_raw[[#This Row],[sub_start_date]], 1, 0)</f>
        <v>0</v>
      </c>
      <c r="I649" s="2">
        <f>IF(AND(payments_raw[[#This Row],[sub_end_date]]&lt;&gt;"", payments_raw[[#This Row],[payment_date]] &gt; payments_raw[[#This Row],[sub_end_date]]), 1, 0)</f>
        <v>0</v>
      </c>
      <c r="J649" s="2">
        <f>IF(payments_raw[[#This Row],[amount]] &lt;= 0, 1, 0)</f>
        <v>0</v>
      </c>
      <c r="K6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0" spans="1:11" x14ac:dyDescent="0.3">
      <c r="A650">
        <v>15889037</v>
      </c>
      <c r="B650">
        <v>8077313</v>
      </c>
      <c r="C650" s="1">
        <v>45063</v>
      </c>
      <c r="D650">
        <v>190</v>
      </c>
      <c r="E650">
        <f>IF(
  ISNA(
    _xlfn.XLOOKUP(
      payments_raw[[#This Row],[subscription_id]],
      subscriptions[subscription_id],
      subscriptions[subscription_id]
    )
  ),
  0,
  1
)</f>
        <v>1</v>
      </c>
      <c r="F650" s="1">
        <f>_xlfn.XLOOKUP(payments_raw[[#This Row],[subscription_id]], subscriptions[subscription_id], subscriptions[start_date])</f>
        <v>45011</v>
      </c>
      <c r="G6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650" s="2">
        <f>IF(payments_raw[[#This Row],[payment_date]] &lt; payments_raw[[#This Row],[sub_start_date]], 1, 0)</f>
        <v>0</v>
      </c>
      <c r="I650" s="2">
        <f>IF(AND(payments_raw[[#This Row],[sub_end_date]]&lt;&gt;"", payments_raw[[#This Row],[payment_date]] &gt; payments_raw[[#This Row],[sub_end_date]]), 1, 0)</f>
        <v>0</v>
      </c>
      <c r="J650" s="2">
        <f>IF(payments_raw[[#This Row],[amount]] &lt;= 0, 1, 0)</f>
        <v>0</v>
      </c>
      <c r="K6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1" spans="1:11" x14ac:dyDescent="0.3">
      <c r="A651">
        <v>81803895</v>
      </c>
      <c r="B651">
        <v>4654790</v>
      </c>
      <c r="C651" s="1">
        <v>45435</v>
      </c>
      <c r="D651">
        <v>149</v>
      </c>
      <c r="E651">
        <f>IF(
  ISNA(
    _xlfn.XLOOKUP(
      payments_raw[[#This Row],[subscription_id]],
      subscriptions[subscription_id],
      subscriptions[subscription_id]
    )
  ),
  0,
  1
)</f>
        <v>1</v>
      </c>
      <c r="F651" s="1">
        <f>_xlfn.XLOOKUP(payments_raw[[#This Row],[subscription_id]], subscriptions[subscription_id], subscriptions[start_date])</f>
        <v>45398</v>
      </c>
      <c r="G6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51" s="2">
        <f>IF(payments_raw[[#This Row],[payment_date]] &lt; payments_raw[[#This Row],[sub_start_date]], 1, 0)</f>
        <v>0</v>
      </c>
      <c r="I651" s="2">
        <f>IF(AND(payments_raw[[#This Row],[sub_end_date]]&lt;&gt;"", payments_raw[[#This Row],[payment_date]] &gt; payments_raw[[#This Row],[sub_end_date]]), 1, 0)</f>
        <v>0</v>
      </c>
      <c r="J651" s="2">
        <f>IF(payments_raw[[#This Row],[amount]] &lt;= 0, 1, 0)</f>
        <v>0</v>
      </c>
      <c r="K6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2" spans="1:11" x14ac:dyDescent="0.3">
      <c r="A652">
        <v>83627558</v>
      </c>
      <c r="B652">
        <v>3061828</v>
      </c>
      <c r="C652" s="1">
        <v>45246</v>
      </c>
      <c r="D652">
        <v>299</v>
      </c>
      <c r="E652">
        <f>IF(
  ISNA(
    _xlfn.XLOOKUP(
      payments_raw[[#This Row],[subscription_id]],
      subscriptions[subscription_id],
      subscriptions[subscription_id]
    )
  ),
  0,
  1
)</f>
        <v>1</v>
      </c>
      <c r="F652" s="1">
        <f>_xlfn.XLOOKUP(payments_raw[[#This Row],[subscription_id]], subscriptions[subscription_id], subscriptions[start_date])</f>
        <v>45134</v>
      </c>
      <c r="G6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652" s="2">
        <f>IF(payments_raw[[#This Row],[payment_date]] &lt; payments_raw[[#This Row],[sub_start_date]], 1, 0)</f>
        <v>0</v>
      </c>
      <c r="I652" s="2">
        <f>IF(AND(payments_raw[[#This Row],[sub_end_date]]&lt;&gt;"", payments_raw[[#This Row],[payment_date]] &gt; payments_raw[[#This Row],[sub_end_date]]), 1, 0)</f>
        <v>0</v>
      </c>
      <c r="J652" s="2">
        <f>IF(payments_raw[[#This Row],[amount]] &lt;= 0, 1, 0)</f>
        <v>0</v>
      </c>
      <c r="K6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3" spans="1:11" x14ac:dyDescent="0.3">
      <c r="A653">
        <v>39626168</v>
      </c>
      <c r="B653">
        <v>5673426</v>
      </c>
      <c r="C653" s="1">
        <v>45645</v>
      </c>
      <c r="D653">
        <v>390</v>
      </c>
      <c r="E653">
        <f>IF(
  ISNA(
    _xlfn.XLOOKUP(
      payments_raw[[#This Row],[subscription_id]],
      subscriptions[subscription_id],
      subscriptions[subscription_id]
    )
  ),
  0,
  1
)</f>
        <v>1</v>
      </c>
      <c r="F653" s="1">
        <f>_xlfn.XLOOKUP(payments_raw[[#This Row],[subscription_id]], subscriptions[subscription_id], subscriptions[start_date])</f>
        <v>45551</v>
      </c>
      <c r="G6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53" s="2">
        <f>IF(payments_raw[[#This Row],[payment_date]] &lt; payments_raw[[#This Row],[sub_start_date]], 1, 0)</f>
        <v>0</v>
      </c>
      <c r="I653" s="2">
        <f>IF(AND(payments_raw[[#This Row],[sub_end_date]]&lt;&gt;"", payments_raw[[#This Row],[payment_date]] &gt; payments_raw[[#This Row],[sub_end_date]]), 1, 0)</f>
        <v>0</v>
      </c>
      <c r="J653" s="2">
        <f>IF(payments_raw[[#This Row],[amount]] &lt;= 0, 1, 0)</f>
        <v>0</v>
      </c>
      <c r="K6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4" spans="1:11" x14ac:dyDescent="0.3">
      <c r="A654">
        <v>59778266</v>
      </c>
      <c r="B654">
        <v>6386706</v>
      </c>
      <c r="C654" s="1">
        <v>44644</v>
      </c>
      <c r="D654">
        <v>19.5</v>
      </c>
      <c r="E654">
        <f>IF(
  ISNA(
    _xlfn.XLOOKUP(
      payments_raw[[#This Row],[subscription_id]],
      subscriptions[subscription_id],
      subscriptions[subscription_id]
    )
  ),
  0,
  1
)</f>
        <v>1</v>
      </c>
      <c r="F654" s="1">
        <f>_xlfn.XLOOKUP(payments_raw[[#This Row],[subscription_id]], subscriptions[subscription_id], subscriptions[start_date])</f>
        <v>44620</v>
      </c>
      <c r="G65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44819</v>
      </c>
      <c r="H654" s="2">
        <f>IF(payments_raw[[#This Row],[payment_date]] &lt; payments_raw[[#This Row],[sub_start_date]], 1, 0)</f>
        <v>0</v>
      </c>
      <c r="I654" s="2">
        <f>IF(AND(payments_raw[[#This Row],[sub_end_date]]&lt;&gt;"", payments_raw[[#This Row],[payment_date]] &gt; payments_raw[[#This Row],[sub_end_date]]), 1, 0)</f>
        <v>0</v>
      </c>
      <c r="J654" s="2">
        <f>IF(payments_raw[[#This Row],[amount]] &lt;= 0, 1, 0)</f>
        <v>0</v>
      </c>
      <c r="K6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5" spans="1:11" x14ac:dyDescent="0.3">
      <c r="A655">
        <v>88852864</v>
      </c>
      <c r="B655">
        <v>3570131</v>
      </c>
      <c r="C655" s="1">
        <v>44976</v>
      </c>
      <c r="D655">
        <v>790</v>
      </c>
      <c r="E655">
        <f>IF(
  ISNA(
    _xlfn.XLOOKUP(
      payments_raw[[#This Row],[subscription_id]],
      subscriptions[subscription_id],
      subscriptions[subscription_id]
    )
  ),
  0,
  1
)</f>
        <v>1</v>
      </c>
      <c r="F655" s="1">
        <f>_xlfn.XLOOKUP(payments_raw[[#This Row],[subscription_id]], subscriptions[subscription_id], subscriptions[start_date])</f>
        <v>44924</v>
      </c>
      <c r="G6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45021</v>
      </c>
      <c r="H655" s="2">
        <f>IF(payments_raw[[#This Row],[payment_date]] &lt; payments_raw[[#This Row],[sub_start_date]], 1, 0)</f>
        <v>0</v>
      </c>
      <c r="I655" s="2">
        <f>IF(AND(payments_raw[[#This Row],[sub_end_date]]&lt;&gt;"", payments_raw[[#This Row],[payment_date]] &gt; payments_raw[[#This Row],[sub_end_date]]), 1, 0)</f>
        <v>0</v>
      </c>
      <c r="J655" s="2">
        <f>IF(payments_raw[[#This Row],[amount]] &lt;= 0, 1, 0)</f>
        <v>0</v>
      </c>
      <c r="K6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6" spans="1:11" x14ac:dyDescent="0.3">
      <c r="A656">
        <v>47636112</v>
      </c>
      <c r="B656">
        <v>9798778</v>
      </c>
      <c r="C656" s="1">
        <v>45629</v>
      </c>
      <c r="D656">
        <v>79</v>
      </c>
      <c r="E656">
        <f>IF(
  ISNA(
    _xlfn.XLOOKUP(
      payments_raw[[#This Row],[subscription_id]],
      subscriptions[subscription_id],
      subscriptions[subscription_id]
    )
  ),
  0,
  1
)</f>
        <v>1</v>
      </c>
      <c r="F656" s="1">
        <f>_xlfn.XLOOKUP(payments_raw[[#This Row],[subscription_id]], subscriptions[subscription_id], subscriptions[start_date])</f>
        <v>45465</v>
      </c>
      <c r="G6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56" s="2">
        <f>IF(payments_raw[[#This Row],[payment_date]] &lt; payments_raw[[#This Row],[sub_start_date]], 1, 0)</f>
        <v>0</v>
      </c>
      <c r="I656" s="2">
        <f>IF(AND(payments_raw[[#This Row],[sub_end_date]]&lt;&gt;"", payments_raw[[#This Row],[payment_date]] &gt; payments_raw[[#This Row],[sub_end_date]]), 1, 0)</f>
        <v>0</v>
      </c>
      <c r="J656" s="2">
        <f>IF(payments_raw[[#This Row],[amount]] &lt;= 0, 1, 0)</f>
        <v>0</v>
      </c>
      <c r="K6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7" spans="1:11" x14ac:dyDescent="0.3">
      <c r="A657">
        <v>70376084</v>
      </c>
      <c r="B657">
        <v>8046664</v>
      </c>
      <c r="C657" s="1">
        <v>45407</v>
      </c>
      <c r="D657">
        <v>19.5</v>
      </c>
      <c r="E657">
        <f>IF(
  ISNA(
    _xlfn.XLOOKUP(
      payments_raw[[#This Row],[subscription_id]],
      subscriptions[subscription_id],
      subscriptions[subscription_id]
    )
  ),
  0,
  1
)</f>
        <v>1</v>
      </c>
      <c r="F657" s="1">
        <f>_xlfn.XLOOKUP(payments_raw[[#This Row],[subscription_id]], subscriptions[subscription_id], subscriptions[start_date])</f>
        <v>45381</v>
      </c>
      <c r="G6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45462</v>
      </c>
      <c r="H657" s="2">
        <f>IF(payments_raw[[#This Row],[payment_date]] &lt; payments_raw[[#This Row],[sub_start_date]], 1, 0)</f>
        <v>0</v>
      </c>
      <c r="I657" s="2">
        <f>IF(AND(payments_raw[[#This Row],[sub_end_date]]&lt;&gt;"", payments_raw[[#This Row],[payment_date]] &gt; payments_raw[[#This Row],[sub_end_date]]), 1, 0)</f>
        <v>0</v>
      </c>
      <c r="J657" s="2">
        <f>IF(payments_raw[[#This Row],[amount]] &lt;= 0, 1, 0)</f>
        <v>0</v>
      </c>
      <c r="K6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8" spans="1:11" x14ac:dyDescent="0.3">
      <c r="A658">
        <v>92110921</v>
      </c>
      <c r="B658">
        <v>8171473</v>
      </c>
      <c r="C658" s="1">
        <v>45253</v>
      </c>
      <c r="D658">
        <v>224.25</v>
      </c>
      <c r="E658">
        <f>IF(
  ISNA(
    _xlfn.XLOOKUP(
      payments_raw[[#This Row],[subscription_id]],
      subscriptions[subscription_id],
      subscriptions[subscription_id]
    )
  ),
  0,
  1
)</f>
        <v>1</v>
      </c>
      <c r="F658" s="1">
        <f>_xlfn.XLOOKUP(payments_raw[[#This Row],[subscription_id]], subscriptions[subscription_id], subscriptions[start_date])</f>
        <v>45132</v>
      </c>
      <c r="G6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58" s="2">
        <f>IF(payments_raw[[#This Row],[payment_date]] &lt; payments_raw[[#This Row],[sub_start_date]], 1, 0)</f>
        <v>0</v>
      </c>
      <c r="I658" s="2">
        <f>IF(AND(payments_raw[[#This Row],[sub_end_date]]&lt;&gt;"", payments_raw[[#This Row],[payment_date]] &gt; payments_raw[[#This Row],[sub_end_date]]), 1, 0)</f>
        <v>0</v>
      </c>
      <c r="J658" s="2">
        <f>IF(payments_raw[[#This Row],[amount]] &lt;= 0, 1, 0)</f>
        <v>0</v>
      </c>
      <c r="K6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59" spans="1:11" x14ac:dyDescent="0.3">
      <c r="A659">
        <v>90305616</v>
      </c>
      <c r="B659">
        <v>5404568</v>
      </c>
      <c r="C659" s="1">
        <v>45142</v>
      </c>
      <c r="D659">
        <v>299</v>
      </c>
      <c r="E659">
        <f>IF(
  ISNA(
    _xlfn.XLOOKUP(
      payments_raw[[#This Row],[subscription_id]],
      subscriptions[subscription_id],
      subscriptions[subscription_id]
    )
  ),
  0,
  1
)</f>
        <v>1</v>
      </c>
      <c r="F659" s="1">
        <f>_xlfn.XLOOKUP(payments_raw[[#This Row],[subscription_id]], subscriptions[subscription_id], subscriptions[start_date])</f>
        <v>45005</v>
      </c>
      <c r="G6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45209</v>
      </c>
      <c r="H659" s="2">
        <f>IF(payments_raw[[#This Row],[payment_date]] &lt; payments_raw[[#This Row],[sub_start_date]], 1, 0)</f>
        <v>0</v>
      </c>
      <c r="I659" s="2">
        <f>IF(AND(payments_raw[[#This Row],[sub_end_date]]&lt;&gt;"", payments_raw[[#This Row],[payment_date]] &gt; payments_raw[[#This Row],[sub_end_date]]), 1, 0)</f>
        <v>0</v>
      </c>
      <c r="J659" s="2">
        <f>IF(payments_raw[[#This Row],[amount]] &lt;= 0, 1, 0)</f>
        <v>0</v>
      </c>
      <c r="K6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0" spans="1:11" x14ac:dyDescent="0.3">
      <c r="A660">
        <v>42374658</v>
      </c>
      <c r="B660">
        <v>8200092</v>
      </c>
      <c r="C660" s="1">
        <v>45013</v>
      </c>
      <c r="D660">
        <v>2990</v>
      </c>
      <c r="E660">
        <f>IF(
  ISNA(
    _xlfn.XLOOKUP(
      payments_raw[[#This Row],[subscription_id]],
      subscriptions[subscription_id],
      subscriptions[subscription_id]
    )
  ),
  0,
  1
)</f>
        <v>1</v>
      </c>
      <c r="F660" s="1">
        <f>_xlfn.XLOOKUP(payments_raw[[#This Row],[subscription_id]], subscriptions[subscription_id], subscriptions[start_date])</f>
        <v>44968</v>
      </c>
      <c r="G6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60" s="2">
        <f>IF(payments_raw[[#This Row],[payment_date]] &lt; payments_raw[[#This Row],[sub_start_date]], 1, 0)</f>
        <v>0</v>
      </c>
      <c r="I660" s="2">
        <f>IF(AND(payments_raw[[#This Row],[sub_end_date]]&lt;&gt;"", payments_raw[[#This Row],[payment_date]] &gt; payments_raw[[#This Row],[sub_end_date]]), 1, 0)</f>
        <v>0</v>
      </c>
      <c r="J660" s="2">
        <f>IF(payments_raw[[#This Row],[amount]] &lt;= 0, 1, 0)</f>
        <v>0</v>
      </c>
      <c r="K6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1" spans="1:11" x14ac:dyDescent="0.3">
      <c r="A661">
        <v>47189249</v>
      </c>
      <c r="B661">
        <v>9205525</v>
      </c>
      <c r="C661" s="1">
        <v>45480</v>
      </c>
      <c r="D661">
        <v>149</v>
      </c>
      <c r="E661">
        <f>IF(
  ISNA(
    _xlfn.XLOOKUP(
      payments_raw[[#This Row],[subscription_id]],
      subscriptions[subscription_id],
      subscriptions[subscription_id]
    )
  ),
  0,
  1
)</f>
        <v>1</v>
      </c>
      <c r="F661" s="1">
        <f>_xlfn.XLOOKUP(payments_raw[[#This Row],[subscription_id]], subscriptions[subscription_id], subscriptions[start_date])</f>
        <v>45203</v>
      </c>
      <c r="G6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61" s="2">
        <f>IF(payments_raw[[#This Row],[payment_date]] &lt; payments_raw[[#This Row],[sub_start_date]], 1, 0)</f>
        <v>0</v>
      </c>
      <c r="I661" s="2">
        <f>IF(AND(payments_raw[[#This Row],[sub_end_date]]&lt;&gt;"", payments_raw[[#This Row],[payment_date]] &gt; payments_raw[[#This Row],[sub_end_date]]), 1, 0)</f>
        <v>0</v>
      </c>
      <c r="J661" s="2">
        <f>IF(payments_raw[[#This Row],[amount]] &lt;= 0, 1, 0)</f>
        <v>0</v>
      </c>
      <c r="K6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2" spans="1:11" x14ac:dyDescent="0.3">
      <c r="A662">
        <v>10853168</v>
      </c>
      <c r="B662">
        <v>2019943</v>
      </c>
      <c r="C662" s="1">
        <v>45166</v>
      </c>
      <c r="D662">
        <v>299</v>
      </c>
      <c r="E662">
        <f>IF(
  ISNA(
    _xlfn.XLOOKUP(
      payments_raw[[#This Row],[subscription_id]],
      subscriptions[subscription_id],
      subscriptions[subscription_id]
    )
  ),
  0,
  1
)</f>
        <v>1</v>
      </c>
      <c r="F662" s="1">
        <f>_xlfn.XLOOKUP(payments_raw[[#This Row],[subscription_id]], subscriptions[subscription_id], subscriptions[start_date])</f>
        <v>44951</v>
      </c>
      <c r="G6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45184</v>
      </c>
      <c r="H662" s="2">
        <f>IF(payments_raw[[#This Row],[payment_date]] &lt; payments_raw[[#This Row],[sub_start_date]], 1, 0)</f>
        <v>0</v>
      </c>
      <c r="I662" s="2">
        <f>IF(AND(payments_raw[[#This Row],[sub_end_date]]&lt;&gt;"", payments_raw[[#This Row],[payment_date]] &gt; payments_raw[[#This Row],[sub_end_date]]), 1, 0)</f>
        <v>0</v>
      </c>
      <c r="J662" s="2">
        <f>IF(payments_raw[[#This Row],[amount]] &lt;= 0, 1, 0)</f>
        <v>0</v>
      </c>
      <c r="K6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3" spans="1:11" x14ac:dyDescent="0.3">
      <c r="A663">
        <v>39039152</v>
      </c>
      <c r="B663">
        <v>3472414</v>
      </c>
      <c r="C663" s="1">
        <v>45503</v>
      </c>
      <c r="D663">
        <v>299</v>
      </c>
      <c r="E663">
        <f>IF(
  ISNA(
    _xlfn.XLOOKUP(
      payments_raw[[#This Row],[subscription_id]],
      subscriptions[subscription_id],
      subscriptions[subscription_id]
    )
  ),
  0,
  1
)</f>
        <v>1</v>
      </c>
      <c r="F663" s="1">
        <f>_xlfn.XLOOKUP(payments_raw[[#This Row],[subscription_id]], subscriptions[subscription_id], subscriptions[start_date])</f>
        <v>45082</v>
      </c>
      <c r="G6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63" s="2">
        <f>IF(payments_raw[[#This Row],[payment_date]] &lt; payments_raw[[#This Row],[sub_start_date]], 1, 0)</f>
        <v>0</v>
      </c>
      <c r="I663" s="2">
        <f>IF(AND(payments_raw[[#This Row],[sub_end_date]]&lt;&gt;"", payments_raw[[#This Row],[payment_date]] &gt; payments_raw[[#This Row],[sub_end_date]]), 1, 0)</f>
        <v>0</v>
      </c>
      <c r="J663" s="2">
        <f>IF(payments_raw[[#This Row],[amount]] &lt;= 0, 1, 0)</f>
        <v>0</v>
      </c>
      <c r="K6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4" spans="1:11" x14ac:dyDescent="0.3">
      <c r="A664">
        <v>23434328</v>
      </c>
      <c r="B664">
        <v>7397002</v>
      </c>
      <c r="C664" s="1">
        <v>45541</v>
      </c>
      <c r="D664">
        <v>79</v>
      </c>
      <c r="E664">
        <f>IF(
  ISNA(
    _xlfn.XLOOKUP(
      payments_raw[[#This Row],[subscription_id]],
      subscriptions[subscription_id],
      subscriptions[subscription_id]
    )
  ),
  0,
  1
)</f>
        <v>1</v>
      </c>
      <c r="F664" s="1">
        <f>_xlfn.XLOOKUP(payments_raw[[#This Row],[subscription_id]], subscriptions[subscription_id], subscriptions[start_date])</f>
        <v>45519</v>
      </c>
      <c r="G6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664" s="2">
        <f>IF(payments_raw[[#This Row],[payment_date]] &lt; payments_raw[[#This Row],[sub_start_date]], 1, 0)</f>
        <v>0</v>
      </c>
      <c r="I664" s="2">
        <f>IF(AND(payments_raw[[#This Row],[sub_end_date]]&lt;&gt;"", payments_raw[[#This Row],[payment_date]] &gt; payments_raw[[#This Row],[sub_end_date]]), 1, 0)</f>
        <v>0</v>
      </c>
      <c r="J664" s="2">
        <f>IF(payments_raw[[#This Row],[amount]] &lt;= 0, 1, 0)</f>
        <v>0</v>
      </c>
      <c r="K6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5" spans="1:11" x14ac:dyDescent="0.3">
      <c r="A665">
        <v>40780047</v>
      </c>
      <c r="B665">
        <v>3061828</v>
      </c>
      <c r="C665" s="1">
        <v>45281</v>
      </c>
      <c r="D665">
        <v>299</v>
      </c>
      <c r="E665">
        <f>IF(
  ISNA(
    _xlfn.XLOOKUP(
      payments_raw[[#This Row],[subscription_id]],
      subscriptions[subscription_id],
      subscriptions[subscription_id]
    )
  ),
  0,
  1
)</f>
        <v>1</v>
      </c>
      <c r="F665" s="1">
        <f>_xlfn.XLOOKUP(payments_raw[[#This Row],[subscription_id]], subscriptions[subscription_id], subscriptions[start_date])</f>
        <v>45134</v>
      </c>
      <c r="G6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665" s="2">
        <f>IF(payments_raw[[#This Row],[payment_date]] &lt; payments_raw[[#This Row],[sub_start_date]], 1, 0)</f>
        <v>0</v>
      </c>
      <c r="I665" s="2">
        <f>IF(AND(payments_raw[[#This Row],[sub_end_date]]&lt;&gt;"", payments_raw[[#This Row],[payment_date]] &gt; payments_raw[[#This Row],[sub_end_date]]), 1, 0)</f>
        <v>0</v>
      </c>
      <c r="J665" s="2">
        <f>IF(payments_raw[[#This Row],[amount]] &lt;= 0, 1, 0)</f>
        <v>0</v>
      </c>
      <c r="K6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6" spans="1:11" x14ac:dyDescent="0.3">
      <c r="A666">
        <v>67325158</v>
      </c>
      <c r="B666">
        <v>1675388</v>
      </c>
      <c r="C666" s="1">
        <v>45548</v>
      </c>
      <c r="D666">
        <v>190</v>
      </c>
      <c r="E666">
        <f>IF(
  ISNA(
    _xlfn.XLOOKUP(
      payments_raw[[#This Row],[subscription_id]],
      subscriptions[subscription_id],
      subscriptions[subscription_id]
    )
  ),
  0,
  1
)</f>
        <v>1</v>
      </c>
      <c r="F666" s="1">
        <f>_xlfn.XLOOKUP(payments_raw[[#This Row],[subscription_id]], subscriptions[subscription_id], subscriptions[start_date])</f>
        <v>44835</v>
      </c>
      <c r="G6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66" s="2">
        <f>IF(payments_raw[[#This Row],[payment_date]] &lt; payments_raw[[#This Row],[sub_start_date]], 1, 0)</f>
        <v>0</v>
      </c>
      <c r="I666" s="2">
        <f>IF(AND(payments_raw[[#This Row],[sub_end_date]]&lt;&gt;"", payments_raw[[#This Row],[payment_date]] &gt; payments_raw[[#This Row],[sub_end_date]]), 1, 0)</f>
        <v>0</v>
      </c>
      <c r="J666" s="2">
        <f>IF(payments_raw[[#This Row],[amount]] &lt;= 0, 1, 0)</f>
        <v>0</v>
      </c>
      <c r="K6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7" spans="1:11" x14ac:dyDescent="0.3">
      <c r="A667">
        <v>57902263</v>
      </c>
      <c r="B667">
        <v>4719408</v>
      </c>
      <c r="C667" s="1">
        <v>45118</v>
      </c>
      <c r="D667">
        <v>2990</v>
      </c>
      <c r="E667">
        <f>IF(
  ISNA(
    _xlfn.XLOOKUP(
      payments_raw[[#This Row],[subscription_id]],
      subscriptions[subscription_id],
      subscriptions[subscription_id]
    )
  ),
  0,
  1
)</f>
        <v>1</v>
      </c>
      <c r="F667" s="1">
        <f>_xlfn.XLOOKUP(payments_raw[[#This Row],[subscription_id]], subscriptions[subscription_id], subscriptions[start_date])</f>
        <v>44926</v>
      </c>
      <c r="G6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45144</v>
      </c>
      <c r="H667" s="2">
        <f>IF(payments_raw[[#This Row],[payment_date]] &lt; payments_raw[[#This Row],[sub_start_date]], 1, 0)</f>
        <v>0</v>
      </c>
      <c r="I667" s="2">
        <f>IF(AND(payments_raw[[#This Row],[sub_end_date]]&lt;&gt;"", payments_raw[[#This Row],[payment_date]] &gt; payments_raw[[#This Row],[sub_end_date]]), 1, 0)</f>
        <v>0</v>
      </c>
      <c r="J667" s="2">
        <f>IF(payments_raw[[#This Row],[amount]] &lt;= 0, 1, 0)</f>
        <v>0</v>
      </c>
      <c r="K6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8" spans="1:11" x14ac:dyDescent="0.3">
      <c r="A668">
        <v>32051215</v>
      </c>
      <c r="B668">
        <v>1225606</v>
      </c>
      <c r="C668" s="1">
        <v>45273</v>
      </c>
      <c r="D668">
        <v>1490</v>
      </c>
      <c r="E668">
        <f>IF(
  ISNA(
    _xlfn.XLOOKUP(
      payments_raw[[#This Row],[subscription_id]],
      subscriptions[subscription_id],
      subscriptions[subscription_id]
    )
  ),
  0,
  1
)</f>
        <v>1</v>
      </c>
      <c r="F668" s="1">
        <f>_xlfn.XLOOKUP(payments_raw[[#This Row],[subscription_id]], subscriptions[subscription_id], subscriptions[start_date])</f>
        <v>45260</v>
      </c>
      <c r="G6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45606</v>
      </c>
      <c r="H668" s="2">
        <f>IF(payments_raw[[#This Row],[payment_date]] &lt; payments_raw[[#This Row],[sub_start_date]], 1, 0)</f>
        <v>0</v>
      </c>
      <c r="I668" s="2">
        <f>IF(AND(payments_raw[[#This Row],[sub_end_date]]&lt;&gt;"", payments_raw[[#This Row],[payment_date]] &gt; payments_raw[[#This Row],[sub_end_date]]), 1, 0)</f>
        <v>0</v>
      </c>
      <c r="J668" s="2">
        <f>IF(payments_raw[[#This Row],[amount]] &lt;= 0, 1, 0)</f>
        <v>0</v>
      </c>
      <c r="K6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69" spans="1:11" x14ac:dyDescent="0.3">
      <c r="A669">
        <v>94182224</v>
      </c>
      <c r="B669">
        <v>1881916</v>
      </c>
      <c r="C669" s="1">
        <v>45074</v>
      </c>
      <c r="D669">
        <v>14.25</v>
      </c>
      <c r="E669">
        <f>IF(
  ISNA(
    _xlfn.XLOOKUP(
      payments_raw[[#This Row],[subscription_id]],
      subscriptions[subscription_id],
      subscriptions[subscription_id]
    )
  ),
  0,
  1
)</f>
        <v>1</v>
      </c>
      <c r="F669" s="1">
        <f>_xlfn.XLOOKUP(payments_raw[[#This Row],[subscription_id]], subscriptions[subscription_id], subscriptions[start_date])</f>
        <v>44928</v>
      </c>
      <c r="G6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45158</v>
      </c>
      <c r="H669" s="2">
        <f>IF(payments_raw[[#This Row],[payment_date]] &lt; payments_raw[[#This Row],[sub_start_date]], 1, 0)</f>
        <v>0</v>
      </c>
      <c r="I669" s="2">
        <f>IF(AND(payments_raw[[#This Row],[sub_end_date]]&lt;&gt;"", payments_raw[[#This Row],[payment_date]] &gt; payments_raw[[#This Row],[sub_end_date]]), 1, 0)</f>
        <v>0</v>
      </c>
      <c r="J669" s="2">
        <f>IF(payments_raw[[#This Row],[amount]] &lt;= 0, 1, 0)</f>
        <v>0</v>
      </c>
      <c r="K6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0" spans="1:11" x14ac:dyDescent="0.3">
      <c r="A670">
        <v>35842902</v>
      </c>
      <c r="B670">
        <v>9115888</v>
      </c>
      <c r="C670" s="1">
        <v>45421</v>
      </c>
      <c r="D670">
        <v>790</v>
      </c>
      <c r="E670">
        <f>IF(
  ISNA(
    _xlfn.XLOOKUP(
      payments_raw[[#This Row],[subscription_id]],
      subscriptions[subscription_id],
      subscriptions[subscription_id]
    )
  ),
  0,
  1
)</f>
        <v>1</v>
      </c>
      <c r="F670" s="1">
        <f>_xlfn.XLOOKUP(payments_raw[[#This Row],[subscription_id]], subscriptions[subscription_id], subscriptions[start_date])</f>
        <v>45333</v>
      </c>
      <c r="G6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670" s="2">
        <f>IF(payments_raw[[#This Row],[payment_date]] &lt; payments_raw[[#This Row],[sub_start_date]], 1, 0)</f>
        <v>0</v>
      </c>
      <c r="I670" s="2">
        <f>IF(AND(payments_raw[[#This Row],[sub_end_date]]&lt;&gt;"", payments_raw[[#This Row],[payment_date]] &gt; payments_raw[[#This Row],[sub_end_date]]), 1, 0)</f>
        <v>0</v>
      </c>
      <c r="J670" s="2">
        <f>IF(payments_raw[[#This Row],[amount]] &lt;= 0, 1, 0)</f>
        <v>0</v>
      </c>
      <c r="K6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1" spans="1:11" x14ac:dyDescent="0.3">
      <c r="A671">
        <v>41436416</v>
      </c>
      <c r="B671">
        <v>5409130</v>
      </c>
      <c r="C671" s="1">
        <v>45650</v>
      </c>
      <c r="D671">
        <v>19.5</v>
      </c>
      <c r="E671">
        <f>IF(
  ISNA(
    _xlfn.XLOOKUP(
      payments_raw[[#This Row],[subscription_id]],
      subscriptions[subscription_id],
      subscriptions[subscription_id]
    )
  ),
  0,
  1
)</f>
        <v>1</v>
      </c>
      <c r="F671" s="1">
        <f>_xlfn.XLOOKUP(payments_raw[[#This Row],[subscription_id]], subscriptions[subscription_id], subscriptions[start_date])</f>
        <v>45462</v>
      </c>
      <c r="G6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71" s="2">
        <f>IF(payments_raw[[#This Row],[payment_date]] &lt; payments_raw[[#This Row],[sub_start_date]], 1, 0)</f>
        <v>0</v>
      </c>
      <c r="I671" s="2">
        <f>IF(AND(payments_raw[[#This Row],[sub_end_date]]&lt;&gt;"", payments_raw[[#This Row],[payment_date]] &gt; payments_raw[[#This Row],[sub_end_date]]), 1, 0)</f>
        <v>0</v>
      </c>
      <c r="J671" s="2">
        <f>IF(payments_raw[[#This Row],[amount]] &lt;= 0, 1, 0)</f>
        <v>0</v>
      </c>
      <c r="K6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2" spans="1:11" x14ac:dyDescent="0.3">
      <c r="A672">
        <v>36287354</v>
      </c>
      <c r="B672">
        <v>1748441</v>
      </c>
      <c r="C672" s="1">
        <v>45264</v>
      </c>
      <c r="D672">
        <v>19</v>
      </c>
      <c r="E672">
        <f>IF(
  ISNA(
    _xlfn.XLOOKUP(
      payments_raw[[#This Row],[subscription_id]],
      subscriptions[subscription_id],
      subscriptions[subscription_id]
    )
  ),
  0,
  1
)</f>
        <v>1</v>
      </c>
      <c r="F672" s="1">
        <f>_xlfn.XLOOKUP(payments_raw[[#This Row],[subscription_id]], subscriptions[subscription_id], subscriptions[start_date])</f>
        <v>45157</v>
      </c>
      <c r="G6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45489</v>
      </c>
      <c r="H672" s="2">
        <f>IF(payments_raw[[#This Row],[payment_date]] &lt; payments_raw[[#This Row],[sub_start_date]], 1, 0)</f>
        <v>0</v>
      </c>
      <c r="I672" s="2">
        <f>IF(AND(payments_raw[[#This Row],[sub_end_date]]&lt;&gt;"", payments_raw[[#This Row],[payment_date]] &gt; payments_raw[[#This Row],[sub_end_date]]), 1, 0)</f>
        <v>0</v>
      </c>
      <c r="J672" s="2">
        <f>IF(payments_raw[[#This Row],[amount]] &lt;= 0, 1, 0)</f>
        <v>0</v>
      </c>
      <c r="K6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3" spans="1:11" x14ac:dyDescent="0.3">
      <c r="A673">
        <v>49594225</v>
      </c>
      <c r="B673">
        <v>6150025</v>
      </c>
      <c r="C673" s="1">
        <v>45619</v>
      </c>
      <c r="D673">
        <v>111.75</v>
      </c>
      <c r="E673">
        <f>IF(
  ISNA(
    _xlfn.XLOOKUP(
      payments_raw[[#This Row],[subscription_id]],
      subscriptions[subscription_id],
      subscriptions[subscription_id]
    )
  ),
  0,
  1
)</f>
        <v>1</v>
      </c>
      <c r="F673" s="1">
        <f>_xlfn.XLOOKUP(payments_raw[[#This Row],[subscription_id]], subscriptions[subscription_id], subscriptions[start_date])</f>
        <v>45590</v>
      </c>
      <c r="G6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673" s="2">
        <f>IF(payments_raw[[#This Row],[payment_date]] &lt; payments_raw[[#This Row],[sub_start_date]], 1, 0)</f>
        <v>0</v>
      </c>
      <c r="I673" s="2">
        <f>IF(AND(payments_raw[[#This Row],[sub_end_date]]&lt;&gt;"", payments_raw[[#This Row],[payment_date]] &gt; payments_raw[[#This Row],[sub_end_date]]), 1, 0)</f>
        <v>0</v>
      </c>
      <c r="J673" s="2">
        <f>IF(payments_raw[[#This Row],[amount]] &lt;= 0, 1, 0)</f>
        <v>0</v>
      </c>
      <c r="K6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4" spans="1:11" x14ac:dyDescent="0.3">
      <c r="A674">
        <v>40282898</v>
      </c>
      <c r="B674">
        <v>8455510</v>
      </c>
      <c r="C674" s="1">
        <v>45505</v>
      </c>
      <c r="D674">
        <v>299</v>
      </c>
      <c r="E674">
        <f>IF(
  ISNA(
    _xlfn.XLOOKUP(
      payments_raw[[#This Row],[subscription_id]],
      subscriptions[subscription_id],
      subscriptions[subscription_id]
    )
  ),
  0,
  1
)</f>
        <v>1</v>
      </c>
      <c r="F674" s="1">
        <f>_xlfn.XLOOKUP(payments_raw[[#This Row],[subscription_id]], subscriptions[subscription_id], subscriptions[start_date])</f>
        <v>44872</v>
      </c>
      <c r="G6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74" s="2">
        <f>IF(payments_raw[[#This Row],[payment_date]] &lt; payments_raw[[#This Row],[sub_start_date]], 1, 0)</f>
        <v>0</v>
      </c>
      <c r="I674" s="2">
        <f>IF(AND(payments_raw[[#This Row],[sub_end_date]]&lt;&gt;"", payments_raw[[#This Row],[payment_date]] &gt; payments_raw[[#This Row],[sub_end_date]]), 1, 0)</f>
        <v>0</v>
      </c>
      <c r="J674" s="2">
        <f>IF(payments_raw[[#This Row],[amount]] &lt;= 0, 1, 0)</f>
        <v>0</v>
      </c>
      <c r="K6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5" spans="1:11" x14ac:dyDescent="0.3">
      <c r="A675">
        <v>25821079</v>
      </c>
      <c r="B675">
        <v>4648430</v>
      </c>
      <c r="C675" s="1">
        <v>45515</v>
      </c>
      <c r="D675">
        <v>390</v>
      </c>
      <c r="E675">
        <f>IF(
  ISNA(
    _xlfn.XLOOKUP(
      payments_raw[[#This Row],[subscription_id]],
      subscriptions[subscription_id],
      subscriptions[subscription_id]
    )
  ),
  0,
  1
)</f>
        <v>1</v>
      </c>
      <c r="F675" s="1">
        <f>_xlfn.XLOOKUP(payments_raw[[#This Row],[subscription_id]], subscriptions[subscription_id], subscriptions[start_date])</f>
        <v>44772</v>
      </c>
      <c r="G6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75" s="2">
        <f>IF(payments_raw[[#This Row],[payment_date]] &lt; payments_raw[[#This Row],[sub_start_date]], 1, 0)</f>
        <v>0</v>
      </c>
      <c r="I675" s="2">
        <f>IF(AND(payments_raw[[#This Row],[sub_end_date]]&lt;&gt;"", payments_raw[[#This Row],[payment_date]] &gt; payments_raw[[#This Row],[sub_end_date]]), 1, 0)</f>
        <v>0</v>
      </c>
      <c r="J675" s="2">
        <f>IF(payments_raw[[#This Row],[amount]] &lt;= 0, 1, 0)</f>
        <v>0</v>
      </c>
      <c r="K6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6" spans="1:11" x14ac:dyDescent="0.3">
      <c r="A676">
        <v>37402375</v>
      </c>
      <c r="B676">
        <v>6739966</v>
      </c>
      <c r="C676" s="1">
        <v>45020</v>
      </c>
      <c r="D676">
        <v>149</v>
      </c>
      <c r="E676">
        <f>IF(
  ISNA(
    _xlfn.XLOOKUP(
      payments_raw[[#This Row],[subscription_id]],
      subscriptions[subscription_id],
      subscriptions[subscription_id]
    )
  ),
  0,
  1
)</f>
        <v>1</v>
      </c>
      <c r="F676" s="1">
        <f>_xlfn.XLOOKUP(payments_raw[[#This Row],[subscription_id]], subscriptions[subscription_id], subscriptions[start_date])</f>
        <v>44833</v>
      </c>
      <c r="G6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45231</v>
      </c>
      <c r="H676" s="2">
        <f>IF(payments_raw[[#This Row],[payment_date]] &lt; payments_raw[[#This Row],[sub_start_date]], 1, 0)</f>
        <v>0</v>
      </c>
      <c r="I676" s="2">
        <f>IF(AND(payments_raw[[#This Row],[sub_end_date]]&lt;&gt;"", payments_raw[[#This Row],[payment_date]] &gt; payments_raw[[#This Row],[sub_end_date]]), 1, 0)</f>
        <v>0</v>
      </c>
      <c r="J676" s="2">
        <f>IF(payments_raw[[#This Row],[amount]] &lt;= 0, 1, 0)</f>
        <v>0</v>
      </c>
      <c r="K6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7" spans="1:11" x14ac:dyDescent="0.3">
      <c r="A677">
        <v>50210777</v>
      </c>
      <c r="B677">
        <v>7082569</v>
      </c>
      <c r="C677" s="1">
        <v>45407</v>
      </c>
      <c r="D677">
        <v>39</v>
      </c>
      <c r="E677">
        <f>IF(
  ISNA(
    _xlfn.XLOOKUP(
      payments_raw[[#This Row],[subscription_id]],
      subscriptions[subscription_id],
      subscriptions[subscription_id]
    )
  ),
  0,
  1
)</f>
        <v>1</v>
      </c>
      <c r="F677" s="1">
        <f>_xlfn.XLOOKUP(payments_raw[[#This Row],[subscription_id]], subscriptions[subscription_id], subscriptions[start_date])</f>
        <v>45056</v>
      </c>
      <c r="G6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677" s="2">
        <f>IF(payments_raw[[#This Row],[payment_date]] &lt; payments_raw[[#This Row],[sub_start_date]], 1, 0)</f>
        <v>0</v>
      </c>
      <c r="I677" s="2">
        <f>IF(AND(payments_raw[[#This Row],[sub_end_date]]&lt;&gt;"", payments_raw[[#This Row],[payment_date]] &gt; payments_raw[[#This Row],[sub_end_date]]), 1, 0)</f>
        <v>0</v>
      </c>
      <c r="J677" s="2">
        <f>IF(payments_raw[[#This Row],[amount]] &lt;= 0, 1, 0)</f>
        <v>0</v>
      </c>
      <c r="K6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8" spans="1:11" x14ac:dyDescent="0.3">
      <c r="A678">
        <v>18491684</v>
      </c>
      <c r="B678">
        <v>3426274</v>
      </c>
      <c r="C678" s="1">
        <v>45265</v>
      </c>
      <c r="D678">
        <v>79</v>
      </c>
      <c r="E678">
        <f>IF(
  ISNA(
    _xlfn.XLOOKUP(
      payments_raw[[#This Row],[subscription_id]],
      subscriptions[subscription_id],
      subscriptions[subscription_id]
    )
  ),
  0,
  1
)</f>
        <v>1</v>
      </c>
      <c r="F678" s="1">
        <f>_xlfn.XLOOKUP(payments_raw[[#This Row],[subscription_id]], subscriptions[subscription_id], subscriptions[start_date])</f>
        <v>45225</v>
      </c>
      <c r="G6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45417</v>
      </c>
      <c r="H678" s="2">
        <f>IF(payments_raw[[#This Row],[payment_date]] &lt; payments_raw[[#This Row],[sub_start_date]], 1, 0)</f>
        <v>0</v>
      </c>
      <c r="I678" s="2">
        <f>IF(AND(payments_raw[[#This Row],[sub_end_date]]&lt;&gt;"", payments_raw[[#This Row],[payment_date]] &gt; payments_raw[[#This Row],[sub_end_date]]), 1, 0)</f>
        <v>0</v>
      </c>
      <c r="J678" s="2">
        <f>IF(payments_raw[[#This Row],[amount]] &lt;= 0, 1, 0)</f>
        <v>0</v>
      </c>
      <c r="K6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79" spans="1:11" x14ac:dyDescent="0.3">
      <c r="A679">
        <v>11023114</v>
      </c>
      <c r="B679">
        <v>6362719</v>
      </c>
      <c r="C679" s="1">
        <v>45330</v>
      </c>
      <c r="D679">
        <v>1490</v>
      </c>
      <c r="E679">
        <f>IF(
  ISNA(
    _xlfn.XLOOKUP(
      payments_raw[[#This Row],[subscription_id]],
      subscriptions[subscription_id],
      subscriptions[subscription_id]
    )
  ),
  0,
  1
)</f>
        <v>1</v>
      </c>
      <c r="F679" s="1">
        <f>_xlfn.XLOOKUP(payments_raw[[#This Row],[subscription_id]], subscriptions[subscription_id], subscriptions[start_date])</f>
        <v>45309</v>
      </c>
      <c r="G6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679" s="2">
        <f>IF(payments_raw[[#This Row],[payment_date]] &lt; payments_raw[[#This Row],[sub_start_date]], 1, 0)</f>
        <v>0</v>
      </c>
      <c r="I679" s="2">
        <f>IF(AND(payments_raw[[#This Row],[sub_end_date]]&lt;&gt;"", payments_raw[[#This Row],[payment_date]] &gt; payments_raw[[#This Row],[sub_end_date]]), 1, 0)</f>
        <v>0</v>
      </c>
      <c r="J679" s="2">
        <f>IF(payments_raw[[#This Row],[amount]] &lt;= 0, 1, 0)</f>
        <v>0</v>
      </c>
      <c r="K6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0" spans="1:11" x14ac:dyDescent="0.3">
      <c r="A680">
        <v>81542030</v>
      </c>
      <c r="B680">
        <v>5947522</v>
      </c>
      <c r="C680" s="1">
        <v>45315</v>
      </c>
      <c r="D680">
        <v>39</v>
      </c>
      <c r="E680">
        <f>IF(
  ISNA(
    _xlfn.XLOOKUP(
      payments_raw[[#This Row],[subscription_id]],
      subscriptions[subscription_id],
      subscriptions[subscription_id]
    )
  ),
  0,
  1
)</f>
        <v>1</v>
      </c>
      <c r="F680" s="1">
        <f>_xlfn.XLOOKUP(payments_raw[[#This Row],[subscription_id]], subscriptions[subscription_id], subscriptions[start_date])</f>
        <v>45226</v>
      </c>
      <c r="G6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680" s="2">
        <f>IF(payments_raw[[#This Row],[payment_date]] &lt; payments_raw[[#This Row],[sub_start_date]], 1, 0)</f>
        <v>0</v>
      </c>
      <c r="I680" s="2">
        <f>IF(AND(payments_raw[[#This Row],[sub_end_date]]&lt;&gt;"", payments_raw[[#This Row],[payment_date]] &gt; payments_raw[[#This Row],[sub_end_date]]), 1, 0)</f>
        <v>0</v>
      </c>
      <c r="J680" s="2">
        <f>IF(payments_raw[[#This Row],[amount]] &lt;= 0, 1, 0)</f>
        <v>0</v>
      </c>
      <c r="K6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1" spans="1:11" x14ac:dyDescent="0.3">
      <c r="A681">
        <v>66419315</v>
      </c>
      <c r="B681">
        <v>3630678</v>
      </c>
      <c r="C681" s="1">
        <v>45173</v>
      </c>
      <c r="D681">
        <v>745</v>
      </c>
      <c r="E681">
        <f>IF(
  ISNA(
    _xlfn.XLOOKUP(
      payments_raw[[#This Row],[subscription_id]],
      subscriptions[subscription_id],
      subscriptions[subscription_id]
    )
  ),
  0,
  1
)</f>
        <v>1</v>
      </c>
      <c r="F681" s="1">
        <f>_xlfn.XLOOKUP(payments_raw[[#This Row],[subscription_id]], subscriptions[subscription_id], subscriptions[start_date])</f>
        <v>45118</v>
      </c>
      <c r="G6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45415</v>
      </c>
      <c r="H681" s="2">
        <f>IF(payments_raw[[#This Row],[payment_date]] &lt; payments_raw[[#This Row],[sub_start_date]], 1, 0)</f>
        <v>0</v>
      </c>
      <c r="I681" s="2">
        <f>IF(AND(payments_raw[[#This Row],[sub_end_date]]&lt;&gt;"", payments_raw[[#This Row],[payment_date]] &gt; payments_raw[[#This Row],[sub_end_date]]), 1, 0)</f>
        <v>0</v>
      </c>
      <c r="J681" s="2">
        <f>IF(payments_raw[[#This Row],[amount]] &lt;= 0, 1, 0)</f>
        <v>0</v>
      </c>
      <c r="K6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2" spans="1:11" x14ac:dyDescent="0.3">
      <c r="A682">
        <v>38425325</v>
      </c>
      <c r="B682">
        <v>7680763</v>
      </c>
      <c r="C682" s="1">
        <v>45219</v>
      </c>
      <c r="D682">
        <v>190</v>
      </c>
      <c r="E682">
        <f>IF(
  ISNA(
    _xlfn.XLOOKUP(
      payments_raw[[#This Row],[subscription_id]],
      subscriptions[subscription_id],
      subscriptions[subscription_id]
    )
  ),
  0,
  1
)</f>
        <v>1</v>
      </c>
      <c r="F682" s="1">
        <f>_xlfn.XLOOKUP(payments_raw[[#This Row],[subscription_id]], subscriptions[subscription_id], subscriptions[start_date])</f>
        <v>45145</v>
      </c>
      <c r="G6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2" s="2">
        <f>IF(payments_raw[[#This Row],[payment_date]] &lt; payments_raw[[#This Row],[sub_start_date]], 1, 0)</f>
        <v>0</v>
      </c>
      <c r="I682" s="2">
        <f>IF(AND(payments_raw[[#This Row],[sub_end_date]]&lt;&gt;"", payments_raw[[#This Row],[payment_date]] &gt; payments_raw[[#This Row],[sub_end_date]]), 1, 0)</f>
        <v>0</v>
      </c>
      <c r="J682" s="2">
        <f>IF(payments_raw[[#This Row],[amount]] &lt;= 0, 1, 0)</f>
        <v>0</v>
      </c>
      <c r="K6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3" spans="1:11" x14ac:dyDescent="0.3">
      <c r="A683">
        <v>24554533</v>
      </c>
      <c r="B683">
        <v>8494305</v>
      </c>
      <c r="C683" s="1">
        <v>45596</v>
      </c>
      <c r="D683">
        <v>39</v>
      </c>
      <c r="E683">
        <f>IF(
  ISNA(
    _xlfn.XLOOKUP(
      payments_raw[[#This Row],[subscription_id]],
      subscriptions[subscription_id],
      subscriptions[subscription_id]
    )
  ),
  0,
  1
)</f>
        <v>1</v>
      </c>
      <c r="F683" s="1">
        <f>_xlfn.XLOOKUP(payments_raw[[#This Row],[subscription_id]], subscriptions[subscription_id], subscriptions[start_date])</f>
        <v>45541</v>
      </c>
      <c r="G6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683" s="2">
        <f>IF(payments_raw[[#This Row],[payment_date]] &lt; payments_raw[[#This Row],[sub_start_date]], 1, 0)</f>
        <v>0</v>
      </c>
      <c r="I683" s="2">
        <f>IF(AND(payments_raw[[#This Row],[sub_end_date]]&lt;&gt;"", payments_raw[[#This Row],[payment_date]] &gt; payments_raw[[#This Row],[sub_end_date]]), 1, 0)</f>
        <v>0</v>
      </c>
      <c r="J683" s="2">
        <f>IF(payments_raw[[#This Row],[amount]] &lt;= 0, 1, 0)</f>
        <v>0</v>
      </c>
      <c r="K6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4" spans="1:11" x14ac:dyDescent="0.3">
      <c r="A684">
        <v>32305534</v>
      </c>
      <c r="B684">
        <v>3998561</v>
      </c>
      <c r="C684" s="1">
        <v>45298</v>
      </c>
      <c r="D684">
        <v>19</v>
      </c>
      <c r="E684">
        <f>IF(
  ISNA(
    _xlfn.XLOOKUP(
      payments_raw[[#This Row],[subscription_id]],
      subscriptions[subscription_id],
      subscriptions[subscription_id]
    )
  ),
  0,
  1
)</f>
        <v>1</v>
      </c>
      <c r="F684" s="1">
        <f>_xlfn.XLOOKUP(payments_raw[[#This Row],[subscription_id]], subscriptions[subscription_id], subscriptions[start_date])</f>
        <v>45162</v>
      </c>
      <c r="G6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4" s="2">
        <f>IF(payments_raw[[#This Row],[payment_date]] &lt; payments_raw[[#This Row],[sub_start_date]], 1, 0)</f>
        <v>0</v>
      </c>
      <c r="I684" s="2">
        <f>IF(AND(payments_raw[[#This Row],[sub_end_date]]&lt;&gt;"", payments_raw[[#This Row],[payment_date]] &gt; payments_raw[[#This Row],[sub_end_date]]), 1, 0)</f>
        <v>0</v>
      </c>
      <c r="J684" s="2">
        <f>IF(payments_raw[[#This Row],[amount]] &lt;= 0, 1, 0)</f>
        <v>0</v>
      </c>
      <c r="K6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5" spans="1:11" x14ac:dyDescent="0.3">
      <c r="A685">
        <v>84490480</v>
      </c>
      <c r="B685">
        <v>9254549</v>
      </c>
      <c r="C685" s="1">
        <v>45477</v>
      </c>
      <c r="D685">
        <v>19</v>
      </c>
      <c r="E685">
        <f>IF(
  ISNA(
    _xlfn.XLOOKUP(
      payments_raw[[#This Row],[subscription_id]],
      subscriptions[subscription_id],
      subscriptions[subscription_id]
    )
  ),
  0,
  1
)</f>
        <v>1</v>
      </c>
      <c r="F685" s="1">
        <f>_xlfn.XLOOKUP(payments_raw[[#This Row],[subscription_id]], subscriptions[subscription_id], subscriptions[start_date])</f>
        <v>45140</v>
      </c>
      <c r="G6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5" s="2">
        <f>IF(payments_raw[[#This Row],[payment_date]] &lt; payments_raw[[#This Row],[sub_start_date]], 1, 0)</f>
        <v>0</v>
      </c>
      <c r="I685" s="2">
        <f>IF(AND(payments_raw[[#This Row],[sub_end_date]]&lt;&gt;"", payments_raw[[#This Row],[payment_date]] &gt; payments_raw[[#This Row],[sub_end_date]]), 1, 0)</f>
        <v>0</v>
      </c>
      <c r="J685" s="2">
        <f>IF(payments_raw[[#This Row],[amount]] &lt;= 0, 1, 0)</f>
        <v>0</v>
      </c>
      <c r="K6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6" spans="1:11" x14ac:dyDescent="0.3">
      <c r="A686">
        <v>31125488</v>
      </c>
      <c r="B686">
        <v>8113803</v>
      </c>
      <c r="C686" s="1">
        <v>45584</v>
      </c>
      <c r="D686">
        <v>1490</v>
      </c>
      <c r="E686">
        <f>IF(
  ISNA(
    _xlfn.XLOOKUP(
      payments_raw[[#This Row],[subscription_id]],
      subscriptions[subscription_id],
      subscriptions[subscription_id]
    )
  ),
  0,
  1
)</f>
        <v>1</v>
      </c>
      <c r="F686" s="1">
        <f>_xlfn.XLOOKUP(payments_raw[[#This Row],[subscription_id]], subscriptions[subscription_id], subscriptions[start_date])</f>
        <v>44976</v>
      </c>
      <c r="G6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6" s="2">
        <f>IF(payments_raw[[#This Row],[payment_date]] &lt; payments_raw[[#This Row],[sub_start_date]], 1, 0)</f>
        <v>0</v>
      </c>
      <c r="I686" s="2">
        <f>IF(AND(payments_raw[[#This Row],[sub_end_date]]&lt;&gt;"", payments_raw[[#This Row],[payment_date]] &gt; payments_raw[[#This Row],[sub_end_date]]), 1, 0)</f>
        <v>0</v>
      </c>
      <c r="J686" s="2">
        <f>IF(payments_raw[[#This Row],[amount]] &lt;= 0, 1, 0)</f>
        <v>0</v>
      </c>
      <c r="K6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7" spans="1:11" x14ac:dyDescent="0.3">
      <c r="A687">
        <v>86140861</v>
      </c>
      <c r="B687">
        <v>3101870</v>
      </c>
      <c r="C687" s="1">
        <v>45118</v>
      </c>
      <c r="D687">
        <v>190</v>
      </c>
      <c r="E687">
        <f>IF(
  ISNA(
    _xlfn.XLOOKUP(
      payments_raw[[#This Row],[subscription_id]],
      subscriptions[subscription_id],
      subscriptions[subscription_id]
    )
  ),
  0,
  1
)</f>
        <v>1</v>
      </c>
      <c r="F687" s="1">
        <f>_xlfn.XLOOKUP(payments_raw[[#This Row],[subscription_id]], subscriptions[subscription_id], subscriptions[start_date])</f>
        <v>45063</v>
      </c>
      <c r="G6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45301</v>
      </c>
      <c r="H687" s="2">
        <f>IF(payments_raw[[#This Row],[payment_date]] &lt; payments_raw[[#This Row],[sub_start_date]], 1, 0)</f>
        <v>0</v>
      </c>
      <c r="I687" s="2">
        <f>IF(AND(payments_raw[[#This Row],[sub_end_date]]&lt;&gt;"", payments_raw[[#This Row],[payment_date]] &gt; payments_raw[[#This Row],[sub_end_date]]), 1, 0)</f>
        <v>0</v>
      </c>
      <c r="J687" s="2">
        <f>IF(payments_raw[[#This Row],[amount]] &lt;= 0, 1, 0)</f>
        <v>0</v>
      </c>
      <c r="K6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8" spans="1:11" x14ac:dyDescent="0.3">
      <c r="A688">
        <v>67027276</v>
      </c>
      <c r="B688">
        <v>2003047</v>
      </c>
      <c r="C688" s="1">
        <v>45172</v>
      </c>
      <c r="D688">
        <v>390</v>
      </c>
      <c r="E688">
        <f>IF(
  ISNA(
    _xlfn.XLOOKUP(
      payments_raw[[#This Row],[subscription_id]],
      subscriptions[subscription_id],
      subscriptions[subscription_id]
    )
  ),
  0,
  1
)</f>
        <v>1</v>
      </c>
      <c r="F688" s="1">
        <f>_xlfn.XLOOKUP(payments_raw[[#This Row],[subscription_id]], subscriptions[subscription_id], subscriptions[start_date])</f>
        <v>45161</v>
      </c>
      <c r="G6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688" s="2">
        <f>IF(payments_raw[[#This Row],[payment_date]] &lt; payments_raw[[#This Row],[sub_start_date]], 1, 0)</f>
        <v>0</v>
      </c>
      <c r="I688" s="2">
        <f>IF(AND(payments_raw[[#This Row],[sub_end_date]]&lt;&gt;"", payments_raw[[#This Row],[payment_date]] &gt; payments_raw[[#This Row],[sub_end_date]]), 1, 0)</f>
        <v>0</v>
      </c>
      <c r="J688" s="2">
        <f>IF(payments_raw[[#This Row],[amount]] &lt;= 0, 1, 0)</f>
        <v>0</v>
      </c>
      <c r="K6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89" spans="1:11" x14ac:dyDescent="0.3">
      <c r="A689">
        <v>69737061</v>
      </c>
      <c r="B689">
        <v>4606999</v>
      </c>
      <c r="C689" s="1">
        <v>45594</v>
      </c>
      <c r="D689">
        <v>39</v>
      </c>
      <c r="E689">
        <f>IF(
  ISNA(
    _xlfn.XLOOKUP(
      payments_raw[[#This Row],[subscription_id]],
      subscriptions[subscription_id],
      subscriptions[subscription_id]
    )
  ),
  0,
  1
)</f>
        <v>1</v>
      </c>
      <c r="F689" s="1">
        <f>_xlfn.XLOOKUP(payments_raw[[#This Row],[subscription_id]], subscriptions[subscription_id], subscriptions[start_date])</f>
        <v>45559</v>
      </c>
      <c r="G6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89" s="2">
        <f>IF(payments_raw[[#This Row],[payment_date]] &lt; payments_raw[[#This Row],[sub_start_date]], 1, 0)</f>
        <v>0</v>
      </c>
      <c r="I689" s="2">
        <f>IF(AND(payments_raw[[#This Row],[sub_end_date]]&lt;&gt;"", payments_raw[[#This Row],[payment_date]] &gt; payments_raw[[#This Row],[sub_end_date]]), 1, 0)</f>
        <v>0</v>
      </c>
      <c r="J689" s="2">
        <f>IF(payments_raw[[#This Row],[amount]] &lt;= 0, 1, 0)</f>
        <v>0</v>
      </c>
      <c r="K6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0" spans="1:11" x14ac:dyDescent="0.3">
      <c r="A690">
        <v>91373700</v>
      </c>
      <c r="B690">
        <v>6844074</v>
      </c>
      <c r="C690" s="1">
        <v>45492</v>
      </c>
      <c r="D690">
        <v>149</v>
      </c>
      <c r="E690">
        <f>IF(
  ISNA(
    _xlfn.XLOOKUP(
      payments_raw[[#This Row],[subscription_id]],
      subscriptions[subscription_id],
      subscriptions[subscription_id]
    )
  ),
  0,
  1
)</f>
        <v>1</v>
      </c>
      <c r="F690" s="1">
        <f>_xlfn.XLOOKUP(payments_raw[[#This Row],[subscription_id]], subscriptions[subscription_id], subscriptions[start_date])</f>
        <v>45438</v>
      </c>
      <c r="G6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690" s="2">
        <f>IF(payments_raw[[#This Row],[payment_date]] &lt; payments_raw[[#This Row],[sub_start_date]], 1, 0)</f>
        <v>0</v>
      </c>
      <c r="I690" s="2">
        <f>IF(AND(payments_raw[[#This Row],[sub_end_date]]&lt;&gt;"", payments_raw[[#This Row],[payment_date]] &gt; payments_raw[[#This Row],[sub_end_date]]), 1, 0)</f>
        <v>0</v>
      </c>
      <c r="J690" s="2">
        <f>IF(payments_raw[[#This Row],[amount]] &lt;= 0, 1, 0)</f>
        <v>0</v>
      </c>
      <c r="K6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1" spans="1:11" x14ac:dyDescent="0.3">
      <c r="A691">
        <v>12688078</v>
      </c>
      <c r="B691">
        <v>8831655</v>
      </c>
      <c r="C691" s="1">
        <v>44931</v>
      </c>
      <c r="D691">
        <v>790</v>
      </c>
      <c r="E691">
        <f>IF(
  ISNA(
    _xlfn.XLOOKUP(
      payments_raw[[#This Row],[subscription_id]],
      subscriptions[subscription_id],
      subscriptions[subscription_id]
    )
  ),
  0,
  1
)</f>
        <v>1</v>
      </c>
      <c r="F691" s="1">
        <f>_xlfn.XLOOKUP(payments_raw[[#This Row],[subscription_id]], subscriptions[subscription_id], subscriptions[start_date])</f>
        <v>44906</v>
      </c>
      <c r="G69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44995</v>
      </c>
      <c r="H691" s="2">
        <f>IF(payments_raw[[#This Row],[payment_date]] &lt; payments_raw[[#This Row],[sub_start_date]], 1, 0)</f>
        <v>0</v>
      </c>
      <c r="I691" s="2">
        <f>IF(AND(payments_raw[[#This Row],[sub_end_date]]&lt;&gt;"", payments_raw[[#This Row],[payment_date]] &gt; payments_raw[[#This Row],[sub_end_date]]), 1, 0)</f>
        <v>0</v>
      </c>
      <c r="J691" s="2">
        <f>IF(payments_raw[[#This Row],[amount]] &lt;= 0, 1, 0)</f>
        <v>0</v>
      </c>
      <c r="K6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2" spans="1:11" x14ac:dyDescent="0.3">
      <c r="A692">
        <v>60402263</v>
      </c>
      <c r="B692">
        <v>5782125</v>
      </c>
      <c r="C692" s="1">
        <v>44872</v>
      </c>
      <c r="D692">
        <v>390</v>
      </c>
      <c r="E692">
        <f>IF(
  ISNA(
    _xlfn.XLOOKUP(
      payments_raw[[#This Row],[subscription_id]],
      subscriptions[subscription_id],
      subscriptions[subscription_id]
    )
  ),
  0,
  1
)</f>
        <v>1</v>
      </c>
      <c r="F692" s="1">
        <f>_xlfn.XLOOKUP(payments_raw[[#This Row],[subscription_id]], subscriptions[subscription_id], subscriptions[start_date])</f>
        <v>44598</v>
      </c>
      <c r="G69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44922</v>
      </c>
      <c r="H692" s="2">
        <f>IF(payments_raw[[#This Row],[payment_date]] &lt; payments_raw[[#This Row],[sub_start_date]], 1, 0)</f>
        <v>0</v>
      </c>
      <c r="I692" s="2">
        <f>IF(AND(payments_raw[[#This Row],[sub_end_date]]&lt;&gt;"", payments_raw[[#This Row],[payment_date]] &gt; payments_raw[[#This Row],[sub_end_date]]), 1, 0)</f>
        <v>0</v>
      </c>
      <c r="J692" s="2">
        <f>IF(payments_raw[[#This Row],[amount]] &lt;= 0, 1, 0)</f>
        <v>0</v>
      </c>
      <c r="K6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3" spans="1:11" x14ac:dyDescent="0.3">
      <c r="A693">
        <v>22217134</v>
      </c>
      <c r="B693">
        <v>8883139</v>
      </c>
      <c r="C693" s="1">
        <v>44879</v>
      </c>
      <c r="D693">
        <v>39</v>
      </c>
      <c r="E693">
        <f>IF(
  ISNA(
    _xlfn.XLOOKUP(
      payments_raw[[#This Row],[subscription_id]],
      subscriptions[subscription_id],
      subscriptions[subscription_id]
    )
  ),
  0,
  1
)</f>
        <v>1</v>
      </c>
      <c r="F693" s="1">
        <f>_xlfn.XLOOKUP(payments_raw[[#This Row],[subscription_id]], subscriptions[subscription_id], subscriptions[start_date])</f>
        <v>44656</v>
      </c>
      <c r="G69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693" s="2">
        <f>IF(payments_raw[[#This Row],[payment_date]] &lt; payments_raw[[#This Row],[sub_start_date]], 1, 0)</f>
        <v>0</v>
      </c>
      <c r="I693" s="2">
        <f>IF(AND(payments_raw[[#This Row],[sub_end_date]]&lt;&gt;"", payments_raw[[#This Row],[payment_date]] &gt; payments_raw[[#This Row],[sub_end_date]]), 1, 0)</f>
        <v>0</v>
      </c>
      <c r="J693" s="2">
        <f>IF(payments_raw[[#This Row],[amount]] &lt;= 0, 1, 0)</f>
        <v>0</v>
      </c>
      <c r="K6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4" spans="1:11" x14ac:dyDescent="0.3">
      <c r="A694">
        <v>27015981</v>
      </c>
      <c r="B694">
        <v>8172456</v>
      </c>
      <c r="C694" s="1">
        <v>45359</v>
      </c>
      <c r="D694">
        <v>790</v>
      </c>
      <c r="E694">
        <f>IF(
  ISNA(
    _xlfn.XLOOKUP(
      payments_raw[[#This Row],[subscription_id]],
      subscriptions[subscription_id],
      subscriptions[subscription_id]
    )
  ),
  0,
  1
)</f>
        <v>1</v>
      </c>
      <c r="F694" s="1">
        <f>_xlfn.XLOOKUP(payments_raw[[#This Row],[subscription_id]], subscriptions[subscription_id], subscriptions[start_date])</f>
        <v>45332</v>
      </c>
      <c r="G6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694" s="2">
        <f>IF(payments_raw[[#This Row],[payment_date]] &lt; payments_raw[[#This Row],[sub_start_date]], 1, 0)</f>
        <v>0</v>
      </c>
      <c r="I694" s="2">
        <f>IF(AND(payments_raw[[#This Row],[sub_end_date]]&lt;&gt;"", payments_raw[[#This Row],[payment_date]] &gt; payments_raw[[#This Row],[sub_end_date]]), 1, 0)</f>
        <v>0</v>
      </c>
      <c r="J694" s="2">
        <f>IF(payments_raw[[#This Row],[amount]] &lt;= 0, 1, 0)</f>
        <v>0</v>
      </c>
      <c r="K6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5" spans="1:11" x14ac:dyDescent="0.3">
      <c r="A695">
        <v>81610914</v>
      </c>
      <c r="B695">
        <v>1874606</v>
      </c>
      <c r="C695" s="1">
        <v>45658</v>
      </c>
      <c r="D695">
        <v>79</v>
      </c>
      <c r="E695">
        <f>IF(
  ISNA(
    _xlfn.XLOOKUP(
      payments_raw[[#This Row],[subscription_id]],
      subscriptions[subscription_id],
      subscriptions[subscription_id]
    )
  ),
  0,
  1
)</f>
        <v>1</v>
      </c>
      <c r="F695" s="1">
        <f>_xlfn.XLOOKUP(payments_raw[[#This Row],[subscription_id]], subscriptions[subscription_id], subscriptions[start_date])</f>
        <v>45220</v>
      </c>
      <c r="G6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95" s="2">
        <f>IF(payments_raw[[#This Row],[payment_date]] &lt; payments_raw[[#This Row],[sub_start_date]], 1, 0)</f>
        <v>0</v>
      </c>
      <c r="I695" s="2">
        <f>IF(AND(payments_raw[[#This Row],[sub_end_date]]&lt;&gt;"", payments_raw[[#This Row],[payment_date]] &gt; payments_raw[[#This Row],[sub_end_date]]), 1, 0)</f>
        <v>0</v>
      </c>
      <c r="J695" s="2">
        <f>IF(payments_raw[[#This Row],[amount]] &lt;= 0, 1, 0)</f>
        <v>0</v>
      </c>
      <c r="K6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6" spans="1:11" x14ac:dyDescent="0.3">
      <c r="A696">
        <v>74333466</v>
      </c>
      <c r="B696">
        <v>1364903</v>
      </c>
      <c r="C696" s="1">
        <v>45562</v>
      </c>
      <c r="D696">
        <v>390</v>
      </c>
      <c r="E696">
        <f>IF(
  ISNA(
    _xlfn.XLOOKUP(
      payments_raw[[#This Row],[subscription_id]],
      subscriptions[subscription_id],
      subscriptions[subscription_id]
    )
  ),
  0,
  1
)</f>
        <v>1</v>
      </c>
      <c r="F696" s="1">
        <f>_xlfn.XLOOKUP(payments_raw[[#This Row],[subscription_id]], subscriptions[subscription_id], subscriptions[start_date])</f>
        <v>45461</v>
      </c>
      <c r="G6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696" s="2">
        <f>IF(payments_raw[[#This Row],[payment_date]] &lt; payments_raw[[#This Row],[sub_start_date]], 1, 0)</f>
        <v>0</v>
      </c>
      <c r="I696" s="2">
        <f>IF(AND(payments_raw[[#This Row],[sub_end_date]]&lt;&gt;"", payments_raw[[#This Row],[payment_date]] &gt; payments_raw[[#This Row],[sub_end_date]]), 1, 0)</f>
        <v>0</v>
      </c>
      <c r="J696" s="2">
        <f>IF(payments_raw[[#This Row],[amount]] &lt;= 0, 1, 0)</f>
        <v>0</v>
      </c>
      <c r="K6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7" spans="1:11" x14ac:dyDescent="0.3">
      <c r="A697">
        <v>87935179</v>
      </c>
      <c r="B697">
        <v>1571694</v>
      </c>
      <c r="C697" s="1">
        <v>45627</v>
      </c>
      <c r="D697">
        <v>19</v>
      </c>
      <c r="E697">
        <f>IF(
  ISNA(
    _xlfn.XLOOKUP(
      payments_raw[[#This Row],[subscription_id]],
      subscriptions[subscription_id],
      subscriptions[subscription_id]
    )
  ),
  0,
  1
)</f>
        <v>1</v>
      </c>
      <c r="F697" s="1">
        <f>_xlfn.XLOOKUP(payments_raw[[#This Row],[subscription_id]], subscriptions[subscription_id], subscriptions[start_date])</f>
        <v>45445</v>
      </c>
      <c r="G6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697" s="2">
        <f>IF(payments_raw[[#This Row],[payment_date]] &lt; payments_raw[[#This Row],[sub_start_date]], 1, 0)</f>
        <v>0</v>
      </c>
      <c r="I697" s="2">
        <f>IF(AND(payments_raw[[#This Row],[sub_end_date]]&lt;&gt;"", payments_raw[[#This Row],[payment_date]] &gt; payments_raw[[#This Row],[sub_end_date]]), 1, 0)</f>
        <v>0</v>
      </c>
      <c r="J697" s="2">
        <f>IF(payments_raw[[#This Row],[amount]] &lt;= 0, 1, 0)</f>
        <v>0</v>
      </c>
      <c r="K6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8" spans="1:11" x14ac:dyDescent="0.3">
      <c r="A698">
        <v>28148672</v>
      </c>
      <c r="B698">
        <v>8944805</v>
      </c>
      <c r="C698" s="1">
        <v>45261</v>
      </c>
      <c r="D698">
        <v>2990</v>
      </c>
      <c r="E698">
        <f>IF(
  ISNA(
    _xlfn.XLOOKUP(
      payments_raw[[#This Row],[subscription_id]],
      subscriptions[subscription_id],
      subscriptions[subscription_id]
    )
  ),
  0,
  1
)</f>
        <v>1</v>
      </c>
      <c r="F698" s="1">
        <f>_xlfn.XLOOKUP(payments_raw[[#This Row],[subscription_id]], subscriptions[subscription_id], subscriptions[start_date])</f>
        <v>45248</v>
      </c>
      <c r="G6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45464</v>
      </c>
      <c r="H698" s="2">
        <f>IF(payments_raw[[#This Row],[payment_date]] &lt; payments_raw[[#This Row],[sub_start_date]], 1, 0)</f>
        <v>0</v>
      </c>
      <c r="I698" s="2">
        <f>IF(AND(payments_raw[[#This Row],[sub_end_date]]&lt;&gt;"", payments_raw[[#This Row],[payment_date]] &gt; payments_raw[[#This Row],[sub_end_date]]), 1, 0)</f>
        <v>0</v>
      </c>
      <c r="J698" s="2">
        <f>IF(payments_raw[[#This Row],[amount]] &lt;= 0, 1, 0)</f>
        <v>0</v>
      </c>
      <c r="K6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699" spans="1:11" x14ac:dyDescent="0.3">
      <c r="A699">
        <v>82346760</v>
      </c>
      <c r="B699">
        <v>1351266</v>
      </c>
      <c r="C699" s="1">
        <v>45475</v>
      </c>
      <c r="D699">
        <v>2990</v>
      </c>
      <c r="E699">
        <f>IF(
  ISNA(
    _xlfn.XLOOKUP(
      payments_raw[[#This Row],[subscription_id]],
      subscriptions[subscription_id],
      subscriptions[subscription_id]
    )
  ),
  0,
  1
)</f>
        <v>1</v>
      </c>
      <c r="F699" s="1">
        <f>_xlfn.XLOOKUP(payments_raw[[#This Row],[subscription_id]], subscriptions[subscription_id], subscriptions[start_date])</f>
        <v>45446</v>
      </c>
      <c r="G6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45549</v>
      </c>
      <c r="H699" s="2">
        <f>IF(payments_raw[[#This Row],[payment_date]] &lt; payments_raw[[#This Row],[sub_start_date]], 1, 0)</f>
        <v>0</v>
      </c>
      <c r="I699" s="2">
        <f>IF(AND(payments_raw[[#This Row],[sub_end_date]]&lt;&gt;"", payments_raw[[#This Row],[payment_date]] &gt; payments_raw[[#This Row],[sub_end_date]]), 1, 0)</f>
        <v>0</v>
      </c>
      <c r="J699" s="2">
        <f>IF(payments_raw[[#This Row],[amount]] &lt;= 0, 1, 0)</f>
        <v>0</v>
      </c>
      <c r="K6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0" spans="1:11" x14ac:dyDescent="0.3">
      <c r="A700">
        <v>42277069</v>
      </c>
      <c r="B700">
        <v>6772196</v>
      </c>
      <c r="C700" s="1">
        <v>45295</v>
      </c>
      <c r="D700">
        <v>390</v>
      </c>
      <c r="E700">
        <f>IF(
  ISNA(
    _xlfn.XLOOKUP(
      payments_raw[[#This Row],[subscription_id]],
      subscriptions[subscription_id],
      subscriptions[subscription_id]
    )
  ),
  0,
  1
)</f>
        <v>1</v>
      </c>
      <c r="F700" s="1">
        <f>_xlfn.XLOOKUP(payments_raw[[#This Row],[subscription_id]], subscriptions[subscription_id], subscriptions[start_date])</f>
        <v>45283</v>
      </c>
      <c r="G7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700" s="2">
        <f>IF(payments_raw[[#This Row],[payment_date]] &lt; payments_raw[[#This Row],[sub_start_date]], 1, 0)</f>
        <v>0</v>
      </c>
      <c r="I700" s="2">
        <f>IF(AND(payments_raw[[#This Row],[sub_end_date]]&lt;&gt;"", payments_raw[[#This Row],[payment_date]] &gt; payments_raw[[#This Row],[sub_end_date]]), 1, 0)</f>
        <v>0</v>
      </c>
      <c r="J700" s="2">
        <f>IF(payments_raw[[#This Row],[amount]] &lt;= 0, 1, 0)</f>
        <v>0</v>
      </c>
      <c r="K7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1" spans="1:11" x14ac:dyDescent="0.3">
      <c r="A701">
        <v>91456926</v>
      </c>
      <c r="B701">
        <v>5880999</v>
      </c>
      <c r="C701" s="1">
        <v>45185</v>
      </c>
      <c r="D701">
        <v>299</v>
      </c>
      <c r="E701">
        <f>IF(
  ISNA(
    _xlfn.XLOOKUP(
      payments_raw[[#This Row],[subscription_id]],
      subscriptions[subscription_id],
      subscriptions[subscription_id]
    )
  ),
  0,
  1
)</f>
        <v>1</v>
      </c>
      <c r="F701" s="1">
        <f>_xlfn.XLOOKUP(payments_raw[[#This Row],[subscription_id]], subscriptions[subscription_id], subscriptions[start_date])</f>
        <v>45110</v>
      </c>
      <c r="G7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1" s="2">
        <f>IF(payments_raw[[#This Row],[payment_date]] &lt; payments_raw[[#This Row],[sub_start_date]], 1, 0)</f>
        <v>0</v>
      </c>
      <c r="I701" s="2">
        <f>IF(AND(payments_raw[[#This Row],[sub_end_date]]&lt;&gt;"", payments_raw[[#This Row],[payment_date]] &gt; payments_raw[[#This Row],[sub_end_date]]), 1, 0)</f>
        <v>0</v>
      </c>
      <c r="J701" s="2">
        <f>IF(payments_raw[[#This Row],[amount]] &lt;= 0, 1, 0)</f>
        <v>0</v>
      </c>
      <c r="K7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2" spans="1:11" x14ac:dyDescent="0.3">
      <c r="A702">
        <v>84125405</v>
      </c>
      <c r="B702">
        <v>3316596</v>
      </c>
      <c r="C702" s="1">
        <v>45595</v>
      </c>
      <c r="D702">
        <v>19</v>
      </c>
      <c r="E702">
        <f>IF(
  ISNA(
    _xlfn.XLOOKUP(
      payments_raw[[#This Row],[subscription_id]],
      subscriptions[subscription_id],
      subscriptions[subscription_id]
    )
  ),
  0,
  1
)</f>
        <v>1</v>
      </c>
      <c r="F702" s="1">
        <f>_xlfn.XLOOKUP(payments_raw[[#This Row],[subscription_id]], subscriptions[subscription_id], subscriptions[start_date])</f>
        <v>45585</v>
      </c>
      <c r="G7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2" s="2">
        <f>IF(payments_raw[[#This Row],[payment_date]] &lt; payments_raw[[#This Row],[sub_start_date]], 1, 0)</f>
        <v>0</v>
      </c>
      <c r="I702" s="2">
        <f>IF(AND(payments_raw[[#This Row],[sub_end_date]]&lt;&gt;"", payments_raw[[#This Row],[payment_date]] &gt; payments_raw[[#This Row],[sub_end_date]]), 1, 0)</f>
        <v>0</v>
      </c>
      <c r="J702" s="2">
        <f>IF(payments_raw[[#This Row],[amount]] &lt;= 0, 1, 0)</f>
        <v>0</v>
      </c>
      <c r="K7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3" spans="1:11" x14ac:dyDescent="0.3">
      <c r="A703">
        <v>82150950</v>
      </c>
      <c r="B703">
        <v>9945633</v>
      </c>
      <c r="C703" s="1">
        <v>45392</v>
      </c>
      <c r="D703">
        <v>19</v>
      </c>
      <c r="E703">
        <f>IF(
  ISNA(
    _xlfn.XLOOKUP(
      payments_raw[[#This Row],[subscription_id]],
      subscriptions[subscription_id],
      subscriptions[subscription_id]
    )
  ),
  0,
  1
)</f>
        <v>1</v>
      </c>
      <c r="F703" s="1">
        <f>_xlfn.XLOOKUP(payments_raw[[#This Row],[subscription_id]], subscriptions[subscription_id], subscriptions[start_date])</f>
        <v>45345</v>
      </c>
      <c r="G7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3" s="2">
        <f>IF(payments_raw[[#This Row],[payment_date]] &lt; payments_raw[[#This Row],[sub_start_date]], 1, 0)</f>
        <v>0</v>
      </c>
      <c r="I703" s="2">
        <f>IF(AND(payments_raw[[#This Row],[sub_end_date]]&lt;&gt;"", payments_raw[[#This Row],[payment_date]] &gt; payments_raw[[#This Row],[sub_end_date]]), 1, 0)</f>
        <v>0</v>
      </c>
      <c r="J703" s="2">
        <f>IF(payments_raw[[#This Row],[amount]] &lt;= 0, 1, 0)</f>
        <v>0</v>
      </c>
      <c r="K7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4" spans="1:11" x14ac:dyDescent="0.3">
      <c r="A704">
        <v>54570467</v>
      </c>
      <c r="B704">
        <v>3053134</v>
      </c>
      <c r="C704" s="1">
        <v>45281</v>
      </c>
      <c r="D704">
        <v>390</v>
      </c>
      <c r="E704">
        <f>IF(
  ISNA(
    _xlfn.XLOOKUP(
      payments_raw[[#This Row],[subscription_id]],
      subscriptions[subscription_id],
      subscriptions[subscription_id]
    )
  ),
  0,
  1
)</f>
        <v>1</v>
      </c>
      <c r="F704" s="1">
        <f>_xlfn.XLOOKUP(payments_raw[[#This Row],[subscription_id]], subscriptions[subscription_id], subscriptions[start_date])</f>
        <v>44719</v>
      </c>
      <c r="G7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4" s="2">
        <f>IF(payments_raw[[#This Row],[payment_date]] &lt; payments_raw[[#This Row],[sub_start_date]], 1, 0)</f>
        <v>0</v>
      </c>
      <c r="I704" s="2">
        <f>IF(AND(payments_raw[[#This Row],[sub_end_date]]&lt;&gt;"", payments_raw[[#This Row],[payment_date]] &gt; payments_raw[[#This Row],[sub_end_date]]), 1, 0)</f>
        <v>0</v>
      </c>
      <c r="J704" s="2">
        <f>IF(payments_raw[[#This Row],[amount]] &lt;= 0, 1, 0)</f>
        <v>0</v>
      </c>
      <c r="K7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5" spans="1:11" x14ac:dyDescent="0.3">
      <c r="A705">
        <v>33932371</v>
      </c>
      <c r="B705">
        <v>1184878</v>
      </c>
      <c r="C705" s="1">
        <v>45204</v>
      </c>
      <c r="D705">
        <v>2990</v>
      </c>
      <c r="E705">
        <f>IF(
  ISNA(
    _xlfn.XLOOKUP(
      payments_raw[[#This Row],[subscription_id]],
      subscriptions[subscription_id],
      subscriptions[subscription_id]
    )
  ),
  0,
  1
)</f>
        <v>1</v>
      </c>
      <c r="F705" s="1">
        <f>_xlfn.XLOOKUP(payments_raw[[#This Row],[subscription_id]], subscriptions[subscription_id], subscriptions[start_date])</f>
        <v>45182</v>
      </c>
      <c r="G7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5" s="2">
        <f>IF(payments_raw[[#This Row],[payment_date]] &lt; payments_raw[[#This Row],[sub_start_date]], 1, 0)</f>
        <v>0</v>
      </c>
      <c r="I705" s="2">
        <f>IF(AND(payments_raw[[#This Row],[sub_end_date]]&lt;&gt;"", payments_raw[[#This Row],[payment_date]] &gt; payments_raw[[#This Row],[sub_end_date]]), 1, 0)</f>
        <v>0</v>
      </c>
      <c r="J705" s="2">
        <f>IF(payments_raw[[#This Row],[amount]] &lt;= 0, 1, 0)</f>
        <v>0</v>
      </c>
      <c r="K7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6" spans="1:11" x14ac:dyDescent="0.3">
      <c r="A706">
        <v>37554949</v>
      </c>
      <c r="B706">
        <v>9485991</v>
      </c>
      <c r="C706" s="1">
        <v>45505</v>
      </c>
      <c r="D706">
        <v>79</v>
      </c>
      <c r="E706">
        <f>IF(
  ISNA(
    _xlfn.XLOOKUP(
      payments_raw[[#This Row],[subscription_id]],
      subscriptions[subscription_id],
      subscriptions[subscription_id]
    )
  ),
  0,
  1
)</f>
        <v>1</v>
      </c>
      <c r="F706" s="1">
        <f>_xlfn.XLOOKUP(payments_raw[[#This Row],[subscription_id]], subscriptions[subscription_id], subscriptions[start_date])</f>
        <v>45470</v>
      </c>
      <c r="G7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6" s="2">
        <f>IF(payments_raw[[#This Row],[payment_date]] &lt; payments_raw[[#This Row],[sub_start_date]], 1, 0)</f>
        <v>0</v>
      </c>
      <c r="I706" s="2">
        <f>IF(AND(payments_raw[[#This Row],[sub_end_date]]&lt;&gt;"", payments_raw[[#This Row],[payment_date]] &gt; payments_raw[[#This Row],[sub_end_date]]), 1, 0)</f>
        <v>0</v>
      </c>
      <c r="J706" s="2">
        <f>IF(payments_raw[[#This Row],[amount]] &lt;= 0, 1, 0)</f>
        <v>0</v>
      </c>
      <c r="K7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7" spans="1:11" x14ac:dyDescent="0.3">
      <c r="A707">
        <v>39596058</v>
      </c>
      <c r="B707">
        <v>6059400</v>
      </c>
      <c r="C707" s="1">
        <v>45506</v>
      </c>
      <c r="D707">
        <v>19</v>
      </c>
      <c r="E707">
        <f>IF(
  ISNA(
    _xlfn.XLOOKUP(
      payments_raw[[#This Row],[subscription_id]],
      subscriptions[subscription_id],
      subscriptions[subscription_id]
    )
  ),
  0,
  1
)</f>
        <v>1</v>
      </c>
      <c r="F707" s="1">
        <f>_xlfn.XLOOKUP(payments_raw[[#This Row],[subscription_id]], subscriptions[subscription_id], subscriptions[start_date])</f>
        <v>45149</v>
      </c>
      <c r="G7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7" s="2">
        <f>IF(payments_raw[[#This Row],[payment_date]] &lt; payments_raw[[#This Row],[sub_start_date]], 1, 0)</f>
        <v>0</v>
      </c>
      <c r="I707" s="2">
        <f>IF(AND(payments_raw[[#This Row],[sub_end_date]]&lt;&gt;"", payments_raw[[#This Row],[payment_date]] &gt; payments_raw[[#This Row],[sub_end_date]]), 1, 0)</f>
        <v>0</v>
      </c>
      <c r="J707" s="2">
        <f>IF(payments_raw[[#This Row],[amount]] &lt;= 0, 1, 0)</f>
        <v>0</v>
      </c>
      <c r="K7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8" spans="1:11" x14ac:dyDescent="0.3">
      <c r="A708">
        <v>79518752</v>
      </c>
      <c r="B708">
        <v>7278644</v>
      </c>
      <c r="C708" s="1">
        <v>45567</v>
      </c>
      <c r="D708">
        <v>19</v>
      </c>
      <c r="E708">
        <f>IF(
  ISNA(
    _xlfn.XLOOKUP(
      payments_raw[[#This Row],[subscription_id]],
      subscriptions[subscription_id],
      subscriptions[subscription_id]
    )
  ),
  0,
  1
)</f>
        <v>1</v>
      </c>
      <c r="F708" s="1">
        <f>_xlfn.XLOOKUP(payments_raw[[#This Row],[subscription_id]], subscriptions[subscription_id], subscriptions[start_date])</f>
        <v>45530</v>
      </c>
      <c r="G7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8" s="2">
        <f>IF(payments_raw[[#This Row],[payment_date]] &lt; payments_raw[[#This Row],[sub_start_date]], 1, 0)</f>
        <v>0</v>
      </c>
      <c r="I708" s="2">
        <f>IF(AND(payments_raw[[#This Row],[sub_end_date]]&lt;&gt;"", payments_raw[[#This Row],[payment_date]] &gt; payments_raw[[#This Row],[sub_end_date]]), 1, 0)</f>
        <v>0</v>
      </c>
      <c r="J708" s="2">
        <f>IF(payments_raw[[#This Row],[amount]] &lt;= 0, 1, 0)</f>
        <v>0</v>
      </c>
      <c r="K7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09" spans="1:11" x14ac:dyDescent="0.3">
      <c r="A709">
        <v>19587874</v>
      </c>
      <c r="B709">
        <v>3655874</v>
      </c>
      <c r="C709" s="1">
        <v>45402</v>
      </c>
      <c r="D709">
        <v>2990</v>
      </c>
      <c r="E709">
        <f>IF(
  ISNA(
    _xlfn.XLOOKUP(
      payments_raw[[#This Row],[subscription_id]],
      subscriptions[subscription_id],
      subscriptions[subscription_id]
    )
  ),
  0,
  1
)</f>
        <v>1</v>
      </c>
      <c r="F709" s="1">
        <f>_xlfn.XLOOKUP(payments_raw[[#This Row],[subscription_id]], subscriptions[subscription_id], subscriptions[start_date])</f>
        <v>45186</v>
      </c>
      <c r="G7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09" s="2">
        <f>IF(payments_raw[[#This Row],[payment_date]] &lt; payments_raw[[#This Row],[sub_start_date]], 1, 0)</f>
        <v>0</v>
      </c>
      <c r="I709" s="2">
        <f>IF(AND(payments_raw[[#This Row],[sub_end_date]]&lt;&gt;"", payments_raw[[#This Row],[payment_date]] &gt; payments_raw[[#This Row],[sub_end_date]]), 1, 0)</f>
        <v>0</v>
      </c>
      <c r="J709" s="2">
        <f>IF(payments_raw[[#This Row],[amount]] &lt;= 0, 1, 0)</f>
        <v>0</v>
      </c>
      <c r="K7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0" spans="1:11" x14ac:dyDescent="0.3">
      <c r="A710">
        <v>83380359</v>
      </c>
      <c r="B710">
        <v>8196619</v>
      </c>
      <c r="C710" s="1">
        <v>45110</v>
      </c>
      <c r="D710">
        <v>190</v>
      </c>
      <c r="E710">
        <f>IF(
  ISNA(
    _xlfn.XLOOKUP(
      payments_raw[[#This Row],[subscription_id]],
      subscriptions[subscription_id],
      subscriptions[subscription_id]
    )
  ),
  0,
  1
)</f>
        <v>1</v>
      </c>
      <c r="F710" s="1">
        <f>_xlfn.XLOOKUP(payments_raw[[#This Row],[subscription_id]], subscriptions[subscription_id], subscriptions[start_date])</f>
        <v>45069</v>
      </c>
      <c r="G7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710" s="2">
        <f>IF(payments_raw[[#This Row],[payment_date]] &lt; payments_raw[[#This Row],[sub_start_date]], 1, 0)</f>
        <v>0</v>
      </c>
      <c r="I710" s="2">
        <f>IF(AND(payments_raw[[#This Row],[sub_end_date]]&lt;&gt;"", payments_raw[[#This Row],[payment_date]] &gt; payments_raw[[#This Row],[sub_end_date]]), 1, 0)</f>
        <v>0</v>
      </c>
      <c r="J710" s="2">
        <f>IF(payments_raw[[#This Row],[amount]] &lt;= 0, 1, 0)</f>
        <v>0</v>
      </c>
      <c r="K7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1" spans="1:11" x14ac:dyDescent="0.3">
      <c r="A711">
        <v>53196957</v>
      </c>
      <c r="B711">
        <v>7380120</v>
      </c>
      <c r="C711" s="1">
        <v>44806</v>
      </c>
      <c r="D711">
        <v>1490</v>
      </c>
      <c r="E711">
        <f>IF(
  ISNA(
    _xlfn.XLOOKUP(
      payments_raw[[#This Row],[subscription_id]],
      subscriptions[subscription_id],
      subscriptions[subscription_id]
    )
  ),
  0,
  1
)</f>
        <v>1</v>
      </c>
      <c r="F711" s="1">
        <f>_xlfn.XLOOKUP(payments_raw[[#This Row],[subscription_id]], subscriptions[subscription_id], subscriptions[start_date])</f>
        <v>44689</v>
      </c>
      <c r="G71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44904</v>
      </c>
      <c r="H711" s="2">
        <f>IF(payments_raw[[#This Row],[payment_date]] &lt; payments_raw[[#This Row],[sub_start_date]], 1, 0)</f>
        <v>0</v>
      </c>
      <c r="I711" s="2">
        <f>IF(AND(payments_raw[[#This Row],[sub_end_date]]&lt;&gt;"", payments_raw[[#This Row],[payment_date]] &gt; payments_raw[[#This Row],[sub_end_date]]), 1, 0)</f>
        <v>0</v>
      </c>
      <c r="J711" s="2">
        <f>IF(payments_raw[[#This Row],[amount]] &lt;= 0, 1, 0)</f>
        <v>0</v>
      </c>
      <c r="K7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2" spans="1:11" x14ac:dyDescent="0.3">
      <c r="A712">
        <v>47085870</v>
      </c>
      <c r="B712">
        <v>2237362</v>
      </c>
      <c r="C712" s="1">
        <v>45504</v>
      </c>
      <c r="D712">
        <v>2990</v>
      </c>
      <c r="E712">
        <f>IF(
  ISNA(
    _xlfn.XLOOKUP(
      payments_raw[[#This Row],[subscription_id]],
      subscriptions[subscription_id],
      subscriptions[subscription_id]
    )
  ),
  0,
  1
)</f>
        <v>1</v>
      </c>
      <c r="F712" s="1">
        <f>_xlfn.XLOOKUP(payments_raw[[#This Row],[subscription_id]], subscriptions[subscription_id], subscriptions[start_date])</f>
        <v>45288</v>
      </c>
      <c r="G7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712" s="2">
        <f>IF(payments_raw[[#This Row],[payment_date]] &lt; payments_raw[[#This Row],[sub_start_date]], 1, 0)</f>
        <v>0</v>
      </c>
      <c r="I712" s="2">
        <f>IF(AND(payments_raw[[#This Row],[sub_end_date]]&lt;&gt;"", payments_raw[[#This Row],[payment_date]] &gt; payments_raw[[#This Row],[sub_end_date]]), 1, 0)</f>
        <v>0</v>
      </c>
      <c r="J712" s="2">
        <f>IF(payments_raw[[#This Row],[amount]] &lt;= 0, 1, 0)</f>
        <v>0</v>
      </c>
      <c r="K7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3" spans="1:11" x14ac:dyDescent="0.3">
      <c r="A713">
        <v>14443428</v>
      </c>
      <c r="B713">
        <v>2299884</v>
      </c>
      <c r="C713" s="1">
        <v>45472</v>
      </c>
      <c r="D713">
        <v>79</v>
      </c>
      <c r="E713">
        <f>IF(
  ISNA(
    _xlfn.XLOOKUP(
      payments_raw[[#This Row],[subscription_id]],
      subscriptions[subscription_id],
      subscriptions[subscription_id]
    )
  ),
  0,
  1
)</f>
        <v>1</v>
      </c>
      <c r="F713" s="1">
        <f>_xlfn.XLOOKUP(payments_raw[[#This Row],[subscription_id]], subscriptions[subscription_id], subscriptions[start_date])</f>
        <v>45470</v>
      </c>
      <c r="G7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13" s="2">
        <f>IF(payments_raw[[#This Row],[payment_date]] &lt; payments_raw[[#This Row],[sub_start_date]], 1, 0)</f>
        <v>0</v>
      </c>
      <c r="I713" s="2">
        <f>IF(AND(payments_raw[[#This Row],[sub_end_date]]&lt;&gt;"", payments_raw[[#This Row],[payment_date]] &gt; payments_raw[[#This Row],[sub_end_date]]), 1, 0)</f>
        <v>0</v>
      </c>
      <c r="J713" s="2">
        <f>IF(payments_raw[[#This Row],[amount]] &lt;= 0, 1, 0)</f>
        <v>0</v>
      </c>
      <c r="K7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4" spans="1:11" x14ac:dyDescent="0.3">
      <c r="A714">
        <v>99238969</v>
      </c>
      <c r="B714">
        <v>7532030</v>
      </c>
      <c r="C714" s="1">
        <v>45045</v>
      </c>
      <c r="D714">
        <v>351</v>
      </c>
      <c r="E714">
        <f>IF(
  ISNA(
    _xlfn.XLOOKUP(
      payments_raw[[#This Row],[subscription_id]],
      subscriptions[subscription_id],
      subscriptions[subscription_id]
    )
  ),
  0,
  1
)</f>
        <v>1</v>
      </c>
      <c r="F714" s="1">
        <f>_xlfn.XLOOKUP(payments_raw[[#This Row],[subscription_id]], subscriptions[subscription_id], subscriptions[start_date])</f>
        <v>44957</v>
      </c>
      <c r="G7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714" s="2">
        <f>IF(payments_raw[[#This Row],[payment_date]] &lt; payments_raw[[#This Row],[sub_start_date]], 1, 0)</f>
        <v>0</v>
      </c>
      <c r="I714" s="2">
        <f>IF(AND(payments_raw[[#This Row],[sub_end_date]]&lt;&gt;"", payments_raw[[#This Row],[payment_date]] &gt; payments_raw[[#This Row],[sub_end_date]]), 1, 0)</f>
        <v>0</v>
      </c>
      <c r="J714" s="2">
        <f>IF(payments_raw[[#This Row],[amount]] &lt;= 0, 1, 0)</f>
        <v>0</v>
      </c>
      <c r="K7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5" spans="1:11" x14ac:dyDescent="0.3">
      <c r="A715">
        <v>14073160</v>
      </c>
      <c r="B715">
        <v>4865865</v>
      </c>
      <c r="C715" s="1">
        <v>44988</v>
      </c>
      <c r="D715">
        <v>2990</v>
      </c>
      <c r="E715">
        <f>IF(
  ISNA(
    _xlfn.XLOOKUP(
      payments_raw[[#This Row],[subscription_id]],
      subscriptions[subscription_id],
      subscriptions[subscription_id]
    )
  ),
  0,
  1
)</f>
        <v>1</v>
      </c>
      <c r="F715" s="1">
        <f>_xlfn.XLOOKUP(payments_raw[[#This Row],[subscription_id]], subscriptions[subscription_id], subscriptions[start_date])</f>
        <v>44903</v>
      </c>
      <c r="G7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15" s="2">
        <f>IF(payments_raw[[#This Row],[payment_date]] &lt; payments_raw[[#This Row],[sub_start_date]], 1, 0)</f>
        <v>0</v>
      </c>
      <c r="I715" s="2">
        <f>IF(AND(payments_raw[[#This Row],[sub_end_date]]&lt;&gt;"", payments_raw[[#This Row],[payment_date]] &gt; payments_raw[[#This Row],[sub_end_date]]), 1, 0)</f>
        <v>0</v>
      </c>
      <c r="J715" s="2">
        <f>IF(payments_raw[[#This Row],[amount]] &lt;= 0, 1, 0)</f>
        <v>0</v>
      </c>
      <c r="K7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6" spans="1:11" x14ac:dyDescent="0.3">
      <c r="A716">
        <v>95501953</v>
      </c>
      <c r="B716">
        <v>5376268</v>
      </c>
      <c r="C716" s="1">
        <v>44667</v>
      </c>
      <c r="D716">
        <v>39.5</v>
      </c>
      <c r="E716">
        <f>IF(
  ISNA(
    _xlfn.XLOOKUP(
      payments_raw[[#This Row],[subscription_id]],
      subscriptions[subscription_id],
      subscriptions[subscription_id]
    )
  ),
  0,
  1
)</f>
        <v>1</v>
      </c>
      <c r="F716" s="1">
        <f>_xlfn.XLOOKUP(payments_raw[[#This Row],[subscription_id]], subscriptions[subscription_id], subscriptions[start_date])</f>
        <v>44626</v>
      </c>
      <c r="G71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44920</v>
      </c>
      <c r="H716" s="2">
        <f>IF(payments_raw[[#This Row],[payment_date]] &lt; payments_raw[[#This Row],[sub_start_date]], 1, 0)</f>
        <v>0</v>
      </c>
      <c r="I716" s="2">
        <f>IF(AND(payments_raw[[#This Row],[sub_end_date]]&lt;&gt;"", payments_raw[[#This Row],[payment_date]] &gt; payments_raw[[#This Row],[sub_end_date]]), 1, 0)</f>
        <v>0</v>
      </c>
      <c r="J716" s="2">
        <f>IF(payments_raw[[#This Row],[amount]] &lt;= 0, 1, 0)</f>
        <v>0</v>
      </c>
      <c r="K7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7" spans="1:11" x14ac:dyDescent="0.3">
      <c r="A717">
        <v>74529182</v>
      </c>
      <c r="B717">
        <v>3806907</v>
      </c>
      <c r="C717" s="1">
        <v>44874</v>
      </c>
      <c r="D717">
        <v>190</v>
      </c>
      <c r="E717">
        <f>IF(
  ISNA(
    _xlfn.XLOOKUP(
      payments_raw[[#This Row],[subscription_id]],
      subscriptions[subscription_id],
      subscriptions[subscription_id]
    )
  ),
  0,
  1
)</f>
        <v>1</v>
      </c>
      <c r="F717" s="1">
        <f>_xlfn.XLOOKUP(payments_raw[[#This Row],[subscription_id]], subscriptions[subscription_id], subscriptions[start_date])</f>
        <v>44862</v>
      </c>
      <c r="G71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44943</v>
      </c>
      <c r="H717" s="2">
        <f>IF(payments_raw[[#This Row],[payment_date]] &lt; payments_raw[[#This Row],[sub_start_date]], 1, 0)</f>
        <v>0</v>
      </c>
      <c r="I717" s="2">
        <f>IF(AND(payments_raw[[#This Row],[sub_end_date]]&lt;&gt;"", payments_raw[[#This Row],[payment_date]] &gt; payments_raw[[#This Row],[sub_end_date]]), 1, 0)</f>
        <v>0</v>
      </c>
      <c r="J717" s="2">
        <f>IF(payments_raw[[#This Row],[amount]] &lt;= 0, 1, 0)</f>
        <v>0</v>
      </c>
      <c r="K7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8" spans="1:11" x14ac:dyDescent="0.3">
      <c r="A718">
        <v>82347561</v>
      </c>
      <c r="B718">
        <v>9129167</v>
      </c>
      <c r="C718" s="1">
        <v>45428</v>
      </c>
      <c r="D718">
        <v>71.099999999999994</v>
      </c>
      <c r="E718">
        <f>IF(
  ISNA(
    _xlfn.XLOOKUP(
      payments_raw[[#This Row],[subscription_id]],
      subscriptions[subscription_id],
      subscriptions[subscription_id]
    )
  ),
  0,
  1
)</f>
        <v>1</v>
      </c>
      <c r="F718" s="1">
        <f>_xlfn.XLOOKUP(payments_raw[[#This Row],[subscription_id]], subscriptions[subscription_id], subscriptions[start_date])</f>
        <v>45381</v>
      </c>
      <c r="G7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45452</v>
      </c>
      <c r="H718" s="2">
        <f>IF(payments_raw[[#This Row],[payment_date]] &lt; payments_raw[[#This Row],[sub_start_date]], 1, 0)</f>
        <v>0</v>
      </c>
      <c r="I718" s="2">
        <f>IF(AND(payments_raw[[#This Row],[sub_end_date]]&lt;&gt;"", payments_raw[[#This Row],[payment_date]] &gt; payments_raw[[#This Row],[sub_end_date]]), 1, 0)</f>
        <v>0</v>
      </c>
      <c r="J718" s="2">
        <f>IF(payments_raw[[#This Row],[amount]] &lt;= 0, 1, 0)</f>
        <v>0</v>
      </c>
      <c r="K7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19" spans="1:11" x14ac:dyDescent="0.3">
      <c r="A719">
        <v>91184381</v>
      </c>
      <c r="B719">
        <v>2818665</v>
      </c>
      <c r="C719" s="1">
        <v>44801</v>
      </c>
      <c r="D719">
        <v>299</v>
      </c>
      <c r="E719">
        <f>IF(
  ISNA(
    _xlfn.XLOOKUP(
      payments_raw[[#This Row],[subscription_id]],
      subscriptions[subscription_id],
      subscriptions[subscription_id]
    )
  ),
  0,
  1
)</f>
        <v>1</v>
      </c>
      <c r="F719" s="1">
        <f>_xlfn.XLOOKUP(payments_raw[[#This Row],[subscription_id]], subscriptions[subscription_id], subscriptions[start_date])</f>
        <v>44775</v>
      </c>
      <c r="G7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19" s="2">
        <f>IF(payments_raw[[#This Row],[payment_date]] &lt; payments_raw[[#This Row],[sub_start_date]], 1, 0)</f>
        <v>0</v>
      </c>
      <c r="I719" s="2">
        <f>IF(AND(payments_raw[[#This Row],[sub_end_date]]&lt;&gt;"", payments_raw[[#This Row],[payment_date]] &gt; payments_raw[[#This Row],[sub_end_date]]), 1, 0)</f>
        <v>0</v>
      </c>
      <c r="J719" s="2">
        <f>IF(payments_raw[[#This Row],[amount]] &lt;= 0, 1, 0)</f>
        <v>0</v>
      </c>
      <c r="K7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0" spans="1:11" x14ac:dyDescent="0.3">
      <c r="A720">
        <v>57424065</v>
      </c>
      <c r="B720">
        <v>4654207</v>
      </c>
      <c r="C720" s="1">
        <v>44740</v>
      </c>
      <c r="D720">
        <v>190</v>
      </c>
      <c r="E720">
        <f>IF(
  ISNA(
    _xlfn.XLOOKUP(
      payments_raw[[#This Row],[subscription_id]],
      subscriptions[subscription_id],
      subscriptions[subscription_id]
    )
  ),
  0,
  1
)</f>
        <v>1</v>
      </c>
      <c r="F720" s="1">
        <f>_xlfn.XLOOKUP(payments_raw[[#This Row],[subscription_id]], subscriptions[subscription_id], subscriptions[start_date])</f>
        <v>44580</v>
      </c>
      <c r="G7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44872</v>
      </c>
      <c r="H720" s="2">
        <f>IF(payments_raw[[#This Row],[payment_date]] &lt; payments_raw[[#This Row],[sub_start_date]], 1, 0)</f>
        <v>0</v>
      </c>
      <c r="I720" s="2">
        <f>IF(AND(payments_raw[[#This Row],[sub_end_date]]&lt;&gt;"", payments_raw[[#This Row],[payment_date]] &gt; payments_raw[[#This Row],[sub_end_date]]), 1, 0)</f>
        <v>0</v>
      </c>
      <c r="J720" s="2">
        <f>IF(payments_raw[[#This Row],[amount]] &lt;= 0, 1, 0)</f>
        <v>0</v>
      </c>
      <c r="K7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1" spans="1:11" x14ac:dyDescent="0.3">
      <c r="A721">
        <v>25456185</v>
      </c>
      <c r="B721">
        <v>5621624</v>
      </c>
      <c r="C721" s="1">
        <v>45638</v>
      </c>
      <c r="D721">
        <v>790</v>
      </c>
      <c r="E721">
        <f>IF(
  ISNA(
    _xlfn.XLOOKUP(
      payments_raw[[#This Row],[subscription_id]],
      subscriptions[subscription_id],
      subscriptions[subscription_id]
    )
  ),
  0,
  1
)</f>
        <v>1</v>
      </c>
      <c r="F721" s="1">
        <f>_xlfn.XLOOKUP(payments_raw[[#This Row],[subscription_id]], subscriptions[subscription_id], subscriptions[start_date])</f>
        <v>45232</v>
      </c>
      <c r="G7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21" s="2">
        <f>IF(payments_raw[[#This Row],[payment_date]] &lt; payments_raw[[#This Row],[sub_start_date]], 1, 0)</f>
        <v>0</v>
      </c>
      <c r="I721" s="2">
        <f>IF(AND(payments_raw[[#This Row],[sub_end_date]]&lt;&gt;"", payments_raw[[#This Row],[payment_date]] &gt; payments_raw[[#This Row],[sub_end_date]]), 1, 0)</f>
        <v>0</v>
      </c>
      <c r="J721" s="2">
        <f>IF(payments_raw[[#This Row],[amount]] &lt;= 0, 1, 0)</f>
        <v>0</v>
      </c>
      <c r="K7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2" spans="1:11" x14ac:dyDescent="0.3">
      <c r="A722">
        <v>96651909</v>
      </c>
      <c r="B722">
        <v>5086740</v>
      </c>
      <c r="C722" s="1">
        <v>45227</v>
      </c>
      <c r="D722">
        <v>39</v>
      </c>
      <c r="E722">
        <f>IF(
  ISNA(
    _xlfn.XLOOKUP(
      payments_raw[[#This Row],[subscription_id]],
      subscriptions[subscription_id],
      subscriptions[subscription_id]
    )
  ),
  0,
  1
)</f>
        <v>1</v>
      </c>
      <c r="F722" s="1">
        <f>_xlfn.XLOOKUP(payments_raw[[#This Row],[subscription_id]], subscriptions[subscription_id], subscriptions[start_date])</f>
        <v>45079</v>
      </c>
      <c r="G7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45416</v>
      </c>
      <c r="H722" s="2">
        <f>IF(payments_raw[[#This Row],[payment_date]] &lt; payments_raw[[#This Row],[sub_start_date]], 1, 0)</f>
        <v>0</v>
      </c>
      <c r="I722" s="2">
        <f>IF(AND(payments_raw[[#This Row],[sub_end_date]]&lt;&gt;"", payments_raw[[#This Row],[payment_date]] &gt; payments_raw[[#This Row],[sub_end_date]]), 1, 0)</f>
        <v>0</v>
      </c>
      <c r="J722" s="2">
        <f>IF(payments_raw[[#This Row],[amount]] &lt;= 0, 1, 0)</f>
        <v>0</v>
      </c>
      <c r="K7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3" spans="1:11" x14ac:dyDescent="0.3">
      <c r="A723">
        <v>45004529</v>
      </c>
      <c r="B723">
        <v>9024252</v>
      </c>
      <c r="C723" s="1">
        <v>45166</v>
      </c>
      <c r="D723">
        <v>395</v>
      </c>
      <c r="E723">
        <f>IF(
  ISNA(
    _xlfn.XLOOKUP(
      payments_raw[[#This Row],[subscription_id]],
      subscriptions[subscription_id],
      subscriptions[subscription_id]
    )
  ),
  0,
  1
)</f>
        <v>1</v>
      </c>
      <c r="F723" s="1">
        <f>_xlfn.XLOOKUP(payments_raw[[#This Row],[subscription_id]], subscriptions[subscription_id], subscriptions[start_date])</f>
        <v>45003</v>
      </c>
      <c r="G7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23" s="2">
        <f>IF(payments_raw[[#This Row],[payment_date]] &lt; payments_raw[[#This Row],[sub_start_date]], 1, 0)</f>
        <v>0</v>
      </c>
      <c r="I723" s="2">
        <f>IF(AND(payments_raw[[#This Row],[sub_end_date]]&lt;&gt;"", payments_raw[[#This Row],[payment_date]] &gt; payments_raw[[#This Row],[sub_end_date]]), 1, 0)</f>
        <v>0</v>
      </c>
      <c r="J723" s="2">
        <f>IF(payments_raw[[#This Row],[amount]] &lt;= 0, 1, 0)</f>
        <v>0</v>
      </c>
      <c r="K7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4" spans="1:11" x14ac:dyDescent="0.3">
      <c r="A724">
        <v>90577383</v>
      </c>
      <c r="B724">
        <v>5933559</v>
      </c>
      <c r="C724" s="1">
        <v>45601</v>
      </c>
      <c r="D724">
        <v>19</v>
      </c>
      <c r="E724">
        <f>IF(
  ISNA(
    _xlfn.XLOOKUP(
      payments_raw[[#This Row],[subscription_id]],
      subscriptions[subscription_id],
      subscriptions[subscription_id]
    )
  ),
  0,
  1
)</f>
        <v>1</v>
      </c>
      <c r="F724" s="1">
        <f>_xlfn.XLOOKUP(payments_raw[[#This Row],[subscription_id]], subscriptions[subscription_id], subscriptions[start_date])</f>
        <v>44625</v>
      </c>
      <c r="G7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24" s="2">
        <f>IF(payments_raw[[#This Row],[payment_date]] &lt; payments_raw[[#This Row],[sub_start_date]], 1, 0)</f>
        <v>0</v>
      </c>
      <c r="I724" s="2">
        <f>IF(AND(payments_raw[[#This Row],[sub_end_date]]&lt;&gt;"", payments_raw[[#This Row],[payment_date]] &gt; payments_raw[[#This Row],[sub_end_date]]), 1, 0)</f>
        <v>0</v>
      </c>
      <c r="J724" s="2">
        <f>IF(payments_raw[[#This Row],[amount]] &lt;= 0, 1, 0)</f>
        <v>0</v>
      </c>
      <c r="K7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5" spans="1:11" x14ac:dyDescent="0.3">
      <c r="A725">
        <v>80091471</v>
      </c>
      <c r="B725">
        <v>1805615</v>
      </c>
      <c r="C725" s="1">
        <v>44971</v>
      </c>
      <c r="D725">
        <v>19</v>
      </c>
      <c r="E725">
        <f>IF(
  ISNA(
    _xlfn.XLOOKUP(
      payments_raw[[#This Row],[subscription_id]],
      subscriptions[subscription_id],
      subscriptions[subscription_id]
    )
  ),
  0,
  1
)</f>
        <v>1</v>
      </c>
      <c r="F725" s="1">
        <f>_xlfn.XLOOKUP(payments_raw[[#This Row],[subscription_id]], subscriptions[subscription_id], subscriptions[start_date])</f>
        <v>44967</v>
      </c>
      <c r="G7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725" s="2">
        <f>IF(payments_raw[[#This Row],[payment_date]] &lt; payments_raw[[#This Row],[sub_start_date]], 1, 0)</f>
        <v>0</v>
      </c>
      <c r="I725" s="2">
        <f>IF(AND(payments_raw[[#This Row],[sub_end_date]]&lt;&gt;"", payments_raw[[#This Row],[payment_date]] &gt; payments_raw[[#This Row],[sub_end_date]]), 1, 0)</f>
        <v>0</v>
      </c>
      <c r="J725" s="2">
        <f>IF(payments_raw[[#This Row],[amount]] &lt;= 0, 1, 0)</f>
        <v>0</v>
      </c>
      <c r="K7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6" spans="1:11" x14ac:dyDescent="0.3">
      <c r="A726">
        <v>48785862</v>
      </c>
      <c r="B726">
        <v>8016442</v>
      </c>
      <c r="C726" s="1">
        <v>45335</v>
      </c>
      <c r="D726">
        <v>149</v>
      </c>
      <c r="E726">
        <f>IF(
  ISNA(
    _xlfn.XLOOKUP(
      payments_raw[[#This Row],[subscription_id]],
      subscriptions[subscription_id],
      subscriptions[subscription_id]
    )
  ),
  0,
  1
)</f>
        <v>1</v>
      </c>
      <c r="F726" s="1">
        <f>_xlfn.XLOOKUP(payments_raw[[#This Row],[subscription_id]], subscriptions[subscription_id], subscriptions[start_date])</f>
        <v>45079</v>
      </c>
      <c r="G7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726" s="2">
        <f>IF(payments_raw[[#This Row],[payment_date]] &lt; payments_raw[[#This Row],[sub_start_date]], 1, 0)</f>
        <v>0</v>
      </c>
      <c r="I726" s="2">
        <f>IF(AND(payments_raw[[#This Row],[sub_end_date]]&lt;&gt;"", payments_raw[[#This Row],[payment_date]] &gt; payments_raw[[#This Row],[sub_end_date]]), 1, 0)</f>
        <v>0</v>
      </c>
      <c r="J726" s="2">
        <f>IF(payments_raw[[#This Row],[amount]] &lt;= 0, 1, 0)</f>
        <v>0</v>
      </c>
      <c r="K7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7" spans="1:11" x14ac:dyDescent="0.3">
      <c r="A727">
        <v>15698862</v>
      </c>
      <c r="B727">
        <v>7328832</v>
      </c>
      <c r="C727" s="1">
        <v>45139</v>
      </c>
      <c r="D727">
        <v>149</v>
      </c>
      <c r="E727">
        <f>IF(
  ISNA(
    _xlfn.XLOOKUP(
      payments_raw[[#This Row],[subscription_id]],
      subscriptions[subscription_id],
      subscriptions[subscription_id]
    )
  ),
  0,
  1
)</f>
        <v>1</v>
      </c>
      <c r="F727" s="1">
        <f>_xlfn.XLOOKUP(payments_raw[[#This Row],[subscription_id]], subscriptions[subscription_id], subscriptions[start_date])</f>
        <v>44818</v>
      </c>
      <c r="G7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27" s="2">
        <f>IF(payments_raw[[#This Row],[payment_date]] &lt; payments_raw[[#This Row],[sub_start_date]], 1, 0)</f>
        <v>0</v>
      </c>
      <c r="I727" s="2">
        <f>IF(AND(payments_raw[[#This Row],[sub_end_date]]&lt;&gt;"", payments_raw[[#This Row],[payment_date]] &gt; payments_raw[[#This Row],[sub_end_date]]), 1, 0)</f>
        <v>0</v>
      </c>
      <c r="J727" s="2">
        <f>IF(payments_raw[[#This Row],[amount]] &lt;= 0, 1, 0)</f>
        <v>0</v>
      </c>
      <c r="K7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8" spans="1:11" x14ac:dyDescent="0.3">
      <c r="A728">
        <v>15420136</v>
      </c>
      <c r="B728">
        <v>6138255</v>
      </c>
      <c r="C728" s="1">
        <v>44877</v>
      </c>
      <c r="D728">
        <v>190</v>
      </c>
      <c r="E728">
        <f>IF(
  ISNA(
    _xlfn.XLOOKUP(
      payments_raw[[#This Row],[subscription_id]],
      subscriptions[subscription_id],
      subscriptions[subscription_id]
    )
  ),
  0,
  1
)</f>
        <v>1</v>
      </c>
      <c r="F728" s="1">
        <f>_xlfn.XLOOKUP(payments_raw[[#This Row],[subscription_id]], subscriptions[subscription_id], subscriptions[start_date])</f>
        <v>44618</v>
      </c>
      <c r="G7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44938</v>
      </c>
      <c r="H728" s="2">
        <f>IF(payments_raw[[#This Row],[payment_date]] &lt; payments_raw[[#This Row],[sub_start_date]], 1, 0)</f>
        <v>0</v>
      </c>
      <c r="I728" s="2">
        <f>IF(AND(payments_raw[[#This Row],[sub_end_date]]&lt;&gt;"", payments_raw[[#This Row],[payment_date]] &gt; payments_raw[[#This Row],[sub_end_date]]), 1, 0)</f>
        <v>0</v>
      </c>
      <c r="J728" s="2">
        <f>IF(payments_raw[[#This Row],[amount]] &lt;= 0, 1, 0)</f>
        <v>0</v>
      </c>
      <c r="K7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29" spans="1:11" x14ac:dyDescent="0.3">
      <c r="A729">
        <v>13523397</v>
      </c>
      <c r="B729">
        <v>3081873</v>
      </c>
      <c r="C729" s="1">
        <v>44991</v>
      </c>
      <c r="D729">
        <v>2990</v>
      </c>
      <c r="E729">
        <f>IF(
  ISNA(
    _xlfn.XLOOKUP(
      payments_raw[[#This Row],[subscription_id]],
      subscriptions[subscription_id],
      subscriptions[subscription_id]
    )
  ),
  0,
  1
)</f>
        <v>1</v>
      </c>
      <c r="F729" s="1">
        <f>_xlfn.XLOOKUP(payments_raw[[#This Row],[subscription_id]], subscriptions[subscription_id], subscriptions[start_date])</f>
        <v>44986</v>
      </c>
      <c r="G7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45076</v>
      </c>
      <c r="H729" s="2">
        <f>IF(payments_raw[[#This Row],[payment_date]] &lt; payments_raw[[#This Row],[sub_start_date]], 1, 0)</f>
        <v>0</v>
      </c>
      <c r="I729" s="2">
        <f>IF(AND(payments_raw[[#This Row],[sub_end_date]]&lt;&gt;"", payments_raw[[#This Row],[payment_date]] &gt; payments_raw[[#This Row],[sub_end_date]]), 1, 0)</f>
        <v>0</v>
      </c>
      <c r="J729" s="2">
        <f>IF(payments_raw[[#This Row],[amount]] &lt;= 0, 1, 0)</f>
        <v>0</v>
      </c>
      <c r="K7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0" spans="1:11" x14ac:dyDescent="0.3">
      <c r="A730">
        <v>10375217</v>
      </c>
      <c r="B730">
        <v>1576194</v>
      </c>
      <c r="C730" s="1">
        <v>45555</v>
      </c>
      <c r="D730">
        <v>79</v>
      </c>
      <c r="E730">
        <f>IF(
  ISNA(
    _xlfn.XLOOKUP(
      payments_raw[[#This Row],[subscription_id]],
      subscriptions[subscription_id],
      subscriptions[subscription_id]
    )
  ),
  0,
  1
)</f>
        <v>1</v>
      </c>
      <c r="F730" s="1">
        <f>_xlfn.XLOOKUP(payments_raw[[#This Row],[subscription_id]], subscriptions[subscription_id], subscriptions[start_date])</f>
        <v>45217</v>
      </c>
      <c r="G7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0" s="2">
        <f>IF(payments_raw[[#This Row],[payment_date]] &lt; payments_raw[[#This Row],[sub_start_date]], 1, 0)</f>
        <v>0</v>
      </c>
      <c r="I730" s="2">
        <f>IF(AND(payments_raw[[#This Row],[sub_end_date]]&lt;&gt;"", payments_raw[[#This Row],[payment_date]] &gt; payments_raw[[#This Row],[sub_end_date]]), 1, 0)</f>
        <v>0</v>
      </c>
      <c r="J730" s="2">
        <f>IF(payments_raw[[#This Row],[amount]] &lt;= 0, 1, 0)</f>
        <v>0</v>
      </c>
      <c r="K7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1" spans="1:11" x14ac:dyDescent="0.3">
      <c r="A731">
        <v>42965597</v>
      </c>
      <c r="B731">
        <v>7510631</v>
      </c>
      <c r="C731" s="1">
        <v>45325</v>
      </c>
      <c r="D731">
        <v>390</v>
      </c>
      <c r="E731">
        <f>IF(
  ISNA(
    _xlfn.XLOOKUP(
      payments_raw[[#This Row],[subscription_id]],
      subscriptions[subscription_id],
      subscriptions[subscription_id]
    )
  ),
  0,
  1
)</f>
        <v>1</v>
      </c>
      <c r="F731" s="1">
        <f>_xlfn.XLOOKUP(payments_raw[[#This Row],[subscription_id]], subscriptions[subscription_id], subscriptions[start_date])</f>
        <v>44939</v>
      </c>
      <c r="G7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1" s="2">
        <f>IF(payments_raw[[#This Row],[payment_date]] &lt; payments_raw[[#This Row],[sub_start_date]], 1, 0)</f>
        <v>0</v>
      </c>
      <c r="I731" s="2">
        <f>IF(AND(payments_raw[[#This Row],[sub_end_date]]&lt;&gt;"", payments_raw[[#This Row],[payment_date]] &gt; payments_raw[[#This Row],[sub_end_date]]), 1, 0)</f>
        <v>0</v>
      </c>
      <c r="J731" s="2">
        <f>IF(payments_raw[[#This Row],[amount]] &lt;= 0, 1, 0)</f>
        <v>0</v>
      </c>
      <c r="K7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2" spans="1:11" x14ac:dyDescent="0.3">
      <c r="A732">
        <v>55833897</v>
      </c>
      <c r="B732">
        <v>6410314</v>
      </c>
      <c r="C732" s="1">
        <v>44869</v>
      </c>
      <c r="D732">
        <v>2990</v>
      </c>
      <c r="E732">
        <f>IF(
  ISNA(
    _xlfn.XLOOKUP(
      payments_raw[[#This Row],[subscription_id]],
      subscriptions[subscription_id],
      subscriptions[subscription_id]
    )
  ),
  0,
  1
)</f>
        <v>1</v>
      </c>
      <c r="F732" s="1">
        <f>_xlfn.XLOOKUP(payments_raw[[#This Row],[subscription_id]], subscriptions[subscription_id], subscriptions[start_date])</f>
        <v>44847</v>
      </c>
      <c r="G73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44979</v>
      </c>
      <c r="H732" s="2">
        <f>IF(payments_raw[[#This Row],[payment_date]] &lt; payments_raw[[#This Row],[sub_start_date]], 1, 0)</f>
        <v>0</v>
      </c>
      <c r="I732" s="2">
        <f>IF(AND(payments_raw[[#This Row],[sub_end_date]]&lt;&gt;"", payments_raw[[#This Row],[payment_date]] &gt; payments_raw[[#This Row],[sub_end_date]]), 1, 0)</f>
        <v>0</v>
      </c>
      <c r="J732" s="2">
        <f>IF(payments_raw[[#This Row],[amount]] &lt;= 0, 1, 0)</f>
        <v>0</v>
      </c>
      <c r="K7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3" spans="1:11" x14ac:dyDescent="0.3">
      <c r="A733">
        <v>79241678</v>
      </c>
      <c r="B733">
        <v>6727358</v>
      </c>
      <c r="C733" s="1">
        <v>45136</v>
      </c>
      <c r="D733">
        <v>1490</v>
      </c>
      <c r="E733">
        <f>IF(
  ISNA(
    _xlfn.XLOOKUP(
      payments_raw[[#This Row],[subscription_id]],
      subscriptions[subscription_id],
      subscriptions[subscription_id]
    )
  ),
  0,
  1
)</f>
        <v>1</v>
      </c>
      <c r="F733" s="1">
        <f>_xlfn.XLOOKUP(payments_raw[[#This Row],[subscription_id]], subscriptions[subscription_id], subscriptions[start_date])</f>
        <v>45119</v>
      </c>
      <c r="G7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45169</v>
      </c>
      <c r="H733" s="2">
        <f>IF(payments_raw[[#This Row],[payment_date]] &lt; payments_raw[[#This Row],[sub_start_date]], 1, 0)</f>
        <v>0</v>
      </c>
      <c r="I733" s="2">
        <f>IF(AND(payments_raw[[#This Row],[sub_end_date]]&lt;&gt;"", payments_raw[[#This Row],[payment_date]] &gt; payments_raw[[#This Row],[sub_end_date]]), 1, 0)</f>
        <v>0</v>
      </c>
      <c r="J733" s="2">
        <f>IF(payments_raw[[#This Row],[amount]] &lt;= 0, 1, 0)</f>
        <v>0</v>
      </c>
      <c r="K7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4" spans="1:11" x14ac:dyDescent="0.3">
      <c r="A734">
        <v>64382788</v>
      </c>
      <c r="B734">
        <v>5832995</v>
      </c>
      <c r="C734" s="1">
        <v>45101</v>
      </c>
      <c r="D734">
        <v>39</v>
      </c>
      <c r="E734">
        <f>IF(
  ISNA(
    _xlfn.XLOOKUP(
      payments_raw[[#This Row],[subscription_id]],
      subscriptions[subscription_id],
      subscriptions[subscription_id]
    )
  ),
  0,
  1
)</f>
        <v>1</v>
      </c>
      <c r="F734" s="1">
        <f>_xlfn.XLOOKUP(payments_raw[[#This Row],[subscription_id]], subscriptions[subscription_id], subscriptions[start_date])</f>
        <v>44715</v>
      </c>
      <c r="G7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4" s="2">
        <f>IF(payments_raw[[#This Row],[payment_date]] &lt; payments_raw[[#This Row],[sub_start_date]], 1, 0)</f>
        <v>0</v>
      </c>
      <c r="I734" s="2">
        <f>IF(AND(payments_raw[[#This Row],[sub_end_date]]&lt;&gt;"", payments_raw[[#This Row],[payment_date]] &gt; payments_raw[[#This Row],[sub_end_date]]), 1, 0)</f>
        <v>0</v>
      </c>
      <c r="J734" s="2">
        <f>IF(payments_raw[[#This Row],[amount]] &lt;= 0, 1, 0)</f>
        <v>0</v>
      </c>
      <c r="K7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5" spans="1:11" x14ac:dyDescent="0.3">
      <c r="A735">
        <v>41648778</v>
      </c>
      <c r="B735">
        <v>2918079</v>
      </c>
      <c r="C735" s="1">
        <v>45554</v>
      </c>
      <c r="D735">
        <v>39</v>
      </c>
      <c r="E735">
        <f>IF(
  ISNA(
    _xlfn.XLOOKUP(
      payments_raw[[#This Row],[subscription_id]],
      subscriptions[subscription_id],
      subscriptions[subscription_id]
    )
  ),
  0,
  1
)</f>
        <v>1</v>
      </c>
      <c r="F735" s="1">
        <f>_xlfn.XLOOKUP(payments_raw[[#This Row],[subscription_id]], subscriptions[subscription_id], subscriptions[start_date])</f>
        <v>45132</v>
      </c>
      <c r="G7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5" s="2">
        <f>IF(payments_raw[[#This Row],[payment_date]] &lt; payments_raw[[#This Row],[sub_start_date]], 1, 0)</f>
        <v>0</v>
      </c>
      <c r="I735" s="2">
        <f>IF(AND(payments_raw[[#This Row],[sub_end_date]]&lt;&gt;"", payments_raw[[#This Row],[payment_date]] &gt; payments_raw[[#This Row],[sub_end_date]]), 1, 0)</f>
        <v>0</v>
      </c>
      <c r="J735" s="2">
        <f>IF(payments_raw[[#This Row],[amount]] &lt;= 0, 1, 0)</f>
        <v>0</v>
      </c>
      <c r="K7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6" spans="1:11" x14ac:dyDescent="0.3">
      <c r="A736">
        <v>46159501</v>
      </c>
      <c r="B736">
        <v>4190758</v>
      </c>
      <c r="C736" s="1">
        <v>44837</v>
      </c>
      <c r="D736">
        <v>149</v>
      </c>
      <c r="E736">
        <f>IF(
  ISNA(
    _xlfn.XLOOKUP(
      payments_raw[[#This Row],[subscription_id]],
      subscriptions[subscription_id],
      subscriptions[subscription_id]
    )
  ),
  0,
  1
)</f>
        <v>1</v>
      </c>
      <c r="F736" s="1">
        <f>_xlfn.XLOOKUP(payments_raw[[#This Row],[subscription_id]], subscriptions[subscription_id], subscriptions[start_date])</f>
        <v>44576</v>
      </c>
      <c r="G73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44965</v>
      </c>
      <c r="H736" s="2">
        <f>IF(payments_raw[[#This Row],[payment_date]] &lt; payments_raw[[#This Row],[sub_start_date]], 1, 0)</f>
        <v>0</v>
      </c>
      <c r="I736" s="2">
        <f>IF(AND(payments_raw[[#This Row],[sub_end_date]]&lt;&gt;"", payments_raw[[#This Row],[payment_date]] &gt; payments_raw[[#This Row],[sub_end_date]]), 1, 0)</f>
        <v>0</v>
      </c>
      <c r="J736" s="2">
        <f>IF(payments_raw[[#This Row],[amount]] &lt;= 0, 1, 0)</f>
        <v>0</v>
      </c>
      <c r="K7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7" spans="1:11" x14ac:dyDescent="0.3">
      <c r="A737">
        <v>53169846</v>
      </c>
      <c r="B737">
        <v>3724178</v>
      </c>
      <c r="C737" s="1">
        <v>45379</v>
      </c>
      <c r="D737">
        <v>149</v>
      </c>
      <c r="E737">
        <f>IF(
  ISNA(
    _xlfn.XLOOKUP(
      payments_raw[[#This Row],[subscription_id]],
      subscriptions[subscription_id],
      subscriptions[subscription_id]
    )
  ),
  0,
  1
)</f>
        <v>1</v>
      </c>
      <c r="F737" s="1">
        <f>_xlfn.XLOOKUP(payments_raw[[#This Row],[subscription_id]], subscriptions[subscription_id], subscriptions[start_date])</f>
        <v>44623</v>
      </c>
      <c r="G7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7" s="2">
        <f>IF(payments_raw[[#This Row],[payment_date]] &lt; payments_raw[[#This Row],[sub_start_date]], 1, 0)</f>
        <v>0</v>
      </c>
      <c r="I737" s="2">
        <f>IF(AND(payments_raw[[#This Row],[sub_end_date]]&lt;&gt;"", payments_raw[[#This Row],[payment_date]] &gt; payments_raw[[#This Row],[sub_end_date]]), 1, 0)</f>
        <v>0</v>
      </c>
      <c r="J737" s="2">
        <f>IF(payments_raw[[#This Row],[amount]] &lt;= 0, 1, 0)</f>
        <v>0</v>
      </c>
      <c r="K7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8" spans="1:11" x14ac:dyDescent="0.3">
      <c r="A738">
        <v>59151960</v>
      </c>
      <c r="B738">
        <v>2092722</v>
      </c>
      <c r="C738" s="1">
        <v>45559</v>
      </c>
      <c r="D738">
        <v>19</v>
      </c>
      <c r="E738">
        <f>IF(
  ISNA(
    _xlfn.XLOOKUP(
      payments_raw[[#This Row],[subscription_id]],
      subscriptions[subscription_id],
      subscriptions[subscription_id]
    )
  ),
  0,
  1
)</f>
        <v>1</v>
      </c>
      <c r="F738" s="1">
        <f>_xlfn.XLOOKUP(payments_raw[[#This Row],[subscription_id]], subscriptions[subscription_id], subscriptions[start_date])</f>
        <v>45401</v>
      </c>
      <c r="G7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38" s="2">
        <f>IF(payments_raw[[#This Row],[payment_date]] &lt; payments_raw[[#This Row],[sub_start_date]], 1, 0)</f>
        <v>0</v>
      </c>
      <c r="I738" s="2">
        <f>IF(AND(payments_raw[[#This Row],[sub_end_date]]&lt;&gt;"", payments_raw[[#This Row],[payment_date]] &gt; payments_raw[[#This Row],[sub_end_date]]), 1, 0)</f>
        <v>0</v>
      </c>
      <c r="J738" s="2">
        <f>IF(payments_raw[[#This Row],[amount]] &lt;= 0, 1, 0)</f>
        <v>0</v>
      </c>
      <c r="K7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39" spans="1:11" x14ac:dyDescent="0.3">
      <c r="A739">
        <v>87420166</v>
      </c>
      <c r="B739">
        <v>6209788</v>
      </c>
      <c r="C739" s="1">
        <v>45622</v>
      </c>
      <c r="D739">
        <v>19</v>
      </c>
      <c r="E739">
        <f>IF(
  ISNA(
    _xlfn.XLOOKUP(
      payments_raw[[#This Row],[subscription_id]],
      subscriptions[subscription_id],
      subscriptions[subscription_id]
    )
  ),
  0,
  1
)</f>
        <v>1</v>
      </c>
      <c r="F739" s="1">
        <f>_xlfn.XLOOKUP(payments_raw[[#This Row],[subscription_id]], subscriptions[subscription_id], subscriptions[start_date])</f>
        <v>45598</v>
      </c>
      <c r="G7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739" s="2">
        <f>IF(payments_raw[[#This Row],[payment_date]] &lt; payments_raw[[#This Row],[sub_start_date]], 1, 0)</f>
        <v>0</v>
      </c>
      <c r="I739" s="2">
        <f>IF(AND(payments_raw[[#This Row],[sub_end_date]]&lt;&gt;"", payments_raw[[#This Row],[payment_date]] &gt; payments_raw[[#This Row],[sub_end_date]]), 1, 0)</f>
        <v>0</v>
      </c>
      <c r="J739" s="2">
        <f>IF(payments_raw[[#This Row],[amount]] &lt;= 0, 1, 0)</f>
        <v>0</v>
      </c>
      <c r="K7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0" spans="1:11" x14ac:dyDescent="0.3">
      <c r="A740">
        <v>84161109</v>
      </c>
      <c r="B740">
        <v>6983579</v>
      </c>
      <c r="C740" s="1">
        <v>45160</v>
      </c>
      <c r="D740">
        <v>19</v>
      </c>
      <c r="E740">
        <f>IF(
  ISNA(
    _xlfn.XLOOKUP(
      payments_raw[[#This Row],[subscription_id]],
      subscriptions[subscription_id],
      subscriptions[subscription_id]
    )
  ),
  0,
  1
)</f>
        <v>1</v>
      </c>
      <c r="F740" s="1">
        <f>_xlfn.XLOOKUP(payments_raw[[#This Row],[subscription_id]], subscriptions[subscription_id], subscriptions[start_date])</f>
        <v>45140</v>
      </c>
      <c r="G7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740" s="2">
        <f>IF(payments_raw[[#This Row],[payment_date]] &lt; payments_raw[[#This Row],[sub_start_date]], 1, 0)</f>
        <v>0</v>
      </c>
      <c r="I740" s="2">
        <f>IF(AND(payments_raw[[#This Row],[sub_end_date]]&lt;&gt;"", payments_raw[[#This Row],[payment_date]] &gt; payments_raw[[#This Row],[sub_end_date]]), 1, 0)</f>
        <v>0</v>
      </c>
      <c r="J740" s="2">
        <f>IF(payments_raw[[#This Row],[amount]] &lt;= 0, 1, 0)</f>
        <v>0</v>
      </c>
      <c r="K7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1" spans="1:11" x14ac:dyDescent="0.3">
      <c r="A741">
        <v>17118468</v>
      </c>
      <c r="B741">
        <v>7232368</v>
      </c>
      <c r="C741" s="1">
        <v>45534</v>
      </c>
      <c r="D741">
        <v>390</v>
      </c>
      <c r="E741">
        <f>IF(
  ISNA(
    _xlfn.XLOOKUP(
      payments_raw[[#This Row],[subscription_id]],
      subscriptions[subscription_id],
      subscriptions[subscription_id]
    )
  ),
  0,
  1
)</f>
        <v>1</v>
      </c>
      <c r="F741" s="1">
        <f>_xlfn.XLOOKUP(payments_raw[[#This Row],[subscription_id]], subscriptions[subscription_id], subscriptions[start_date])</f>
        <v>45430</v>
      </c>
      <c r="G7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1" s="2">
        <f>IF(payments_raw[[#This Row],[payment_date]] &lt; payments_raw[[#This Row],[sub_start_date]], 1, 0)</f>
        <v>0</v>
      </c>
      <c r="I741" s="2">
        <f>IF(AND(payments_raw[[#This Row],[sub_end_date]]&lt;&gt;"", payments_raw[[#This Row],[payment_date]] &gt; payments_raw[[#This Row],[sub_end_date]]), 1, 0)</f>
        <v>0</v>
      </c>
      <c r="J741" s="2">
        <f>IF(payments_raw[[#This Row],[amount]] &lt;= 0, 1, 0)</f>
        <v>0</v>
      </c>
      <c r="K7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2" spans="1:11" x14ac:dyDescent="0.3">
      <c r="A742">
        <v>65053892</v>
      </c>
      <c r="B742">
        <v>6889214</v>
      </c>
      <c r="C742" s="1">
        <v>45572</v>
      </c>
      <c r="D742">
        <v>79</v>
      </c>
      <c r="E742">
        <f>IF(
  ISNA(
    _xlfn.XLOOKUP(
      payments_raw[[#This Row],[subscription_id]],
      subscriptions[subscription_id],
      subscriptions[subscription_id]
    )
  ),
  0,
  1
)</f>
        <v>1</v>
      </c>
      <c r="F742" s="1">
        <f>_xlfn.XLOOKUP(payments_raw[[#This Row],[subscription_id]], subscriptions[subscription_id], subscriptions[start_date])</f>
        <v>45418</v>
      </c>
      <c r="G7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2" s="2">
        <f>IF(payments_raw[[#This Row],[payment_date]] &lt; payments_raw[[#This Row],[sub_start_date]], 1, 0)</f>
        <v>0</v>
      </c>
      <c r="I742" s="2">
        <f>IF(AND(payments_raw[[#This Row],[sub_end_date]]&lt;&gt;"", payments_raw[[#This Row],[payment_date]] &gt; payments_raw[[#This Row],[sub_end_date]]), 1, 0)</f>
        <v>0</v>
      </c>
      <c r="J742" s="2">
        <f>IF(payments_raw[[#This Row],[amount]] &lt;= 0, 1, 0)</f>
        <v>0</v>
      </c>
      <c r="K7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3" spans="1:11" x14ac:dyDescent="0.3">
      <c r="A743">
        <v>84928707</v>
      </c>
      <c r="B743">
        <v>5573719</v>
      </c>
      <c r="C743" s="1">
        <v>45517</v>
      </c>
      <c r="D743">
        <v>79</v>
      </c>
      <c r="E743">
        <f>IF(
  ISNA(
    _xlfn.XLOOKUP(
      payments_raw[[#This Row],[subscription_id]],
      subscriptions[subscription_id],
      subscriptions[subscription_id]
    )
  ),
  0,
  1
)</f>
        <v>1</v>
      </c>
      <c r="F743" s="1">
        <f>_xlfn.XLOOKUP(payments_raw[[#This Row],[subscription_id]], subscriptions[subscription_id], subscriptions[start_date])</f>
        <v>45400</v>
      </c>
      <c r="G7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743" s="2">
        <f>IF(payments_raw[[#This Row],[payment_date]] &lt; payments_raw[[#This Row],[sub_start_date]], 1, 0)</f>
        <v>0</v>
      </c>
      <c r="I743" s="2">
        <f>IF(AND(payments_raw[[#This Row],[sub_end_date]]&lt;&gt;"", payments_raw[[#This Row],[payment_date]] &gt; payments_raw[[#This Row],[sub_end_date]]), 1, 0)</f>
        <v>0</v>
      </c>
      <c r="J743" s="2">
        <f>IF(payments_raw[[#This Row],[amount]] &lt;= 0, 1, 0)</f>
        <v>0</v>
      </c>
      <c r="K7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4" spans="1:11" x14ac:dyDescent="0.3">
      <c r="A744">
        <v>12280944</v>
      </c>
      <c r="B744">
        <v>6122489</v>
      </c>
      <c r="C744" s="1">
        <v>45588</v>
      </c>
      <c r="D744">
        <v>39</v>
      </c>
      <c r="E744">
        <f>IF(
  ISNA(
    _xlfn.XLOOKUP(
      payments_raw[[#This Row],[subscription_id]],
      subscriptions[subscription_id],
      subscriptions[subscription_id]
    )
  ),
  0,
  1
)</f>
        <v>1</v>
      </c>
      <c r="F744" s="1">
        <f>_xlfn.XLOOKUP(payments_raw[[#This Row],[subscription_id]], subscriptions[subscription_id], subscriptions[start_date])</f>
        <v>45050</v>
      </c>
      <c r="G7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4" s="2">
        <f>IF(payments_raw[[#This Row],[payment_date]] &lt; payments_raw[[#This Row],[sub_start_date]], 1, 0)</f>
        <v>0</v>
      </c>
      <c r="I744" s="2">
        <f>IF(AND(payments_raw[[#This Row],[sub_end_date]]&lt;&gt;"", payments_raw[[#This Row],[payment_date]] &gt; payments_raw[[#This Row],[sub_end_date]]), 1, 0)</f>
        <v>0</v>
      </c>
      <c r="J744" s="2">
        <f>IF(payments_raw[[#This Row],[amount]] &lt;= 0, 1, 0)</f>
        <v>0</v>
      </c>
      <c r="K7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5" spans="1:11" x14ac:dyDescent="0.3">
      <c r="A745">
        <v>18658992</v>
      </c>
      <c r="B745">
        <v>1085400</v>
      </c>
      <c r="C745" s="1">
        <v>45458</v>
      </c>
      <c r="D745">
        <v>2990</v>
      </c>
      <c r="E745">
        <f>IF(
  ISNA(
    _xlfn.XLOOKUP(
      payments_raw[[#This Row],[subscription_id]],
      subscriptions[subscription_id],
      subscriptions[subscription_id]
    )
  ),
  0,
  1
)</f>
        <v>1</v>
      </c>
      <c r="F745" s="1">
        <f>_xlfn.XLOOKUP(payments_raw[[#This Row],[subscription_id]], subscriptions[subscription_id], subscriptions[start_date])</f>
        <v>45443</v>
      </c>
      <c r="G7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5" s="2">
        <f>IF(payments_raw[[#This Row],[payment_date]] &lt; payments_raw[[#This Row],[sub_start_date]], 1, 0)</f>
        <v>0</v>
      </c>
      <c r="I745" s="2">
        <f>IF(AND(payments_raw[[#This Row],[sub_end_date]]&lt;&gt;"", payments_raw[[#This Row],[payment_date]] &gt; payments_raw[[#This Row],[sub_end_date]]), 1, 0)</f>
        <v>0</v>
      </c>
      <c r="J745" s="2">
        <f>IF(payments_raw[[#This Row],[amount]] &lt;= 0, 1, 0)</f>
        <v>0</v>
      </c>
      <c r="K7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6" spans="1:11" x14ac:dyDescent="0.3">
      <c r="A746">
        <v>16306434</v>
      </c>
      <c r="B746">
        <v>1666811</v>
      </c>
      <c r="C746" s="1">
        <v>45086</v>
      </c>
      <c r="D746">
        <v>19</v>
      </c>
      <c r="E746">
        <f>IF(
  ISNA(
    _xlfn.XLOOKUP(
      payments_raw[[#This Row],[subscription_id]],
      subscriptions[subscription_id],
      subscriptions[subscription_id]
    )
  ),
  0,
  1
)</f>
        <v>1</v>
      </c>
      <c r="F746" s="1">
        <f>_xlfn.XLOOKUP(payments_raw[[#This Row],[subscription_id]], subscriptions[subscription_id], subscriptions[start_date])</f>
        <v>44961</v>
      </c>
      <c r="G7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6" s="2">
        <f>IF(payments_raw[[#This Row],[payment_date]] &lt; payments_raw[[#This Row],[sub_start_date]], 1, 0)</f>
        <v>0</v>
      </c>
      <c r="I746" s="2">
        <f>IF(AND(payments_raw[[#This Row],[sub_end_date]]&lt;&gt;"", payments_raw[[#This Row],[payment_date]] &gt; payments_raw[[#This Row],[sub_end_date]]), 1, 0)</f>
        <v>0</v>
      </c>
      <c r="J746" s="2">
        <f>IF(payments_raw[[#This Row],[amount]] &lt;= 0, 1, 0)</f>
        <v>0</v>
      </c>
      <c r="K7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7" spans="1:11" x14ac:dyDescent="0.3">
      <c r="A747">
        <v>43932270</v>
      </c>
      <c r="B747">
        <v>2970130</v>
      </c>
      <c r="C747" s="1">
        <v>45590</v>
      </c>
      <c r="D747">
        <v>149</v>
      </c>
      <c r="E747">
        <f>IF(
  ISNA(
    _xlfn.XLOOKUP(
      payments_raw[[#This Row],[subscription_id]],
      subscriptions[subscription_id],
      subscriptions[subscription_id]
    )
  ),
  0,
  1
)</f>
        <v>1</v>
      </c>
      <c r="F747" s="1">
        <f>_xlfn.XLOOKUP(payments_raw[[#This Row],[subscription_id]], subscriptions[subscription_id], subscriptions[start_date])</f>
        <v>45455</v>
      </c>
      <c r="G7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7" s="2">
        <f>IF(payments_raw[[#This Row],[payment_date]] &lt; payments_raw[[#This Row],[sub_start_date]], 1, 0)</f>
        <v>0</v>
      </c>
      <c r="I747" s="2">
        <f>IF(AND(payments_raw[[#This Row],[sub_end_date]]&lt;&gt;"", payments_raw[[#This Row],[payment_date]] &gt; payments_raw[[#This Row],[sub_end_date]]), 1, 0)</f>
        <v>0</v>
      </c>
      <c r="J747" s="2">
        <f>IF(payments_raw[[#This Row],[amount]] &lt;= 0, 1, 0)</f>
        <v>0</v>
      </c>
      <c r="K7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8" spans="1:11" x14ac:dyDescent="0.3">
      <c r="A748">
        <v>84597332</v>
      </c>
      <c r="B748">
        <v>2426723</v>
      </c>
      <c r="C748" s="1">
        <v>45590</v>
      </c>
      <c r="D748">
        <v>190</v>
      </c>
      <c r="E748">
        <f>IF(
  ISNA(
    _xlfn.XLOOKUP(
      payments_raw[[#This Row],[subscription_id]],
      subscriptions[subscription_id],
      subscriptions[subscription_id]
    )
  ),
  0,
  1
)</f>
        <v>1</v>
      </c>
      <c r="F748" s="1">
        <f>_xlfn.XLOOKUP(payments_raw[[#This Row],[subscription_id]], subscriptions[subscription_id], subscriptions[start_date])</f>
        <v>44653</v>
      </c>
      <c r="G7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8" s="2">
        <f>IF(payments_raw[[#This Row],[payment_date]] &lt; payments_raw[[#This Row],[sub_start_date]], 1, 0)</f>
        <v>0</v>
      </c>
      <c r="I748" s="2">
        <f>IF(AND(payments_raw[[#This Row],[sub_end_date]]&lt;&gt;"", payments_raw[[#This Row],[payment_date]] &gt; payments_raw[[#This Row],[sub_end_date]]), 1, 0)</f>
        <v>0</v>
      </c>
      <c r="J748" s="2">
        <f>IF(payments_raw[[#This Row],[amount]] &lt;= 0, 1, 0)</f>
        <v>0</v>
      </c>
      <c r="K7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49" spans="1:11" x14ac:dyDescent="0.3">
      <c r="A749">
        <v>10667294</v>
      </c>
      <c r="B749">
        <v>3728089</v>
      </c>
      <c r="C749" s="1">
        <v>45316</v>
      </c>
      <c r="D749">
        <v>79</v>
      </c>
      <c r="E749">
        <f>IF(
  ISNA(
    _xlfn.XLOOKUP(
      payments_raw[[#This Row],[subscription_id]],
      subscriptions[subscription_id],
      subscriptions[subscription_id]
    )
  ),
  0,
  1
)</f>
        <v>1</v>
      </c>
      <c r="F749" s="1">
        <f>_xlfn.XLOOKUP(payments_raw[[#This Row],[subscription_id]], subscriptions[subscription_id], subscriptions[start_date])</f>
        <v>45183</v>
      </c>
      <c r="G7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49" s="2">
        <f>IF(payments_raw[[#This Row],[payment_date]] &lt; payments_raw[[#This Row],[sub_start_date]], 1, 0)</f>
        <v>0</v>
      </c>
      <c r="I749" s="2">
        <f>IF(AND(payments_raw[[#This Row],[sub_end_date]]&lt;&gt;"", payments_raw[[#This Row],[payment_date]] &gt; payments_raw[[#This Row],[sub_end_date]]), 1, 0)</f>
        <v>0</v>
      </c>
      <c r="J749" s="2">
        <f>IF(payments_raw[[#This Row],[amount]] &lt;= 0, 1, 0)</f>
        <v>0</v>
      </c>
      <c r="K7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0" spans="1:11" x14ac:dyDescent="0.3">
      <c r="A750">
        <v>44716975</v>
      </c>
      <c r="B750">
        <v>3209515</v>
      </c>
      <c r="C750" s="1">
        <v>45419</v>
      </c>
      <c r="D750">
        <v>299</v>
      </c>
      <c r="E750">
        <f>IF(
  ISNA(
    _xlfn.XLOOKUP(
      payments_raw[[#This Row],[subscription_id]],
      subscriptions[subscription_id],
      subscriptions[subscription_id]
    )
  ),
  0,
  1
)</f>
        <v>1</v>
      </c>
      <c r="F750" s="1">
        <f>_xlfn.XLOOKUP(payments_raw[[#This Row],[subscription_id]], subscriptions[subscription_id], subscriptions[start_date])</f>
        <v>45337</v>
      </c>
      <c r="G7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750" s="2">
        <f>IF(payments_raw[[#This Row],[payment_date]] &lt; payments_raw[[#This Row],[sub_start_date]], 1, 0)</f>
        <v>0</v>
      </c>
      <c r="I750" s="2">
        <f>IF(AND(payments_raw[[#This Row],[sub_end_date]]&lt;&gt;"", payments_raw[[#This Row],[payment_date]] &gt; payments_raw[[#This Row],[sub_end_date]]), 1, 0)</f>
        <v>0</v>
      </c>
      <c r="J750" s="2">
        <f>IF(payments_raw[[#This Row],[amount]] &lt;= 0, 1, 0)</f>
        <v>0</v>
      </c>
      <c r="K7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1" spans="1:11" x14ac:dyDescent="0.3">
      <c r="A751">
        <v>73571122</v>
      </c>
      <c r="B751">
        <v>5269818</v>
      </c>
      <c r="C751" s="1">
        <v>45321</v>
      </c>
      <c r="D751">
        <v>79</v>
      </c>
      <c r="E751">
        <f>IF(
  ISNA(
    _xlfn.XLOOKUP(
      payments_raw[[#This Row],[subscription_id]],
      subscriptions[subscription_id],
      subscriptions[subscription_id]
    )
  ),
  0,
  1
)</f>
        <v>1</v>
      </c>
      <c r="F751" s="1">
        <f>_xlfn.XLOOKUP(payments_raw[[#This Row],[subscription_id]], subscriptions[subscription_id], subscriptions[start_date])</f>
        <v>44811</v>
      </c>
      <c r="G7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1" s="2">
        <f>IF(payments_raw[[#This Row],[payment_date]] &lt; payments_raw[[#This Row],[sub_start_date]], 1, 0)</f>
        <v>0</v>
      </c>
      <c r="I751" s="2">
        <f>IF(AND(payments_raw[[#This Row],[sub_end_date]]&lt;&gt;"", payments_raw[[#This Row],[payment_date]] &gt; payments_raw[[#This Row],[sub_end_date]]), 1, 0)</f>
        <v>0</v>
      </c>
      <c r="J751" s="2">
        <f>IF(payments_raw[[#This Row],[amount]] &lt;= 0, 1, 0)</f>
        <v>0</v>
      </c>
      <c r="K7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2" spans="1:11" x14ac:dyDescent="0.3">
      <c r="A752">
        <v>43422272</v>
      </c>
      <c r="B752">
        <v>2421764</v>
      </c>
      <c r="C752" s="1">
        <v>45404</v>
      </c>
      <c r="D752">
        <v>790</v>
      </c>
      <c r="E752">
        <f>IF(
  ISNA(
    _xlfn.XLOOKUP(
      payments_raw[[#This Row],[subscription_id]],
      subscriptions[subscription_id],
      subscriptions[subscription_id]
    )
  ),
  0,
  1
)</f>
        <v>1</v>
      </c>
      <c r="F752" s="1">
        <f>_xlfn.XLOOKUP(payments_raw[[#This Row],[subscription_id]], subscriptions[subscription_id], subscriptions[start_date])</f>
        <v>44876</v>
      </c>
      <c r="G7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2" s="2">
        <f>IF(payments_raw[[#This Row],[payment_date]] &lt; payments_raw[[#This Row],[sub_start_date]], 1, 0)</f>
        <v>0</v>
      </c>
      <c r="I752" s="2">
        <f>IF(AND(payments_raw[[#This Row],[sub_end_date]]&lt;&gt;"", payments_raw[[#This Row],[payment_date]] &gt; payments_raw[[#This Row],[sub_end_date]]), 1, 0)</f>
        <v>0</v>
      </c>
      <c r="J752" s="2">
        <f>IF(payments_raw[[#This Row],[amount]] &lt;= 0, 1, 0)</f>
        <v>0</v>
      </c>
      <c r="K7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3" spans="1:11" x14ac:dyDescent="0.3">
      <c r="A753">
        <v>35190520</v>
      </c>
      <c r="B753">
        <v>1688736</v>
      </c>
      <c r="C753" s="1">
        <v>45626</v>
      </c>
      <c r="D753">
        <v>790</v>
      </c>
      <c r="E753">
        <f>IF(
  ISNA(
    _xlfn.XLOOKUP(
      payments_raw[[#This Row],[subscription_id]],
      subscriptions[subscription_id],
      subscriptions[subscription_id]
    )
  ),
  0,
  1
)</f>
        <v>1</v>
      </c>
      <c r="F753" s="1">
        <f>_xlfn.XLOOKUP(payments_raw[[#This Row],[subscription_id]], subscriptions[subscription_id], subscriptions[start_date])</f>
        <v>45593</v>
      </c>
      <c r="G7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753" s="2">
        <f>IF(payments_raw[[#This Row],[payment_date]] &lt; payments_raw[[#This Row],[sub_start_date]], 1, 0)</f>
        <v>0</v>
      </c>
      <c r="I753" s="2">
        <f>IF(AND(payments_raw[[#This Row],[sub_end_date]]&lt;&gt;"", payments_raw[[#This Row],[payment_date]] &gt; payments_raw[[#This Row],[sub_end_date]]), 1, 0)</f>
        <v>0</v>
      </c>
      <c r="J753" s="2">
        <f>IF(payments_raw[[#This Row],[amount]] &lt;= 0, 1, 0)</f>
        <v>0</v>
      </c>
      <c r="K7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4" spans="1:11" x14ac:dyDescent="0.3">
      <c r="A754">
        <v>63647995</v>
      </c>
      <c r="B754">
        <v>1028160</v>
      </c>
      <c r="C754" s="1">
        <v>45335</v>
      </c>
      <c r="D754">
        <v>79</v>
      </c>
      <c r="E754">
        <f>IF(
  ISNA(
    _xlfn.XLOOKUP(
      payments_raw[[#This Row],[subscription_id]],
      subscriptions[subscription_id],
      subscriptions[subscription_id]
    )
  ),
  0,
  1
)</f>
        <v>1</v>
      </c>
      <c r="F754" s="1">
        <f>_xlfn.XLOOKUP(payments_raw[[#This Row],[subscription_id]], subscriptions[subscription_id], subscriptions[start_date])</f>
        <v>45198</v>
      </c>
      <c r="G7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4" s="2">
        <f>IF(payments_raw[[#This Row],[payment_date]] &lt; payments_raw[[#This Row],[sub_start_date]], 1, 0)</f>
        <v>0</v>
      </c>
      <c r="I754" s="2">
        <f>IF(AND(payments_raw[[#This Row],[sub_end_date]]&lt;&gt;"", payments_raw[[#This Row],[payment_date]] &gt; payments_raw[[#This Row],[sub_end_date]]), 1, 0)</f>
        <v>0</v>
      </c>
      <c r="J754" s="2">
        <f>IF(payments_raw[[#This Row],[amount]] &lt;= 0, 1, 0)</f>
        <v>0</v>
      </c>
      <c r="K7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5" spans="1:11" x14ac:dyDescent="0.3">
      <c r="A755">
        <v>18795362</v>
      </c>
      <c r="B755">
        <v>6415010</v>
      </c>
      <c r="C755" s="1">
        <v>44883</v>
      </c>
      <c r="D755">
        <v>79</v>
      </c>
      <c r="E755">
        <f>IF(
  ISNA(
    _xlfn.XLOOKUP(
      payments_raw[[#This Row],[subscription_id]],
      subscriptions[subscription_id],
      subscriptions[subscription_id]
    )
  ),
  0,
  1
)</f>
        <v>1</v>
      </c>
      <c r="F755" s="1">
        <f>_xlfn.XLOOKUP(payments_raw[[#This Row],[subscription_id]], subscriptions[subscription_id], subscriptions[start_date])</f>
        <v>44594</v>
      </c>
      <c r="G7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5" s="2">
        <f>IF(payments_raw[[#This Row],[payment_date]] &lt; payments_raw[[#This Row],[sub_start_date]], 1, 0)</f>
        <v>0</v>
      </c>
      <c r="I755" s="2">
        <f>IF(AND(payments_raw[[#This Row],[sub_end_date]]&lt;&gt;"", payments_raw[[#This Row],[payment_date]] &gt; payments_raw[[#This Row],[sub_end_date]]), 1, 0)</f>
        <v>0</v>
      </c>
      <c r="J755" s="2">
        <f>IF(payments_raw[[#This Row],[amount]] &lt;= 0, 1, 0)</f>
        <v>0</v>
      </c>
      <c r="K7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6" spans="1:11" x14ac:dyDescent="0.3">
      <c r="A756">
        <v>93090797</v>
      </c>
      <c r="B756">
        <v>2741350</v>
      </c>
      <c r="C756" s="1">
        <v>45342</v>
      </c>
      <c r="D756">
        <v>190</v>
      </c>
      <c r="E756">
        <f>IF(
  ISNA(
    _xlfn.XLOOKUP(
      payments_raw[[#This Row],[subscription_id]],
      subscriptions[subscription_id],
      subscriptions[subscription_id]
    )
  ),
  0,
  1
)</f>
        <v>1</v>
      </c>
      <c r="F756" s="1">
        <f>_xlfn.XLOOKUP(payments_raw[[#This Row],[subscription_id]], subscriptions[subscription_id], subscriptions[start_date])</f>
        <v>45040</v>
      </c>
      <c r="G7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6" s="2">
        <f>IF(payments_raw[[#This Row],[payment_date]] &lt; payments_raw[[#This Row],[sub_start_date]], 1, 0)</f>
        <v>0</v>
      </c>
      <c r="I756" s="2">
        <f>IF(AND(payments_raw[[#This Row],[sub_end_date]]&lt;&gt;"", payments_raw[[#This Row],[payment_date]] &gt; payments_raw[[#This Row],[sub_end_date]]), 1, 0)</f>
        <v>0</v>
      </c>
      <c r="J756" s="2">
        <f>IF(payments_raw[[#This Row],[amount]] &lt;= 0, 1, 0)</f>
        <v>0</v>
      </c>
      <c r="K7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7" spans="1:11" x14ac:dyDescent="0.3">
      <c r="A757">
        <v>80024539</v>
      </c>
      <c r="B757">
        <v>4515255</v>
      </c>
      <c r="C757" s="1">
        <v>45396</v>
      </c>
      <c r="D757">
        <v>19</v>
      </c>
      <c r="E757">
        <f>IF(
  ISNA(
    _xlfn.XLOOKUP(
      payments_raw[[#This Row],[subscription_id]],
      subscriptions[subscription_id],
      subscriptions[subscription_id]
    )
  ),
  0,
  1
)</f>
        <v>1</v>
      </c>
      <c r="F757" s="1">
        <f>_xlfn.XLOOKUP(payments_raw[[#This Row],[subscription_id]], subscriptions[subscription_id], subscriptions[start_date])</f>
        <v>45377</v>
      </c>
      <c r="G7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45410</v>
      </c>
      <c r="H757" s="2">
        <f>IF(payments_raw[[#This Row],[payment_date]] &lt; payments_raw[[#This Row],[sub_start_date]], 1, 0)</f>
        <v>0</v>
      </c>
      <c r="I757" s="2">
        <f>IF(AND(payments_raw[[#This Row],[sub_end_date]]&lt;&gt;"", payments_raw[[#This Row],[payment_date]] &gt; payments_raw[[#This Row],[sub_end_date]]), 1, 0)</f>
        <v>0</v>
      </c>
      <c r="J757" s="2">
        <f>IF(payments_raw[[#This Row],[amount]] &lt;= 0, 1, 0)</f>
        <v>0</v>
      </c>
      <c r="K7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8" spans="1:11" x14ac:dyDescent="0.3">
      <c r="A758">
        <v>31285974</v>
      </c>
      <c r="B758">
        <v>5880999</v>
      </c>
      <c r="C758" s="1">
        <v>45131</v>
      </c>
      <c r="D758">
        <v>299</v>
      </c>
      <c r="E758">
        <f>IF(
  ISNA(
    _xlfn.XLOOKUP(
      payments_raw[[#This Row],[subscription_id]],
      subscriptions[subscription_id],
      subscriptions[subscription_id]
    )
  ),
  0,
  1
)</f>
        <v>1</v>
      </c>
      <c r="F758" s="1">
        <f>_xlfn.XLOOKUP(payments_raw[[#This Row],[subscription_id]], subscriptions[subscription_id], subscriptions[start_date])</f>
        <v>45110</v>
      </c>
      <c r="G7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58" s="2">
        <f>IF(payments_raw[[#This Row],[payment_date]] &lt; payments_raw[[#This Row],[sub_start_date]], 1, 0)</f>
        <v>0</v>
      </c>
      <c r="I758" s="2">
        <f>IF(AND(payments_raw[[#This Row],[sub_end_date]]&lt;&gt;"", payments_raw[[#This Row],[payment_date]] &gt; payments_raw[[#This Row],[sub_end_date]]), 1, 0)</f>
        <v>0</v>
      </c>
      <c r="J758" s="2">
        <f>IF(payments_raw[[#This Row],[amount]] &lt;= 0, 1, 0)</f>
        <v>0</v>
      </c>
      <c r="K7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59" spans="1:11" x14ac:dyDescent="0.3">
      <c r="A759">
        <v>66344563</v>
      </c>
      <c r="B759">
        <v>8942696</v>
      </c>
      <c r="C759" s="1">
        <v>45468</v>
      </c>
      <c r="D759">
        <v>79</v>
      </c>
      <c r="E759">
        <f>IF(
  ISNA(
    _xlfn.XLOOKUP(
      payments_raw[[#This Row],[subscription_id]],
      subscriptions[subscription_id],
      subscriptions[subscription_id]
    )
  ),
  0,
  1
)</f>
        <v>1</v>
      </c>
      <c r="F759" s="1">
        <f>_xlfn.XLOOKUP(payments_raw[[#This Row],[subscription_id]], subscriptions[subscription_id], subscriptions[start_date])</f>
        <v>45275</v>
      </c>
      <c r="G7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45505</v>
      </c>
      <c r="H759" s="2">
        <f>IF(payments_raw[[#This Row],[payment_date]] &lt; payments_raw[[#This Row],[sub_start_date]], 1, 0)</f>
        <v>0</v>
      </c>
      <c r="I759" s="2">
        <f>IF(AND(payments_raw[[#This Row],[sub_end_date]]&lt;&gt;"", payments_raw[[#This Row],[payment_date]] &gt; payments_raw[[#This Row],[sub_end_date]]), 1, 0)</f>
        <v>0</v>
      </c>
      <c r="J759" s="2">
        <f>IF(payments_raw[[#This Row],[amount]] &lt;= 0, 1, 0)</f>
        <v>0</v>
      </c>
      <c r="K7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0" spans="1:11" x14ac:dyDescent="0.3">
      <c r="A760">
        <v>59426552</v>
      </c>
      <c r="B760">
        <v>1443289</v>
      </c>
      <c r="C760" s="1">
        <v>45608</v>
      </c>
      <c r="D760">
        <v>149</v>
      </c>
      <c r="E760">
        <f>IF(
  ISNA(
    _xlfn.XLOOKUP(
      payments_raw[[#This Row],[subscription_id]],
      subscriptions[subscription_id],
      subscriptions[subscription_id]
    )
  ),
  0,
  1
)</f>
        <v>1</v>
      </c>
      <c r="F760" s="1">
        <f>_xlfn.XLOOKUP(payments_raw[[#This Row],[subscription_id]], subscriptions[subscription_id], subscriptions[start_date])</f>
        <v>45424</v>
      </c>
      <c r="G7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60" s="2">
        <f>IF(payments_raw[[#This Row],[payment_date]] &lt; payments_raw[[#This Row],[sub_start_date]], 1, 0)</f>
        <v>0</v>
      </c>
      <c r="I760" s="2">
        <f>IF(AND(payments_raw[[#This Row],[sub_end_date]]&lt;&gt;"", payments_raw[[#This Row],[payment_date]] &gt; payments_raw[[#This Row],[sub_end_date]]), 1, 0)</f>
        <v>0</v>
      </c>
      <c r="J760" s="2">
        <f>IF(payments_raw[[#This Row],[amount]] &lt;= 0, 1, 0)</f>
        <v>0</v>
      </c>
      <c r="K7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1" spans="1:11" x14ac:dyDescent="0.3">
      <c r="A761">
        <v>80910050</v>
      </c>
      <c r="B761">
        <v>8660865</v>
      </c>
      <c r="C761" s="1">
        <v>45522</v>
      </c>
      <c r="D761">
        <v>19</v>
      </c>
      <c r="E761">
        <f>IF(
  ISNA(
    _xlfn.XLOOKUP(
      payments_raw[[#This Row],[subscription_id]],
      subscriptions[subscription_id],
      subscriptions[subscription_id]
    )
  ),
  0,
  1
)</f>
        <v>1</v>
      </c>
      <c r="F761" s="1">
        <f>_xlfn.XLOOKUP(payments_raw[[#This Row],[subscription_id]], subscriptions[subscription_id], subscriptions[start_date])</f>
        <v>45081</v>
      </c>
      <c r="G7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61" s="2">
        <f>IF(payments_raw[[#This Row],[payment_date]] &lt; payments_raw[[#This Row],[sub_start_date]], 1, 0)</f>
        <v>0</v>
      </c>
      <c r="I761" s="2">
        <f>IF(AND(payments_raw[[#This Row],[sub_end_date]]&lt;&gt;"", payments_raw[[#This Row],[payment_date]] &gt; payments_raw[[#This Row],[sub_end_date]]), 1, 0)</f>
        <v>0</v>
      </c>
      <c r="J761" s="2">
        <f>IF(payments_raw[[#This Row],[amount]] &lt;= 0, 1, 0)</f>
        <v>0</v>
      </c>
      <c r="K7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2" spans="1:11" x14ac:dyDescent="0.3">
      <c r="A762">
        <v>51551799</v>
      </c>
      <c r="B762">
        <v>4867751</v>
      </c>
      <c r="C762" s="1">
        <v>45250</v>
      </c>
      <c r="D762">
        <v>39.5</v>
      </c>
      <c r="E762">
        <f>IF(
  ISNA(
    _xlfn.XLOOKUP(
      payments_raw[[#This Row],[subscription_id]],
      subscriptions[subscription_id],
      subscriptions[subscription_id]
    )
  ),
  0,
  1
)</f>
        <v>1</v>
      </c>
      <c r="F762" s="1">
        <f>_xlfn.XLOOKUP(payments_raw[[#This Row],[subscription_id]], subscriptions[subscription_id], subscriptions[start_date])</f>
        <v>45186</v>
      </c>
      <c r="G7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45323</v>
      </c>
      <c r="H762" s="2">
        <f>IF(payments_raw[[#This Row],[payment_date]] &lt; payments_raw[[#This Row],[sub_start_date]], 1, 0)</f>
        <v>0</v>
      </c>
      <c r="I762" s="2">
        <f>IF(AND(payments_raw[[#This Row],[sub_end_date]]&lt;&gt;"", payments_raw[[#This Row],[payment_date]] &gt; payments_raw[[#This Row],[sub_end_date]]), 1, 0)</f>
        <v>0</v>
      </c>
      <c r="J762" s="2">
        <f>IF(payments_raw[[#This Row],[amount]] &lt;= 0, 1, 0)</f>
        <v>0</v>
      </c>
      <c r="K7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3" spans="1:11" x14ac:dyDescent="0.3">
      <c r="A763">
        <v>62369622</v>
      </c>
      <c r="B763">
        <v>9176462</v>
      </c>
      <c r="C763" s="1">
        <v>45570</v>
      </c>
      <c r="D763">
        <v>790</v>
      </c>
      <c r="E763">
        <f>IF(
  ISNA(
    _xlfn.XLOOKUP(
      payments_raw[[#This Row],[subscription_id]],
      subscriptions[subscription_id],
      subscriptions[subscription_id]
    )
  ),
  0,
  1
)</f>
        <v>1</v>
      </c>
      <c r="F763" s="1">
        <f>_xlfn.XLOOKUP(payments_raw[[#This Row],[subscription_id]], subscriptions[subscription_id], subscriptions[start_date])</f>
        <v>45496</v>
      </c>
      <c r="G7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763" s="2">
        <f>IF(payments_raw[[#This Row],[payment_date]] &lt; payments_raw[[#This Row],[sub_start_date]], 1, 0)</f>
        <v>0</v>
      </c>
      <c r="I763" s="2">
        <f>IF(AND(payments_raw[[#This Row],[sub_end_date]]&lt;&gt;"", payments_raw[[#This Row],[payment_date]] &gt; payments_raw[[#This Row],[sub_end_date]]), 1, 0)</f>
        <v>0</v>
      </c>
      <c r="J763" s="2">
        <f>IF(payments_raw[[#This Row],[amount]] &lt;= 0, 1, 0)</f>
        <v>0</v>
      </c>
      <c r="K7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4" spans="1:11" x14ac:dyDescent="0.3">
      <c r="A764">
        <v>94776255</v>
      </c>
      <c r="B764">
        <v>4686979</v>
      </c>
      <c r="C764" s="1">
        <v>44781</v>
      </c>
      <c r="D764">
        <v>2990</v>
      </c>
      <c r="E764">
        <f>IF(
  ISNA(
    _xlfn.XLOOKUP(
      payments_raw[[#This Row],[subscription_id]],
      subscriptions[subscription_id],
      subscriptions[subscription_id]
    )
  ),
  0,
  1
)</f>
        <v>1</v>
      </c>
      <c r="F764" s="1">
        <f>_xlfn.XLOOKUP(payments_raw[[#This Row],[subscription_id]], subscriptions[subscription_id], subscriptions[start_date])</f>
        <v>44732</v>
      </c>
      <c r="G76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44826</v>
      </c>
      <c r="H764" s="2">
        <f>IF(payments_raw[[#This Row],[payment_date]] &lt; payments_raw[[#This Row],[sub_start_date]], 1, 0)</f>
        <v>0</v>
      </c>
      <c r="I764" s="2">
        <f>IF(AND(payments_raw[[#This Row],[sub_end_date]]&lt;&gt;"", payments_raw[[#This Row],[payment_date]] &gt; payments_raw[[#This Row],[sub_end_date]]), 1, 0)</f>
        <v>0</v>
      </c>
      <c r="J764" s="2">
        <f>IF(payments_raw[[#This Row],[amount]] &lt;= 0, 1, 0)</f>
        <v>0</v>
      </c>
      <c r="K7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5" spans="1:11" x14ac:dyDescent="0.3">
      <c r="A765">
        <v>60152461</v>
      </c>
      <c r="B765">
        <v>4673044</v>
      </c>
      <c r="C765" s="1">
        <v>44866</v>
      </c>
      <c r="D765">
        <v>1490</v>
      </c>
      <c r="E765">
        <f>IF(
  ISNA(
    _xlfn.XLOOKUP(
      payments_raw[[#This Row],[subscription_id]],
      subscriptions[subscription_id],
      subscriptions[subscription_id]
    )
  ),
  0,
  1
)</f>
        <v>1</v>
      </c>
      <c r="F765" s="1">
        <f>_xlfn.XLOOKUP(payments_raw[[#This Row],[subscription_id]], subscriptions[subscription_id], subscriptions[start_date])</f>
        <v>44792</v>
      </c>
      <c r="G76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765" s="2">
        <f>IF(payments_raw[[#This Row],[payment_date]] &lt; payments_raw[[#This Row],[sub_start_date]], 1, 0)</f>
        <v>0</v>
      </c>
      <c r="I765" s="2">
        <f>IF(AND(payments_raw[[#This Row],[sub_end_date]]&lt;&gt;"", payments_raw[[#This Row],[payment_date]] &gt; payments_raw[[#This Row],[sub_end_date]]), 1, 0)</f>
        <v>0</v>
      </c>
      <c r="J765" s="2">
        <f>IF(payments_raw[[#This Row],[amount]] &lt;= 0, 1, 0)</f>
        <v>0</v>
      </c>
      <c r="K7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6" spans="1:11" x14ac:dyDescent="0.3">
      <c r="A766">
        <v>15679986</v>
      </c>
      <c r="B766">
        <v>2503425</v>
      </c>
      <c r="C766" s="1">
        <v>45558</v>
      </c>
      <c r="D766">
        <v>390</v>
      </c>
      <c r="E766">
        <f>IF(
  ISNA(
    _xlfn.XLOOKUP(
      payments_raw[[#This Row],[subscription_id]],
      subscriptions[subscription_id],
      subscriptions[subscription_id]
    )
  ),
  0,
  1
)</f>
        <v>1</v>
      </c>
      <c r="F766" s="1">
        <f>_xlfn.XLOOKUP(payments_raw[[#This Row],[subscription_id]], subscriptions[subscription_id], subscriptions[start_date])</f>
        <v>45511</v>
      </c>
      <c r="G7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766" s="2">
        <f>IF(payments_raw[[#This Row],[payment_date]] &lt; payments_raw[[#This Row],[sub_start_date]], 1, 0)</f>
        <v>0</v>
      </c>
      <c r="I766" s="2">
        <f>IF(AND(payments_raw[[#This Row],[sub_end_date]]&lt;&gt;"", payments_raw[[#This Row],[payment_date]] &gt; payments_raw[[#This Row],[sub_end_date]]), 1, 0)</f>
        <v>0</v>
      </c>
      <c r="J766" s="2">
        <f>IF(payments_raw[[#This Row],[amount]] &lt;= 0, 1, 0)</f>
        <v>0</v>
      </c>
      <c r="K7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7" spans="1:11" x14ac:dyDescent="0.3">
      <c r="A767">
        <v>40746470</v>
      </c>
      <c r="B767">
        <v>2685367</v>
      </c>
      <c r="C767" s="1">
        <v>45538</v>
      </c>
      <c r="D767">
        <v>190</v>
      </c>
      <c r="E767">
        <f>IF(
  ISNA(
    _xlfn.XLOOKUP(
      payments_raw[[#This Row],[subscription_id]],
      subscriptions[subscription_id],
      subscriptions[subscription_id]
    )
  ),
  0,
  1
)</f>
        <v>1</v>
      </c>
      <c r="F767" s="1">
        <f>_xlfn.XLOOKUP(payments_raw[[#This Row],[subscription_id]], subscriptions[subscription_id], subscriptions[start_date])</f>
        <v>45350</v>
      </c>
      <c r="G7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67" s="2">
        <f>IF(payments_raw[[#This Row],[payment_date]] &lt; payments_raw[[#This Row],[sub_start_date]], 1, 0)</f>
        <v>0</v>
      </c>
      <c r="I767" s="2">
        <f>IF(AND(payments_raw[[#This Row],[sub_end_date]]&lt;&gt;"", payments_raw[[#This Row],[payment_date]] &gt; payments_raw[[#This Row],[sub_end_date]]), 1, 0)</f>
        <v>0</v>
      </c>
      <c r="J767" s="2">
        <f>IF(payments_raw[[#This Row],[amount]] &lt;= 0, 1, 0)</f>
        <v>0</v>
      </c>
      <c r="K7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8" spans="1:11" x14ac:dyDescent="0.3">
      <c r="A768">
        <v>35092717</v>
      </c>
      <c r="B768">
        <v>6583476</v>
      </c>
      <c r="C768" s="1">
        <v>45170</v>
      </c>
      <c r="D768">
        <v>299</v>
      </c>
      <c r="E768">
        <f>IF(
  ISNA(
    _xlfn.XLOOKUP(
      payments_raw[[#This Row],[subscription_id]],
      subscriptions[subscription_id],
      subscriptions[subscription_id]
    )
  ),
  0,
  1
)</f>
        <v>1</v>
      </c>
      <c r="F768" s="1">
        <f>_xlfn.XLOOKUP(payments_raw[[#This Row],[subscription_id]], subscriptions[subscription_id], subscriptions[start_date])</f>
        <v>45020</v>
      </c>
      <c r="G7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768" s="2">
        <f>IF(payments_raw[[#This Row],[payment_date]] &lt; payments_raw[[#This Row],[sub_start_date]], 1, 0)</f>
        <v>0</v>
      </c>
      <c r="I768" s="2">
        <f>IF(AND(payments_raw[[#This Row],[sub_end_date]]&lt;&gt;"", payments_raw[[#This Row],[payment_date]] &gt; payments_raw[[#This Row],[sub_end_date]]), 1, 0)</f>
        <v>0</v>
      </c>
      <c r="J768" s="2">
        <f>IF(payments_raw[[#This Row],[amount]] &lt;= 0, 1, 0)</f>
        <v>0</v>
      </c>
      <c r="K7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69" spans="1:11" x14ac:dyDescent="0.3">
      <c r="A769">
        <v>13122454</v>
      </c>
      <c r="B769">
        <v>9024252</v>
      </c>
      <c r="C769" s="1">
        <v>45089</v>
      </c>
      <c r="D769">
        <v>790</v>
      </c>
      <c r="E769">
        <f>IF(
  ISNA(
    _xlfn.XLOOKUP(
      payments_raw[[#This Row],[subscription_id]],
      subscriptions[subscription_id],
      subscriptions[subscription_id]
    )
  ),
  0,
  1
)</f>
        <v>1</v>
      </c>
      <c r="F769" s="1">
        <f>_xlfn.XLOOKUP(payments_raw[[#This Row],[subscription_id]], subscriptions[subscription_id], subscriptions[start_date])</f>
        <v>45003</v>
      </c>
      <c r="G7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69" s="2">
        <f>IF(payments_raw[[#This Row],[payment_date]] &lt; payments_raw[[#This Row],[sub_start_date]], 1, 0)</f>
        <v>0</v>
      </c>
      <c r="I769" s="2">
        <f>IF(AND(payments_raw[[#This Row],[sub_end_date]]&lt;&gt;"", payments_raw[[#This Row],[payment_date]] &gt; payments_raw[[#This Row],[sub_end_date]]), 1, 0)</f>
        <v>0</v>
      </c>
      <c r="J769" s="2">
        <f>IF(payments_raw[[#This Row],[amount]] &lt;= 0, 1, 0)</f>
        <v>0</v>
      </c>
      <c r="K7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0" spans="1:11" x14ac:dyDescent="0.3">
      <c r="A770">
        <v>51302750</v>
      </c>
      <c r="B770">
        <v>5264422</v>
      </c>
      <c r="C770" s="1">
        <v>45485</v>
      </c>
      <c r="D770">
        <v>790</v>
      </c>
      <c r="E770">
        <f>IF(
  ISNA(
    _xlfn.XLOOKUP(
      payments_raw[[#This Row],[subscription_id]],
      subscriptions[subscription_id],
      subscriptions[subscription_id]
    )
  ),
  0,
  1
)</f>
        <v>1</v>
      </c>
      <c r="F770" s="1">
        <f>_xlfn.XLOOKUP(payments_raw[[#This Row],[subscription_id]], subscriptions[subscription_id], subscriptions[start_date])</f>
        <v>45433</v>
      </c>
      <c r="G7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45536</v>
      </c>
      <c r="H770" s="2">
        <f>IF(payments_raw[[#This Row],[payment_date]] &lt; payments_raw[[#This Row],[sub_start_date]], 1, 0)</f>
        <v>0</v>
      </c>
      <c r="I770" s="2">
        <f>IF(AND(payments_raw[[#This Row],[sub_end_date]]&lt;&gt;"", payments_raw[[#This Row],[payment_date]] &gt; payments_raw[[#This Row],[sub_end_date]]), 1, 0)</f>
        <v>0</v>
      </c>
      <c r="J770" s="2">
        <f>IF(payments_raw[[#This Row],[amount]] &lt;= 0, 1, 0)</f>
        <v>0</v>
      </c>
      <c r="K7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1" spans="1:11" x14ac:dyDescent="0.3">
      <c r="A771">
        <v>49003774</v>
      </c>
      <c r="B771">
        <v>4617421</v>
      </c>
      <c r="C771" s="1">
        <v>45103</v>
      </c>
      <c r="D771">
        <v>39</v>
      </c>
      <c r="E771">
        <f>IF(
  ISNA(
    _xlfn.XLOOKUP(
      payments_raw[[#This Row],[subscription_id]],
      subscriptions[subscription_id],
      subscriptions[subscription_id]
    )
  ),
  0,
  1
)</f>
        <v>1</v>
      </c>
      <c r="F771" s="1">
        <f>_xlfn.XLOOKUP(payments_raw[[#This Row],[subscription_id]], subscriptions[subscription_id], subscriptions[start_date])</f>
        <v>45071</v>
      </c>
      <c r="G7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45119</v>
      </c>
      <c r="H771" s="2">
        <f>IF(payments_raw[[#This Row],[payment_date]] &lt; payments_raw[[#This Row],[sub_start_date]], 1, 0)</f>
        <v>0</v>
      </c>
      <c r="I771" s="2">
        <f>IF(AND(payments_raw[[#This Row],[sub_end_date]]&lt;&gt;"", payments_raw[[#This Row],[payment_date]] &gt; payments_raw[[#This Row],[sub_end_date]]), 1, 0)</f>
        <v>0</v>
      </c>
      <c r="J771" s="2">
        <f>IF(payments_raw[[#This Row],[amount]] &lt;= 0, 1, 0)</f>
        <v>0</v>
      </c>
      <c r="K7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2" spans="1:11" x14ac:dyDescent="0.3">
      <c r="A772">
        <v>81183035</v>
      </c>
      <c r="B772">
        <v>1666811</v>
      </c>
      <c r="C772" s="1">
        <v>45478</v>
      </c>
      <c r="D772">
        <v>19</v>
      </c>
      <c r="E772">
        <f>IF(
  ISNA(
    _xlfn.XLOOKUP(
      payments_raw[[#This Row],[subscription_id]],
      subscriptions[subscription_id],
      subscriptions[subscription_id]
    )
  ),
  0,
  1
)</f>
        <v>1</v>
      </c>
      <c r="F772" s="1">
        <f>_xlfn.XLOOKUP(payments_raw[[#This Row],[subscription_id]], subscriptions[subscription_id], subscriptions[start_date])</f>
        <v>44961</v>
      </c>
      <c r="G7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72" s="2">
        <f>IF(payments_raw[[#This Row],[payment_date]] &lt; payments_raw[[#This Row],[sub_start_date]], 1, 0)</f>
        <v>0</v>
      </c>
      <c r="I772" s="2">
        <f>IF(AND(payments_raw[[#This Row],[sub_end_date]]&lt;&gt;"", payments_raw[[#This Row],[payment_date]] &gt; payments_raw[[#This Row],[sub_end_date]]), 1, 0)</f>
        <v>0</v>
      </c>
      <c r="J772" s="2">
        <f>IF(payments_raw[[#This Row],[amount]] &lt;= 0, 1, 0)</f>
        <v>0</v>
      </c>
      <c r="K7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3" spans="1:11" x14ac:dyDescent="0.3">
      <c r="A773">
        <v>13018823</v>
      </c>
      <c r="B773">
        <v>2810792</v>
      </c>
      <c r="C773" s="1">
        <v>45237</v>
      </c>
      <c r="D773">
        <v>1490</v>
      </c>
      <c r="E773">
        <f>IF(
  ISNA(
    _xlfn.XLOOKUP(
      payments_raw[[#This Row],[subscription_id]],
      subscriptions[subscription_id],
      subscriptions[subscription_id]
    )
  ),
  0,
  1
)</f>
        <v>1</v>
      </c>
      <c r="F773" s="1">
        <f>_xlfn.XLOOKUP(payments_raw[[#This Row],[subscription_id]], subscriptions[subscription_id], subscriptions[start_date])</f>
        <v>45122</v>
      </c>
      <c r="G7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773" s="2">
        <f>IF(payments_raw[[#This Row],[payment_date]] &lt; payments_raw[[#This Row],[sub_start_date]], 1, 0)</f>
        <v>0</v>
      </c>
      <c r="I773" s="2">
        <f>IF(AND(payments_raw[[#This Row],[sub_end_date]]&lt;&gt;"", payments_raw[[#This Row],[payment_date]] &gt; payments_raw[[#This Row],[sub_end_date]]), 1, 0)</f>
        <v>0</v>
      </c>
      <c r="J773" s="2">
        <f>IF(payments_raw[[#This Row],[amount]] &lt;= 0, 1, 0)</f>
        <v>0</v>
      </c>
      <c r="K7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4" spans="1:11" x14ac:dyDescent="0.3">
      <c r="A774">
        <v>59442025</v>
      </c>
      <c r="B774">
        <v>8113803</v>
      </c>
      <c r="C774" s="1">
        <v>45223</v>
      </c>
      <c r="D774">
        <v>1490</v>
      </c>
      <c r="E774">
        <f>IF(
  ISNA(
    _xlfn.XLOOKUP(
      payments_raw[[#This Row],[subscription_id]],
      subscriptions[subscription_id],
      subscriptions[subscription_id]
    )
  ),
  0,
  1
)</f>
        <v>1</v>
      </c>
      <c r="F774" s="1">
        <f>_xlfn.XLOOKUP(payments_raw[[#This Row],[subscription_id]], subscriptions[subscription_id], subscriptions[start_date])</f>
        <v>44976</v>
      </c>
      <c r="G7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74" s="2">
        <f>IF(payments_raw[[#This Row],[payment_date]] &lt; payments_raw[[#This Row],[sub_start_date]], 1, 0)</f>
        <v>0</v>
      </c>
      <c r="I774" s="2">
        <f>IF(AND(payments_raw[[#This Row],[sub_end_date]]&lt;&gt;"", payments_raw[[#This Row],[payment_date]] &gt; payments_raw[[#This Row],[sub_end_date]]), 1, 0)</f>
        <v>0</v>
      </c>
      <c r="J774" s="2">
        <f>IF(payments_raw[[#This Row],[amount]] &lt;= 0, 1, 0)</f>
        <v>0</v>
      </c>
      <c r="K7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5" spans="1:11" x14ac:dyDescent="0.3">
      <c r="A775">
        <v>77239032</v>
      </c>
      <c r="B775">
        <v>3981886</v>
      </c>
      <c r="C775" s="1">
        <v>45435</v>
      </c>
      <c r="D775">
        <v>149</v>
      </c>
      <c r="E775">
        <f>IF(
  ISNA(
    _xlfn.XLOOKUP(
      payments_raw[[#This Row],[subscription_id]],
      subscriptions[subscription_id],
      subscriptions[subscription_id]
    )
  ),
  0,
  1
)</f>
        <v>1</v>
      </c>
      <c r="F775" s="1">
        <f>_xlfn.XLOOKUP(payments_raw[[#This Row],[subscription_id]], subscriptions[subscription_id], subscriptions[start_date])</f>
        <v>45369</v>
      </c>
      <c r="G7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775" s="2">
        <f>IF(payments_raw[[#This Row],[payment_date]] &lt; payments_raw[[#This Row],[sub_start_date]], 1, 0)</f>
        <v>0</v>
      </c>
      <c r="I775" s="2">
        <f>IF(AND(payments_raw[[#This Row],[sub_end_date]]&lt;&gt;"", payments_raw[[#This Row],[payment_date]] &gt; payments_raw[[#This Row],[sub_end_date]]), 1, 0)</f>
        <v>0</v>
      </c>
      <c r="J775" s="2">
        <f>IF(payments_raw[[#This Row],[amount]] &lt;= 0, 1, 0)</f>
        <v>0</v>
      </c>
      <c r="K7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6" spans="1:11" x14ac:dyDescent="0.3">
      <c r="A776">
        <v>46968017</v>
      </c>
      <c r="B776">
        <v>7064624</v>
      </c>
      <c r="C776" s="1">
        <v>45035</v>
      </c>
      <c r="D776">
        <v>790</v>
      </c>
      <c r="E776">
        <f>IF(
  ISNA(
    _xlfn.XLOOKUP(
      payments_raw[[#This Row],[subscription_id]],
      subscriptions[subscription_id],
      subscriptions[subscription_id]
    )
  ),
  0,
  1
)</f>
        <v>1</v>
      </c>
      <c r="F776" s="1">
        <f>_xlfn.XLOOKUP(payments_raw[[#This Row],[subscription_id]], subscriptions[subscription_id], subscriptions[start_date])</f>
        <v>44696</v>
      </c>
      <c r="G7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76" s="2">
        <f>IF(payments_raw[[#This Row],[payment_date]] &lt; payments_raw[[#This Row],[sub_start_date]], 1, 0)</f>
        <v>0</v>
      </c>
      <c r="I776" s="2">
        <f>IF(AND(payments_raw[[#This Row],[sub_end_date]]&lt;&gt;"", payments_raw[[#This Row],[payment_date]] &gt; payments_raw[[#This Row],[sub_end_date]]), 1, 0)</f>
        <v>0</v>
      </c>
      <c r="J776" s="2">
        <f>IF(payments_raw[[#This Row],[amount]] &lt;= 0, 1, 0)</f>
        <v>0</v>
      </c>
      <c r="K7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7" spans="1:11" x14ac:dyDescent="0.3">
      <c r="A777">
        <v>28019246</v>
      </c>
      <c r="B777">
        <v>4392572</v>
      </c>
      <c r="C777" s="1">
        <v>45108</v>
      </c>
      <c r="D777">
        <v>39</v>
      </c>
      <c r="E777">
        <f>IF(
  ISNA(
    _xlfn.XLOOKUP(
      payments_raw[[#This Row],[subscription_id]],
      subscriptions[subscription_id],
      subscriptions[subscription_id]
    )
  ),
  0,
  1
)</f>
        <v>1</v>
      </c>
      <c r="F777" s="1">
        <f>_xlfn.XLOOKUP(payments_raw[[#This Row],[subscription_id]], subscriptions[subscription_id], subscriptions[start_date])</f>
        <v>44989</v>
      </c>
      <c r="G7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45150</v>
      </c>
      <c r="H777" s="2">
        <f>IF(payments_raw[[#This Row],[payment_date]] &lt; payments_raw[[#This Row],[sub_start_date]], 1, 0)</f>
        <v>0</v>
      </c>
      <c r="I777" s="2">
        <f>IF(AND(payments_raw[[#This Row],[sub_end_date]]&lt;&gt;"", payments_raw[[#This Row],[payment_date]] &gt; payments_raw[[#This Row],[sub_end_date]]), 1, 0)</f>
        <v>0</v>
      </c>
      <c r="J777" s="2">
        <f>IF(payments_raw[[#This Row],[amount]] &lt;= 0, 1, 0)</f>
        <v>0</v>
      </c>
      <c r="K7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8" spans="1:11" x14ac:dyDescent="0.3">
      <c r="A778">
        <v>18258427</v>
      </c>
      <c r="B778">
        <v>9374022</v>
      </c>
      <c r="C778" s="1">
        <v>45582</v>
      </c>
      <c r="D778">
        <v>351</v>
      </c>
      <c r="E778">
        <f>IF(
  ISNA(
    _xlfn.XLOOKUP(
      payments_raw[[#This Row],[subscription_id]],
      subscriptions[subscription_id],
      subscriptions[subscription_id]
    )
  ),
  0,
  1
)</f>
        <v>1</v>
      </c>
      <c r="F778" s="1">
        <f>_xlfn.XLOOKUP(payments_raw[[#This Row],[subscription_id]], subscriptions[subscription_id], subscriptions[start_date])</f>
        <v>45495</v>
      </c>
      <c r="G7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78" s="2">
        <f>IF(payments_raw[[#This Row],[payment_date]] &lt; payments_raw[[#This Row],[sub_start_date]], 1, 0)</f>
        <v>0</v>
      </c>
      <c r="I778" s="2">
        <f>IF(AND(payments_raw[[#This Row],[sub_end_date]]&lt;&gt;"", payments_raw[[#This Row],[payment_date]] &gt; payments_raw[[#This Row],[sub_end_date]]), 1, 0)</f>
        <v>0</v>
      </c>
      <c r="J778" s="2">
        <f>IF(payments_raw[[#This Row],[amount]] &lt;= 0, 1, 0)</f>
        <v>0</v>
      </c>
      <c r="K7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79" spans="1:11" x14ac:dyDescent="0.3">
      <c r="A779">
        <v>95776038</v>
      </c>
      <c r="B779">
        <v>8335114</v>
      </c>
      <c r="C779" s="1">
        <v>44641</v>
      </c>
      <c r="D779">
        <v>299</v>
      </c>
      <c r="E779">
        <f>IF(
  ISNA(
    _xlfn.XLOOKUP(
      payments_raw[[#This Row],[subscription_id]],
      subscriptions[subscription_id],
      subscriptions[subscription_id]
    )
  ),
  0,
  1
)</f>
        <v>1</v>
      </c>
      <c r="F779" s="1">
        <f>_xlfn.XLOOKUP(payments_raw[[#This Row],[subscription_id]], subscriptions[subscription_id], subscriptions[start_date])</f>
        <v>44627</v>
      </c>
      <c r="G77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44824</v>
      </c>
      <c r="H779" s="2">
        <f>IF(payments_raw[[#This Row],[payment_date]] &lt; payments_raw[[#This Row],[sub_start_date]], 1, 0)</f>
        <v>0</v>
      </c>
      <c r="I779" s="2">
        <f>IF(AND(payments_raw[[#This Row],[sub_end_date]]&lt;&gt;"", payments_raw[[#This Row],[payment_date]] &gt; payments_raw[[#This Row],[sub_end_date]]), 1, 0)</f>
        <v>0</v>
      </c>
      <c r="J779" s="2">
        <f>IF(payments_raw[[#This Row],[amount]] &lt;= 0, 1, 0)</f>
        <v>0</v>
      </c>
      <c r="K7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0" spans="1:11" x14ac:dyDescent="0.3">
      <c r="A780">
        <v>49107858</v>
      </c>
      <c r="B780">
        <v>1510471</v>
      </c>
      <c r="C780" s="1">
        <v>45556</v>
      </c>
      <c r="D780">
        <v>19</v>
      </c>
      <c r="E780">
        <f>IF(
  ISNA(
    _xlfn.XLOOKUP(
      payments_raw[[#This Row],[subscription_id]],
      subscriptions[subscription_id],
      subscriptions[subscription_id]
    )
  ),
  0,
  1
)</f>
        <v>1</v>
      </c>
      <c r="F780" s="1">
        <f>_xlfn.XLOOKUP(payments_raw[[#This Row],[subscription_id]], subscriptions[subscription_id], subscriptions[start_date])</f>
        <v>45526</v>
      </c>
      <c r="G7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780" s="2">
        <f>IF(payments_raw[[#This Row],[payment_date]] &lt; payments_raw[[#This Row],[sub_start_date]], 1, 0)</f>
        <v>0</v>
      </c>
      <c r="I780" s="2">
        <f>IF(AND(payments_raw[[#This Row],[sub_end_date]]&lt;&gt;"", payments_raw[[#This Row],[payment_date]] &gt; payments_raw[[#This Row],[sub_end_date]]), 1, 0)</f>
        <v>0</v>
      </c>
      <c r="J780" s="2">
        <f>IF(payments_raw[[#This Row],[amount]] &lt;= 0, 1, 0)</f>
        <v>0</v>
      </c>
      <c r="K7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1" spans="1:11" x14ac:dyDescent="0.3">
      <c r="A781">
        <v>39008943</v>
      </c>
      <c r="B781">
        <v>1983550</v>
      </c>
      <c r="C781" s="1">
        <v>45571</v>
      </c>
      <c r="D781">
        <v>190</v>
      </c>
      <c r="E781">
        <f>IF(
  ISNA(
    _xlfn.XLOOKUP(
      payments_raw[[#This Row],[subscription_id]],
      subscriptions[subscription_id],
      subscriptions[subscription_id]
    )
  ),
  0,
  1
)</f>
        <v>1</v>
      </c>
      <c r="F781" s="1">
        <f>_xlfn.XLOOKUP(payments_raw[[#This Row],[subscription_id]], subscriptions[subscription_id], subscriptions[start_date])</f>
        <v>45545</v>
      </c>
      <c r="G7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781" s="2">
        <f>IF(payments_raw[[#This Row],[payment_date]] &lt; payments_raw[[#This Row],[sub_start_date]], 1, 0)</f>
        <v>0</v>
      </c>
      <c r="I781" s="2">
        <f>IF(AND(payments_raw[[#This Row],[sub_end_date]]&lt;&gt;"", payments_raw[[#This Row],[payment_date]] &gt; payments_raw[[#This Row],[sub_end_date]]), 1, 0)</f>
        <v>0</v>
      </c>
      <c r="J781" s="2">
        <f>IF(payments_raw[[#This Row],[amount]] &lt;= 0, 1, 0)</f>
        <v>0</v>
      </c>
      <c r="K7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2" spans="1:11" x14ac:dyDescent="0.3">
      <c r="A782">
        <v>57655811</v>
      </c>
      <c r="B782">
        <v>7235826</v>
      </c>
      <c r="C782" s="1">
        <v>44771</v>
      </c>
      <c r="D782">
        <v>39</v>
      </c>
      <c r="E782">
        <f>IF(
  ISNA(
    _xlfn.XLOOKUP(
      payments_raw[[#This Row],[subscription_id]],
      subscriptions[subscription_id],
      subscriptions[subscription_id]
    )
  ),
  0,
  1
)</f>
        <v>1</v>
      </c>
      <c r="F782" s="1">
        <f>_xlfn.XLOOKUP(payments_raw[[#This Row],[subscription_id]], subscriptions[subscription_id], subscriptions[start_date])</f>
        <v>44672</v>
      </c>
      <c r="G7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45041</v>
      </c>
      <c r="H782" s="2">
        <f>IF(payments_raw[[#This Row],[payment_date]] &lt; payments_raw[[#This Row],[sub_start_date]], 1, 0)</f>
        <v>0</v>
      </c>
      <c r="I782" s="2">
        <f>IF(AND(payments_raw[[#This Row],[sub_end_date]]&lt;&gt;"", payments_raw[[#This Row],[payment_date]] &gt; payments_raw[[#This Row],[sub_end_date]]), 1, 0)</f>
        <v>0</v>
      </c>
      <c r="J782" s="2">
        <f>IF(payments_raw[[#This Row],[amount]] &lt;= 0, 1, 0)</f>
        <v>0</v>
      </c>
      <c r="K7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3" spans="1:11" x14ac:dyDescent="0.3">
      <c r="A783">
        <v>44590202</v>
      </c>
      <c r="B783">
        <v>3112852</v>
      </c>
      <c r="C783" s="1">
        <v>45548</v>
      </c>
      <c r="D783">
        <v>19</v>
      </c>
      <c r="E783">
        <f>IF(
  ISNA(
    _xlfn.XLOOKUP(
      payments_raw[[#This Row],[subscription_id]],
      subscriptions[subscription_id],
      subscriptions[subscription_id]
    )
  ),
  0,
  1
)</f>
        <v>1</v>
      </c>
      <c r="F783" s="1">
        <f>_xlfn.XLOOKUP(payments_raw[[#This Row],[subscription_id]], subscriptions[subscription_id], subscriptions[start_date])</f>
        <v>45387</v>
      </c>
      <c r="G7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783" s="2">
        <f>IF(payments_raw[[#This Row],[payment_date]] &lt; payments_raw[[#This Row],[sub_start_date]], 1, 0)</f>
        <v>0</v>
      </c>
      <c r="I783" s="2">
        <f>IF(AND(payments_raw[[#This Row],[sub_end_date]]&lt;&gt;"", payments_raw[[#This Row],[payment_date]] &gt; payments_raw[[#This Row],[sub_end_date]]), 1, 0)</f>
        <v>0</v>
      </c>
      <c r="J783" s="2">
        <f>IF(payments_raw[[#This Row],[amount]] &lt;= 0, 1, 0)</f>
        <v>0</v>
      </c>
      <c r="K7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4" spans="1:11" x14ac:dyDescent="0.3">
      <c r="A784">
        <v>26398778</v>
      </c>
      <c r="B784">
        <v>6591646</v>
      </c>
      <c r="C784" s="1">
        <v>45486</v>
      </c>
      <c r="D784">
        <v>39</v>
      </c>
      <c r="E784">
        <f>IF(
  ISNA(
    _xlfn.XLOOKUP(
      payments_raw[[#This Row],[subscription_id]],
      subscriptions[subscription_id],
      subscriptions[subscription_id]
    )
  ),
  0,
  1
)</f>
        <v>1</v>
      </c>
      <c r="F784" s="1">
        <f>_xlfn.XLOOKUP(payments_raw[[#This Row],[subscription_id]], subscriptions[subscription_id], subscriptions[start_date])</f>
        <v>45284</v>
      </c>
      <c r="G7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45597</v>
      </c>
      <c r="H784" s="2">
        <f>IF(payments_raw[[#This Row],[payment_date]] &lt; payments_raw[[#This Row],[sub_start_date]], 1, 0)</f>
        <v>0</v>
      </c>
      <c r="I784" s="2">
        <f>IF(AND(payments_raw[[#This Row],[sub_end_date]]&lt;&gt;"", payments_raw[[#This Row],[payment_date]] &gt; payments_raw[[#This Row],[sub_end_date]]), 1, 0)</f>
        <v>0</v>
      </c>
      <c r="J784" s="2">
        <f>IF(payments_raw[[#This Row],[amount]] &lt;= 0, 1, 0)</f>
        <v>0</v>
      </c>
      <c r="K7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5" spans="1:11" x14ac:dyDescent="0.3">
      <c r="A785">
        <v>28980544</v>
      </c>
      <c r="B785">
        <v>6196562</v>
      </c>
      <c r="C785" s="1">
        <v>45033</v>
      </c>
      <c r="D785">
        <v>17.100000000000001</v>
      </c>
      <c r="E785">
        <f>IF(
  ISNA(
    _xlfn.XLOOKUP(
      payments_raw[[#This Row],[subscription_id]],
      subscriptions[subscription_id],
      subscriptions[subscription_id]
    )
  ),
  0,
  1
)</f>
        <v>1</v>
      </c>
      <c r="F785" s="1">
        <f>_xlfn.XLOOKUP(payments_raw[[#This Row],[subscription_id]], subscriptions[subscription_id], subscriptions[start_date])</f>
        <v>44981</v>
      </c>
      <c r="G7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45345</v>
      </c>
      <c r="H785" s="2">
        <f>IF(payments_raw[[#This Row],[payment_date]] &lt; payments_raw[[#This Row],[sub_start_date]], 1, 0)</f>
        <v>0</v>
      </c>
      <c r="I785" s="2">
        <f>IF(AND(payments_raw[[#This Row],[sub_end_date]]&lt;&gt;"", payments_raw[[#This Row],[payment_date]] &gt; payments_raw[[#This Row],[sub_end_date]]), 1, 0)</f>
        <v>0</v>
      </c>
      <c r="J785" s="2">
        <f>IF(payments_raw[[#This Row],[amount]] &lt;= 0, 1, 0)</f>
        <v>0</v>
      </c>
      <c r="K7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6" spans="1:11" x14ac:dyDescent="0.3">
      <c r="A786">
        <v>90511200</v>
      </c>
      <c r="B786">
        <v>1716378</v>
      </c>
      <c r="C786" s="1">
        <v>45516</v>
      </c>
      <c r="D786">
        <v>149</v>
      </c>
      <c r="E786">
        <f>IF(
  ISNA(
    _xlfn.XLOOKUP(
      payments_raw[[#This Row],[subscription_id]],
      subscriptions[subscription_id],
      subscriptions[subscription_id]
    )
  ),
  0,
  1
)</f>
        <v>1</v>
      </c>
      <c r="F786" s="1">
        <f>_xlfn.XLOOKUP(payments_raw[[#This Row],[subscription_id]], subscriptions[subscription_id], subscriptions[start_date])</f>
        <v>45284</v>
      </c>
      <c r="G7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86" s="2">
        <f>IF(payments_raw[[#This Row],[payment_date]] &lt; payments_raw[[#This Row],[sub_start_date]], 1, 0)</f>
        <v>0</v>
      </c>
      <c r="I786" s="2">
        <f>IF(AND(payments_raw[[#This Row],[sub_end_date]]&lt;&gt;"", payments_raw[[#This Row],[payment_date]] &gt; payments_raw[[#This Row],[sub_end_date]]), 1, 0)</f>
        <v>0</v>
      </c>
      <c r="J786" s="2">
        <f>IF(payments_raw[[#This Row],[amount]] &lt;= 0, 1, 0)</f>
        <v>0</v>
      </c>
      <c r="K7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7" spans="1:11" x14ac:dyDescent="0.3">
      <c r="A787">
        <v>26613309</v>
      </c>
      <c r="B787">
        <v>7805792</v>
      </c>
      <c r="C787" s="1">
        <v>45626</v>
      </c>
      <c r="D787">
        <v>39.5</v>
      </c>
      <c r="E787">
        <f>IF(
  ISNA(
    _xlfn.XLOOKUP(
      payments_raw[[#This Row],[subscription_id]],
      subscriptions[subscription_id],
      subscriptions[subscription_id]
    )
  ),
  0,
  1
)</f>
        <v>1</v>
      </c>
      <c r="F787" s="1">
        <f>_xlfn.XLOOKUP(payments_raw[[#This Row],[subscription_id]], subscriptions[subscription_id], subscriptions[start_date])</f>
        <v>45487</v>
      </c>
      <c r="G7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787" s="2">
        <f>IF(payments_raw[[#This Row],[payment_date]] &lt; payments_raw[[#This Row],[sub_start_date]], 1, 0)</f>
        <v>0</v>
      </c>
      <c r="I787" s="2">
        <f>IF(AND(payments_raw[[#This Row],[sub_end_date]]&lt;&gt;"", payments_raw[[#This Row],[payment_date]] &gt; payments_raw[[#This Row],[sub_end_date]]), 1, 0)</f>
        <v>0</v>
      </c>
      <c r="J787" s="2">
        <f>IF(payments_raw[[#This Row],[amount]] &lt;= 0, 1, 0)</f>
        <v>0</v>
      </c>
      <c r="K7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8" spans="1:11" x14ac:dyDescent="0.3">
      <c r="A788">
        <v>42359400</v>
      </c>
      <c r="B788">
        <v>2069085</v>
      </c>
      <c r="C788" s="1">
        <v>45454</v>
      </c>
      <c r="D788">
        <v>134.1</v>
      </c>
      <c r="E788">
        <f>IF(
  ISNA(
    _xlfn.XLOOKUP(
      payments_raw[[#This Row],[subscription_id]],
      subscriptions[subscription_id],
      subscriptions[subscription_id]
    )
  ),
  0,
  1
)</f>
        <v>1</v>
      </c>
      <c r="F788" s="1">
        <f>_xlfn.XLOOKUP(payments_raw[[#This Row],[subscription_id]], subscriptions[subscription_id], subscriptions[start_date])</f>
        <v>45151</v>
      </c>
      <c r="G7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45492</v>
      </c>
      <c r="H788" s="2">
        <f>IF(payments_raw[[#This Row],[payment_date]] &lt; payments_raw[[#This Row],[sub_start_date]], 1, 0)</f>
        <v>0</v>
      </c>
      <c r="I788" s="2">
        <f>IF(AND(payments_raw[[#This Row],[sub_end_date]]&lt;&gt;"", payments_raw[[#This Row],[payment_date]] &gt; payments_raw[[#This Row],[sub_end_date]]), 1, 0)</f>
        <v>0</v>
      </c>
      <c r="J788" s="2">
        <f>IF(payments_raw[[#This Row],[amount]] &lt;= 0, 1, 0)</f>
        <v>0</v>
      </c>
      <c r="K7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89" spans="1:11" x14ac:dyDescent="0.3">
      <c r="A789">
        <v>36573788</v>
      </c>
      <c r="B789">
        <v>3719411</v>
      </c>
      <c r="C789" s="1">
        <v>45576</v>
      </c>
      <c r="D789">
        <v>39</v>
      </c>
      <c r="E789">
        <f>IF(
  ISNA(
    _xlfn.XLOOKUP(
      payments_raw[[#This Row],[subscription_id]],
      subscriptions[subscription_id],
      subscriptions[subscription_id]
    )
  ),
  0,
  1
)</f>
        <v>1</v>
      </c>
      <c r="F789" s="1">
        <f>_xlfn.XLOOKUP(payments_raw[[#This Row],[subscription_id]], subscriptions[subscription_id], subscriptions[start_date])</f>
        <v>45450</v>
      </c>
      <c r="G7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45578</v>
      </c>
      <c r="H789" s="2">
        <f>IF(payments_raw[[#This Row],[payment_date]] &lt; payments_raw[[#This Row],[sub_start_date]], 1, 0)</f>
        <v>0</v>
      </c>
      <c r="I789" s="2">
        <f>IF(AND(payments_raw[[#This Row],[sub_end_date]]&lt;&gt;"", payments_raw[[#This Row],[payment_date]] &gt; payments_raw[[#This Row],[sub_end_date]]), 1, 0)</f>
        <v>0</v>
      </c>
      <c r="J789" s="2">
        <f>IF(payments_raw[[#This Row],[amount]] &lt;= 0, 1, 0)</f>
        <v>0</v>
      </c>
      <c r="K7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0" spans="1:11" x14ac:dyDescent="0.3">
      <c r="A790">
        <v>64357442</v>
      </c>
      <c r="B790">
        <v>6920939</v>
      </c>
      <c r="C790" s="1">
        <v>45368</v>
      </c>
      <c r="D790">
        <v>19</v>
      </c>
      <c r="E790">
        <f>IF(
  ISNA(
    _xlfn.XLOOKUP(
      payments_raw[[#This Row],[subscription_id]],
      subscriptions[subscription_id],
      subscriptions[subscription_id]
    )
  ),
  0,
  1
)</f>
        <v>1</v>
      </c>
      <c r="F790" s="1">
        <f>_xlfn.XLOOKUP(payments_raw[[#This Row],[subscription_id]], subscriptions[subscription_id], subscriptions[start_date])</f>
        <v>45327</v>
      </c>
      <c r="G7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45389</v>
      </c>
      <c r="H790" s="2">
        <f>IF(payments_raw[[#This Row],[payment_date]] &lt; payments_raw[[#This Row],[sub_start_date]], 1, 0)</f>
        <v>0</v>
      </c>
      <c r="I790" s="2">
        <f>IF(AND(payments_raw[[#This Row],[sub_end_date]]&lt;&gt;"", payments_raw[[#This Row],[payment_date]] &gt; payments_raw[[#This Row],[sub_end_date]]), 1, 0)</f>
        <v>0</v>
      </c>
      <c r="J790" s="2">
        <f>IF(payments_raw[[#This Row],[amount]] &lt;= 0, 1, 0)</f>
        <v>0</v>
      </c>
      <c r="K7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1" spans="1:11" x14ac:dyDescent="0.3">
      <c r="A791">
        <v>40295304</v>
      </c>
      <c r="B791">
        <v>3859007</v>
      </c>
      <c r="C791" s="1">
        <v>45286</v>
      </c>
      <c r="D791">
        <v>1490</v>
      </c>
      <c r="E791">
        <f>IF(
  ISNA(
    _xlfn.XLOOKUP(
      payments_raw[[#This Row],[subscription_id]],
      subscriptions[subscription_id],
      subscriptions[subscription_id]
    )
  ),
  0,
  1
)</f>
        <v>1</v>
      </c>
      <c r="F791" s="1">
        <f>_xlfn.XLOOKUP(payments_raw[[#This Row],[subscription_id]], subscriptions[subscription_id], subscriptions[start_date])</f>
        <v>45266</v>
      </c>
      <c r="G7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45596</v>
      </c>
      <c r="H791" s="2">
        <f>IF(payments_raw[[#This Row],[payment_date]] &lt; payments_raw[[#This Row],[sub_start_date]], 1, 0)</f>
        <v>0</v>
      </c>
      <c r="I791" s="2">
        <f>IF(AND(payments_raw[[#This Row],[sub_end_date]]&lt;&gt;"", payments_raw[[#This Row],[payment_date]] &gt; payments_raw[[#This Row],[sub_end_date]]), 1, 0)</f>
        <v>0</v>
      </c>
      <c r="J791" s="2">
        <f>IF(payments_raw[[#This Row],[amount]] &lt;= 0, 1, 0)</f>
        <v>0</v>
      </c>
      <c r="K7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2" spans="1:11" x14ac:dyDescent="0.3">
      <c r="A792">
        <v>14665068</v>
      </c>
      <c r="B792">
        <v>3138306</v>
      </c>
      <c r="C792" s="1">
        <v>45404</v>
      </c>
      <c r="D792">
        <v>149</v>
      </c>
      <c r="E792">
        <f>IF(
  ISNA(
    _xlfn.XLOOKUP(
      payments_raw[[#This Row],[subscription_id]],
      subscriptions[subscription_id],
      subscriptions[subscription_id]
    )
  ),
  0,
  1
)</f>
        <v>1</v>
      </c>
      <c r="F792" s="1">
        <f>_xlfn.XLOOKUP(payments_raw[[#This Row],[subscription_id]], subscriptions[subscription_id], subscriptions[start_date])</f>
        <v>45385</v>
      </c>
      <c r="G7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792" s="2">
        <f>IF(payments_raw[[#This Row],[payment_date]] &lt; payments_raw[[#This Row],[sub_start_date]], 1, 0)</f>
        <v>0</v>
      </c>
      <c r="I792" s="2">
        <f>IF(AND(payments_raw[[#This Row],[sub_end_date]]&lt;&gt;"", payments_raw[[#This Row],[payment_date]] &gt; payments_raw[[#This Row],[sub_end_date]]), 1, 0)</f>
        <v>0</v>
      </c>
      <c r="J792" s="2">
        <f>IF(payments_raw[[#This Row],[amount]] &lt;= 0, 1, 0)</f>
        <v>0</v>
      </c>
      <c r="K7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3" spans="1:11" x14ac:dyDescent="0.3">
      <c r="A793">
        <v>92124494</v>
      </c>
      <c r="B793">
        <v>9837877</v>
      </c>
      <c r="C793" s="1">
        <v>44875</v>
      </c>
      <c r="D793">
        <v>2990</v>
      </c>
      <c r="E793">
        <f>IF(
  ISNA(
    _xlfn.XLOOKUP(
      payments_raw[[#This Row],[subscription_id]],
      subscriptions[subscription_id],
      subscriptions[subscription_id]
    )
  ),
  0,
  1
)</f>
        <v>1</v>
      </c>
      <c r="F793" s="1">
        <f>_xlfn.XLOOKUP(payments_raw[[#This Row],[subscription_id]], subscriptions[subscription_id], subscriptions[start_date])</f>
        <v>44843</v>
      </c>
      <c r="G79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44879</v>
      </c>
      <c r="H793" s="2">
        <f>IF(payments_raw[[#This Row],[payment_date]] &lt; payments_raw[[#This Row],[sub_start_date]], 1, 0)</f>
        <v>0</v>
      </c>
      <c r="I793" s="2">
        <f>IF(AND(payments_raw[[#This Row],[sub_end_date]]&lt;&gt;"", payments_raw[[#This Row],[payment_date]] &gt; payments_raw[[#This Row],[sub_end_date]]), 1, 0)</f>
        <v>0</v>
      </c>
      <c r="J793" s="2">
        <f>IF(payments_raw[[#This Row],[amount]] &lt;= 0, 1, 0)</f>
        <v>0</v>
      </c>
      <c r="K7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4" spans="1:11" x14ac:dyDescent="0.3">
      <c r="A794">
        <v>53948395</v>
      </c>
      <c r="B794">
        <v>8883139</v>
      </c>
      <c r="C794" s="1">
        <v>44755</v>
      </c>
      <c r="D794">
        <v>35.1</v>
      </c>
      <c r="E794">
        <f>IF(
  ISNA(
    _xlfn.XLOOKUP(
      payments_raw[[#This Row],[subscription_id]],
      subscriptions[subscription_id],
      subscriptions[subscription_id]
    )
  ),
  0,
  1
)</f>
        <v>1</v>
      </c>
      <c r="F794" s="1">
        <f>_xlfn.XLOOKUP(payments_raw[[#This Row],[subscription_id]], subscriptions[subscription_id], subscriptions[start_date])</f>
        <v>44656</v>
      </c>
      <c r="G79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794" s="2">
        <f>IF(payments_raw[[#This Row],[payment_date]] &lt; payments_raw[[#This Row],[sub_start_date]], 1, 0)</f>
        <v>0</v>
      </c>
      <c r="I794" s="2">
        <f>IF(AND(payments_raw[[#This Row],[sub_end_date]]&lt;&gt;"", payments_raw[[#This Row],[payment_date]] &gt; payments_raw[[#This Row],[sub_end_date]]), 1, 0)</f>
        <v>0</v>
      </c>
      <c r="J794" s="2">
        <f>IF(payments_raw[[#This Row],[amount]] &lt;= 0, 1, 0)</f>
        <v>0</v>
      </c>
      <c r="K7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5" spans="1:11" x14ac:dyDescent="0.3">
      <c r="A795">
        <v>64653122</v>
      </c>
      <c r="B795">
        <v>4654790</v>
      </c>
      <c r="C795" s="1">
        <v>45402</v>
      </c>
      <c r="D795">
        <v>74.5</v>
      </c>
      <c r="E795">
        <f>IF(
  ISNA(
    _xlfn.XLOOKUP(
      payments_raw[[#This Row],[subscription_id]],
      subscriptions[subscription_id],
      subscriptions[subscription_id]
    )
  ),
  0,
  1
)</f>
        <v>1</v>
      </c>
      <c r="F795" s="1">
        <f>_xlfn.XLOOKUP(payments_raw[[#This Row],[subscription_id]], subscriptions[subscription_id], subscriptions[start_date])</f>
        <v>45398</v>
      </c>
      <c r="G7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95" s="2">
        <f>IF(payments_raw[[#This Row],[payment_date]] &lt; payments_raw[[#This Row],[sub_start_date]], 1, 0)</f>
        <v>0</v>
      </c>
      <c r="I795" s="2">
        <f>IF(AND(payments_raw[[#This Row],[sub_end_date]]&lt;&gt;"", payments_raw[[#This Row],[payment_date]] &gt; payments_raw[[#This Row],[sub_end_date]]), 1, 0)</f>
        <v>0</v>
      </c>
      <c r="J795" s="2">
        <f>IF(payments_raw[[#This Row],[amount]] &lt;= 0, 1, 0)</f>
        <v>0</v>
      </c>
      <c r="K7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6" spans="1:11" x14ac:dyDescent="0.3">
      <c r="A796">
        <v>38011716</v>
      </c>
      <c r="B796">
        <v>6160031</v>
      </c>
      <c r="C796" s="1">
        <v>45537</v>
      </c>
      <c r="D796">
        <v>745</v>
      </c>
      <c r="E796">
        <f>IF(
  ISNA(
    _xlfn.XLOOKUP(
      payments_raw[[#This Row],[subscription_id]],
      subscriptions[subscription_id],
      subscriptions[subscription_id]
    )
  ),
  0,
  1
)</f>
        <v>1</v>
      </c>
      <c r="F796" s="1">
        <f>_xlfn.XLOOKUP(payments_raw[[#This Row],[subscription_id]], subscriptions[subscription_id], subscriptions[start_date])</f>
        <v>44697</v>
      </c>
      <c r="G7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96" s="2">
        <f>IF(payments_raw[[#This Row],[payment_date]] &lt; payments_raw[[#This Row],[sub_start_date]], 1, 0)</f>
        <v>0</v>
      </c>
      <c r="I796" s="2">
        <f>IF(AND(payments_raw[[#This Row],[sub_end_date]]&lt;&gt;"", payments_raw[[#This Row],[payment_date]] &gt; payments_raw[[#This Row],[sub_end_date]]), 1, 0)</f>
        <v>0</v>
      </c>
      <c r="J796" s="2">
        <f>IF(payments_raw[[#This Row],[amount]] &lt;= 0, 1, 0)</f>
        <v>0</v>
      </c>
      <c r="K7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7" spans="1:11" x14ac:dyDescent="0.3">
      <c r="A797">
        <v>88663706</v>
      </c>
      <c r="B797">
        <v>7063033</v>
      </c>
      <c r="C797" s="1">
        <v>45377</v>
      </c>
      <c r="D797">
        <v>149</v>
      </c>
      <c r="E797">
        <f>IF(
  ISNA(
    _xlfn.XLOOKUP(
      payments_raw[[#This Row],[subscription_id]],
      subscriptions[subscription_id],
      subscriptions[subscription_id]
    )
  ),
  0,
  1
)</f>
        <v>1</v>
      </c>
      <c r="F797" s="1">
        <f>_xlfn.XLOOKUP(payments_raw[[#This Row],[subscription_id]], subscriptions[subscription_id], subscriptions[start_date])</f>
        <v>45323</v>
      </c>
      <c r="G7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97" s="2">
        <f>IF(payments_raw[[#This Row],[payment_date]] &lt; payments_raw[[#This Row],[sub_start_date]], 1, 0)</f>
        <v>0</v>
      </c>
      <c r="I797" s="2">
        <f>IF(AND(payments_raw[[#This Row],[sub_end_date]]&lt;&gt;"", payments_raw[[#This Row],[payment_date]] &gt; payments_raw[[#This Row],[sub_end_date]]), 1, 0)</f>
        <v>0</v>
      </c>
      <c r="J797" s="2">
        <f>IF(payments_raw[[#This Row],[amount]] &lt;= 0, 1, 0)</f>
        <v>0</v>
      </c>
      <c r="K7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8" spans="1:11" x14ac:dyDescent="0.3">
      <c r="A798">
        <v>65703402</v>
      </c>
      <c r="B798">
        <v>8950226</v>
      </c>
      <c r="C798" s="1">
        <v>44811</v>
      </c>
      <c r="D798">
        <v>790</v>
      </c>
      <c r="E798">
        <f>IF(
  ISNA(
    _xlfn.XLOOKUP(
      payments_raw[[#This Row],[subscription_id]],
      subscriptions[subscription_id],
      subscriptions[subscription_id]
    )
  ),
  0,
  1
)</f>
        <v>1</v>
      </c>
      <c r="F798" s="1">
        <f>_xlfn.XLOOKUP(payments_raw[[#This Row],[subscription_id]], subscriptions[subscription_id], subscriptions[start_date])</f>
        <v>44582</v>
      </c>
      <c r="G7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98" s="2">
        <f>IF(payments_raw[[#This Row],[payment_date]] &lt; payments_raw[[#This Row],[sub_start_date]], 1, 0)</f>
        <v>0</v>
      </c>
      <c r="I798" s="2">
        <f>IF(AND(payments_raw[[#This Row],[sub_end_date]]&lt;&gt;"", payments_raw[[#This Row],[payment_date]] &gt; payments_raw[[#This Row],[sub_end_date]]), 1, 0)</f>
        <v>0</v>
      </c>
      <c r="J798" s="2">
        <f>IF(payments_raw[[#This Row],[amount]] &lt;= 0, 1, 0)</f>
        <v>0</v>
      </c>
      <c r="K7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799" spans="1:11" x14ac:dyDescent="0.3">
      <c r="A799">
        <v>90154379</v>
      </c>
      <c r="B799">
        <v>2751175</v>
      </c>
      <c r="C799" s="1">
        <v>45208</v>
      </c>
      <c r="D799">
        <v>19</v>
      </c>
      <c r="E799">
        <f>IF(
  ISNA(
    _xlfn.XLOOKUP(
      payments_raw[[#This Row],[subscription_id]],
      subscriptions[subscription_id],
      subscriptions[subscription_id]
    )
  ),
  0,
  1
)</f>
        <v>1</v>
      </c>
      <c r="F799" s="1">
        <f>_xlfn.XLOOKUP(payments_raw[[#This Row],[subscription_id]], subscriptions[subscription_id], subscriptions[start_date])</f>
        <v>44672</v>
      </c>
      <c r="G7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799" s="2">
        <f>IF(payments_raw[[#This Row],[payment_date]] &lt; payments_raw[[#This Row],[sub_start_date]], 1, 0)</f>
        <v>0</v>
      </c>
      <c r="I799" s="2">
        <f>IF(AND(payments_raw[[#This Row],[sub_end_date]]&lt;&gt;"", payments_raw[[#This Row],[payment_date]] &gt; payments_raw[[#This Row],[sub_end_date]]), 1, 0)</f>
        <v>0</v>
      </c>
      <c r="J799" s="2">
        <f>IF(payments_raw[[#This Row],[amount]] &lt;= 0, 1, 0)</f>
        <v>0</v>
      </c>
      <c r="K7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0" spans="1:11" x14ac:dyDescent="0.3">
      <c r="A800">
        <v>42800911</v>
      </c>
      <c r="B800">
        <v>6740356</v>
      </c>
      <c r="C800" s="1">
        <v>45394</v>
      </c>
      <c r="D800">
        <v>19</v>
      </c>
      <c r="E800">
        <f>IF(
  ISNA(
    _xlfn.XLOOKUP(
      payments_raw[[#This Row],[subscription_id]],
      subscriptions[subscription_id],
      subscriptions[subscription_id]
    )
  ),
  0,
  1
)</f>
        <v>1</v>
      </c>
      <c r="F800" s="1">
        <f>_xlfn.XLOOKUP(payments_raw[[#This Row],[subscription_id]], subscriptions[subscription_id], subscriptions[start_date])</f>
        <v>44622</v>
      </c>
      <c r="G8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0" s="2">
        <f>IF(payments_raw[[#This Row],[payment_date]] &lt; payments_raw[[#This Row],[sub_start_date]], 1, 0)</f>
        <v>0</v>
      </c>
      <c r="I800" s="2">
        <f>IF(AND(payments_raw[[#This Row],[sub_end_date]]&lt;&gt;"", payments_raw[[#This Row],[payment_date]] &gt; payments_raw[[#This Row],[sub_end_date]]), 1, 0)</f>
        <v>0</v>
      </c>
      <c r="J800" s="2">
        <f>IF(payments_raw[[#This Row],[amount]] &lt;= 0, 1, 0)</f>
        <v>0</v>
      </c>
      <c r="K8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1" spans="1:11" x14ac:dyDescent="0.3">
      <c r="A801">
        <v>95474336</v>
      </c>
      <c r="B801">
        <v>4937710</v>
      </c>
      <c r="C801" s="1">
        <v>45576</v>
      </c>
      <c r="D801">
        <v>299</v>
      </c>
      <c r="E801">
        <f>IF(
  ISNA(
    _xlfn.XLOOKUP(
      payments_raw[[#This Row],[subscription_id]],
      subscriptions[subscription_id],
      subscriptions[subscription_id]
    )
  ),
  0,
  1
)</f>
        <v>1</v>
      </c>
      <c r="F801" s="1">
        <f>_xlfn.XLOOKUP(payments_raw[[#This Row],[subscription_id]], subscriptions[subscription_id], subscriptions[start_date])</f>
        <v>45217</v>
      </c>
      <c r="G8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1" s="2">
        <f>IF(payments_raw[[#This Row],[payment_date]] &lt; payments_raw[[#This Row],[sub_start_date]], 1, 0)</f>
        <v>0</v>
      </c>
      <c r="I801" s="2">
        <f>IF(AND(payments_raw[[#This Row],[sub_end_date]]&lt;&gt;"", payments_raw[[#This Row],[payment_date]] &gt; payments_raw[[#This Row],[sub_end_date]]), 1, 0)</f>
        <v>0</v>
      </c>
      <c r="J801" s="2">
        <f>IF(payments_raw[[#This Row],[amount]] &lt;= 0, 1, 0)</f>
        <v>0</v>
      </c>
      <c r="K8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2" spans="1:11" x14ac:dyDescent="0.3">
      <c r="A802">
        <v>48070748</v>
      </c>
      <c r="B802">
        <v>9447259</v>
      </c>
      <c r="C802" s="1">
        <v>45628</v>
      </c>
      <c r="D802">
        <v>149</v>
      </c>
      <c r="E802">
        <f>IF(
  ISNA(
    _xlfn.XLOOKUP(
      payments_raw[[#This Row],[subscription_id]],
      subscriptions[subscription_id],
      subscriptions[subscription_id]
    )
  ),
  0,
  1
)</f>
        <v>1</v>
      </c>
      <c r="F802" s="1">
        <f>_xlfn.XLOOKUP(payments_raw[[#This Row],[subscription_id]], subscriptions[subscription_id], subscriptions[start_date])</f>
        <v>45418</v>
      </c>
      <c r="G8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2" s="2">
        <f>IF(payments_raw[[#This Row],[payment_date]] &lt; payments_raw[[#This Row],[sub_start_date]], 1, 0)</f>
        <v>0</v>
      </c>
      <c r="I802" s="2">
        <f>IF(AND(payments_raw[[#This Row],[sub_end_date]]&lt;&gt;"", payments_raw[[#This Row],[payment_date]] &gt; payments_raw[[#This Row],[sub_end_date]]), 1, 0)</f>
        <v>0</v>
      </c>
      <c r="J802" s="2">
        <f>IF(payments_raw[[#This Row],[amount]] &lt;= 0, 1, 0)</f>
        <v>0</v>
      </c>
      <c r="K8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3" spans="1:11" x14ac:dyDescent="0.3">
      <c r="A803">
        <v>26065988</v>
      </c>
      <c r="B803">
        <v>8379665</v>
      </c>
      <c r="C803" s="1">
        <v>45656</v>
      </c>
      <c r="D803">
        <v>299</v>
      </c>
      <c r="E803">
        <f>IF(
  ISNA(
    _xlfn.XLOOKUP(
      payments_raw[[#This Row],[subscription_id]],
      subscriptions[subscription_id],
      subscriptions[subscription_id]
    )
  ),
  0,
  1
)</f>
        <v>1</v>
      </c>
      <c r="F803" s="1">
        <f>_xlfn.XLOOKUP(payments_raw[[#This Row],[subscription_id]], subscriptions[subscription_id], subscriptions[start_date])</f>
        <v>45165</v>
      </c>
      <c r="G8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3" s="2">
        <f>IF(payments_raw[[#This Row],[payment_date]] &lt; payments_raw[[#This Row],[sub_start_date]], 1, 0)</f>
        <v>0</v>
      </c>
      <c r="I803" s="2">
        <f>IF(AND(payments_raw[[#This Row],[sub_end_date]]&lt;&gt;"", payments_raw[[#This Row],[payment_date]] &gt; payments_raw[[#This Row],[sub_end_date]]), 1, 0)</f>
        <v>0</v>
      </c>
      <c r="J803" s="2">
        <f>IF(payments_raw[[#This Row],[amount]] &lt;= 0, 1, 0)</f>
        <v>0</v>
      </c>
      <c r="K8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4" spans="1:11" x14ac:dyDescent="0.3">
      <c r="A804">
        <v>65768929</v>
      </c>
      <c r="B804">
        <v>5644836</v>
      </c>
      <c r="C804" s="1">
        <v>45589</v>
      </c>
      <c r="D804">
        <v>299</v>
      </c>
      <c r="E804">
        <f>IF(
  ISNA(
    _xlfn.XLOOKUP(
      payments_raw[[#This Row],[subscription_id]],
      subscriptions[subscription_id],
      subscriptions[subscription_id]
    )
  ),
  0,
  1
)</f>
        <v>1</v>
      </c>
      <c r="F804" s="1">
        <f>_xlfn.XLOOKUP(payments_raw[[#This Row],[subscription_id]], subscriptions[subscription_id], subscriptions[start_date])</f>
        <v>45589</v>
      </c>
      <c r="G8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804" s="2">
        <f>IF(payments_raw[[#This Row],[payment_date]] &lt; payments_raw[[#This Row],[sub_start_date]], 1, 0)</f>
        <v>0</v>
      </c>
      <c r="I804" s="2">
        <f>IF(AND(payments_raw[[#This Row],[sub_end_date]]&lt;&gt;"", payments_raw[[#This Row],[payment_date]] &gt; payments_raw[[#This Row],[sub_end_date]]), 1, 0)</f>
        <v>0</v>
      </c>
      <c r="J804" s="2">
        <f>IF(payments_raw[[#This Row],[amount]] &lt;= 0, 1, 0)</f>
        <v>0</v>
      </c>
      <c r="K8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5" spans="1:11" x14ac:dyDescent="0.3">
      <c r="A805">
        <v>38682565</v>
      </c>
      <c r="B805">
        <v>7235826</v>
      </c>
      <c r="C805" s="1">
        <v>44872</v>
      </c>
      <c r="D805">
        <v>39</v>
      </c>
      <c r="E805">
        <f>IF(
  ISNA(
    _xlfn.XLOOKUP(
      payments_raw[[#This Row],[subscription_id]],
      subscriptions[subscription_id],
      subscriptions[subscription_id]
    )
  ),
  0,
  1
)</f>
        <v>1</v>
      </c>
      <c r="F805" s="1">
        <f>_xlfn.XLOOKUP(payments_raw[[#This Row],[subscription_id]], subscriptions[subscription_id], subscriptions[start_date])</f>
        <v>44672</v>
      </c>
      <c r="G8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45041</v>
      </c>
      <c r="H805" s="2">
        <f>IF(payments_raw[[#This Row],[payment_date]] &lt; payments_raw[[#This Row],[sub_start_date]], 1, 0)</f>
        <v>0</v>
      </c>
      <c r="I805" s="2">
        <f>IF(AND(payments_raw[[#This Row],[sub_end_date]]&lt;&gt;"", payments_raw[[#This Row],[payment_date]] &gt; payments_raw[[#This Row],[sub_end_date]]), 1, 0)</f>
        <v>0</v>
      </c>
      <c r="J805" s="2">
        <f>IF(payments_raw[[#This Row],[amount]] &lt;= 0, 1, 0)</f>
        <v>0</v>
      </c>
      <c r="K8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6" spans="1:11" x14ac:dyDescent="0.3">
      <c r="A806">
        <v>56411493</v>
      </c>
      <c r="B806">
        <v>3961713</v>
      </c>
      <c r="C806" s="1">
        <v>45303</v>
      </c>
      <c r="D806">
        <v>190</v>
      </c>
      <c r="E806">
        <f>IF(
  ISNA(
    _xlfn.XLOOKUP(
      payments_raw[[#This Row],[subscription_id]],
      subscriptions[subscription_id],
      subscriptions[subscription_id]
    )
  ),
  0,
  1
)</f>
        <v>1</v>
      </c>
      <c r="F806" s="1">
        <f>_xlfn.XLOOKUP(payments_raw[[#This Row],[subscription_id]], subscriptions[subscription_id], subscriptions[start_date])</f>
        <v>45235</v>
      </c>
      <c r="G8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6" s="2">
        <f>IF(payments_raw[[#This Row],[payment_date]] &lt; payments_raw[[#This Row],[sub_start_date]], 1, 0)</f>
        <v>0</v>
      </c>
      <c r="I806" s="2">
        <f>IF(AND(payments_raw[[#This Row],[sub_end_date]]&lt;&gt;"", payments_raw[[#This Row],[payment_date]] &gt; payments_raw[[#This Row],[sub_end_date]]), 1, 0)</f>
        <v>0</v>
      </c>
      <c r="J806" s="2">
        <f>IF(payments_raw[[#This Row],[amount]] &lt;= 0, 1, 0)</f>
        <v>0</v>
      </c>
      <c r="K8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7" spans="1:11" x14ac:dyDescent="0.3">
      <c r="A807">
        <v>20234362</v>
      </c>
      <c r="B807">
        <v>5715786</v>
      </c>
      <c r="C807" s="1">
        <v>45525</v>
      </c>
      <c r="D807">
        <v>2990</v>
      </c>
      <c r="E807">
        <f>IF(
  ISNA(
    _xlfn.XLOOKUP(
      payments_raw[[#This Row],[subscription_id]],
      subscriptions[subscription_id],
      subscriptions[subscription_id]
    )
  ),
  0,
  1
)</f>
        <v>1</v>
      </c>
      <c r="F807" s="1">
        <f>_xlfn.XLOOKUP(payments_raw[[#This Row],[subscription_id]], subscriptions[subscription_id], subscriptions[start_date])</f>
        <v>45366</v>
      </c>
      <c r="G8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7" s="2">
        <f>IF(payments_raw[[#This Row],[payment_date]] &lt; payments_raw[[#This Row],[sub_start_date]], 1, 0)</f>
        <v>0</v>
      </c>
      <c r="I807" s="2">
        <f>IF(AND(payments_raw[[#This Row],[sub_end_date]]&lt;&gt;"", payments_raw[[#This Row],[payment_date]] &gt; payments_raw[[#This Row],[sub_end_date]]), 1, 0)</f>
        <v>0</v>
      </c>
      <c r="J807" s="2">
        <f>IF(payments_raw[[#This Row],[amount]] &lt;= 0, 1, 0)</f>
        <v>0</v>
      </c>
      <c r="K8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8" spans="1:11" x14ac:dyDescent="0.3">
      <c r="A808">
        <v>26532086</v>
      </c>
      <c r="B808">
        <v>2084932</v>
      </c>
      <c r="C808" s="1">
        <v>45533</v>
      </c>
      <c r="D808">
        <v>39</v>
      </c>
      <c r="E808">
        <f>IF(
  ISNA(
    _xlfn.XLOOKUP(
      payments_raw[[#This Row],[subscription_id]],
      subscriptions[subscription_id],
      subscriptions[subscription_id]
    )
  ),
  0,
  1
)</f>
        <v>1</v>
      </c>
      <c r="F808" s="1">
        <f>_xlfn.XLOOKUP(payments_raw[[#This Row],[subscription_id]], subscriptions[subscription_id], subscriptions[start_date])</f>
        <v>45264</v>
      </c>
      <c r="G8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8" s="2">
        <f>IF(payments_raw[[#This Row],[payment_date]] &lt; payments_raw[[#This Row],[sub_start_date]], 1, 0)</f>
        <v>0</v>
      </c>
      <c r="I808" s="2">
        <f>IF(AND(payments_raw[[#This Row],[sub_end_date]]&lt;&gt;"", payments_raw[[#This Row],[payment_date]] &gt; payments_raw[[#This Row],[sub_end_date]]), 1, 0)</f>
        <v>0</v>
      </c>
      <c r="J808" s="2">
        <f>IF(payments_raw[[#This Row],[amount]] &lt;= 0, 1, 0)</f>
        <v>0</v>
      </c>
      <c r="K8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09" spans="1:11" x14ac:dyDescent="0.3">
      <c r="A809">
        <v>87178979</v>
      </c>
      <c r="B809">
        <v>1566334</v>
      </c>
      <c r="C809" s="1">
        <v>45408</v>
      </c>
      <c r="D809">
        <v>1490</v>
      </c>
      <c r="E809">
        <f>IF(
  ISNA(
    _xlfn.XLOOKUP(
      payments_raw[[#This Row],[subscription_id]],
      subscriptions[subscription_id],
      subscriptions[subscription_id]
    )
  ),
  0,
  1
)</f>
        <v>1</v>
      </c>
      <c r="F809" s="1">
        <f>_xlfn.XLOOKUP(payments_raw[[#This Row],[subscription_id]], subscriptions[subscription_id], subscriptions[start_date])</f>
        <v>45115</v>
      </c>
      <c r="G8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09" s="2">
        <f>IF(payments_raw[[#This Row],[payment_date]] &lt; payments_raw[[#This Row],[sub_start_date]], 1, 0)</f>
        <v>0</v>
      </c>
      <c r="I809" s="2">
        <f>IF(AND(payments_raw[[#This Row],[sub_end_date]]&lt;&gt;"", payments_raw[[#This Row],[payment_date]] &gt; payments_raw[[#This Row],[sub_end_date]]), 1, 0)</f>
        <v>0</v>
      </c>
      <c r="J809" s="2">
        <f>IF(payments_raw[[#This Row],[amount]] &lt;= 0, 1, 0)</f>
        <v>0</v>
      </c>
      <c r="K8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0" spans="1:11" x14ac:dyDescent="0.3">
      <c r="A810">
        <v>49224257</v>
      </c>
      <c r="B810">
        <v>5812771</v>
      </c>
      <c r="C810" s="1">
        <v>44976</v>
      </c>
      <c r="D810">
        <v>149</v>
      </c>
      <c r="E810">
        <f>IF(
  ISNA(
    _xlfn.XLOOKUP(
      payments_raw[[#This Row],[subscription_id]],
      subscriptions[subscription_id],
      subscriptions[subscription_id]
    )
  ),
  0,
  1
)</f>
        <v>1</v>
      </c>
      <c r="F810" s="1">
        <f>_xlfn.XLOOKUP(payments_raw[[#This Row],[subscription_id]], subscriptions[subscription_id], subscriptions[start_date])</f>
        <v>44919</v>
      </c>
      <c r="G8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810" s="2">
        <f>IF(payments_raw[[#This Row],[payment_date]] &lt; payments_raw[[#This Row],[sub_start_date]], 1, 0)</f>
        <v>0</v>
      </c>
      <c r="I810" s="2">
        <f>IF(AND(payments_raw[[#This Row],[sub_end_date]]&lt;&gt;"", payments_raw[[#This Row],[payment_date]] &gt; payments_raw[[#This Row],[sub_end_date]]), 1, 0)</f>
        <v>0</v>
      </c>
      <c r="J810" s="2">
        <f>IF(payments_raw[[#This Row],[amount]] &lt;= 0, 1, 0)</f>
        <v>0</v>
      </c>
      <c r="K8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1" spans="1:11" x14ac:dyDescent="0.3">
      <c r="A811">
        <v>81120433</v>
      </c>
      <c r="B811">
        <v>5726375</v>
      </c>
      <c r="C811" s="1">
        <v>45131</v>
      </c>
      <c r="D811">
        <v>79</v>
      </c>
      <c r="E811">
        <f>IF(
  ISNA(
    _xlfn.XLOOKUP(
      payments_raw[[#This Row],[subscription_id]],
      subscriptions[subscription_id],
      subscriptions[subscription_id]
    )
  ),
  0,
  1
)</f>
        <v>1</v>
      </c>
      <c r="F811" s="1">
        <f>_xlfn.XLOOKUP(payments_raw[[#This Row],[subscription_id]], subscriptions[subscription_id], subscriptions[start_date])</f>
        <v>44643</v>
      </c>
      <c r="G8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1" s="2">
        <f>IF(payments_raw[[#This Row],[payment_date]] &lt; payments_raw[[#This Row],[sub_start_date]], 1, 0)</f>
        <v>0</v>
      </c>
      <c r="I811" s="2">
        <f>IF(AND(payments_raw[[#This Row],[sub_end_date]]&lt;&gt;"", payments_raw[[#This Row],[payment_date]] &gt; payments_raw[[#This Row],[sub_end_date]]), 1, 0)</f>
        <v>0</v>
      </c>
      <c r="J811" s="2">
        <f>IF(payments_raw[[#This Row],[amount]] &lt;= 0, 1, 0)</f>
        <v>0</v>
      </c>
      <c r="K8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2" spans="1:11" x14ac:dyDescent="0.3">
      <c r="A812">
        <v>13540146</v>
      </c>
      <c r="B812">
        <v>4295478</v>
      </c>
      <c r="C812" s="1">
        <v>45616</v>
      </c>
      <c r="D812">
        <v>390</v>
      </c>
      <c r="E812">
        <f>IF(
  ISNA(
    _xlfn.XLOOKUP(
      payments_raw[[#This Row],[subscription_id]],
      subscriptions[subscription_id],
      subscriptions[subscription_id]
    )
  ),
  0,
  1
)</f>
        <v>1</v>
      </c>
      <c r="F812" s="1">
        <f>_xlfn.XLOOKUP(payments_raw[[#This Row],[subscription_id]], subscriptions[subscription_id], subscriptions[start_date])</f>
        <v>45541</v>
      </c>
      <c r="G8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2" s="2">
        <f>IF(payments_raw[[#This Row],[payment_date]] &lt; payments_raw[[#This Row],[sub_start_date]], 1, 0)</f>
        <v>0</v>
      </c>
      <c r="I812" s="2">
        <f>IF(AND(payments_raw[[#This Row],[sub_end_date]]&lt;&gt;"", payments_raw[[#This Row],[payment_date]] &gt; payments_raw[[#This Row],[sub_end_date]]), 1, 0)</f>
        <v>0</v>
      </c>
      <c r="J812" s="2">
        <f>IF(payments_raw[[#This Row],[amount]] &lt;= 0, 1, 0)</f>
        <v>0</v>
      </c>
      <c r="K8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3" spans="1:11" x14ac:dyDescent="0.3">
      <c r="A813">
        <v>64664065</v>
      </c>
      <c r="B813">
        <v>5596336</v>
      </c>
      <c r="C813" s="1">
        <v>44979</v>
      </c>
      <c r="D813">
        <v>390</v>
      </c>
      <c r="E813">
        <f>IF(
  ISNA(
    _xlfn.XLOOKUP(
      payments_raw[[#This Row],[subscription_id]],
      subscriptions[subscription_id],
      subscriptions[subscription_id]
    )
  ),
  0,
  1
)</f>
        <v>1</v>
      </c>
      <c r="F813" s="1">
        <f>_xlfn.XLOOKUP(payments_raw[[#This Row],[subscription_id]], subscriptions[subscription_id], subscriptions[start_date])</f>
        <v>44780</v>
      </c>
      <c r="G8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3" s="2">
        <f>IF(payments_raw[[#This Row],[payment_date]] &lt; payments_raw[[#This Row],[sub_start_date]], 1, 0)</f>
        <v>0</v>
      </c>
      <c r="I813" s="2">
        <f>IF(AND(payments_raw[[#This Row],[sub_end_date]]&lt;&gt;"", payments_raw[[#This Row],[payment_date]] &gt; payments_raw[[#This Row],[sub_end_date]]), 1, 0)</f>
        <v>0</v>
      </c>
      <c r="J813" s="2">
        <f>IF(payments_raw[[#This Row],[amount]] &lt;= 0, 1, 0)</f>
        <v>0</v>
      </c>
      <c r="K8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4" spans="1:11" x14ac:dyDescent="0.3">
      <c r="A814">
        <v>31163196</v>
      </c>
      <c r="B814">
        <v>8075570</v>
      </c>
      <c r="C814" s="1">
        <v>45149</v>
      </c>
      <c r="D814">
        <v>190</v>
      </c>
      <c r="E814">
        <f>IF(
  ISNA(
    _xlfn.XLOOKUP(
      payments_raw[[#This Row],[subscription_id]],
      subscriptions[subscription_id],
      subscriptions[subscription_id]
    )
  ),
  0,
  1
)</f>
        <v>1</v>
      </c>
      <c r="F814" s="1">
        <f>_xlfn.XLOOKUP(payments_raw[[#This Row],[subscription_id]], subscriptions[subscription_id], subscriptions[start_date])</f>
        <v>44929</v>
      </c>
      <c r="G8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4" s="2">
        <f>IF(payments_raw[[#This Row],[payment_date]] &lt; payments_raw[[#This Row],[sub_start_date]], 1, 0)</f>
        <v>0</v>
      </c>
      <c r="I814" s="2">
        <f>IF(AND(payments_raw[[#This Row],[sub_end_date]]&lt;&gt;"", payments_raw[[#This Row],[payment_date]] &gt; payments_raw[[#This Row],[sub_end_date]]), 1, 0)</f>
        <v>0</v>
      </c>
      <c r="J814" s="2">
        <f>IF(payments_raw[[#This Row],[amount]] &lt;= 0, 1, 0)</f>
        <v>0</v>
      </c>
      <c r="K8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5" spans="1:11" x14ac:dyDescent="0.3">
      <c r="A815">
        <v>77894385</v>
      </c>
      <c r="B815">
        <v>8544230</v>
      </c>
      <c r="C815" s="1">
        <v>45123</v>
      </c>
      <c r="D815">
        <v>111.75</v>
      </c>
      <c r="E815">
        <f>IF(
  ISNA(
    _xlfn.XLOOKUP(
      payments_raw[[#This Row],[subscription_id]],
      subscriptions[subscription_id],
      subscriptions[subscription_id]
    )
  ),
  0,
  1
)</f>
        <v>1</v>
      </c>
      <c r="F815" s="1">
        <f>_xlfn.XLOOKUP(payments_raw[[#This Row],[subscription_id]], subscriptions[subscription_id], subscriptions[start_date])</f>
        <v>45048</v>
      </c>
      <c r="G8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45391</v>
      </c>
      <c r="H815" s="2">
        <f>IF(payments_raw[[#This Row],[payment_date]] &lt; payments_raw[[#This Row],[sub_start_date]], 1, 0)</f>
        <v>0</v>
      </c>
      <c r="I815" s="2">
        <f>IF(AND(payments_raw[[#This Row],[sub_end_date]]&lt;&gt;"", payments_raw[[#This Row],[payment_date]] &gt; payments_raw[[#This Row],[sub_end_date]]), 1, 0)</f>
        <v>0</v>
      </c>
      <c r="J815" s="2">
        <f>IF(payments_raw[[#This Row],[amount]] &lt;= 0, 1, 0)</f>
        <v>0</v>
      </c>
      <c r="K8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6" spans="1:11" x14ac:dyDescent="0.3">
      <c r="A816">
        <v>46912514</v>
      </c>
      <c r="B816">
        <v>6998844</v>
      </c>
      <c r="C816" s="1">
        <v>45606</v>
      </c>
      <c r="D816">
        <v>190</v>
      </c>
      <c r="E816">
        <f>IF(
  ISNA(
    _xlfn.XLOOKUP(
      payments_raw[[#This Row],[subscription_id]],
      subscriptions[subscription_id],
      subscriptions[subscription_id]
    )
  ),
  0,
  1
)</f>
        <v>1</v>
      </c>
      <c r="F816" s="1">
        <f>_xlfn.XLOOKUP(payments_raw[[#This Row],[subscription_id]], subscriptions[subscription_id], subscriptions[start_date])</f>
        <v>45521</v>
      </c>
      <c r="G8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6" s="2">
        <f>IF(payments_raw[[#This Row],[payment_date]] &lt; payments_raw[[#This Row],[sub_start_date]], 1, 0)</f>
        <v>0</v>
      </c>
      <c r="I816" s="2">
        <f>IF(AND(payments_raw[[#This Row],[sub_end_date]]&lt;&gt;"", payments_raw[[#This Row],[payment_date]] &gt; payments_raw[[#This Row],[sub_end_date]]), 1, 0)</f>
        <v>0</v>
      </c>
      <c r="J816" s="2">
        <f>IF(payments_raw[[#This Row],[amount]] &lt;= 0, 1, 0)</f>
        <v>0</v>
      </c>
      <c r="K8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7" spans="1:11" x14ac:dyDescent="0.3">
      <c r="A817">
        <v>20300489</v>
      </c>
      <c r="B817">
        <v>1689543</v>
      </c>
      <c r="C817" s="1">
        <v>45276</v>
      </c>
      <c r="D817">
        <v>149</v>
      </c>
      <c r="E817">
        <f>IF(
  ISNA(
    _xlfn.XLOOKUP(
      payments_raw[[#This Row],[subscription_id]],
      subscriptions[subscription_id],
      subscriptions[subscription_id]
    )
  ),
  0,
  1
)</f>
        <v>1</v>
      </c>
      <c r="F817" s="1">
        <f>_xlfn.XLOOKUP(payments_raw[[#This Row],[subscription_id]], subscriptions[subscription_id], subscriptions[start_date])</f>
        <v>45265</v>
      </c>
      <c r="G8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817" s="2">
        <f>IF(payments_raw[[#This Row],[payment_date]] &lt; payments_raw[[#This Row],[sub_start_date]], 1, 0)</f>
        <v>0</v>
      </c>
      <c r="I817" s="2">
        <f>IF(AND(payments_raw[[#This Row],[sub_end_date]]&lt;&gt;"", payments_raw[[#This Row],[payment_date]] &gt; payments_raw[[#This Row],[sub_end_date]]), 1, 0)</f>
        <v>0</v>
      </c>
      <c r="J817" s="2">
        <f>IF(payments_raw[[#This Row],[amount]] &lt;= 0, 1, 0)</f>
        <v>0</v>
      </c>
      <c r="K8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8" spans="1:11" x14ac:dyDescent="0.3">
      <c r="A818">
        <v>14896647</v>
      </c>
      <c r="B818">
        <v>9901345</v>
      </c>
      <c r="C818" s="1">
        <v>44836</v>
      </c>
      <c r="D818">
        <v>1490</v>
      </c>
      <c r="E818">
        <f>IF(
  ISNA(
    _xlfn.XLOOKUP(
      payments_raw[[#This Row],[subscription_id]],
      subscriptions[subscription_id],
      subscriptions[subscription_id]
    )
  ),
  0,
  1
)</f>
        <v>1</v>
      </c>
      <c r="F818" s="1">
        <f>_xlfn.XLOOKUP(payments_raw[[#This Row],[subscription_id]], subscriptions[subscription_id], subscriptions[start_date])</f>
        <v>44658</v>
      </c>
      <c r="G8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818" s="2">
        <f>IF(payments_raw[[#This Row],[payment_date]] &lt; payments_raw[[#This Row],[sub_start_date]], 1, 0)</f>
        <v>0</v>
      </c>
      <c r="I818" s="2">
        <f>IF(AND(payments_raw[[#This Row],[sub_end_date]]&lt;&gt;"", payments_raw[[#This Row],[payment_date]] &gt; payments_raw[[#This Row],[sub_end_date]]), 1, 0)</f>
        <v>0</v>
      </c>
      <c r="J818" s="2">
        <f>IF(payments_raw[[#This Row],[amount]] &lt;= 0, 1, 0)</f>
        <v>0</v>
      </c>
      <c r="K8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19" spans="1:11" x14ac:dyDescent="0.3">
      <c r="A819">
        <v>49453084</v>
      </c>
      <c r="B819">
        <v>3895499</v>
      </c>
      <c r="C819" s="1">
        <v>45503</v>
      </c>
      <c r="D819">
        <v>390</v>
      </c>
      <c r="E819">
        <f>IF(
  ISNA(
    _xlfn.XLOOKUP(
      payments_raw[[#This Row],[subscription_id]],
      subscriptions[subscription_id],
      subscriptions[subscription_id]
    )
  ),
  0,
  1
)</f>
        <v>1</v>
      </c>
      <c r="F819" s="1">
        <f>_xlfn.XLOOKUP(payments_raw[[#This Row],[subscription_id]], subscriptions[subscription_id], subscriptions[start_date])</f>
        <v>45470</v>
      </c>
      <c r="G8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19" s="2">
        <f>IF(payments_raw[[#This Row],[payment_date]] &lt; payments_raw[[#This Row],[sub_start_date]], 1, 0)</f>
        <v>0</v>
      </c>
      <c r="I819" s="2">
        <f>IF(AND(payments_raw[[#This Row],[sub_end_date]]&lt;&gt;"", payments_raw[[#This Row],[payment_date]] &gt; payments_raw[[#This Row],[sub_end_date]]), 1, 0)</f>
        <v>0</v>
      </c>
      <c r="J819" s="2">
        <f>IF(payments_raw[[#This Row],[amount]] &lt;= 0, 1, 0)</f>
        <v>0</v>
      </c>
      <c r="K8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0" spans="1:11" x14ac:dyDescent="0.3">
      <c r="A820">
        <v>64659891</v>
      </c>
      <c r="B820">
        <v>8859233</v>
      </c>
      <c r="C820" s="1">
        <v>44973</v>
      </c>
      <c r="D820">
        <v>1490</v>
      </c>
      <c r="E820">
        <f>IF(
  ISNA(
    _xlfn.XLOOKUP(
      payments_raw[[#This Row],[subscription_id]],
      subscriptions[subscription_id],
      subscriptions[subscription_id]
    )
  ),
  0,
  1
)</f>
        <v>1</v>
      </c>
      <c r="F820" s="1">
        <f>_xlfn.XLOOKUP(payments_raw[[#This Row],[subscription_id]], subscriptions[subscription_id], subscriptions[start_date])</f>
        <v>44952</v>
      </c>
      <c r="G8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820" s="2">
        <f>IF(payments_raw[[#This Row],[payment_date]] &lt; payments_raw[[#This Row],[sub_start_date]], 1, 0)</f>
        <v>0</v>
      </c>
      <c r="I820" s="2">
        <f>IF(AND(payments_raw[[#This Row],[sub_end_date]]&lt;&gt;"", payments_raw[[#This Row],[payment_date]] &gt; payments_raw[[#This Row],[sub_end_date]]), 1, 0)</f>
        <v>0</v>
      </c>
      <c r="J820" s="2">
        <f>IF(payments_raw[[#This Row],[amount]] &lt;= 0, 1, 0)</f>
        <v>0</v>
      </c>
      <c r="K8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1" spans="1:11" x14ac:dyDescent="0.3">
      <c r="A821">
        <v>94621319</v>
      </c>
      <c r="B821">
        <v>7078057</v>
      </c>
      <c r="C821" s="1">
        <v>45268</v>
      </c>
      <c r="D821">
        <v>39</v>
      </c>
      <c r="E821">
        <f>IF(
  ISNA(
    _xlfn.XLOOKUP(
      payments_raw[[#This Row],[subscription_id]],
      subscriptions[subscription_id],
      subscriptions[subscription_id]
    )
  ),
  0,
  1
)</f>
        <v>1</v>
      </c>
      <c r="F821" s="1">
        <f>_xlfn.XLOOKUP(payments_raw[[#This Row],[subscription_id]], subscriptions[subscription_id], subscriptions[start_date])</f>
        <v>45258</v>
      </c>
      <c r="G8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1" s="2">
        <f>IF(payments_raw[[#This Row],[payment_date]] &lt; payments_raw[[#This Row],[sub_start_date]], 1, 0)</f>
        <v>0</v>
      </c>
      <c r="I821" s="2">
        <f>IF(AND(payments_raw[[#This Row],[sub_end_date]]&lt;&gt;"", payments_raw[[#This Row],[payment_date]] &gt; payments_raw[[#This Row],[sub_end_date]]), 1, 0)</f>
        <v>0</v>
      </c>
      <c r="J821" s="2">
        <f>IF(payments_raw[[#This Row],[amount]] &lt;= 0, 1, 0)</f>
        <v>0</v>
      </c>
      <c r="K8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2" spans="1:11" x14ac:dyDescent="0.3">
      <c r="A822">
        <v>55297384</v>
      </c>
      <c r="B822">
        <v>5222335</v>
      </c>
      <c r="C822" s="1">
        <v>45356</v>
      </c>
      <c r="D822">
        <v>19</v>
      </c>
      <c r="E822">
        <f>IF(
  ISNA(
    _xlfn.XLOOKUP(
      payments_raw[[#This Row],[subscription_id]],
      subscriptions[subscription_id],
      subscriptions[subscription_id]
    )
  ),
  0,
  1
)</f>
        <v>1</v>
      </c>
      <c r="F822" s="1">
        <f>_xlfn.XLOOKUP(payments_raw[[#This Row],[subscription_id]], subscriptions[subscription_id], subscriptions[start_date])</f>
        <v>45235</v>
      </c>
      <c r="G8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2" s="2">
        <f>IF(payments_raw[[#This Row],[payment_date]] &lt; payments_raw[[#This Row],[sub_start_date]], 1, 0)</f>
        <v>0</v>
      </c>
      <c r="I822" s="2">
        <f>IF(AND(payments_raw[[#This Row],[sub_end_date]]&lt;&gt;"", payments_raw[[#This Row],[payment_date]] &gt; payments_raw[[#This Row],[sub_end_date]]), 1, 0)</f>
        <v>0</v>
      </c>
      <c r="J822" s="2">
        <f>IF(payments_raw[[#This Row],[amount]] &lt;= 0, 1, 0)</f>
        <v>0</v>
      </c>
      <c r="K8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3" spans="1:11" x14ac:dyDescent="0.3">
      <c r="A823">
        <v>63082648</v>
      </c>
      <c r="B823">
        <v>8699159</v>
      </c>
      <c r="C823" s="1">
        <v>45415</v>
      </c>
      <c r="D823">
        <v>390</v>
      </c>
      <c r="E823">
        <f>IF(
  ISNA(
    _xlfn.XLOOKUP(
      payments_raw[[#This Row],[subscription_id]],
      subscriptions[subscription_id],
      subscriptions[subscription_id]
    )
  ),
  0,
  1
)</f>
        <v>1</v>
      </c>
      <c r="F823" s="1">
        <f>_xlfn.XLOOKUP(payments_raw[[#This Row],[subscription_id]], subscriptions[subscription_id], subscriptions[start_date])</f>
        <v>44977</v>
      </c>
      <c r="G8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3" s="2">
        <f>IF(payments_raw[[#This Row],[payment_date]] &lt; payments_raw[[#This Row],[sub_start_date]], 1, 0)</f>
        <v>0</v>
      </c>
      <c r="I823" s="2">
        <f>IF(AND(payments_raw[[#This Row],[sub_end_date]]&lt;&gt;"", payments_raw[[#This Row],[payment_date]] &gt; payments_raw[[#This Row],[sub_end_date]]), 1, 0)</f>
        <v>0</v>
      </c>
      <c r="J823" s="2">
        <f>IF(payments_raw[[#This Row],[amount]] &lt;= 0, 1, 0)</f>
        <v>0</v>
      </c>
      <c r="K8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4" spans="1:11" x14ac:dyDescent="0.3">
      <c r="A824">
        <v>16222119</v>
      </c>
      <c r="B824">
        <v>1797863</v>
      </c>
      <c r="C824" s="1">
        <v>45465</v>
      </c>
      <c r="D824">
        <v>790</v>
      </c>
      <c r="E824">
        <f>IF(
  ISNA(
    _xlfn.XLOOKUP(
      payments_raw[[#This Row],[subscription_id]],
      subscriptions[subscription_id],
      subscriptions[subscription_id]
    )
  ),
  0,
  1
)</f>
        <v>1</v>
      </c>
      <c r="F824" s="1">
        <f>_xlfn.XLOOKUP(payments_raw[[#This Row],[subscription_id]], subscriptions[subscription_id], subscriptions[start_date])</f>
        <v>44934</v>
      </c>
      <c r="G8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4" s="2">
        <f>IF(payments_raw[[#This Row],[payment_date]] &lt; payments_raw[[#This Row],[sub_start_date]], 1, 0)</f>
        <v>0</v>
      </c>
      <c r="I824" s="2">
        <f>IF(AND(payments_raw[[#This Row],[sub_end_date]]&lt;&gt;"", payments_raw[[#This Row],[payment_date]] &gt; payments_raw[[#This Row],[sub_end_date]]), 1, 0)</f>
        <v>0</v>
      </c>
      <c r="J824" s="2">
        <f>IF(payments_raw[[#This Row],[amount]] &lt;= 0, 1, 0)</f>
        <v>0</v>
      </c>
      <c r="K8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5" spans="1:11" x14ac:dyDescent="0.3">
      <c r="A825">
        <v>25638062</v>
      </c>
      <c r="B825">
        <v>1722698</v>
      </c>
      <c r="C825" s="1">
        <v>45552</v>
      </c>
      <c r="D825">
        <v>1490</v>
      </c>
      <c r="E825">
        <f>IF(
  ISNA(
    _xlfn.XLOOKUP(
      payments_raw[[#This Row],[subscription_id]],
      subscriptions[subscription_id],
      subscriptions[subscription_id]
    )
  ),
  0,
  1
)</f>
        <v>1</v>
      </c>
      <c r="F825" s="1">
        <f>_xlfn.XLOOKUP(payments_raw[[#This Row],[subscription_id]], subscriptions[subscription_id], subscriptions[start_date])</f>
        <v>44788</v>
      </c>
      <c r="G8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5" s="2">
        <f>IF(payments_raw[[#This Row],[payment_date]] &lt; payments_raw[[#This Row],[sub_start_date]], 1, 0)</f>
        <v>0</v>
      </c>
      <c r="I825" s="2">
        <f>IF(AND(payments_raw[[#This Row],[sub_end_date]]&lt;&gt;"", payments_raw[[#This Row],[payment_date]] &gt; payments_raw[[#This Row],[sub_end_date]]), 1, 0)</f>
        <v>0</v>
      </c>
      <c r="J825" s="2">
        <f>IF(payments_raw[[#This Row],[amount]] &lt;= 0, 1, 0)</f>
        <v>0</v>
      </c>
      <c r="K8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6" spans="1:11" x14ac:dyDescent="0.3">
      <c r="A826">
        <v>12411735</v>
      </c>
      <c r="B826">
        <v>2321583</v>
      </c>
      <c r="C826" s="1">
        <v>45366</v>
      </c>
      <c r="D826">
        <v>19</v>
      </c>
      <c r="E826">
        <f>IF(
  ISNA(
    _xlfn.XLOOKUP(
      payments_raw[[#This Row],[subscription_id]],
      subscriptions[subscription_id],
      subscriptions[subscription_id]
    )
  ),
  0,
  1
)</f>
        <v>1</v>
      </c>
      <c r="F826" s="1">
        <f>_xlfn.XLOOKUP(payments_raw[[#This Row],[subscription_id]], subscriptions[subscription_id], subscriptions[start_date])</f>
        <v>45345</v>
      </c>
      <c r="G8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6" s="2">
        <f>IF(payments_raw[[#This Row],[payment_date]] &lt; payments_raw[[#This Row],[sub_start_date]], 1, 0)</f>
        <v>0</v>
      </c>
      <c r="I826" s="2">
        <f>IF(AND(payments_raw[[#This Row],[sub_end_date]]&lt;&gt;"", payments_raw[[#This Row],[payment_date]] &gt; payments_raw[[#This Row],[sub_end_date]]), 1, 0)</f>
        <v>0</v>
      </c>
      <c r="J826" s="2">
        <f>IF(payments_raw[[#This Row],[amount]] &lt;= 0, 1, 0)</f>
        <v>0</v>
      </c>
      <c r="K8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7" spans="1:11" x14ac:dyDescent="0.3">
      <c r="A827">
        <v>17433978</v>
      </c>
      <c r="B827">
        <v>5021865</v>
      </c>
      <c r="C827" s="1">
        <v>45548</v>
      </c>
      <c r="D827">
        <v>39</v>
      </c>
      <c r="E827">
        <f>IF(
  ISNA(
    _xlfn.XLOOKUP(
      payments_raw[[#This Row],[subscription_id]],
      subscriptions[subscription_id],
      subscriptions[subscription_id]
    )
  ),
  0,
  1
)</f>
        <v>1</v>
      </c>
      <c r="F827" s="1">
        <f>_xlfn.XLOOKUP(payments_raw[[#This Row],[subscription_id]], subscriptions[subscription_id], subscriptions[start_date])</f>
        <v>45016</v>
      </c>
      <c r="G8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7" s="2">
        <f>IF(payments_raw[[#This Row],[payment_date]] &lt; payments_raw[[#This Row],[sub_start_date]], 1, 0)</f>
        <v>0</v>
      </c>
      <c r="I827" s="2">
        <f>IF(AND(payments_raw[[#This Row],[sub_end_date]]&lt;&gt;"", payments_raw[[#This Row],[payment_date]] &gt; payments_raw[[#This Row],[sub_end_date]]), 1, 0)</f>
        <v>0</v>
      </c>
      <c r="J827" s="2">
        <f>IF(payments_raw[[#This Row],[amount]] &lt;= 0, 1, 0)</f>
        <v>0</v>
      </c>
      <c r="K8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8" spans="1:11" x14ac:dyDescent="0.3">
      <c r="A828">
        <v>58495831</v>
      </c>
      <c r="B828">
        <v>9296866</v>
      </c>
      <c r="C828" s="1">
        <v>45546</v>
      </c>
      <c r="D828">
        <v>390</v>
      </c>
      <c r="E828">
        <f>IF(
  ISNA(
    _xlfn.XLOOKUP(
      payments_raw[[#This Row],[subscription_id]],
      subscriptions[subscription_id],
      subscriptions[subscription_id]
    )
  ),
  0,
  1
)</f>
        <v>1</v>
      </c>
      <c r="F828" s="1">
        <f>_xlfn.XLOOKUP(payments_raw[[#This Row],[subscription_id]], subscriptions[subscription_id], subscriptions[start_date])</f>
        <v>45447</v>
      </c>
      <c r="G8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8" s="2">
        <f>IF(payments_raw[[#This Row],[payment_date]] &lt; payments_raw[[#This Row],[sub_start_date]], 1, 0)</f>
        <v>0</v>
      </c>
      <c r="I828" s="2">
        <f>IF(AND(payments_raw[[#This Row],[sub_end_date]]&lt;&gt;"", payments_raw[[#This Row],[payment_date]] &gt; payments_raw[[#This Row],[sub_end_date]]), 1, 0)</f>
        <v>0</v>
      </c>
      <c r="J828" s="2">
        <f>IF(payments_raw[[#This Row],[amount]] &lt;= 0, 1, 0)</f>
        <v>0</v>
      </c>
      <c r="K8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29" spans="1:11" x14ac:dyDescent="0.3">
      <c r="A829">
        <v>91527526</v>
      </c>
      <c r="B829">
        <v>5519127</v>
      </c>
      <c r="C829" s="1">
        <v>45427</v>
      </c>
      <c r="D829">
        <v>390</v>
      </c>
      <c r="E829">
        <f>IF(
  ISNA(
    _xlfn.XLOOKUP(
      payments_raw[[#This Row],[subscription_id]],
      subscriptions[subscription_id],
      subscriptions[subscription_id]
    )
  ),
  0,
  1
)</f>
        <v>1</v>
      </c>
      <c r="F829" s="1">
        <f>_xlfn.XLOOKUP(payments_raw[[#This Row],[subscription_id]], subscriptions[subscription_id], subscriptions[start_date])</f>
        <v>45382</v>
      </c>
      <c r="G8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29" s="2">
        <f>IF(payments_raw[[#This Row],[payment_date]] &lt; payments_raw[[#This Row],[sub_start_date]], 1, 0)</f>
        <v>0</v>
      </c>
      <c r="I829" s="2">
        <f>IF(AND(payments_raw[[#This Row],[sub_end_date]]&lt;&gt;"", payments_raw[[#This Row],[payment_date]] &gt; payments_raw[[#This Row],[sub_end_date]]), 1, 0)</f>
        <v>0</v>
      </c>
      <c r="J829" s="2">
        <f>IF(payments_raw[[#This Row],[amount]] &lt;= 0, 1, 0)</f>
        <v>0</v>
      </c>
      <c r="K8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0" spans="1:11" x14ac:dyDescent="0.3">
      <c r="A830">
        <v>13660053</v>
      </c>
      <c r="B830">
        <v>8882149</v>
      </c>
      <c r="C830" s="1">
        <v>45036</v>
      </c>
      <c r="D830">
        <v>190</v>
      </c>
      <c r="E830">
        <f>IF(
  ISNA(
    _xlfn.XLOOKUP(
      payments_raw[[#This Row],[subscription_id]],
      subscriptions[subscription_id],
      subscriptions[subscription_id]
    )
  ),
  0,
  1
)</f>
        <v>1</v>
      </c>
      <c r="F830" s="1">
        <f>_xlfn.XLOOKUP(payments_raw[[#This Row],[subscription_id]], subscriptions[subscription_id], subscriptions[start_date])</f>
        <v>44641</v>
      </c>
      <c r="G8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0" s="2">
        <f>IF(payments_raw[[#This Row],[payment_date]] &lt; payments_raw[[#This Row],[sub_start_date]], 1, 0)</f>
        <v>0</v>
      </c>
      <c r="I830" s="2">
        <f>IF(AND(payments_raw[[#This Row],[sub_end_date]]&lt;&gt;"", payments_raw[[#This Row],[payment_date]] &gt; payments_raw[[#This Row],[sub_end_date]]), 1, 0)</f>
        <v>0</v>
      </c>
      <c r="J830" s="2">
        <f>IF(payments_raw[[#This Row],[amount]] &lt;= 0, 1, 0)</f>
        <v>0</v>
      </c>
      <c r="K8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1" spans="1:11" x14ac:dyDescent="0.3">
      <c r="A831">
        <v>71153456</v>
      </c>
      <c r="B831">
        <v>7096391</v>
      </c>
      <c r="C831" s="1">
        <v>45417</v>
      </c>
      <c r="D831">
        <v>79</v>
      </c>
      <c r="E831">
        <f>IF(
  ISNA(
    _xlfn.XLOOKUP(
      payments_raw[[#This Row],[subscription_id]],
      subscriptions[subscription_id],
      subscriptions[subscription_id]
    )
  ),
  0,
  1
)</f>
        <v>1</v>
      </c>
      <c r="F831" s="1">
        <f>_xlfn.XLOOKUP(payments_raw[[#This Row],[subscription_id]], subscriptions[subscription_id], subscriptions[start_date])</f>
        <v>45380</v>
      </c>
      <c r="G8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831" s="2">
        <f>IF(payments_raw[[#This Row],[payment_date]] &lt; payments_raw[[#This Row],[sub_start_date]], 1, 0)</f>
        <v>0</v>
      </c>
      <c r="I831" s="2">
        <f>IF(AND(payments_raw[[#This Row],[sub_end_date]]&lt;&gt;"", payments_raw[[#This Row],[payment_date]] &gt; payments_raw[[#This Row],[sub_end_date]]), 1, 0)</f>
        <v>0</v>
      </c>
      <c r="J831" s="2">
        <f>IF(payments_raw[[#This Row],[amount]] &lt;= 0, 1, 0)</f>
        <v>0</v>
      </c>
      <c r="K8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2" spans="1:11" x14ac:dyDescent="0.3">
      <c r="A832">
        <v>38568706</v>
      </c>
      <c r="B832">
        <v>2457333</v>
      </c>
      <c r="C832" s="1">
        <v>44893</v>
      </c>
      <c r="D832">
        <v>149</v>
      </c>
      <c r="E832">
        <f>IF(
  ISNA(
    _xlfn.XLOOKUP(
      payments_raw[[#This Row],[subscription_id]],
      subscriptions[subscription_id],
      subscriptions[subscription_id]
    )
  ),
  0,
  1
)</f>
        <v>1</v>
      </c>
      <c r="F832" s="1">
        <f>_xlfn.XLOOKUP(payments_raw[[#This Row],[subscription_id]], subscriptions[subscription_id], subscriptions[start_date])</f>
        <v>44842</v>
      </c>
      <c r="G8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832" s="2">
        <f>IF(payments_raw[[#This Row],[payment_date]] &lt; payments_raw[[#This Row],[sub_start_date]], 1, 0)</f>
        <v>0</v>
      </c>
      <c r="I832" s="2">
        <f>IF(AND(payments_raw[[#This Row],[sub_end_date]]&lt;&gt;"", payments_raw[[#This Row],[payment_date]] &gt; payments_raw[[#This Row],[sub_end_date]]), 1, 0)</f>
        <v>0</v>
      </c>
      <c r="J832" s="2">
        <f>IF(payments_raw[[#This Row],[amount]] &lt;= 0, 1, 0)</f>
        <v>0</v>
      </c>
      <c r="K8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3" spans="1:11" x14ac:dyDescent="0.3">
      <c r="A833">
        <v>39340542</v>
      </c>
      <c r="B833">
        <v>1757936</v>
      </c>
      <c r="C833" s="1">
        <v>45117</v>
      </c>
      <c r="D833">
        <v>299</v>
      </c>
      <c r="E833">
        <f>IF(
  ISNA(
    _xlfn.XLOOKUP(
      payments_raw[[#This Row],[subscription_id]],
      subscriptions[subscription_id],
      subscriptions[subscription_id]
    )
  ),
  0,
  1
)</f>
        <v>1</v>
      </c>
      <c r="F833" s="1">
        <f>_xlfn.XLOOKUP(payments_raw[[#This Row],[subscription_id]], subscriptions[subscription_id], subscriptions[start_date])</f>
        <v>44597</v>
      </c>
      <c r="G8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3" s="2">
        <f>IF(payments_raw[[#This Row],[payment_date]] &lt; payments_raw[[#This Row],[sub_start_date]], 1, 0)</f>
        <v>0</v>
      </c>
      <c r="I833" s="2">
        <f>IF(AND(payments_raw[[#This Row],[sub_end_date]]&lt;&gt;"", payments_raw[[#This Row],[payment_date]] &gt; payments_raw[[#This Row],[sub_end_date]]), 1, 0)</f>
        <v>0</v>
      </c>
      <c r="J833" s="2">
        <f>IF(payments_raw[[#This Row],[amount]] &lt;= 0, 1, 0)</f>
        <v>0</v>
      </c>
      <c r="K8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4" spans="1:11" x14ac:dyDescent="0.3">
      <c r="A834">
        <v>57754042</v>
      </c>
      <c r="B834">
        <v>2393728</v>
      </c>
      <c r="C834" s="1">
        <v>45314</v>
      </c>
      <c r="D834">
        <v>390</v>
      </c>
      <c r="E834">
        <f>IF(
  ISNA(
    _xlfn.XLOOKUP(
      payments_raw[[#This Row],[subscription_id]],
      subscriptions[subscription_id],
      subscriptions[subscription_id]
    )
  ),
  0,
  1
)</f>
        <v>1</v>
      </c>
      <c r="F834" s="1">
        <f>_xlfn.XLOOKUP(payments_raw[[#This Row],[subscription_id]], subscriptions[subscription_id], subscriptions[start_date])</f>
        <v>45288</v>
      </c>
      <c r="G8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45571</v>
      </c>
      <c r="H834" s="2">
        <f>IF(payments_raw[[#This Row],[payment_date]] &lt; payments_raw[[#This Row],[sub_start_date]], 1, 0)</f>
        <v>0</v>
      </c>
      <c r="I834" s="2">
        <f>IF(AND(payments_raw[[#This Row],[sub_end_date]]&lt;&gt;"", payments_raw[[#This Row],[payment_date]] &gt; payments_raw[[#This Row],[sub_end_date]]), 1, 0)</f>
        <v>0</v>
      </c>
      <c r="J834" s="2">
        <f>IF(payments_raw[[#This Row],[amount]] &lt;= 0, 1, 0)</f>
        <v>0</v>
      </c>
      <c r="K8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5" spans="1:11" x14ac:dyDescent="0.3">
      <c r="A835">
        <v>78326999</v>
      </c>
      <c r="B835">
        <v>2951710</v>
      </c>
      <c r="C835" s="1">
        <v>45437</v>
      </c>
      <c r="D835">
        <v>79</v>
      </c>
      <c r="E835">
        <f>IF(
  ISNA(
    _xlfn.XLOOKUP(
      payments_raw[[#This Row],[subscription_id]],
      subscriptions[subscription_id],
      subscriptions[subscription_id]
    )
  ),
  0,
  1
)</f>
        <v>1</v>
      </c>
      <c r="F835" s="1">
        <f>_xlfn.XLOOKUP(payments_raw[[#This Row],[subscription_id]], subscriptions[subscription_id], subscriptions[start_date])</f>
        <v>45156</v>
      </c>
      <c r="G8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5" s="2">
        <f>IF(payments_raw[[#This Row],[payment_date]] &lt; payments_raw[[#This Row],[sub_start_date]], 1, 0)</f>
        <v>0</v>
      </c>
      <c r="I835" s="2">
        <f>IF(AND(payments_raw[[#This Row],[sub_end_date]]&lt;&gt;"", payments_raw[[#This Row],[payment_date]] &gt; payments_raw[[#This Row],[sub_end_date]]), 1, 0)</f>
        <v>0</v>
      </c>
      <c r="J835" s="2">
        <f>IF(payments_raw[[#This Row],[amount]] &lt;= 0, 1, 0)</f>
        <v>0</v>
      </c>
      <c r="K8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6" spans="1:11" x14ac:dyDescent="0.3">
      <c r="A836">
        <v>86778111</v>
      </c>
      <c r="B836">
        <v>6082313</v>
      </c>
      <c r="C836" s="1">
        <v>45007</v>
      </c>
      <c r="D836">
        <v>79</v>
      </c>
      <c r="E836">
        <f>IF(
  ISNA(
    _xlfn.XLOOKUP(
      payments_raw[[#This Row],[subscription_id]],
      subscriptions[subscription_id],
      subscriptions[subscription_id]
    )
  ),
  0,
  1
)</f>
        <v>1</v>
      </c>
      <c r="F836" s="1">
        <f>_xlfn.XLOOKUP(payments_raw[[#This Row],[subscription_id]], subscriptions[subscription_id], subscriptions[start_date])</f>
        <v>44896</v>
      </c>
      <c r="G8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6" s="2">
        <f>IF(payments_raw[[#This Row],[payment_date]] &lt; payments_raw[[#This Row],[sub_start_date]], 1, 0)</f>
        <v>0</v>
      </c>
      <c r="I836" s="2">
        <f>IF(AND(payments_raw[[#This Row],[sub_end_date]]&lt;&gt;"", payments_raw[[#This Row],[payment_date]] &gt; payments_raw[[#This Row],[sub_end_date]]), 1, 0)</f>
        <v>0</v>
      </c>
      <c r="J836" s="2">
        <f>IF(payments_raw[[#This Row],[amount]] &lt;= 0, 1, 0)</f>
        <v>0</v>
      </c>
      <c r="K8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7" spans="1:11" x14ac:dyDescent="0.3">
      <c r="A837">
        <v>75131857</v>
      </c>
      <c r="B837">
        <v>2120966</v>
      </c>
      <c r="C837" s="1">
        <v>44737</v>
      </c>
      <c r="D837">
        <v>1490</v>
      </c>
      <c r="E837">
        <f>IF(
  ISNA(
    _xlfn.XLOOKUP(
      payments_raw[[#This Row],[subscription_id]],
      subscriptions[subscription_id],
      subscriptions[subscription_id]
    )
  ),
  0,
  1
)</f>
        <v>1</v>
      </c>
      <c r="F837" s="1">
        <f>_xlfn.XLOOKUP(payments_raw[[#This Row],[subscription_id]], subscriptions[subscription_id], subscriptions[start_date])</f>
        <v>44683</v>
      </c>
      <c r="G83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44784</v>
      </c>
      <c r="H837" s="2">
        <f>IF(payments_raw[[#This Row],[payment_date]] &lt; payments_raw[[#This Row],[sub_start_date]], 1, 0)</f>
        <v>0</v>
      </c>
      <c r="I837" s="2">
        <f>IF(AND(payments_raw[[#This Row],[sub_end_date]]&lt;&gt;"", payments_raw[[#This Row],[payment_date]] &gt; payments_raw[[#This Row],[sub_end_date]]), 1, 0)</f>
        <v>0</v>
      </c>
      <c r="J837" s="2">
        <f>IF(payments_raw[[#This Row],[amount]] &lt;= 0, 1, 0)</f>
        <v>0</v>
      </c>
      <c r="K8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8" spans="1:11" x14ac:dyDescent="0.3">
      <c r="A838">
        <v>96456474</v>
      </c>
      <c r="B838">
        <v>4123208</v>
      </c>
      <c r="C838" s="1">
        <v>45458</v>
      </c>
      <c r="D838">
        <v>2990</v>
      </c>
      <c r="E838">
        <f>IF(
  ISNA(
    _xlfn.XLOOKUP(
      payments_raw[[#This Row],[subscription_id]],
      subscriptions[subscription_id],
      subscriptions[subscription_id]
    )
  ),
  0,
  1
)</f>
        <v>1</v>
      </c>
      <c r="F838" s="1">
        <f>_xlfn.XLOOKUP(payments_raw[[#This Row],[subscription_id]], subscriptions[subscription_id], subscriptions[start_date])</f>
        <v>45385</v>
      </c>
      <c r="G8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8" s="2">
        <f>IF(payments_raw[[#This Row],[payment_date]] &lt; payments_raw[[#This Row],[sub_start_date]], 1, 0)</f>
        <v>0</v>
      </c>
      <c r="I838" s="2">
        <f>IF(AND(payments_raw[[#This Row],[sub_end_date]]&lt;&gt;"", payments_raw[[#This Row],[payment_date]] &gt; payments_raw[[#This Row],[sub_end_date]]), 1, 0)</f>
        <v>0</v>
      </c>
      <c r="J838" s="2">
        <f>IF(payments_raw[[#This Row],[amount]] &lt;= 0, 1, 0)</f>
        <v>0</v>
      </c>
      <c r="K8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39" spans="1:11" x14ac:dyDescent="0.3">
      <c r="A839">
        <v>80396142</v>
      </c>
      <c r="B839">
        <v>2125910</v>
      </c>
      <c r="C839" s="1">
        <v>45567</v>
      </c>
      <c r="D839">
        <v>19</v>
      </c>
      <c r="E839">
        <f>IF(
  ISNA(
    _xlfn.XLOOKUP(
      payments_raw[[#This Row],[subscription_id]],
      subscriptions[subscription_id],
      subscriptions[subscription_id]
    )
  ),
  0,
  1
)</f>
        <v>1</v>
      </c>
      <c r="F839" s="1">
        <f>_xlfn.XLOOKUP(payments_raw[[#This Row],[subscription_id]], subscriptions[subscription_id], subscriptions[start_date])</f>
        <v>44716</v>
      </c>
      <c r="G8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39" s="2">
        <f>IF(payments_raw[[#This Row],[payment_date]] &lt; payments_raw[[#This Row],[sub_start_date]], 1, 0)</f>
        <v>0</v>
      </c>
      <c r="I839" s="2">
        <f>IF(AND(payments_raw[[#This Row],[sub_end_date]]&lt;&gt;"", payments_raw[[#This Row],[payment_date]] &gt; payments_raw[[#This Row],[sub_end_date]]), 1, 0)</f>
        <v>0</v>
      </c>
      <c r="J839" s="2">
        <f>IF(payments_raw[[#This Row],[amount]] &lt;= 0, 1, 0)</f>
        <v>0</v>
      </c>
      <c r="K8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0" spans="1:11" x14ac:dyDescent="0.3">
      <c r="A840">
        <v>15414590</v>
      </c>
      <c r="B840">
        <v>9901791</v>
      </c>
      <c r="C840" s="1">
        <v>44648</v>
      </c>
      <c r="D840">
        <v>299</v>
      </c>
      <c r="E840">
        <f>IF(
  ISNA(
    _xlfn.XLOOKUP(
      payments_raw[[#This Row],[subscription_id]],
      subscriptions[subscription_id],
      subscriptions[subscription_id]
    )
  ),
  0,
  1
)</f>
        <v>1</v>
      </c>
      <c r="F840" s="1">
        <f>_xlfn.XLOOKUP(payments_raw[[#This Row],[subscription_id]], subscriptions[subscription_id], subscriptions[start_date])</f>
        <v>44634</v>
      </c>
      <c r="G840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44697</v>
      </c>
      <c r="H840" s="2">
        <f>IF(payments_raw[[#This Row],[payment_date]] &lt; payments_raw[[#This Row],[sub_start_date]], 1, 0)</f>
        <v>0</v>
      </c>
      <c r="I840" s="2">
        <f>IF(AND(payments_raw[[#This Row],[sub_end_date]]&lt;&gt;"", payments_raw[[#This Row],[payment_date]] &gt; payments_raw[[#This Row],[sub_end_date]]), 1, 0)</f>
        <v>0</v>
      </c>
      <c r="J840" s="2">
        <f>IF(payments_raw[[#This Row],[amount]] &lt;= 0, 1, 0)</f>
        <v>0</v>
      </c>
      <c r="K8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1" spans="1:11" x14ac:dyDescent="0.3">
      <c r="A841">
        <v>84427853</v>
      </c>
      <c r="B841">
        <v>4158126</v>
      </c>
      <c r="C841" s="1">
        <v>45282</v>
      </c>
      <c r="D841">
        <v>19</v>
      </c>
      <c r="E841">
        <f>IF(
  ISNA(
    _xlfn.XLOOKUP(
      payments_raw[[#This Row],[subscription_id]],
      subscriptions[subscription_id],
      subscriptions[subscription_id]
    )
  ),
  0,
  1
)</f>
        <v>1</v>
      </c>
      <c r="F841" s="1">
        <f>_xlfn.XLOOKUP(payments_raw[[#This Row],[subscription_id]], subscriptions[subscription_id], subscriptions[start_date])</f>
        <v>45282</v>
      </c>
      <c r="G8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45338</v>
      </c>
      <c r="H841" s="2">
        <f>IF(payments_raw[[#This Row],[payment_date]] &lt; payments_raw[[#This Row],[sub_start_date]], 1, 0)</f>
        <v>0</v>
      </c>
      <c r="I841" s="2">
        <f>IF(AND(payments_raw[[#This Row],[sub_end_date]]&lt;&gt;"", payments_raw[[#This Row],[payment_date]] &gt; payments_raw[[#This Row],[sub_end_date]]), 1, 0)</f>
        <v>0</v>
      </c>
      <c r="J841" s="2">
        <f>IF(payments_raw[[#This Row],[amount]] &lt;= 0, 1, 0)</f>
        <v>0</v>
      </c>
      <c r="K8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2" spans="1:11" x14ac:dyDescent="0.3">
      <c r="A842">
        <v>70053039</v>
      </c>
      <c r="B842">
        <v>3350695</v>
      </c>
      <c r="C842" s="1">
        <v>45574</v>
      </c>
      <c r="D842">
        <v>39</v>
      </c>
      <c r="E842">
        <f>IF(
  ISNA(
    _xlfn.XLOOKUP(
      payments_raw[[#This Row],[subscription_id]],
      subscriptions[subscription_id],
      subscriptions[subscription_id]
    )
  ),
  0,
  1
)</f>
        <v>1</v>
      </c>
      <c r="F842" s="1">
        <f>_xlfn.XLOOKUP(payments_raw[[#This Row],[subscription_id]], subscriptions[subscription_id], subscriptions[start_date])</f>
        <v>45175</v>
      </c>
      <c r="G8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42" s="2">
        <f>IF(payments_raw[[#This Row],[payment_date]] &lt; payments_raw[[#This Row],[sub_start_date]], 1, 0)</f>
        <v>0</v>
      </c>
      <c r="I842" s="2">
        <f>IF(AND(payments_raw[[#This Row],[sub_end_date]]&lt;&gt;"", payments_raw[[#This Row],[payment_date]] &gt; payments_raw[[#This Row],[sub_end_date]]), 1, 0)</f>
        <v>0</v>
      </c>
      <c r="J842" s="2">
        <f>IF(payments_raw[[#This Row],[amount]] &lt;= 0, 1, 0)</f>
        <v>0</v>
      </c>
      <c r="K8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3" spans="1:11" x14ac:dyDescent="0.3">
      <c r="A843">
        <v>50055973</v>
      </c>
      <c r="B843">
        <v>2321455</v>
      </c>
      <c r="C843" s="1">
        <v>45313</v>
      </c>
      <c r="D843">
        <v>190</v>
      </c>
      <c r="E843">
        <f>IF(
  ISNA(
    _xlfn.XLOOKUP(
      payments_raw[[#This Row],[subscription_id]],
      subscriptions[subscription_id],
      subscriptions[subscription_id]
    )
  ),
  0,
  1
)</f>
        <v>1</v>
      </c>
      <c r="F843" s="1">
        <f>_xlfn.XLOOKUP(payments_raw[[#This Row],[subscription_id]], subscriptions[subscription_id], subscriptions[start_date])</f>
        <v>45253</v>
      </c>
      <c r="G8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45437</v>
      </c>
      <c r="H843" s="2">
        <f>IF(payments_raw[[#This Row],[payment_date]] &lt; payments_raw[[#This Row],[sub_start_date]], 1, 0)</f>
        <v>0</v>
      </c>
      <c r="I843" s="2">
        <f>IF(AND(payments_raw[[#This Row],[sub_end_date]]&lt;&gt;"", payments_raw[[#This Row],[payment_date]] &gt; payments_raw[[#This Row],[sub_end_date]]), 1, 0)</f>
        <v>0</v>
      </c>
      <c r="J843" s="2">
        <f>IF(payments_raw[[#This Row],[amount]] &lt;= 0, 1, 0)</f>
        <v>0</v>
      </c>
      <c r="K8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4" spans="1:11" x14ac:dyDescent="0.3">
      <c r="A844">
        <v>99537557</v>
      </c>
      <c r="B844">
        <v>9880342</v>
      </c>
      <c r="C844" s="1">
        <v>45496</v>
      </c>
      <c r="D844">
        <v>299</v>
      </c>
      <c r="E844">
        <f>IF(
  ISNA(
    _xlfn.XLOOKUP(
      payments_raw[[#This Row],[subscription_id]],
      subscriptions[subscription_id],
      subscriptions[subscription_id]
    )
  ),
  0,
  1
)</f>
        <v>1</v>
      </c>
      <c r="F844" s="1">
        <f>_xlfn.XLOOKUP(payments_raw[[#This Row],[subscription_id]], subscriptions[subscription_id], subscriptions[start_date])</f>
        <v>45356</v>
      </c>
      <c r="G8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45567</v>
      </c>
      <c r="H844" s="2">
        <f>IF(payments_raw[[#This Row],[payment_date]] &lt; payments_raw[[#This Row],[sub_start_date]], 1, 0)</f>
        <v>0</v>
      </c>
      <c r="I844" s="2">
        <f>IF(AND(payments_raw[[#This Row],[sub_end_date]]&lt;&gt;"", payments_raw[[#This Row],[payment_date]] &gt; payments_raw[[#This Row],[sub_end_date]]), 1, 0)</f>
        <v>0</v>
      </c>
      <c r="J844" s="2">
        <f>IF(payments_raw[[#This Row],[amount]] &lt;= 0, 1, 0)</f>
        <v>0</v>
      </c>
      <c r="K8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5" spans="1:11" x14ac:dyDescent="0.3">
      <c r="A845">
        <v>80948559</v>
      </c>
      <c r="B845">
        <v>1810137</v>
      </c>
      <c r="C845" s="1">
        <v>45469</v>
      </c>
      <c r="D845">
        <v>39</v>
      </c>
      <c r="E845">
        <f>IF(
  ISNA(
    _xlfn.XLOOKUP(
      payments_raw[[#This Row],[subscription_id]],
      subscriptions[subscription_id],
      subscriptions[subscription_id]
    )
  ),
  0,
  1
)</f>
        <v>1</v>
      </c>
      <c r="F845" s="1">
        <f>_xlfn.XLOOKUP(payments_raw[[#This Row],[subscription_id]], subscriptions[subscription_id], subscriptions[start_date])</f>
        <v>45435</v>
      </c>
      <c r="G8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45" s="2">
        <f>IF(payments_raw[[#This Row],[payment_date]] &lt; payments_raw[[#This Row],[sub_start_date]], 1, 0)</f>
        <v>0</v>
      </c>
      <c r="I845" s="2">
        <f>IF(AND(payments_raw[[#This Row],[sub_end_date]]&lt;&gt;"", payments_raw[[#This Row],[payment_date]] &gt; payments_raw[[#This Row],[sub_end_date]]), 1, 0)</f>
        <v>0</v>
      </c>
      <c r="J845" s="2">
        <f>IF(payments_raw[[#This Row],[amount]] &lt;= 0, 1, 0)</f>
        <v>0</v>
      </c>
      <c r="K8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6" spans="1:11" x14ac:dyDescent="0.3">
      <c r="A846">
        <v>38448890</v>
      </c>
      <c r="B846">
        <v>7788683</v>
      </c>
      <c r="C846" s="1">
        <v>45340</v>
      </c>
      <c r="D846">
        <v>19</v>
      </c>
      <c r="E846">
        <f>IF(
  ISNA(
    _xlfn.XLOOKUP(
      payments_raw[[#This Row],[subscription_id]],
      subscriptions[subscription_id],
      subscriptions[subscription_id]
    )
  ),
  0,
  1
)</f>
        <v>1</v>
      </c>
      <c r="F846" s="1">
        <f>_xlfn.XLOOKUP(payments_raw[[#This Row],[subscription_id]], subscriptions[subscription_id], subscriptions[start_date])</f>
        <v>45101</v>
      </c>
      <c r="G8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46" s="2">
        <f>IF(payments_raw[[#This Row],[payment_date]] &lt; payments_raw[[#This Row],[sub_start_date]], 1, 0)</f>
        <v>0</v>
      </c>
      <c r="I846" s="2">
        <f>IF(AND(payments_raw[[#This Row],[sub_end_date]]&lt;&gt;"", payments_raw[[#This Row],[payment_date]] &gt; payments_raw[[#This Row],[sub_end_date]]), 1, 0)</f>
        <v>0</v>
      </c>
      <c r="J846" s="2">
        <f>IF(payments_raw[[#This Row],[amount]] &lt;= 0, 1, 0)</f>
        <v>0</v>
      </c>
      <c r="K8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7" spans="1:11" x14ac:dyDescent="0.3">
      <c r="A847">
        <v>92477940</v>
      </c>
      <c r="B847">
        <v>7408577</v>
      </c>
      <c r="C847" s="1">
        <v>45152</v>
      </c>
      <c r="D847">
        <v>17.100000000000001</v>
      </c>
      <c r="E847">
        <f>IF(
  ISNA(
    _xlfn.XLOOKUP(
      payments_raw[[#This Row],[subscription_id]],
      subscriptions[subscription_id],
      subscriptions[subscription_id]
    )
  ),
  0,
  1
)</f>
        <v>1</v>
      </c>
      <c r="F847" s="1">
        <f>_xlfn.XLOOKUP(payments_raw[[#This Row],[subscription_id]], subscriptions[subscription_id], subscriptions[start_date])</f>
        <v>45089</v>
      </c>
      <c r="G8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45443</v>
      </c>
      <c r="H847" s="2">
        <f>IF(payments_raw[[#This Row],[payment_date]] &lt; payments_raw[[#This Row],[sub_start_date]], 1, 0)</f>
        <v>0</v>
      </c>
      <c r="I847" s="2">
        <f>IF(AND(payments_raw[[#This Row],[sub_end_date]]&lt;&gt;"", payments_raw[[#This Row],[payment_date]] &gt; payments_raw[[#This Row],[sub_end_date]]), 1, 0)</f>
        <v>0</v>
      </c>
      <c r="J847" s="2">
        <f>IF(payments_raw[[#This Row],[amount]] &lt;= 0, 1, 0)</f>
        <v>0</v>
      </c>
      <c r="K8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8" spans="1:11" x14ac:dyDescent="0.3">
      <c r="A848">
        <v>59736100</v>
      </c>
      <c r="B848">
        <v>1026701</v>
      </c>
      <c r="C848" s="1">
        <v>45608</v>
      </c>
      <c r="D848">
        <v>19</v>
      </c>
      <c r="E848">
        <f>IF(
  ISNA(
    _xlfn.XLOOKUP(
      payments_raw[[#This Row],[subscription_id]],
      subscriptions[subscription_id],
      subscriptions[subscription_id]
    )
  ),
  0,
  1
)</f>
        <v>1</v>
      </c>
      <c r="F848" s="1">
        <f>_xlfn.XLOOKUP(payments_raw[[#This Row],[subscription_id]], subscriptions[subscription_id], subscriptions[start_date])</f>
        <v>45377</v>
      </c>
      <c r="G8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45650</v>
      </c>
      <c r="H848" s="2">
        <f>IF(payments_raw[[#This Row],[payment_date]] &lt; payments_raw[[#This Row],[sub_start_date]], 1, 0)</f>
        <v>0</v>
      </c>
      <c r="I848" s="2">
        <f>IF(AND(payments_raw[[#This Row],[sub_end_date]]&lt;&gt;"", payments_raw[[#This Row],[payment_date]] &gt; payments_raw[[#This Row],[sub_end_date]]), 1, 0)</f>
        <v>0</v>
      </c>
      <c r="J848" s="2">
        <f>IF(payments_raw[[#This Row],[amount]] &lt;= 0, 1, 0)</f>
        <v>0</v>
      </c>
      <c r="K8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49" spans="1:11" x14ac:dyDescent="0.3">
      <c r="A849">
        <v>12423190</v>
      </c>
      <c r="B849">
        <v>3436404</v>
      </c>
      <c r="C849" s="1">
        <v>44787</v>
      </c>
      <c r="D849">
        <v>2990</v>
      </c>
      <c r="E849">
        <f>IF(
  ISNA(
    _xlfn.XLOOKUP(
      payments_raw[[#This Row],[subscription_id]],
      subscriptions[subscription_id],
      subscriptions[subscription_id]
    )
  ),
  0,
  1
)</f>
        <v>1</v>
      </c>
      <c r="F849" s="1">
        <f>_xlfn.XLOOKUP(payments_raw[[#This Row],[subscription_id]], subscriptions[subscription_id], subscriptions[start_date])</f>
        <v>44632</v>
      </c>
      <c r="G84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44859</v>
      </c>
      <c r="H849" s="2">
        <f>IF(payments_raw[[#This Row],[payment_date]] &lt; payments_raw[[#This Row],[sub_start_date]], 1, 0)</f>
        <v>0</v>
      </c>
      <c r="I849" s="2">
        <f>IF(AND(payments_raw[[#This Row],[sub_end_date]]&lt;&gt;"", payments_raw[[#This Row],[payment_date]] &gt; payments_raw[[#This Row],[sub_end_date]]), 1, 0)</f>
        <v>0</v>
      </c>
      <c r="J849" s="2">
        <f>IF(payments_raw[[#This Row],[amount]] &lt;= 0, 1, 0)</f>
        <v>0</v>
      </c>
      <c r="K8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0" spans="1:11" x14ac:dyDescent="0.3">
      <c r="A850">
        <v>78102004</v>
      </c>
      <c r="B850">
        <v>5376268</v>
      </c>
      <c r="C850" s="1">
        <v>44814</v>
      </c>
      <c r="D850">
        <v>79</v>
      </c>
      <c r="E850">
        <f>IF(
  ISNA(
    _xlfn.XLOOKUP(
      payments_raw[[#This Row],[subscription_id]],
      subscriptions[subscription_id],
      subscriptions[subscription_id]
    )
  ),
  0,
  1
)</f>
        <v>1</v>
      </c>
      <c r="F850" s="1">
        <f>_xlfn.XLOOKUP(payments_raw[[#This Row],[subscription_id]], subscriptions[subscription_id], subscriptions[start_date])</f>
        <v>44626</v>
      </c>
      <c r="G85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44920</v>
      </c>
      <c r="H850" s="2">
        <f>IF(payments_raw[[#This Row],[payment_date]] &lt; payments_raw[[#This Row],[sub_start_date]], 1, 0)</f>
        <v>0</v>
      </c>
      <c r="I850" s="2">
        <f>IF(AND(payments_raw[[#This Row],[sub_end_date]]&lt;&gt;"", payments_raw[[#This Row],[payment_date]] &gt; payments_raw[[#This Row],[sub_end_date]]), 1, 0)</f>
        <v>0</v>
      </c>
      <c r="J850" s="2">
        <f>IF(payments_raw[[#This Row],[amount]] &lt;= 0, 1, 0)</f>
        <v>0</v>
      </c>
      <c r="K8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1" spans="1:11" x14ac:dyDescent="0.3">
      <c r="A851">
        <v>87959511</v>
      </c>
      <c r="B851">
        <v>3182053</v>
      </c>
      <c r="C851" s="1">
        <v>45191</v>
      </c>
      <c r="D851">
        <v>111.75</v>
      </c>
      <c r="E851">
        <f>IF(
  ISNA(
    _xlfn.XLOOKUP(
      payments_raw[[#This Row],[subscription_id]],
      subscriptions[subscription_id],
      subscriptions[subscription_id]
    )
  ),
  0,
  1
)</f>
        <v>1</v>
      </c>
      <c r="F851" s="1">
        <f>_xlfn.XLOOKUP(payments_raw[[#This Row],[subscription_id]], subscriptions[subscription_id], subscriptions[start_date])</f>
        <v>45010</v>
      </c>
      <c r="G8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851" s="2">
        <f>IF(payments_raw[[#This Row],[payment_date]] &lt; payments_raw[[#This Row],[sub_start_date]], 1, 0)</f>
        <v>0</v>
      </c>
      <c r="I851" s="2">
        <f>IF(AND(payments_raw[[#This Row],[sub_end_date]]&lt;&gt;"", payments_raw[[#This Row],[payment_date]] &gt; payments_raw[[#This Row],[sub_end_date]]), 1, 0)</f>
        <v>0</v>
      </c>
      <c r="J851" s="2">
        <f>IF(payments_raw[[#This Row],[amount]] &lt;= 0, 1, 0)</f>
        <v>0</v>
      </c>
      <c r="K8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2" spans="1:11" x14ac:dyDescent="0.3">
      <c r="A852">
        <v>48354650</v>
      </c>
      <c r="B852">
        <v>7781989</v>
      </c>
      <c r="C852" s="1">
        <v>45599</v>
      </c>
      <c r="D852">
        <v>390</v>
      </c>
      <c r="E852">
        <f>IF(
  ISNA(
    _xlfn.XLOOKUP(
      payments_raw[[#This Row],[subscription_id]],
      subscriptions[subscription_id],
      subscriptions[subscription_id]
    )
  ),
  0,
  1
)</f>
        <v>1</v>
      </c>
      <c r="F852" s="1">
        <f>_xlfn.XLOOKUP(payments_raw[[#This Row],[subscription_id]], subscriptions[subscription_id], subscriptions[start_date])</f>
        <v>45453</v>
      </c>
      <c r="G8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52" s="2">
        <f>IF(payments_raw[[#This Row],[payment_date]] &lt; payments_raw[[#This Row],[sub_start_date]], 1, 0)</f>
        <v>0</v>
      </c>
      <c r="I852" s="2">
        <f>IF(AND(payments_raw[[#This Row],[sub_end_date]]&lt;&gt;"", payments_raw[[#This Row],[payment_date]] &gt; payments_raw[[#This Row],[sub_end_date]]), 1, 0)</f>
        <v>0</v>
      </c>
      <c r="J852" s="2">
        <f>IF(payments_raw[[#This Row],[amount]] &lt;= 0, 1, 0)</f>
        <v>0</v>
      </c>
      <c r="K8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3" spans="1:11" x14ac:dyDescent="0.3">
      <c r="A853">
        <v>12117054</v>
      </c>
      <c r="B853">
        <v>4272848</v>
      </c>
      <c r="C853" s="1">
        <v>45086</v>
      </c>
      <c r="D853">
        <v>2990</v>
      </c>
      <c r="E853">
        <f>IF(
  ISNA(
    _xlfn.XLOOKUP(
      payments_raw[[#This Row],[subscription_id]],
      subscriptions[subscription_id],
      subscriptions[subscription_id]
    )
  ),
  0,
  1
)</f>
        <v>1</v>
      </c>
      <c r="F853" s="1">
        <f>_xlfn.XLOOKUP(payments_raw[[#This Row],[subscription_id]], subscriptions[subscription_id], subscriptions[start_date])</f>
        <v>44855</v>
      </c>
      <c r="G8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853" s="2">
        <f>IF(payments_raw[[#This Row],[payment_date]] &lt; payments_raw[[#This Row],[sub_start_date]], 1, 0)</f>
        <v>0</v>
      </c>
      <c r="I853" s="2">
        <f>IF(AND(payments_raw[[#This Row],[sub_end_date]]&lt;&gt;"", payments_raw[[#This Row],[payment_date]] &gt; payments_raw[[#This Row],[sub_end_date]]), 1, 0)</f>
        <v>0</v>
      </c>
      <c r="J853" s="2">
        <f>IF(payments_raw[[#This Row],[amount]] &lt;= 0, 1, 0)</f>
        <v>0</v>
      </c>
      <c r="K8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4" spans="1:11" x14ac:dyDescent="0.3">
      <c r="A854">
        <v>88235393</v>
      </c>
      <c r="B854">
        <v>4101936</v>
      </c>
      <c r="C854" s="1">
        <v>45402</v>
      </c>
      <c r="D854">
        <v>19</v>
      </c>
      <c r="E854">
        <f>IF(
  ISNA(
    _xlfn.XLOOKUP(
      payments_raw[[#This Row],[subscription_id]],
      subscriptions[subscription_id],
      subscriptions[subscription_id]
    )
  ),
  0,
  1
)</f>
        <v>1</v>
      </c>
      <c r="F854" s="1">
        <f>_xlfn.XLOOKUP(payments_raw[[#This Row],[subscription_id]], subscriptions[subscription_id], subscriptions[start_date])</f>
        <v>45392</v>
      </c>
      <c r="G8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854" s="2">
        <f>IF(payments_raw[[#This Row],[payment_date]] &lt; payments_raw[[#This Row],[sub_start_date]], 1, 0)</f>
        <v>0</v>
      </c>
      <c r="I854" s="2">
        <f>IF(AND(payments_raw[[#This Row],[sub_end_date]]&lt;&gt;"", payments_raw[[#This Row],[payment_date]] &gt; payments_raw[[#This Row],[sub_end_date]]), 1, 0)</f>
        <v>0</v>
      </c>
      <c r="J854" s="2">
        <f>IF(payments_raw[[#This Row],[amount]] &lt;= 0, 1, 0)</f>
        <v>0</v>
      </c>
      <c r="K8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5" spans="1:11" x14ac:dyDescent="0.3">
      <c r="A855">
        <v>90242117</v>
      </c>
      <c r="B855">
        <v>9545877</v>
      </c>
      <c r="C855" s="1">
        <v>45456</v>
      </c>
      <c r="D855">
        <v>19</v>
      </c>
      <c r="E855">
        <f>IF(
  ISNA(
    _xlfn.XLOOKUP(
      payments_raw[[#This Row],[subscription_id]],
      subscriptions[subscription_id],
      subscriptions[subscription_id]
    )
  ),
  0,
  1
)</f>
        <v>1</v>
      </c>
      <c r="F855" s="1">
        <f>_xlfn.XLOOKUP(payments_raw[[#This Row],[subscription_id]], subscriptions[subscription_id], subscriptions[start_date])</f>
        <v>44733</v>
      </c>
      <c r="G8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55" s="2">
        <f>IF(payments_raw[[#This Row],[payment_date]] &lt; payments_raw[[#This Row],[sub_start_date]], 1, 0)</f>
        <v>0</v>
      </c>
      <c r="I855" s="2">
        <f>IF(AND(payments_raw[[#This Row],[sub_end_date]]&lt;&gt;"", payments_raw[[#This Row],[payment_date]] &gt; payments_raw[[#This Row],[sub_end_date]]), 1, 0)</f>
        <v>0</v>
      </c>
      <c r="J855" s="2">
        <f>IF(payments_raw[[#This Row],[amount]] &lt;= 0, 1, 0)</f>
        <v>0</v>
      </c>
      <c r="K8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6" spans="1:11" x14ac:dyDescent="0.3">
      <c r="A856">
        <v>94015259</v>
      </c>
      <c r="B856">
        <v>3939552</v>
      </c>
      <c r="C856" s="1">
        <v>45582</v>
      </c>
      <c r="D856">
        <v>149</v>
      </c>
      <c r="E856">
        <f>IF(
  ISNA(
    _xlfn.XLOOKUP(
      payments_raw[[#This Row],[subscription_id]],
      subscriptions[subscription_id],
      subscriptions[subscription_id]
    )
  ),
  0,
  1
)</f>
        <v>1</v>
      </c>
      <c r="F856" s="1">
        <f>_xlfn.XLOOKUP(payments_raw[[#This Row],[subscription_id]], subscriptions[subscription_id], subscriptions[start_date])</f>
        <v>45529</v>
      </c>
      <c r="G8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856" s="2">
        <f>IF(payments_raw[[#This Row],[payment_date]] &lt; payments_raw[[#This Row],[sub_start_date]], 1, 0)</f>
        <v>0</v>
      </c>
      <c r="I856" s="2">
        <f>IF(AND(payments_raw[[#This Row],[sub_end_date]]&lt;&gt;"", payments_raw[[#This Row],[payment_date]] &gt; payments_raw[[#This Row],[sub_end_date]]), 1, 0)</f>
        <v>0</v>
      </c>
      <c r="J856" s="2">
        <f>IF(payments_raw[[#This Row],[amount]] &lt;= 0, 1, 0)</f>
        <v>0</v>
      </c>
      <c r="K8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7" spans="1:11" x14ac:dyDescent="0.3">
      <c r="A857">
        <v>86868540</v>
      </c>
      <c r="B857">
        <v>5811186</v>
      </c>
      <c r="C857" s="1">
        <v>45616</v>
      </c>
      <c r="D857">
        <v>39</v>
      </c>
      <c r="E857">
        <f>IF(
  ISNA(
    _xlfn.XLOOKUP(
      payments_raw[[#This Row],[subscription_id]],
      subscriptions[subscription_id],
      subscriptions[subscription_id]
    )
  ),
  0,
  1
)</f>
        <v>1</v>
      </c>
      <c r="F857" s="1">
        <f>_xlfn.XLOOKUP(payments_raw[[#This Row],[subscription_id]], subscriptions[subscription_id], subscriptions[start_date])</f>
        <v>44789</v>
      </c>
      <c r="G8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57" s="2">
        <f>IF(payments_raw[[#This Row],[payment_date]] &lt; payments_raw[[#This Row],[sub_start_date]], 1, 0)</f>
        <v>0</v>
      </c>
      <c r="I857" s="2">
        <f>IF(AND(payments_raw[[#This Row],[sub_end_date]]&lt;&gt;"", payments_raw[[#This Row],[payment_date]] &gt; payments_raw[[#This Row],[sub_end_date]]), 1, 0)</f>
        <v>0</v>
      </c>
      <c r="J857" s="2">
        <f>IF(payments_raw[[#This Row],[amount]] &lt;= 0, 1, 0)</f>
        <v>0</v>
      </c>
      <c r="K8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8" spans="1:11" x14ac:dyDescent="0.3">
      <c r="A858">
        <v>98150338</v>
      </c>
      <c r="B858">
        <v>9569737</v>
      </c>
      <c r="C858" s="1">
        <v>45341</v>
      </c>
      <c r="D858">
        <v>190</v>
      </c>
      <c r="E858">
        <f>IF(
  ISNA(
    _xlfn.XLOOKUP(
      payments_raw[[#This Row],[subscription_id]],
      subscriptions[subscription_id],
      subscriptions[subscription_id]
    )
  ),
  0,
  1
)</f>
        <v>1</v>
      </c>
      <c r="F858" s="1">
        <f>_xlfn.XLOOKUP(payments_raw[[#This Row],[subscription_id]], subscriptions[subscription_id], subscriptions[start_date])</f>
        <v>45266</v>
      </c>
      <c r="G8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45489</v>
      </c>
      <c r="H858" s="2">
        <f>IF(payments_raw[[#This Row],[payment_date]] &lt; payments_raw[[#This Row],[sub_start_date]], 1, 0)</f>
        <v>0</v>
      </c>
      <c r="I858" s="2">
        <f>IF(AND(payments_raw[[#This Row],[sub_end_date]]&lt;&gt;"", payments_raw[[#This Row],[payment_date]] &gt; payments_raw[[#This Row],[sub_end_date]]), 1, 0)</f>
        <v>0</v>
      </c>
      <c r="J858" s="2">
        <f>IF(payments_raw[[#This Row],[amount]] &lt;= 0, 1, 0)</f>
        <v>0</v>
      </c>
      <c r="K8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59" spans="1:11" x14ac:dyDescent="0.3">
      <c r="A859">
        <v>96134135</v>
      </c>
      <c r="B859">
        <v>7459520</v>
      </c>
      <c r="C859" s="1">
        <v>45593</v>
      </c>
      <c r="D859">
        <v>390</v>
      </c>
      <c r="E859">
        <f>IF(
  ISNA(
    _xlfn.XLOOKUP(
      payments_raw[[#This Row],[subscription_id]],
      subscriptions[subscription_id],
      subscriptions[subscription_id]
    )
  ),
  0,
  1
)</f>
        <v>1</v>
      </c>
      <c r="F859" s="1">
        <f>_xlfn.XLOOKUP(payments_raw[[#This Row],[subscription_id]], subscriptions[subscription_id], subscriptions[start_date])</f>
        <v>45284</v>
      </c>
      <c r="G8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59" s="2">
        <f>IF(payments_raw[[#This Row],[payment_date]] &lt; payments_raw[[#This Row],[sub_start_date]], 1, 0)</f>
        <v>0</v>
      </c>
      <c r="I859" s="2">
        <f>IF(AND(payments_raw[[#This Row],[sub_end_date]]&lt;&gt;"", payments_raw[[#This Row],[payment_date]] &gt; payments_raw[[#This Row],[sub_end_date]]), 1, 0)</f>
        <v>0</v>
      </c>
      <c r="J859" s="2">
        <f>IF(payments_raw[[#This Row],[amount]] &lt;= 0, 1, 0)</f>
        <v>0</v>
      </c>
      <c r="K8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0" spans="1:11" x14ac:dyDescent="0.3">
      <c r="A860">
        <v>71230430</v>
      </c>
      <c r="B860">
        <v>8214533</v>
      </c>
      <c r="C860" s="1">
        <v>45148</v>
      </c>
      <c r="D860">
        <v>19</v>
      </c>
      <c r="E860">
        <f>IF(
  ISNA(
    _xlfn.XLOOKUP(
      payments_raw[[#This Row],[subscription_id]],
      subscriptions[subscription_id],
      subscriptions[subscription_id]
    )
  ),
  0,
  1
)</f>
        <v>1</v>
      </c>
      <c r="F860" s="1">
        <f>_xlfn.XLOOKUP(payments_raw[[#This Row],[subscription_id]], subscriptions[subscription_id], subscriptions[start_date])</f>
        <v>45057</v>
      </c>
      <c r="G8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0" s="2">
        <f>IF(payments_raw[[#This Row],[payment_date]] &lt; payments_raw[[#This Row],[sub_start_date]], 1, 0)</f>
        <v>0</v>
      </c>
      <c r="I860" s="2">
        <f>IF(AND(payments_raw[[#This Row],[sub_end_date]]&lt;&gt;"", payments_raw[[#This Row],[payment_date]] &gt; payments_raw[[#This Row],[sub_end_date]]), 1, 0)</f>
        <v>0</v>
      </c>
      <c r="J860" s="2">
        <f>IF(payments_raw[[#This Row],[amount]] &lt;= 0, 1, 0)</f>
        <v>0</v>
      </c>
      <c r="K8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1" spans="1:11" x14ac:dyDescent="0.3">
      <c r="A861">
        <v>49667716</v>
      </c>
      <c r="B861">
        <v>3670591</v>
      </c>
      <c r="C861" s="1">
        <v>45184</v>
      </c>
      <c r="D861">
        <v>299</v>
      </c>
      <c r="E861">
        <f>IF(
  ISNA(
    _xlfn.XLOOKUP(
      payments_raw[[#This Row],[subscription_id]],
      subscriptions[subscription_id],
      subscriptions[subscription_id]
    )
  ),
  0,
  1
)</f>
        <v>1</v>
      </c>
      <c r="F861" s="1">
        <f>_xlfn.XLOOKUP(payments_raw[[#This Row],[subscription_id]], subscriptions[subscription_id], subscriptions[start_date])</f>
        <v>45036</v>
      </c>
      <c r="G8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1" s="2">
        <f>IF(payments_raw[[#This Row],[payment_date]] &lt; payments_raw[[#This Row],[sub_start_date]], 1, 0)</f>
        <v>0</v>
      </c>
      <c r="I861" s="2">
        <f>IF(AND(payments_raw[[#This Row],[sub_end_date]]&lt;&gt;"", payments_raw[[#This Row],[payment_date]] &gt; payments_raw[[#This Row],[sub_end_date]]), 1, 0)</f>
        <v>0</v>
      </c>
      <c r="J861" s="2">
        <f>IF(payments_raw[[#This Row],[amount]] &lt;= 0, 1, 0)</f>
        <v>0</v>
      </c>
      <c r="K8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2" spans="1:11" x14ac:dyDescent="0.3">
      <c r="A862">
        <v>59147913</v>
      </c>
      <c r="B862">
        <v>6916088</v>
      </c>
      <c r="C862" s="1">
        <v>45374</v>
      </c>
      <c r="D862">
        <v>299</v>
      </c>
      <c r="E862">
        <f>IF(
  ISNA(
    _xlfn.XLOOKUP(
      payments_raw[[#This Row],[subscription_id]],
      subscriptions[subscription_id],
      subscriptions[subscription_id]
    )
  ),
  0,
  1
)</f>
        <v>1</v>
      </c>
      <c r="F862" s="1">
        <f>_xlfn.XLOOKUP(payments_raw[[#This Row],[subscription_id]], subscriptions[subscription_id], subscriptions[start_date])</f>
        <v>45178</v>
      </c>
      <c r="G8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45473</v>
      </c>
      <c r="H862" s="2">
        <f>IF(payments_raw[[#This Row],[payment_date]] &lt; payments_raw[[#This Row],[sub_start_date]], 1, 0)</f>
        <v>0</v>
      </c>
      <c r="I862" s="2">
        <f>IF(AND(payments_raw[[#This Row],[sub_end_date]]&lt;&gt;"", payments_raw[[#This Row],[payment_date]] &gt; payments_raw[[#This Row],[sub_end_date]]), 1, 0)</f>
        <v>0</v>
      </c>
      <c r="J862" s="2">
        <f>IF(payments_raw[[#This Row],[amount]] &lt;= 0, 1, 0)</f>
        <v>0</v>
      </c>
      <c r="K8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3" spans="1:11" x14ac:dyDescent="0.3">
      <c r="A863">
        <v>86337836</v>
      </c>
      <c r="B863">
        <v>8727379</v>
      </c>
      <c r="C863" s="1">
        <v>44626</v>
      </c>
      <c r="D863">
        <v>19</v>
      </c>
      <c r="E863">
        <f>IF(
  ISNA(
    _xlfn.XLOOKUP(
      payments_raw[[#This Row],[subscription_id]],
      subscriptions[subscription_id],
      subscriptions[subscription_id]
    )
  ),
  0,
  1
)</f>
        <v>1</v>
      </c>
      <c r="F863" s="1">
        <f>_xlfn.XLOOKUP(payments_raw[[#This Row],[subscription_id]], subscriptions[subscription_id], subscriptions[start_date])</f>
        <v>44563</v>
      </c>
      <c r="G863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44695</v>
      </c>
      <c r="H863" s="2">
        <f>IF(payments_raw[[#This Row],[payment_date]] &lt; payments_raw[[#This Row],[sub_start_date]], 1, 0)</f>
        <v>0</v>
      </c>
      <c r="I863" s="2">
        <f>IF(AND(payments_raw[[#This Row],[sub_end_date]]&lt;&gt;"", payments_raw[[#This Row],[payment_date]] &gt; payments_raw[[#This Row],[sub_end_date]]), 1, 0)</f>
        <v>0</v>
      </c>
      <c r="J863" s="2">
        <f>IF(payments_raw[[#This Row],[amount]] &lt;= 0, 1, 0)</f>
        <v>0</v>
      </c>
      <c r="K8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4" spans="1:11" x14ac:dyDescent="0.3">
      <c r="A864">
        <v>85878633</v>
      </c>
      <c r="B864">
        <v>4317199</v>
      </c>
      <c r="C864" s="1">
        <v>45206</v>
      </c>
      <c r="D864">
        <v>149</v>
      </c>
      <c r="E864">
        <f>IF(
  ISNA(
    _xlfn.XLOOKUP(
      payments_raw[[#This Row],[subscription_id]],
      subscriptions[subscription_id],
      subscriptions[subscription_id]
    )
  ),
  0,
  1
)</f>
        <v>1</v>
      </c>
      <c r="F864" s="1">
        <f>_xlfn.XLOOKUP(payments_raw[[#This Row],[subscription_id]], subscriptions[subscription_id], subscriptions[start_date])</f>
        <v>45101</v>
      </c>
      <c r="G8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4" s="2">
        <f>IF(payments_raw[[#This Row],[payment_date]] &lt; payments_raw[[#This Row],[sub_start_date]], 1, 0)</f>
        <v>0</v>
      </c>
      <c r="I864" s="2">
        <f>IF(AND(payments_raw[[#This Row],[sub_end_date]]&lt;&gt;"", payments_raw[[#This Row],[payment_date]] &gt; payments_raw[[#This Row],[sub_end_date]]), 1, 0)</f>
        <v>0</v>
      </c>
      <c r="J864" s="2">
        <f>IF(payments_raw[[#This Row],[amount]] &lt;= 0, 1, 0)</f>
        <v>0</v>
      </c>
      <c r="K8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5" spans="1:11" x14ac:dyDescent="0.3">
      <c r="A865">
        <v>77167702</v>
      </c>
      <c r="B865">
        <v>9798778</v>
      </c>
      <c r="C865" s="1">
        <v>45544</v>
      </c>
      <c r="D865">
        <v>79</v>
      </c>
      <c r="E865">
        <f>IF(
  ISNA(
    _xlfn.XLOOKUP(
      payments_raw[[#This Row],[subscription_id]],
      subscriptions[subscription_id],
      subscriptions[subscription_id]
    )
  ),
  0,
  1
)</f>
        <v>1</v>
      </c>
      <c r="F865" s="1">
        <f>_xlfn.XLOOKUP(payments_raw[[#This Row],[subscription_id]], subscriptions[subscription_id], subscriptions[start_date])</f>
        <v>45465</v>
      </c>
      <c r="G8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5" s="2">
        <f>IF(payments_raw[[#This Row],[payment_date]] &lt; payments_raw[[#This Row],[sub_start_date]], 1, 0)</f>
        <v>0</v>
      </c>
      <c r="I865" s="2">
        <f>IF(AND(payments_raw[[#This Row],[sub_end_date]]&lt;&gt;"", payments_raw[[#This Row],[payment_date]] &gt; payments_raw[[#This Row],[sub_end_date]]), 1, 0)</f>
        <v>0</v>
      </c>
      <c r="J865" s="2">
        <f>IF(payments_raw[[#This Row],[amount]] &lt;= 0, 1, 0)</f>
        <v>0</v>
      </c>
      <c r="K8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6" spans="1:11" x14ac:dyDescent="0.3">
      <c r="A866">
        <v>36098769</v>
      </c>
      <c r="B866">
        <v>8668568</v>
      </c>
      <c r="C866" s="1">
        <v>44987</v>
      </c>
      <c r="D866">
        <v>790</v>
      </c>
      <c r="E866">
        <f>IF(
  ISNA(
    _xlfn.XLOOKUP(
      payments_raw[[#This Row],[subscription_id]],
      subscriptions[subscription_id],
      subscriptions[subscription_id]
    )
  ),
  0,
  1
)</f>
        <v>1</v>
      </c>
      <c r="F866" s="1">
        <f>_xlfn.XLOOKUP(payments_raw[[#This Row],[subscription_id]], subscriptions[subscription_id], subscriptions[start_date])</f>
        <v>44808</v>
      </c>
      <c r="G8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6" s="2">
        <f>IF(payments_raw[[#This Row],[payment_date]] &lt; payments_raw[[#This Row],[sub_start_date]], 1, 0)</f>
        <v>0</v>
      </c>
      <c r="I866" s="2">
        <f>IF(AND(payments_raw[[#This Row],[sub_end_date]]&lt;&gt;"", payments_raw[[#This Row],[payment_date]] &gt; payments_raw[[#This Row],[sub_end_date]]), 1, 0)</f>
        <v>0</v>
      </c>
      <c r="J866" s="2">
        <f>IF(payments_raw[[#This Row],[amount]] &lt;= 0, 1, 0)</f>
        <v>0</v>
      </c>
      <c r="K8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7" spans="1:11" x14ac:dyDescent="0.3">
      <c r="A867">
        <v>24543144</v>
      </c>
      <c r="B867">
        <v>8685433</v>
      </c>
      <c r="C867" s="1">
        <v>44915</v>
      </c>
      <c r="D867">
        <v>299</v>
      </c>
      <c r="E867">
        <f>IF(
  ISNA(
    _xlfn.XLOOKUP(
      payments_raw[[#This Row],[subscription_id]],
      subscriptions[subscription_id],
      subscriptions[subscription_id]
    )
  ),
  0,
  1
)</f>
        <v>1</v>
      </c>
      <c r="F867" s="1">
        <f>_xlfn.XLOOKUP(payments_raw[[#This Row],[subscription_id]], subscriptions[subscription_id], subscriptions[start_date])</f>
        <v>44726</v>
      </c>
      <c r="G8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7" s="2">
        <f>IF(payments_raw[[#This Row],[payment_date]] &lt; payments_raw[[#This Row],[sub_start_date]], 1, 0)</f>
        <v>0</v>
      </c>
      <c r="I867" s="2">
        <f>IF(AND(payments_raw[[#This Row],[sub_end_date]]&lt;&gt;"", payments_raw[[#This Row],[payment_date]] &gt; payments_raw[[#This Row],[sub_end_date]]), 1, 0)</f>
        <v>0</v>
      </c>
      <c r="J867" s="2">
        <f>IF(payments_raw[[#This Row],[amount]] &lt;= 0, 1, 0)</f>
        <v>0</v>
      </c>
      <c r="K8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8" spans="1:11" x14ac:dyDescent="0.3">
      <c r="A868">
        <v>39934299</v>
      </c>
      <c r="B868">
        <v>9593404</v>
      </c>
      <c r="C868" s="1">
        <v>45476</v>
      </c>
      <c r="D868">
        <v>790</v>
      </c>
      <c r="E868">
        <f>IF(
  ISNA(
    _xlfn.XLOOKUP(
      payments_raw[[#This Row],[subscription_id]],
      subscriptions[subscription_id],
      subscriptions[subscription_id]
    )
  ),
  0,
  1
)</f>
        <v>1</v>
      </c>
      <c r="F868" s="1">
        <f>_xlfn.XLOOKUP(payments_raw[[#This Row],[subscription_id]], subscriptions[subscription_id], subscriptions[start_date])</f>
        <v>45326</v>
      </c>
      <c r="G8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68" s="2">
        <f>IF(payments_raw[[#This Row],[payment_date]] &lt; payments_raw[[#This Row],[sub_start_date]], 1, 0)</f>
        <v>0</v>
      </c>
      <c r="I868" s="2">
        <f>IF(AND(payments_raw[[#This Row],[sub_end_date]]&lt;&gt;"", payments_raw[[#This Row],[payment_date]] &gt; payments_raw[[#This Row],[sub_end_date]]), 1, 0)</f>
        <v>0</v>
      </c>
      <c r="J868" s="2">
        <f>IF(payments_raw[[#This Row],[amount]] &lt;= 0, 1, 0)</f>
        <v>0</v>
      </c>
      <c r="K8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69" spans="1:11" x14ac:dyDescent="0.3">
      <c r="A869">
        <v>67696791</v>
      </c>
      <c r="B869">
        <v>3485367</v>
      </c>
      <c r="C869" s="1">
        <v>45233</v>
      </c>
      <c r="D869">
        <v>19</v>
      </c>
      <c r="E869">
        <f>IF(
  ISNA(
    _xlfn.XLOOKUP(
      payments_raw[[#This Row],[subscription_id]],
      subscriptions[subscription_id],
      subscriptions[subscription_id]
    )
  ),
  0,
  1
)</f>
        <v>1</v>
      </c>
      <c r="F869" s="1">
        <f>_xlfn.XLOOKUP(payments_raw[[#This Row],[subscription_id]], subscriptions[subscription_id], subscriptions[start_date])</f>
        <v>45130</v>
      </c>
      <c r="G8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869" s="2">
        <f>IF(payments_raw[[#This Row],[payment_date]] &lt; payments_raw[[#This Row],[sub_start_date]], 1, 0)</f>
        <v>0</v>
      </c>
      <c r="I869" s="2">
        <f>IF(AND(payments_raw[[#This Row],[sub_end_date]]&lt;&gt;"", payments_raw[[#This Row],[payment_date]] &gt; payments_raw[[#This Row],[sub_end_date]]), 1, 0)</f>
        <v>0</v>
      </c>
      <c r="J869" s="2">
        <f>IF(payments_raw[[#This Row],[amount]] &lt;= 0, 1, 0)</f>
        <v>0</v>
      </c>
      <c r="K8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0" spans="1:11" x14ac:dyDescent="0.3">
      <c r="A870">
        <v>17351443</v>
      </c>
      <c r="B870">
        <v>4187908</v>
      </c>
      <c r="C870" s="1">
        <v>44744</v>
      </c>
      <c r="D870">
        <v>19</v>
      </c>
      <c r="E870">
        <f>IF(
  ISNA(
    _xlfn.XLOOKUP(
      payments_raw[[#This Row],[subscription_id]],
      subscriptions[subscription_id],
      subscriptions[subscription_id]
    )
  ),
  0,
  1
)</f>
        <v>1</v>
      </c>
      <c r="F870" s="1">
        <f>_xlfn.XLOOKUP(payments_raw[[#This Row],[subscription_id]], subscriptions[subscription_id], subscriptions[start_date])</f>
        <v>44692</v>
      </c>
      <c r="G870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870" s="2">
        <f>IF(payments_raw[[#This Row],[payment_date]] &lt; payments_raw[[#This Row],[sub_start_date]], 1, 0)</f>
        <v>0</v>
      </c>
      <c r="I870" s="2">
        <f>IF(AND(payments_raw[[#This Row],[sub_end_date]]&lt;&gt;"", payments_raw[[#This Row],[payment_date]] &gt; payments_raw[[#This Row],[sub_end_date]]), 1, 0)</f>
        <v>0</v>
      </c>
      <c r="J870" s="2">
        <f>IF(payments_raw[[#This Row],[amount]] &lt;= 0, 1, 0)</f>
        <v>0</v>
      </c>
      <c r="K8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1" spans="1:11" x14ac:dyDescent="0.3">
      <c r="A871">
        <v>13081728</v>
      </c>
      <c r="B871">
        <v>1526365</v>
      </c>
      <c r="C871" s="1">
        <v>45114</v>
      </c>
      <c r="D871">
        <v>149</v>
      </c>
      <c r="E871">
        <f>IF(
  ISNA(
    _xlfn.XLOOKUP(
      payments_raw[[#This Row],[subscription_id]],
      subscriptions[subscription_id],
      subscriptions[subscription_id]
    )
  ),
  0,
  1
)</f>
        <v>1</v>
      </c>
      <c r="F871" s="1">
        <f>_xlfn.XLOOKUP(payments_raw[[#This Row],[subscription_id]], subscriptions[subscription_id], subscriptions[start_date])</f>
        <v>44829</v>
      </c>
      <c r="G8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45178</v>
      </c>
      <c r="H871" s="2">
        <f>IF(payments_raw[[#This Row],[payment_date]] &lt; payments_raw[[#This Row],[sub_start_date]], 1, 0)</f>
        <v>0</v>
      </c>
      <c r="I871" s="2">
        <f>IF(AND(payments_raw[[#This Row],[sub_end_date]]&lt;&gt;"", payments_raw[[#This Row],[payment_date]] &gt; payments_raw[[#This Row],[sub_end_date]]), 1, 0)</f>
        <v>0</v>
      </c>
      <c r="J871" s="2">
        <f>IF(payments_raw[[#This Row],[amount]] &lt;= 0, 1, 0)</f>
        <v>0</v>
      </c>
      <c r="K8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2" spans="1:11" x14ac:dyDescent="0.3">
      <c r="A872">
        <v>63417821</v>
      </c>
      <c r="B872">
        <v>4831443</v>
      </c>
      <c r="C872" s="1">
        <v>45486</v>
      </c>
      <c r="D872">
        <v>19</v>
      </c>
      <c r="E872">
        <f>IF(
  ISNA(
    _xlfn.XLOOKUP(
      payments_raw[[#This Row],[subscription_id]],
      subscriptions[subscription_id],
      subscriptions[subscription_id]
    )
  ),
  0,
  1
)</f>
        <v>1</v>
      </c>
      <c r="F872" s="1">
        <f>_xlfn.XLOOKUP(payments_raw[[#This Row],[subscription_id]], subscriptions[subscription_id], subscriptions[start_date])</f>
        <v>45323</v>
      </c>
      <c r="G8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45558</v>
      </c>
      <c r="H872" s="2">
        <f>IF(payments_raw[[#This Row],[payment_date]] &lt; payments_raw[[#This Row],[sub_start_date]], 1, 0)</f>
        <v>0</v>
      </c>
      <c r="I872" s="2">
        <f>IF(AND(payments_raw[[#This Row],[sub_end_date]]&lt;&gt;"", payments_raw[[#This Row],[payment_date]] &gt; payments_raw[[#This Row],[sub_end_date]]), 1, 0)</f>
        <v>0</v>
      </c>
      <c r="J872" s="2">
        <f>IF(payments_raw[[#This Row],[amount]] &lt;= 0, 1, 0)</f>
        <v>0</v>
      </c>
      <c r="K8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3" spans="1:11" x14ac:dyDescent="0.3">
      <c r="A873">
        <v>66063235</v>
      </c>
      <c r="B873">
        <v>2151576</v>
      </c>
      <c r="C873" s="1">
        <v>45162</v>
      </c>
      <c r="D873">
        <v>149</v>
      </c>
      <c r="E873">
        <f>IF(
  ISNA(
    _xlfn.XLOOKUP(
      payments_raw[[#This Row],[subscription_id]],
      subscriptions[subscription_id],
      subscriptions[subscription_id]
    )
  ),
  0,
  1
)</f>
        <v>1</v>
      </c>
      <c r="F873" s="1">
        <f>_xlfn.XLOOKUP(payments_raw[[#This Row],[subscription_id]], subscriptions[subscription_id], subscriptions[start_date])</f>
        <v>45131</v>
      </c>
      <c r="G8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3" s="2">
        <f>IF(payments_raw[[#This Row],[payment_date]] &lt; payments_raw[[#This Row],[sub_start_date]], 1, 0)</f>
        <v>0</v>
      </c>
      <c r="I873" s="2">
        <f>IF(AND(payments_raw[[#This Row],[sub_end_date]]&lt;&gt;"", payments_raw[[#This Row],[payment_date]] &gt; payments_raw[[#This Row],[sub_end_date]]), 1, 0)</f>
        <v>0</v>
      </c>
      <c r="J873" s="2">
        <f>IF(payments_raw[[#This Row],[amount]] &lt;= 0, 1, 0)</f>
        <v>0</v>
      </c>
      <c r="K8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4" spans="1:11" x14ac:dyDescent="0.3">
      <c r="A874">
        <v>33342425</v>
      </c>
      <c r="B874">
        <v>3770138</v>
      </c>
      <c r="C874" s="1">
        <v>45446</v>
      </c>
      <c r="D874">
        <v>19</v>
      </c>
      <c r="E874">
        <f>IF(
  ISNA(
    _xlfn.XLOOKUP(
      payments_raw[[#This Row],[subscription_id]],
      subscriptions[subscription_id],
      subscriptions[subscription_id]
    )
  ),
  0,
  1
)</f>
        <v>1</v>
      </c>
      <c r="F874" s="1">
        <f>_xlfn.XLOOKUP(payments_raw[[#This Row],[subscription_id]], subscriptions[subscription_id], subscriptions[start_date])</f>
        <v>44679</v>
      </c>
      <c r="G8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4" s="2">
        <f>IF(payments_raw[[#This Row],[payment_date]] &lt; payments_raw[[#This Row],[sub_start_date]], 1, 0)</f>
        <v>0</v>
      </c>
      <c r="I874" s="2">
        <f>IF(AND(payments_raw[[#This Row],[sub_end_date]]&lt;&gt;"", payments_raw[[#This Row],[payment_date]] &gt; payments_raw[[#This Row],[sub_end_date]]), 1, 0)</f>
        <v>0</v>
      </c>
      <c r="J874" s="2">
        <f>IF(payments_raw[[#This Row],[amount]] &lt;= 0, 1, 0)</f>
        <v>0</v>
      </c>
      <c r="K8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5" spans="1:11" x14ac:dyDescent="0.3">
      <c r="A875">
        <v>85384682</v>
      </c>
      <c r="B875">
        <v>8364357</v>
      </c>
      <c r="C875" s="1">
        <v>45651</v>
      </c>
      <c r="D875">
        <v>39</v>
      </c>
      <c r="E875">
        <f>IF(
  ISNA(
    _xlfn.XLOOKUP(
      payments_raw[[#This Row],[subscription_id]],
      subscriptions[subscription_id],
      subscriptions[subscription_id]
    )
  ),
  0,
  1
)</f>
        <v>1</v>
      </c>
      <c r="F875" s="1">
        <f>_xlfn.XLOOKUP(payments_raw[[#This Row],[subscription_id]], subscriptions[subscription_id], subscriptions[start_date])</f>
        <v>45410</v>
      </c>
      <c r="G8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5" s="2">
        <f>IF(payments_raw[[#This Row],[payment_date]] &lt; payments_raw[[#This Row],[sub_start_date]], 1, 0)</f>
        <v>0</v>
      </c>
      <c r="I875" s="2">
        <f>IF(AND(payments_raw[[#This Row],[sub_end_date]]&lt;&gt;"", payments_raw[[#This Row],[payment_date]] &gt; payments_raw[[#This Row],[sub_end_date]]), 1, 0)</f>
        <v>0</v>
      </c>
      <c r="J875" s="2">
        <f>IF(payments_raw[[#This Row],[amount]] &lt;= 0, 1, 0)</f>
        <v>0</v>
      </c>
      <c r="K8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6" spans="1:11" x14ac:dyDescent="0.3">
      <c r="A876">
        <v>40616453</v>
      </c>
      <c r="B876">
        <v>7640565</v>
      </c>
      <c r="C876" s="1">
        <v>44710</v>
      </c>
      <c r="D876">
        <v>1490</v>
      </c>
      <c r="E876">
        <f>IF(
  ISNA(
    _xlfn.XLOOKUP(
      payments_raw[[#This Row],[subscription_id]],
      subscriptions[subscription_id],
      subscriptions[subscription_id]
    )
  ),
  0,
  1
)</f>
        <v>1</v>
      </c>
      <c r="F876" s="1">
        <f>_xlfn.XLOOKUP(payments_raw[[#This Row],[subscription_id]], subscriptions[subscription_id], subscriptions[start_date])</f>
        <v>44577</v>
      </c>
      <c r="G876" s="1">
        <f>IF(_xlfn.XLOOKUP(payments_raw[[#This Row],[subscription_id]], subscriptions[subscription_id], subscriptions[end_date])=0,"",_xlfn.XLOOKUP(payments_raw[[#This Row],[subscription_id]], subscriptions[subscription_id], subscriptions[end_date]))</f>
        <v>44721</v>
      </c>
      <c r="H876" s="2">
        <f>IF(payments_raw[[#This Row],[payment_date]] &lt; payments_raw[[#This Row],[sub_start_date]], 1, 0)</f>
        <v>0</v>
      </c>
      <c r="I876" s="2">
        <f>IF(AND(payments_raw[[#This Row],[sub_end_date]]&lt;&gt;"", payments_raw[[#This Row],[payment_date]] &gt; payments_raw[[#This Row],[sub_end_date]]), 1, 0)</f>
        <v>0</v>
      </c>
      <c r="J876" s="2">
        <f>IF(payments_raw[[#This Row],[amount]] &lt;= 0, 1, 0)</f>
        <v>0</v>
      </c>
      <c r="K8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7" spans="1:11" x14ac:dyDescent="0.3">
      <c r="A877">
        <v>53725194</v>
      </c>
      <c r="B877">
        <v>5627541</v>
      </c>
      <c r="C877" s="1">
        <v>45609</v>
      </c>
      <c r="D877">
        <v>390</v>
      </c>
      <c r="E877">
        <f>IF(
  ISNA(
    _xlfn.XLOOKUP(
      payments_raw[[#This Row],[subscription_id]],
      subscriptions[subscription_id],
      subscriptions[subscription_id]
    )
  ),
  0,
  1
)</f>
        <v>1</v>
      </c>
      <c r="F877" s="1">
        <f>_xlfn.XLOOKUP(payments_raw[[#This Row],[subscription_id]], subscriptions[subscription_id], subscriptions[start_date])</f>
        <v>45438</v>
      </c>
      <c r="G8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7" s="2">
        <f>IF(payments_raw[[#This Row],[payment_date]] &lt; payments_raw[[#This Row],[sub_start_date]], 1, 0)</f>
        <v>0</v>
      </c>
      <c r="I877" s="2">
        <f>IF(AND(payments_raw[[#This Row],[sub_end_date]]&lt;&gt;"", payments_raw[[#This Row],[payment_date]] &gt; payments_raw[[#This Row],[sub_end_date]]), 1, 0)</f>
        <v>0</v>
      </c>
      <c r="J877" s="2">
        <f>IF(payments_raw[[#This Row],[amount]] &lt;= 0, 1, 0)</f>
        <v>0</v>
      </c>
      <c r="K8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8" spans="1:11" x14ac:dyDescent="0.3">
      <c r="A878">
        <v>58560204</v>
      </c>
      <c r="B878">
        <v>5905871</v>
      </c>
      <c r="C878" s="1">
        <v>44951</v>
      </c>
      <c r="D878">
        <v>149</v>
      </c>
      <c r="E878">
        <f>IF(
  ISNA(
    _xlfn.XLOOKUP(
      payments_raw[[#This Row],[subscription_id]],
      subscriptions[subscription_id],
      subscriptions[subscription_id]
    )
  ),
  0,
  1
)</f>
        <v>1</v>
      </c>
      <c r="F878" s="1">
        <f>_xlfn.XLOOKUP(payments_raw[[#This Row],[subscription_id]], subscriptions[subscription_id], subscriptions[start_date])</f>
        <v>44827</v>
      </c>
      <c r="G8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45102</v>
      </c>
      <c r="H878" s="2">
        <f>IF(payments_raw[[#This Row],[payment_date]] &lt; payments_raw[[#This Row],[sub_start_date]], 1, 0)</f>
        <v>0</v>
      </c>
      <c r="I878" s="2">
        <f>IF(AND(payments_raw[[#This Row],[sub_end_date]]&lt;&gt;"", payments_raw[[#This Row],[payment_date]] &gt; payments_raw[[#This Row],[sub_end_date]]), 1, 0)</f>
        <v>0</v>
      </c>
      <c r="J878" s="2">
        <f>IF(payments_raw[[#This Row],[amount]] &lt;= 0, 1, 0)</f>
        <v>0</v>
      </c>
      <c r="K8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79" spans="1:11" x14ac:dyDescent="0.3">
      <c r="A879">
        <v>79821206</v>
      </c>
      <c r="B879">
        <v>4295478</v>
      </c>
      <c r="C879" s="1">
        <v>45558</v>
      </c>
      <c r="D879">
        <v>390</v>
      </c>
      <c r="E879">
        <f>IF(
  ISNA(
    _xlfn.XLOOKUP(
      payments_raw[[#This Row],[subscription_id]],
      subscriptions[subscription_id],
      subscriptions[subscription_id]
    )
  ),
  0,
  1
)</f>
        <v>1</v>
      </c>
      <c r="F879" s="1">
        <f>_xlfn.XLOOKUP(payments_raw[[#This Row],[subscription_id]], subscriptions[subscription_id], subscriptions[start_date])</f>
        <v>45541</v>
      </c>
      <c r="G8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79" s="2">
        <f>IF(payments_raw[[#This Row],[payment_date]] &lt; payments_raw[[#This Row],[sub_start_date]], 1, 0)</f>
        <v>0</v>
      </c>
      <c r="I879" s="2">
        <f>IF(AND(payments_raw[[#This Row],[sub_end_date]]&lt;&gt;"", payments_raw[[#This Row],[payment_date]] &gt; payments_raw[[#This Row],[sub_end_date]]), 1, 0)</f>
        <v>0</v>
      </c>
      <c r="J879" s="2">
        <f>IF(payments_raw[[#This Row],[amount]] &lt;= 0, 1, 0)</f>
        <v>0</v>
      </c>
      <c r="K8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0" spans="1:11" x14ac:dyDescent="0.3">
      <c r="A880">
        <v>85316719</v>
      </c>
      <c r="B880">
        <v>9406983</v>
      </c>
      <c r="C880" s="1">
        <v>45592</v>
      </c>
      <c r="D880">
        <v>2242.5</v>
      </c>
      <c r="E880">
        <f>IF(
  ISNA(
    _xlfn.XLOOKUP(
      payments_raw[[#This Row],[subscription_id]],
      subscriptions[subscription_id],
      subscriptions[subscription_id]
    )
  ),
  0,
  1
)</f>
        <v>1</v>
      </c>
      <c r="F880" s="1">
        <f>_xlfn.XLOOKUP(payments_raw[[#This Row],[subscription_id]], subscriptions[subscription_id], subscriptions[start_date])</f>
        <v>45205</v>
      </c>
      <c r="G8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0" s="2">
        <f>IF(payments_raw[[#This Row],[payment_date]] &lt; payments_raw[[#This Row],[sub_start_date]], 1, 0)</f>
        <v>0</v>
      </c>
      <c r="I880" s="2">
        <f>IF(AND(payments_raw[[#This Row],[sub_end_date]]&lt;&gt;"", payments_raw[[#This Row],[payment_date]] &gt; payments_raw[[#This Row],[sub_end_date]]), 1, 0)</f>
        <v>0</v>
      </c>
      <c r="J880" s="2">
        <f>IF(payments_raw[[#This Row],[amount]] &lt;= 0, 1, 0)</f>
        <v>0</v>
      </c>
      <c r="K8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1" spans="1:11" x14ac:dyDescent="0.3">
      <c r="A881">
        <v>10412348</v>
      </c>
      <c r="B881">
        <v>5947522</v>
      </c>
      <c r="C881" s="1">
        <v>45402</v>
      </c>
      <c r="D881">
        <v>39</v>
      </c>
      <c r="E881">
        <f>IF(
  ISNA(
    _xlfn.XLOOKUP(
      payments_raw[[#This Row],[subscription_id]],
      subscriptions[subscription_id],
      subscriptions[subscription_id]
    )
  ),
  0,
  1
)</f>
        <v>1</v>
      </c>
      <c r="F881" s="1">
        <f>_xlfn.XLOOKUP(payments_raw[[#This Row],[subscription_id]], subscriptions[subscription_id], subscriptions[start_date])</f>
        <v>45226</v>
      </c>
      <c r="G8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881" s="2">
        <f>IF(payments_raw[[#This Row],[payment_date]] &lt; payments_raw[[#This Row],[sub_start_date]], 1, 0)</f>
        <v>0</v>
      </c>
      <c r="I881" s="2">
        <f>IF(AND(payments_raw[[#This Row],[sub_end_date]]&lt;&gt;"", payments_raw[[#This Row],[payment_date]] &gt; payments_raw[[#This Row],[sub_end_date]]), 1, 0)</f>
        <v>0</v>
      </c>
      <c r="J881" s="2">
        <f>IF(payments_raw[[#This Row],[amount]] &lt;= 0, 1, 0)</f>
        <v>0</v>
      </c>
      <c r="K8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2" spans="1:11" x14ac:dyDescent="0.3">
      <c r="A882">
        <v>99064587</v>
      </c>
      <c r="B882">
        <v>6122489</v>
      </c>
      <c r="C882" s="1">
        <v>45170</v>
      </c>
      <c r="D882">
        <v>39</v>
      </c>
      <c r="E882">
        <f>IF(
  ISNA(
    _xlfn.XLOOKUP(
      payments_raw[[#This Row],[subscription_id]],
      subscriptions[subscription_id],
      subscriptions[subscription_id]
    )
  ),
  0,
  1
)</f>
        <v>1</v>
      </c>
      <c r="F882" s="1">
        <f>_xlfn.XLOOKUP(payments_raw[[#This Row],[subscription_id]], subscriptions[subscription_id], subscriptions[start_date])</f>
        <v>45050</v>
      </c>
      <c r="G8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2" s="2">
        <f>IF(payments_raw[[#This Row],[payment_date]] &lt; payments_raw[[#This Row],[sub_start_date]], 1, 0)</f>
        <v>0</v>
      </c>
      <c r="I882" s="2">
        <f>IF(AND(payments_raw[[#This Row],[sub_end_date]]&lt;&gt;"", payments_raw[[#This Row],[payment_date]] &gt; payments_raw[[#This Row],[sub_end_date]]), 1, 0)</f>
        <v>0</v>
      </c>
      <c r="J882" s="2">
        <f>IF(payments_raw[[#This Row],[amount]] &lt;= 0, 1, 0)</f>
        <v>0</v>
      </c>
      <c r="K8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3" spans="1:11" x14ac:dyDescent="0.3">
      <c r="A883">
        <v>86003182</v>
      </c>
      <c r="B883">
        <v>4654790</v>
      </c>
      <c r="C883" s="1">
        <v>45620</v>
      </c>
      <c r="D883">
        <v>149</v>
      </c>
      <c r="E883">
        <f>IF(
  ISNA(
    _xlfn.XLOOKUP(
      payments_raw[[#This Row],[subscription_id]],
      subscriptions[subscription_id],
      subscriptions[subscription_id]
    )
  ),
  0,
  1
)</f>
        <v>1</v>
      </c>
      <c r="F883" s="1">
        <f>_xlfn.XLOOKUP(payments_raw[[#This Row],[subscription_id]], subscriptions[subscription_id], subscriptions[start_date])</f>
        <v>45398</v>
      </c>
      <c r="G8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3" s="2">
        <f>IF(payments_raw[[#This Row],[payment_date]] &lt; payments_raw[[#This Row],[sub_start_date]], 1, 0)</f>
        <v>0</v>
      </c>
      <c r="I883" s="2">
        <f>IF(AND(payments_raw[[#This Row],[sub_end_date]]&lt;&gt;"", payments_raw[[#This Row],[payment_date]] &gt; payments_raw[[#This Row],[sub_end_date]]), 1, 0)</f>
        <v>0</v>
      </c>
      <c r="J883" s="2">
        <f>IF(payments_raw[[#This Row],[amount]] &lt;= 0, 1, 0)</f>
        <v>0</v>
      </c>
      <c r="K8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4" spans="1:11" x14ac:dyDescent="0.3">
      <c r="A884">
        <v>83719381</v>
      </c>
      <c r="B884">
        <v>5190365</v>
      </c>
      <c r="C884" s="1">
        <v>45626</v>
      </c>
      <c r="D884">
        <v>2990</v>
      </c>
      <c r="E884">
        <f>IF(
  ISNA(
    _xlfn.XLOOKUP(
      payments_raw[[#This Row],[subscription_id]],
      subscriptions[subscription_id],
      subscriptions[subscription_id]
    )
  ),
  0,
  1
)</f>
        <v>1</v>
      </c>
      <c r="F884" s="1">
        <f>_xlfn.XLOOKUP(payments_raw[[#This Row],[subscription_id]], subscriptions[subscription_id], subscriptions[start_date])</f>
        <v>44803</v>
      </c>
      <c r="G8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4" s="2">
        <f>IF(payments_raw[[#This Row],[payment_date]] &lt; payments_raw[[#This Row],[sub_start_date]], 1, 0)</f>
        <v>0</v>
      </c>
      <c r="I884" s="2">
        <f>IF(AND(payments_raw[[#This Row],[sub_end_date]]&lt;&gt;"", payments_raw[[#This Row],[payment_date]] &gt; payments_raw[[#This Row],[sub_end_date]]), 1, 0)</f>
        <v>0</v>
      </c>
      <c r="J884" s="2">
        <f>IF(payments_raw[[#This Row],[amount]] &lt;= 0, 1, 0)</f>
        <v>0</v>
      </c>
      <c r="K8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5" spans="1:11" x14ac:dyDescent="0.3">
      <c r="A885">
        <v>29762536</v>
      </c>
      <c r="B885">
        <v>4264878</v>
      </c>
      <c r="C885" s="1">
        <v>45513</v>
      </c>
      <c r="D885">
        <v>149</v>
      </c>
      <c r="E885">
        <f>IF(
  ISNA(
    _xlfn.XLOOKUP(
      payments_raw[[#This Row],[subscription_id]],
      subscriptions[subscription_id],
      subscriptions[subscription_id]
    )
  ),
  0,
  1
)</f>
        <v>1</v>
      </c>
      <c r="F885" s="1">
        <f>_xlfn.XLOOKUP(payments_raw[[#This Row],[subscription_id]], subscriptions[subscription_id], subscriptions[start_date])</f>
        <v>45306</v>
      </c>
      <c r="G8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45616</v>
      </c>
      <c r="H885" s="2">
        <f>IF(payments_raw[[#This Row],[payment_date]] &lt; payments_raw[[#This Row],[sub_start_date]], 1, 0)</f>
        <v>0</v>
      </c>
      <c r="I885" s="2">
        <f>IF(AND(payments_raw[[#This Row],[sub_end_date]]&lt;&gt;"", payments_raw[[#This Row],[payment_date]] &gt; payments_raw[[#This Row],[sub_end_date]]), 1, 0)</f>
        <v>0</v>
      </c>
      <c r="J885" s="2">
        <f>IF(payments_raw[[#This Row],[amount]] &lt;= 0, 1, 0)</f>
        <v>0</v>
      </c>
      <c r="K8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6" spans="1:11" x14ac:dyDescent="0.3">
      <c r="A886">
        <v>58146877</v>
      </c>
      <c r="B886">
        <v>8959238</v>
      </c>
      <c r="C886" s="1">
        <v>44914</v>
      </c>
      <c r="D886">
        <v>149</v>
      </c>
      <c r="E886">
        <f>IF(
  ISNA(
    _xlfn.XLOOKUP(
      payments_raw[[#This Row],[subscription_id]],
      subscriptions[subscription_id],
      subscriptions[subscription_id]
    )
  ),
  0,
  1
)</f>
        <v>1</v>
      </c>
      <c r="F886" s="1">
        <f>_xlfn.XLOOKUP(payments_raw[[#This Row],[subscription_id]], subscriptions[subscription_id], subscriptions[start_date])</f>
        <v>44845</v>
      </c>
      <c r="G8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44968</v>
      </c>
      <c r="H886" s="2">
        <f>IF(payments_raw[[#This Row],[payment_date]] &lt; payments_raw[[#This Row],[sub_start_date]], 1, 0)</f>
        <v>0</v>
      </c>
      <c r="I886" s="2">
        <f>IF(AND(payments_raw[[#This Row],[sub_end_date]]&lt;&gt;"", payments_raw[[#This Row],[payment_date]] &gt; payments_raw[[#This Row],[sub_end_date]]), 1, 0)</f>
        <v>0</v>
      </c>
      <c r="J886" s="2">
        <f>IF(payments_raw[[#This Row],[amount]] &lt;= 0, 1, 0)</f>
        <v>0</v>
      </c>
      <c r="K8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7" spans="1:11" x14ac:dyDescent="0.3">
      <c r="A887">
        <v>68270032</v>
      </c>
      <c r="B887">
        <v>7383812</v>
      </c>
      <c r="C887" s="1">
        <v>45493</v>
      </c>
      <c r="D887">
        <v>299</v>
      </c>
      <c r="E887">
        <f>IF(
  ISNA(
    _xlfn.XLOOKUP(
      payments_raw[[#This Row],[subscription_id]],
      subscriptions[subscription_id],
      subscriptions[subscription_id]
    )
  ),
  0,
  1
)</f>
        <v>1</v>
      </c>
      <c r="F887" s="1">
        <f>_xlfn.XLOOKUP(payments_raw[[#This Row],[subscription_id]], subscriptions[subscription_id], subscriptions[start_date])</f>
        <v>44817</v>
      </c>
      <c r="G8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7" s="2">
        <f>IF(payments_raw[[#This Row],[payment_date]] &lt; payments_raw[[#This Row],[sub_start_date]], 1, 0)</f>
        <v>0</v>
      </c>
      <c r="I887" s="2">
        <f>IF(AND(payments_raw[[#This Row],[sub_end_date]]&lt;&gt;"", payments_raw[[#This Row],[payment_date]] &gt; payments_raw[[#This Row],[sub_end_date]]), 1, 0)</f>
        <v>0</v>
      </c>
      <c r="J887" s="2">
        <f>IF(payments_raw[[#This Row],[amount]] &lt;= 0, 1, 0)</f>
        <v>0</v>
      </c>
      <c r="K8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8" spans="1:11" x14ac:dyDescent="0.3">
      <c r="A888">
        <v>83902153</v>
      </c>
      <c r="B888">
        <v>9847254</v>
      </c>
      <c r="C888" s="1">
        <v>45564</v>
      </c>
      <c r="D888">
        <v>390</v>
      </c>
      <c r="E888">
        <f>IF(
  ISNA(
    _xlfn.XLOOKUP(
      payments_raw[[#This Row],[subscription_id]],
      subscriptions[subscription_id],
      subscriptions[subscription_id]
    )
  ),
  0,
  1
)</f>
        <v>1</v>
      </c>
      <c r="F888" s="1">
        <f>_xlfn.XLOOKUP(payments_raw[[#This Row],[subscription_id]], subscriptions[subscription_id], subscriptions[start_date])</f>
        <v>45369</v>
      </c>
      <c r="G8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45651</v>
      </c>
      <c r="H888" s="2">
        <f>IF(payments_raw[[#This Row],[payment_date]] &lt; payments_raw[[#This Row],[sub_start_date]], 1, 0)</f>
        <v>0</v>
      </c>
      <c r="I888" s="2">
        <f>IF(AND(payments_raw[[#This Row],[sub_end_date]]&lt;&gt;"", payments_raw[[#This Row],[payment_date]] &gt; payments_raw[[#This Row],[sub_end_date]]), 1, 0)</f>
        <v>0</v>
      </c>
      <c r="J888" s="2">
        <f>IF(payments_raw[[#This Row],[amount]] &lt;= 0, 1, 0)</f>
        <v>0</v>
      </c>
      <c r="K8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89" spans="1:11" x14ac:dyDescent="0.3">
      <c r="A889">
        <v>56267189</v>
      </c>
      <c r="B889">
        <v>5843397</v>
      </c>
      <c r="C889" s="1">
        <v>45402</v>
      </c>
      <c r="D889">
        <v>79</v>
      </c>
      <c r="E889">
        <f>IF(
  ISNA(
    _xlfn.XLOOKUP(
      payments_raw[[#This Row],[subscription_id]],
      subscriptions[subscription_id],
      subscriptions[subscription_id]
    )
  ),
  0,
  1
)</f>
        <v>1</v>
      </c>
      <c r="F889" s="1">
        <f>_xlfn.XLOOKUP(payments_raw[[#This Row],[subscription_id]], subscriptions[subscription_id], subscriptions[start_date])</f>
        <v>44986</v>
      </c>
      <c r="G8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89" s="2">
        <f>IF(payments_raw[[#This Row],[payment_date]] &lt; payments_raw[[#This Row],[sub_start_date]], 1, 0)</f>
        <v>0</v>
      </c>
      <c r="I889" s="2">
        <f>IF(AND(payments_raw[[#This Row],[sub_end_date]]&lt;&gt;"", payments_raw[[#This Row],[payment_date]] &gt; payments_raw[[#This Row],[sub_end_date]]), 1, 0)</f>
        <v>0</v>
      </c>
      <c r="J889" s="2">
        <f>IF(payments_raw[[#This Row],[amount]] &lt;= 0, 1, 0)</f>
        <v>0</v>
      </c>
      <c r="K8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0" spans="1:11" x14ac:dyDescent="0.3">
      <c r="A890">
        <v>39075869</v>
      </c>
      <c r="B890">
        <v>8883502</v>
      </c>
      <c r="C890" s="1">
        <v>44759</v>
      </c>
      <c r="D890">
        <v>1490</v>
      </c>
      <c r="E890">
        <f>IF(
  ISNA(
    _xlfn.XLOOKUP(
      payments_raw[[#This Row],[subscription_id]],
      subscriptions[subscription_id],
      subscriptions[subscription_id]
    )
  ),
  0,
  1
)</f>
        <v>1</v>
      </c>
      <c r="F890" s="1">
        <f>_xlfn.XLOOKUP(payments_raw[[#This Row],[subscription_id]], subscriptions[subscription_id], subscriptions[start_date])</f>
        <v>44756</v>
      </c>
      <c r="G89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44998</v>
      </c>
      <c r="H890" s="2">
        <f>IF(payments_raw[[#This Row],[payment_date]] &lt; payments_raw[[#This Row],[sub_start_date]], 1, 0)</f>
        <v>0</v>
      </c>
      <c r="I890" s="2">
        <f>IF(AND(payments_raw[[#This Row],[sub_end_date]]&lt;&gt;"", payments_raw[[#This Row],[payment_date]] &gt; payments_raw[[#This Row],[sub_end_date]]), 1, 0)</f>
        <v>0</v>
      </c>
      <c r="J890" s="2">
        <f>IF(payments_raw[[#This Row],[amount]] &lt;= 0, 1, 0)</f>
        <v>0</v>
      </c>
      <c r="K8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1" spans="1:11" x14ac:dyDescent="0.3">
      <c r="A891">
        <v>67170552</v>
      </c>
      <c r="B891">
        <v>7426442</v>
      </c>
      <c r="C891" s="1">
        <v>45466</v>
      </c>
      <c r="D891">
        <v>2990</v>
      </c>
      <c r="E891">
        <f>IF(
  ISNA(
    _xlfn.XLOOKUP(
      payments_raw[[#This Row],[subscription_id]],
      subscriptions[subscription_id],
      subscriptions[subscription_id]
    )
  ),
  0,
  1
)</f>
        <v>1</v>
      </c>
      <c r="F891" s="1">
        <f>_xlfn.XLOOKUP(payments_raw[[#This Row],[subscription_id]], subscriptions[subscription_id], subscriptions[start_date])</f>
        <v>45441</v>
      </c>
      <c r="G8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91" s="2">
        <f>IF(payments_raw[[#This Row],[payment_date]] &lt; payments_raw[[#This Row],[sub_start_date]], 1, 0)</f>
        <v>0</v>
      </c>
      <c r="I891" s="2">
        <f>IF(AND(payments_raw[[#This Row],[sub_end_date]]&lt;&gt;"", payments_raw[[#This Row],[payment_date]] &gt; payments_raw[[#This Row],[sub_end_date]]), 1, 0)</f>
        <v>0</v>
      </c>
      <c r="J891" s="2">
        <f>IF(payments_raw[[#This Row],[amount]] &lt;= 0, 1, 0)</f>
        <v>0</v>
      </c>
      <c r="K8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2" spans="1:11" x14ac:dyDescent="0.3">
      <c r="A892">
        <v>29557879</v>
      </c>
      <c r="B892">
        <v>8753576</v>
      </c>
      <c r="C892" s="1">
        <v>45132</v>
      </c>
      <c r="D892">
        <v>79</v>
      </c>
      <c r="E892">
        <f>IF(
  ISNA(
    _xlfn.XLOOKUP(
      payments_raw[[#This Row],[subscription_id]],
      subscriptions[subscription_id],
      subscriptions[subscription_id]
    )
  ),
  0,
  1
)</f>
        <v>1</v>
      </c>
      <c r="F892" s="1">
        <f>_xlfn.XLOOKUP(payments_raw[[#This Row],[subscription_id]], subscriptions[subscription_id], subscriptions[start_date])</f>
        <v>45108</v>
      </c>
      <c r="G8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45205</v>
      </c>
      <c r="H892" s="2">
        <f>IF(payments_raw[[#This Row],[payment_date]] &lt; payments_raw[[#This Row],[sub_start_date]], 1, 0)</f>
        <v>0</v>
      </c>
      <c r="I892" s="2">
        <f>IF(AND(payments_raw[[#This Row],[sub_end_date]]&lt;&gt;"", payments_raw[[#This Row],[payment_date]] &gt; payments_raw[[#This Row],[sub_end_date]]), 1, 0)</f>
        <v>0</v>
      </c>
      <c r="J892" s="2">
        <f>IF(payments_raw[[#This Row],[amount]] &lt;= 0, 1, 0)</f>
        <v>0</v>
      </c>
      <c r="K8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3" spans="1:11" x14ac:dyDescent="0.3">
      <c r="A893">
        <v>52103387</v>
      </c>
      <c r="B893">
        <v>5066398</v>
      </c>
      <c r="C893" s="1">
        <v>45026</v>
      </c>
      <c r="D893">
        <v>79</v>
      </c>
      <c r="E893">
        <f>IF(
  ISNA(
    _xlfn.XLOOKUP(
      payments_raw[[#This Row],[subscription_id]],
      subscriptions[subscription_id],
      subscriptions[subscription_id]
    )
  ),
  0,
  1
)</f>
        <v>1</v>
      </c>
      <c r="F893" s="1">
        <f>_xlfn.XLOOKUP(payments_raw[[#This Row],[subscription_id]], subscriptions[subscription_id], subscriptions[start_date])</f>
        <v>44983</v>
      </c>
      <c r="G8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45051</v>
      </c>
      <c r="H893" s="2">
        <f>IF(payments_raw[[#This Row],[payment_date]] &lt; payments_raw[[#This Row],[sub_start_date]], 1, 0)</f>
        <v>0</v>
      </c>
      <c r="I893" s="2">
        <f>IF(AND(payments_raw[[#This Row],[sub_end_date]]&lt;&gt;"", payments_raw[[#This Row],[payment_date]] &gt; payments_raw[[#This Row],[sub_end_date]]), 1, 0)</f>
        <v>0</v>
      </c>
      <c r="J893" s="2">
        <f>IF(payments_raw[[#This Row],[amount]] &lt;= 0, 1, 0)</f>
        <v>0</v>
      </c>
      <c r="K8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4" spans="1:11" x14ac:dyDescent="0.3">
      <c r="A894">
        <v>26131083</v>
      </c>
      <c r="B894">
        <v>4178437</v>
      </c>
      <c r="C894" s="1">
        <v>45514</v>
      </c>
      <c r="D894">
        <v>149</v>
      </c>
      <c r="E894">
        <f>IF(
  ISNA(
    _xlfn.XLOOKUP(
      payments_raw[[#This Row],[subscription_id]],
      subscriptions[subscription_id],
      subscriptions[subscription_id]
    )
  ),
  0,
  1
)</f>
        <v>1</v>
      </c>
      <c r="F894" s="1">
        <f>_xlfn.XLOOKUP(payments_raw[[#This Row],[subscription_id]], subscriptions[subscription_id], subscriptions[start_date])</f>
        <v>45386</v>
      </c>
      <c r="G8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94" s="2">
        <f>IF(payments_raw[[#This Row],[payment_date]] &lt; payments_raw[[#This Row],[sub_start_date]], 1, 0)</f>
        <v>0</v>
      </c>
      <c r="I894" s="2">
        <f>IF(AND(payments_raw[[#This Row],[sub_end_date]]&lt;&gt;"", payments_raw[[#This Row],[payment_date]] &gt; payments_raw[[#This Row],[sub_end_date]]), 1, 0)</f>
        <v>0</v>
      </c>
      <c r="J894" s="2">
        <f>IF(payments_raw[[#This Row],[amount]] &lt;= 0, 1, 0)</f>
        <v>0</v>
      </c>
      <c r="K8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5" spans="1:11" x14ac:dyDescent="0.3">
      <c r="A895">
        <v>45842449</v>
      </c>
      <c r="B895">
        <v>4551099</v>
      </c>
      <c r="C895" s="1">
        <v>45386</v>
      </c>
      <c r="D895">
        <v>19</v>
      </c>
      <c r="E895">
        <f>IF(
  ISNA(
    _xlfn.XLOOKUP(
      payments_raw[[#This Row],[subscription_id]],
      subscriptions[subscription_id],
      subscriptions[subscription_id]
    )
  ),
  0,
  1
)</f>
        <v>1</v>
      </c>
      <c r="F895" s="1">
        <f>_xlfn.XLOOKUP(payments_raw[[#This Row],[subscription_id]], subscriptions[subscription_id], subscriptions[start_date])</f>
        <v>45182</v>
      </c>
      <c r="G8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95" s="2">
        <f>IF(payments_raw[[#This Row],[payment_date]] &lt; payments_raw[[#This Row],[sub_start_date]], 1, 0)</f>
        <v>0</v>
      </c>
      <c r="I895" s="2">
        <f>IF(AND(payments_raw[[#This Row],[sub_end_date]]&lt;&gt;"", payments_raw[[#This Row],[payment_date]] &gt; payments_raw[[#This Row],[sub_end_date]]), 1, 0)</f>
        <v>0</v>
      </c>
      <c r="J895" s="2">
        <f>IF(payments_raw[[#This Row],[amount]] &lt;= 0, 1, 0)</f>
        <v>0</v>
      </c>
      <c r="K8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6" spans="1:11" x14ac:dyDescent="0.3">
      <c r="A896">
        <v>42292892</v>
      </c>
      <c r="B896">
        <v>5782125</v>
      </c>
      <c r="C896" s="1">
        <v>44898</v>
      </c>
      <c r="D896">
        <v>390</v>
      </c>
      <c r="E896">
        <f>IF(
  ISNA(
    _xlfn.XLOOKUP(
      payments_raw[[#This Row],[subscription_id]],
      subscriptions[subscription_id],
      subscriptions[subscription_id]
    )
  ),
  0,
  1
)</f>
        <v>1</v>
      </c>
      <c r="F896" s="1">
        <f>_xlfn.XLOOKUP(payments_raw[[#This Row],[subscription_id]], subscriptions[subscription_id], subscriptions[start_date])</f>
        <v>44598</v>
      </c>
      <c r="G89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44922</v>
      </c>
      <c r="H896" s="2">
        <f>IF(payments_raw[[#This Row],[payment_date]] &lt; payments_raw[[#This Row],[sub_start_date]], 1, 0)</f>
        <v>0</v>
      </c>
      <c r="I896" s="2">
        <f>IF(AND(payments_raw[[#This Row],[sub_end_date]]&lt;&gt;"", payments_raw[[#This Row],[payment_date]] &gt; payments_raw[[#This Row],[sub_end_date]]), 1, 0)</f>
        <v>0</v>
      </c>
      <c r="J896" s="2">
        <f>IF(payments_raw[[#This Row],[amount]] &lt;= 0, 1, 0)</f>
        <v>0</v>
      </c>
      <c r="K8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7" spans="1:11" x14ac:dyDescent="0.3">
      <c r="A897">
        <v>51707179</v>
      </c>
      <c r="B897">
        <v>1154157</v>
      </c>
      <c r="C897" s="1">
        <v>45635</v>
      </c>
      <c r="D897">
        <v>790</v>
      </c>
      <c r="E897">
        <f>IF(
  ISNA(
    _xlfn.XLOOKUP(
      payments_raw[[#This Row],[subscription_id]],
      subscriptions[subscription_id],
      subscriptions[subscription_id]
    )
  ),
  0,
  1
)</f>
        <v>1</v>
      </c>
      <c r="F897" s="1">
        <f>_xlfn.XLOOKUP(payments_raw[[#This Row],[subscription_id]], subscriptions[subscription_id], subscriptions[start_date])</f>
        <v>45505</v>
      </c>
      <c r="G8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97" s="2">
        <f>IF(payments_raw[[#This Row],[payment_date]] &lt; payments_raw[[#This Row],[sub_start_date]], 1, 0)</f>
        <v>0</v>
      </c>
      <c r="I897" s="2">
        <f>IF(AND(payments_raw[[#This Row],[sub_end_date]]&lt;&gt;"", payments_raw[[#This Row],[payment_date]] &gt; payments_raw[[#This Row],[sub_end_date]]), 1, 0)</f>
        <v>0</v>
      </c>
      <c r="J897" s="2">
        <f>IF(payments_raw[[#This Row],[amount]] &lt;= 0, 1, 0)</f>
        <v>0</v>
      </c>
      <c r="K8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8" spans="1:11" x14ac:dyDescent="0.3">
      <c r="A898">
        <v>15444149</v>
      </c>
      <c r="B898">
        <v>3948283</v>
      </c>
      <c r="C898" s="1">
        <v>45626</v>
      </c>
      <c r="D898">
        <v>149.5</v>
      </c>
      <c r="E898">
        <f>IF(
  ISNA(
    _xlfn.XLOOKUP(
      payments_raw[[#This Row],[subscription_id]],
      subscriptions[subscription_id],
      subscriptions[subscription_id]
    )
  ),
  0,
  1
)</f>
        <v>1</v>
      </c>
      <c r="F898" s="1">
        <f>_xlfn.XLOOKUP(payments_raw[[#This Row],[subscription_id]], subscriptions[subscription_id], subscriptions[start_date])</f>
        <v>45189</v>
      </c>
      <c r="G8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898" s="2">
        <f>IF(payments_raw[[#This Row],[payment_date]] &lt; payments_raw[[#This Row],[sub_start_date]], 1, 0)</f>
        <v>0</v>
      </c>
      <c r="I898" s="2">
        <f>IF(AND(payments_raw[[#This Row],[sub_end_date]]&lt;&gt;"", payments_raw[[#This Row],[payment_date]] &gt; payments_raw[[#This Row],[sub_end_date]]), 1, 0)</f>
        <v>0</v>
      </c>
      <c r="J898" s="2">
        <f>IF(payments_raw[[#This Row],[amount]] &lt;= 0, 1, 0)</f>
        <v>0</v>
      </c>
      <c r="K8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899" spans="1:11" x14ac:dyDescent="0.3">
      <c r="A899">
        <v>74212086</v>
      </c>
      <c r="B899">
        <v>4392572</v>
      </c>
      <c r="C899" s="1">
        <v>45046</v>
      </c>
      <c r="D899">
        <v>35.1</v>
      </c>
      <c r="E899">
        <f>IF(
  ISNA(
    _xlfn.XLOOKUP(
      payments_raw[[#This Row],[subscription_id]],
      subscriptions[subscription_id],
      subscriptions[subscription_id]
    )
  ),
  0,
  1
)</f>
        <v>1</v>
      </c>
      <c r="F899" s="1">
        <f>_xlfn.XLOOKUP(payments_raw[[#This Row],[subscription_id]], subscriptions[subscription_id], subscriptions[start_date])</f>
        <v>44989</v>
      </c>
      <c r="G8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45150</v>
      </c>
      <c r="H899" s="2">
        <f>IF(payments_raw[[#This Row],[payment_date]] &lt; payments_raw[[#This Row],[sub_start_date]], 1, 0)</f>
        <v>0</v>
      </c>
      <c r="I899" s="2">
        <f>IF(AND(payments_raw[[#This Row],[sub_end_date]]&lt;&gt;"", payments_raw[[#This Row],[payment_date]] &gt; payments_raw[[#This Row],[sub_end_date]]), 1, 0)</f>
        <v>0</v>
      </c>
      <c r="J899" s="2">
        <f>IF(payments_raw[[#This Row],[amount]] &lt;= 0, 1, 0)</f>
        <v>0</v>
      </c>
      <c r="K8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0" spans="1:11" x14ac:dyDescent="0.3">
      <c r="A900">
        <v>78974303</v>
      </c>
      <c r="B900">
        <v>3864666</v>
      </c>
      <c r="C900" s="1">
        <v>45324</v>
      </c>
      <c r="D900">
        <v>790</v>
      </c>
      <c r="E900">
        <f>IF(
  ISNA(
    _xlfn.XLOOKUP(
      payments_raw[[#This Row],[subscription_id]],
      subscriptions[subscription_id],
      subscriptions[subscription_id]
    )
  ),
  0,
  1
)</f>
        <v>1</v>
      </c>
      <c r="F900" s="1">
        <f>_xlfn.XLOOKUP(payments_raw[[#This Row],[subscription_id]], subscriptions[subscription_id], subscriptions[start_date])</f>
        <v>45213</v>
      </c>
      <c r="G9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45442</v>
      </c>
      <c r="H900" s="2">
        <f>IF(payments_raw[[#This Row],[payment_date]] &lt; payments_raw[[#This Row],[sub_start_date]], 1, 0)</f>
        <v>0</v>
      </c>
      <c r="I900" s="2">
        <f>IF(AND(payments_raw[[#This Row],[sub_end_date]]&lt;&gt;"", payments_raw[[#This Row],[payment_date]] &gt; payments_raw[[#This Row],[sub_end_date]]), 1, 0)</f>
        <v>0</v>
      </c>
      <c r="J900" s="2">
        <f>IF(payments_raw[[#This Row],[amount]] &lt;= 0, 1, 0)</f>
        <v>0</v>
      </c>
      <c r="K9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1" spans="1:11" x14ac:dyDescent="0.3">
      <c r="A901">
        <v>62249121</v>
      </c>
      <c r="B901">
        <v>8039619</v>
      </c>
      <c r="C901" s="1">
        <v>45493</v>
      </c>
      <c r="D901">
        <v>1490</v>
      </c>
      <c r="E901">
        <f>IF(
  ISNA(
    _xlfn.XLOOKUP(
      payments_raw[[#This Row],[subscription_id]],
      subscriptions[subscription_id],
      subscriptions[subscription_id]
    )
  ),
  0,
  1
)</f>
        <v>1</v>
      </c>
      <c r="F901" s="1">
        <f>_xlfn.XLOOKUP(payments_raw[[#This Row],[subscription_id]], subscriptions[subscription_id], subscriptions[start_date])</f>
        <v>45477</v>
      </c>
      <c r="G9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1" s="2">
        <f>IF(payments_raw[[#This Row],[payment_date]] &lt; payments_raw[[#This Row],[sub_start_date]], 1, 0)</f>
        <v>0</v>
      </c>
      <c r="I901" s="2">
        <f>IF(AND(payments_raw[[#This Row],[sub_end_date]]&lt;&gt;"", payments_raw[[#This Row],[payment_date]] &gt; payments_raw[[#This Row],[sub_end_date]]), 1, 0)</f>
        <v>0</v>
      </c>
      <c r="J901" s="2">
        <f>IF(payments_raw[[#This Row],[amount]] &lt;= 0, 1, 0)</f>
        <v>0</v>
      </c>
      <c r="K9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2" spans="1:11" x14ac:dyDescent="0.3">
      <c r="A902">
        <v>25674475</v>
      </c>
      <c r="B902">
        <v>5245703</v>
      </c>
      <c r="C902" s="1">
        <v>45599</v>
      </c>
      <c r="D902">
        <v>79</v>
      </c>
      <c r="E902">
        <f>IF(
  ISNA(
    _xlfn.XLOOKUP(
      payments_raw[[#This Row],[subscription_id]],
      subscriptions[subscription_id],
      subscriptions[subscription_id]
    )
  ),
  0,
  1
)</f>
        <v>1</v>
      </c>
      <c r="F902" s="1">
        <f>_xlfn.XLOOKUP(payments_raw[[#This Row],[subscription_id]], subscriptions[subscription_id], subscriptions[start_date])</f>
        <v>45401</v>
      </c>
      <c r="G9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2" s="2">
        <f>IF(payments_raw[[#This Row],[payment_date]] &lt; payments_raw[[#This Row],[sub_start_date]], 1, 0)</f>
        <v>0</v>
      </c>
      <c r="I902" s="2">
        <f>IF(AND(payments_raw[[#This Row],[sub_end_date]]&lt;&gt;"", payments_raw[[#This Row],[payment_date]] &gt; payments_raw[[#This Row],[sub_end_date]]), 1, 0)</f>
        <v>0</v>
      </c>
      <c r="J902" s="2">
        <f>IF(payments_raw[[#This Row],[amount]] &lt;= 0, 1, 0)</f>
        <v>0</v>
      </c>
      <c r="K9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3" spans="1:11" x14ac:dyDescent="0.3">
      <c r="A903">
        <v>20073945</v>
      </c>
      <c r="B903">
        <v>2003047</v>
      </c>
      <c r="C903" s="1">
        <v>45166</v>
      </c>
      <c r="D903">
        <v>390</v>
      </c>
      <c r="E903">
        <f>IF(
  ISNA(
    _xlfn.XLOOKUP(
      payments_raw[[#This Row],[subscription_id]],
      subscriptions[subscription_id],
      subscriptions[subscription_id]
    )
  ),
  0,
  1
)</f>
        <v>1</v>
      </c>
      <c r="F903" s="1">
        <f>_xlfn.XLOOKUP(payments_raw[[#This Row],[subscription_id]], subscriptions[subscription_id], subscriptions[start_date])</f>
        <v>45161</v>
      </c>
      <c r="G9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903" s="2">
        <f>IF(payments_raw[[#This Row],[payment_date]] &lt; payments_raw[[#This Row],[sub_start_date]], 1, 0)</f>
        <v>0</v>
      </c>
      <c r="I903" s="2">
        <f>IF(AND(payments_raw[[#This Row],[sub_end_date]]&lt;&gt;"", payments_raw[[#This Row],[payment_date]] &gt; payments_raw[[#This Row],[sub_end_date]]), 1, 0)</f>
        <v>0</v>
      </c>
      <c r="J903" s="2">
        <f>IF(payments_raw[[#This Row],[amount]] &lt;= 0, 1, 0)</f>
        <v>0</v>
      </c>
      <c r="K9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4" spans="1:11" x14ac:dyDescent="0.3">
      <c r="A904">
        <v>92126467</v>
      </c>
      <c r="B904">
        <v>3708302</v>
      </c>
      <c r="C904" s="1">
        <v>45272</v>
      </c>
      <c r="D904">
        <v>79</v>
      </c>
      <c r="E904">
        <f>IF(
  ISNA(
    _xlfn.XLOOKUP(
      payments_raw[[#This Row],[subscription_id]],
      subscriptions[subscription_id],
      subscriptions[subscription_id]
    )
  ),
  0,
  1
)</f>
        <v>1</v>
      </c>
      <c r="F904" s="1">
        <f>_xlfn.XLOOKUP(payments_raw[[#This Row],[subscription_id]], subscriptions[subscription_id], subscriptions[start_date])</f>
        <v>44587</v>
      </c>
      <c r="G9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4" s="2">
        <f>IF(payments_raw[[#This Row],[payment_date]] &lt; payments_raw[[#This Row],[sub_start_date]], 1, 0)</f>
        <v>0</v>
      </c>
      <c r="I904" s="2">
        <f>IF(AND(payments_raw[[#This Row],[sub_end_date]]&lt;&gt;"", payments_raw[[#This Row],[payment_date]] &gt; payments_raw[[#This Row],[sub_end_date]]), 1, 0)</f>
        <v>0</v>
      </c>
      <c r="J904" s="2">
        <f>IF(payments_raw[[#This Row],[amount]] &lt;= 0, 1, 0)</f>
        <v>0</v>
      </c>
      <c r="K9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5" spans="1:11" x14ac:dyDescent="0.3">
      <c r="A905">
        <v>13420583</v>
      </c>
      <c r="B905">
        <v>8283809</v>
      </c>
      <c r="C905" s="1">
        <v>45201</v>
      </c>
      <c r="D905">
        <v>390</v>
      </c>
      <c r="E905">
        <f>IF(
  ISNA(
    _xlfn.XLOOKUP(
      payments_raw[[#This Row],[subscription_id]],
      subscriptions[subscription_id],
      subscriptions[subscription_id]
    )
  ),
  0,
  1
)</f>
        <v>1</v>
      </c>
      <c r="F905" s="1">
        <f>_xlfn.XLOOKUP(payments_raw[[#This Row],[subscription_id]], subscriptions[subscription_id], subscriptions[start_date])</f>
        <v>45177</v>
      </c>
      <c r="G9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5" s="2">
        <f>IF(payments_raw[[#This Row],[payment_date]] &lt; payments_raw[[#This Row],[sub_start_date]], 1, 0)</f>
        <v>0</v>
      </c>
      <c r="I905" s="2">
        <f>IF(AND(payments_raw[[#This Row],[sub_end_date]]&lt;&gt;"", payments_raw[[#This Row],[payment_date]] &gt; payments_raw[[#This Row],[sub_end_date]]), 1, 0)</f>
        <v>0</v>
      </c>
      <c r="J905" s="2">
        <f>IF(payments_raw[[#This Row],[amount]] &lt;= 0, 1, 0)</f>
        <v>0</v>
      </c>
      <c r="K9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6" spans="1:11" x14ac:dyDescent="0.3">
      <c r="A906">
        <v>60357342</v>
      </c>
      <c r="B906">
        <v>4041045</v>
      </c>
      <c r="C906" s="1">
        <v>45202</v>
      </c>
      <c r="D906">
        <v>299</v>
      </c>
      <c r="E906">
        <f>IF(
  ISNA(
    _xlfn.XLOOKUP(
      payments_raw[[#This Row],[subscription_id]],
      subscriptions[subscription_id],
      subscriptions[subscription_id]
    )
  ),
  0,
  1
)</f>
        <v>1</v>
      </c>
      <c r="F906" s="1">
        <f>_xlfn.XLOOKUP(payments_raw[[#This Row],[subscription_id]], subscriptions[subscription_id], subscriptions[start_date])</f>
        <v>45145</v>
      </c>
      <c r="G9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6" s="2">
        <f>IF(payments_raw[[#This Row],[payment_date]] &lt; payments_raw[[#This Row],[sub_start_date]], 1, 0)</f>
        <v>0</v>
      </c>
      <c r="I906" s="2">
        <f>IF(AND(payments_raw[[#This Row],[sub_end_date]]&lt;&gt;"", payments_raw[[#This Row],[payment_date]] &gt; payments_raw[[#This Row],[sub_end_date]]), 1, 0)</f>
        <v>0</v>
      </c>
      <c r="J906" s="2">
        <f>IF(payments_raw[[#This Row],[amount]] &lt;= 0, 1, 0)</f>
        <v>0</v>
      </c>
      <c r="K9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7" spans="1:11" x14ac:dyDescent="0.3">
      <c r="A907">
        <v>47479908</v>
      </c>
      <c r="B907">
        <v>3864241</v>
      </c>
      <c r="C907" s="1">
        <v>45569</v>
      </c>
      <c r="D907">
        <v>2990</v>
      </c>
      <c r="E907">
        <f>IF(
  ISNA(
    _xlfn.XLOOKUP(
      payments_raw[[#This Row],[subscription_id]],
      subscriptions[subscription_id],
      subscriptions[subscription_id]
    )
  ),
  0,
  1
)</f>
        <v>1</v>
      </c>
      <c r="F907" s="1">
        <f>_xlfn.XLOOKUP(payments_raw[[#This Row],[subscription_id]], subscriptions[subscription_id], subscriptions[start_date])</f>
        <v>45559</v>
      </c>
      <c r="G9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7" s="2">
        <f>IF(payments_raw[[#This Row],[payment_date]] &lt; payments_raw[[#This Row],[sub_start_date]], 1, 0)</f>
        <v>0</v>
      </c>
      <c r="I907" s="2">
        <f>IF(AND(payments_raw[[#This Row],[sub_end_date]]&lt;&gt;"", payments_raw[[#This Row],[payment_date]] &gt; payments_raw[[#This Row],[sub_end_date]]), 1, 0)</f>
        <v>0</v>
      </c>
      <c r="J907" s="2">
        <f>IF(payments_raw[[#This Row],[amount]] &lt;= 0, 1, 0)</f>
        <v>0</v>
      </c>
      <c r="K9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8" spans="1:11" x14ac:dyDescent="0.3">
      <c r="A908">
        <v>91407573</v>
      </c>
      <c r="B908">
        <v>8539737</v>
      </c>
      <c r="C908" s="1">
        <v>44941</v>
      </c>
      <c r="D908">
        <v>299</v>
      </c>
      <c r="E908">
        <f>IF(
  ISNA(
    _xlfn.XLOOKUP(
      payments_raw[[#This Row],[subscription_id]],
      subscriptions[subscription_id],
      subscriptions[subscription_id]
    )
  ),
  0,
  1
)</f>
        <v>1</v>
      </c>
      <c r="F908" s="1">
        <f>_xlfn.XLOOKUP(payments_raw[[#This Row],[subscription_id]], subscriptions[subscription_id], subscriptions[start_date])</f>
        <v>44904</v>
      </c>
      <c r="G9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45195</v>
      </c>
      <c r="H908" s="2">
        <f>IF(payments_raw[[#This Row],[payment_date]] &lt; payments_raw[[#This Row],[sub_start_date]], 1, 0)</f>
        <v>0</v>
      </c>
      <c r="I908" s="2">
        <f>IF(AND(payments_raw[[#This Row],[sub_end_date]]&lt;&gt;"", payments_raw[[#This Row],[payment_date]] &gt; payments_raw[[#This Row],[sub_end_date]]), 1, 0)</f>
        <v>0</v>
      </c>
      <c r="J908" s="2">
        <f>IF(payments_raw[[#This Row],[amount]] &lt;= 0, 1, 0)</f>
        <v>0</v>
      </c>
      <c r="K9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09" spans="1:11" x14ac:dyDescent="0.3">
      <c r="A909">
        <v>53136609</v>
      </c>
      <c r="B909">
        <v>6090377</v>
      </c>
      <c r="C909" s="1">
        <v>45068</v>
      </c>
      <c r="D909">
        <v>299</v>
      </c>
      <c r="E909">
        <f>IF(
  ISNA(
    _xlfn.XLOOKUP(
      payments_raw[[#This Row],[subscription_id]],
      subscriptions[subscription_id],
      subscriptions[subscription_id]
    )
  ),
  0,
  1
)</f>
        <v>1</v>
      </c>
      <c r="F909" s="1">
        <f>_xlfn.XLOOKUP(payments_raw[[#This Row],[subscription_id]], subscriptions[subscription_id], subscriptions[start_date])</f>
        <v>45013</v>
      </c>
      <c r="G9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09" s="2">
        <f>IF(payments_raw[[#This Row],[payment_date]] &lt; payments_raw[[#This Row],[sub_start_date]], 1, 0)</f>
        <v>0</v>
      </c>
      <c r="I909" s="2">
        <f>IF(AND(payments_raw[[#This Row],[sub_end_date]]&lt;&gt;"", payments_raw[[#This Row],[payment_date]] &gt; payments_raw[[#This Row],[sub_end_date]]), 1, 0)</f>
        <v>0</v>
      </c>
      <c r="J909" s="2">
        <f>IF(payments_raw[[#This Row],[amount]] &lt;= 0, 1, 0)</f>
        <v>0</v>
      </c>
      <c r="K9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0" spans="1:11" x14ac:dyDescent="0.3">
      <c r="A910">
        <v>33781932</v>
      </c>
      <c r="B910">
        <v>9161633</v>
      </c>
      <c r="C910" s="1">
        <v>45578</v>
      </c>
      <c r="D910">
        <v>149</v>
      </c>
      <c r="E910">
        <f>IF(
  ISNA(
    _xlfn.XLOOKUP(
      payments_raw[[#This Row],[subscription_id]],
      subscriptions[subscription_id],
      subscriptions[subscription_id]
    )
  ),
  0,
  1
)</f>
        <v>1</v>
      </c>
      <c r="F910" s="1">
        <f>_xlfn.XLOOKUP(payments_raw[[#This Row],[subscription_id]], subscriptions[subscription_id], subscriptions[start_date])</f>
        <v>44934</v>
      </c>
      <c r="G9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0" s="2">
        <f>IF(payments_raw[[#This Row],[payment_date]] &lt; payments_raw[[#This Row],[sub_start_date]], 1, 0)</f>
        <v>0</v>
      </c>
      <c r="I910" s="2">
        <f>IF(AND(payments_raw[[#This Row],[sub_end_date]]&lt;&gt;"", payments_raw[[#This Row],[payment_date]] &gt; payments_raw[[#This Row],[sub_end_date]]), 1, 0)</f>
        <v>0</v>
      </c>
      <c r="J910" s="2">
        <f>IF(payments_raw[[#This Row],[amount]] &lt;= 0, 1, 0)</f>
        <v>0</v>
      </c>
      <c r="K9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1" spans="1:11" x14ac:dyDescent="0.3">
      <c r="A911">
        <v>88176784</v>
      </c>
      <c r="B911">
        <v>5373809</v>
      </c>
      <c r="C911" s="1">
        <v>45645</v>
      </c>
      <c r="D911">
        <v>2990</v>
      </c>
      <c r="E911">
        <f>IF(
  ISNA(
    _xlfn.XLOOKUP(
      payments_raw[[#This Row],[subscription_id]],
      subscriptions[subscription_id],
      subscriptions[subscription_id]
    )
  ),
  0,
  1
)</f>
        <v>1</v>
      </c>
      <c r="F911" s="1">
        <f>_xlfn.XLOOKUP(payments_raw[[#This Row],[subscription_id]], subscriptions[subscription_id], subscriptions[start_date])</f>
        <v>44673</v>
      </c>
      <c r="G9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1" s="2">
        <f>IF(payments_raw[[#This Row],[payment_date]] &lt; payments_raw[[#This Row],[sub_start_date]], 1, 0)</f>
        <v>0</v>
      </c>
      <c r="I911" s="2">
        <f>IF(AND(payments_raw[[#This Row],[sub_end_date]]&lt;&gt;"", payments_raw[[#This Row],[payment_date]] &gt; payments_raw[[#This Row],[sub_end_date]]), 1, 0)</f>
        <v>0</v>
      </c>
      <c r="J911" s="2">
        <f>IF(payments_raw[[#This Row],[amount]] &lt;= 0, 1, 0)</f>
        <v>0</v>
      </c>
      <c r="K9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2" spans="1:11" x14ac:dyDescent="0.3">
      <c r="A912">
        <v>65181600</v>
      </c>
      <c r="B912">
        <v>8220257</v>
      </c>
      <c r="C912" s="1">
        <v>45225</v>
      </c>
      <c r="D912">
        <v>142.5</v>
      </c>
      <c r="E912">
        <f>IF(
  ISNA(
    _xlfn.XLOOKUP(
      payments_raw[[#This Row],[subscription_id]],
      subscriptions[subscription_id],
      subscriptions[subscription_id]
    )
  ),
  0,
  1
)</f>
        <v>1</v>
      </c>
      <c r="F912" s="1">
        <f>_xlfn.XLOOKUP(payments_raw[[#This Row],[subscription_id]], subscriptions[subscription_id], subscriptions[start_date])</f>
        <v>45078</v>
      </c>
      <c r="G9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2" s="2">
        <f>IF(payments_raw[[#This Row],[payment_date]] &lt; payments_raw[[#This Row],[sub_start_date]], 1, 0)</f>
        <v>0</v>
      </c>
      <c r="I912" s="2">
        <f>IF(AND(payments_raw[[#This Row],[sub_end_date]]&lt;&gt;"", payments_raw[[#This Row],[payment_date]] &gt; payments_raw[[#This Row],[sub_end_date]]), 1, 0)</f>
        <v>0</v>
      </c>
      <c r="J912" s="2">
        <f>IF(payments_raw[[#This Row],[amount]] &lt;= 0, 1, 0)</f>
        <v>0</v>
      </c>
      <c r="K9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3" spans="1:11" x14ac:dyDescent="0.3">
      <c r="A913">
        <v>39596454</v>
      </c>
      <c r="B913">
        <v>4338530</v>
      </c>
      <c r="C913" s="1">
        <v>45624</v>
      </c>
      <c r="D913">
        <v>2990</v>
      </c>
      <c r="E913">
        <f>IF(
  ISNA(
    _xlfn.XLOOKUP(
      payments_raw[[#This Row],[subscription_id]],
      subscriptions[subscription_id],
      subscriptions[subscription_id]
    )
  ),
  0,
  1
)</f>
        <v>1</v>
      </c>
      <c r="F913" s="1">
        <f>_xlfn.XLOOKUP(payments_raw[[#This Row],[subscription_id]], subscriptions[subscription_id], subscriptions[start_date])</f>
        <v>45543</v>
      </c>
      <c r="G9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913" s="2">
        <f>IF(payments_raw[[#This Row],[payment_date]] &lt; payments_raw[[#This Row],[sub_start_date]], 1, 0)</f>
        <v>0</v>
      </c>
      <c r="I913" s="2">
        <f>IF(AND(payments_raw[[#This Row],[sub_end_date]]&lt;&gt;"", payments_raw[[#This Row],[payment_date]] &gt; payments_raw[[#This Row],[sub_end_date]]), 1, 0)</f>
        <v>0</v>
      </c>
      <c r="J913" s="2">
        <f>IF(payments_raw[[#This Row],[amount]] &lt;= 0, 1, 0)</f>
        <v>0</v>
      </c>
      <c r="K9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4" spans="1:11" x14ac:dyDescent="0.3">
      <c r="A914">
        <v>12257260</v>
      </c>
      <c r="B914">
        <v>6290495</v>
      </c>
      <c r="C914" s="1">
        <v>45517</v>
      </c>
      <c r="D914">
        <v>190</v>
      </c>
      <c r="E914">
        <f>IF(
  ISNA(
    _xlfn.XLOOKUP(
      payments_raw[[#This Row],[subscription_id]],
      subscriptions[subscription_id],
      subscriptions[subscription_id]
    )
  ),
  0,
  1
)</f>
        <v>1</v>
      </c>
      <c r="F914" s="1">
        <f>_xlfn.XLOOKUP(payments_raw[[#This Row],[subscription_id]], subscriptions[subscription_id], subscriptions[start_date])</f>
        <v>45486</v>
      </c>
      <c r="G9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914" s="2">
        <f>IF(payments_raw[[#This Row],[payment_date]] &lt; payments_raw[[#This Row],[sub_start_date]], 1, 0)</f>
        <v>0</v>
      </c>
      <c r="I914" s="2">
        <f>IF(AND(payments_raw[[#This Row],[sub_end_date]]&lt;&gt;"", payments_raw[[#This Row],[payment_date]] &gt; payments_raw[[#This Row],[sub_end_date]]), 1, 0)</f>
        <v>0</v>
      </c>
      <c r="J914" s="2">
        <f>IF(payments_raw[[#This Row],[amount]] &lt;= 0, 1, 0)</f>
        <v>0</v>
      </c>
      <c r="K9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5" spans="1:11" x14ac:dyDescent="0.3">
      <c r="A915">
        <v>90374368</v>
      </c>
      <c r="B915">
        <v>5125653</v>
      </c>
      <c r="C915" s="1">
        <v>45490</v>
      </c>
      <c r="D915">
        <v>1490</v>
      </c>
      <c r="E915">
        <f>IF(
  ISNA(
    _xlfn.XLOOKUP(
      payments_raw[[#This Row],[subscription_id]],
      subscriptions[subscription_id],
      subscriptions[subscription_id]
    )
  ),
  0,
  1
)</f>
        <v>1</v>
      </c>
      <c r="F915" s="1">
        <f>_xlfn.XLOOKUP(payments_raw[[#This Row],[subscription_id]], subscriptions[subscription_id], subscriptions[start_date])</f>
        <v>45346</v>
      </c>
      <c r="G9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5" s="2">
        <f>IF(payments_raw[[#This Row],[payment_date]] &lt; payments_raw[[#This Row],[sub_start_date]], 1, 0)</f>
        <v>0</v>
      </c>
      <c r="I915" s="2">
        <f>IF(AND(payments_raw[[#This Row],[sub_end_date]]&lt;&gt;"", payments_raw[[#This Row],[payment_date]] &gt; payments_raw[[#This Row],[sub_end_date]]), 1, 0)</f>
        <v>0</v>
      </c>
      <c r="J915" s="2">
        <f>IF(payments_raw[[#This Row],[amount]] &lt;= 0, 1, 0)</f>
        <v>0</v>
      </c>
      <c r="K9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6" spans="1:11" x14ac:dyDescent="0.3">
      <c r="A916">
        <v>17809055</v>
      </c>
      <c r="B916">
        <v>8426297</v>
      </c>
      <c r="C916" s="1">
        <v>45419</v>
      </c>
      <c r="D916">
        <v>1490</v>
      </c>
      <c r="E916">
        <f>IF(
  ISNA(
    _xlfn.XLOOKUP(
      payments_raw[[#This Row],[subscription_id]],
      subscriptions[subscription_id],
      subscriptions[subscription_id]
    )
  ),
  0,
  1
)</f>
        <v>1</v>
      </c>
      <c r="F916" s="1">
        <f>_xlfn.XLOOKUP(payments_raw[[#This Row],[subscription_id]], subscriptions[subscription_id], subscriptions[start_date])</f>
        <v>44960</v>
      </c>
      <c r="G9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6" s="2">
        <f>IF(payments_raw[[#This Row],[payment_date]] &lt; payments_raw[[#This Row],[sub_start_date]], 1, 0)</f>
        <v>0</v>
      </c>
      <c r="I916" s="2">
        <f>IF(AND(payments_raw[[#This Row],[sub_end_date]]&lt;&gt;"", payments_raw[[#This Row],[payment_date]] &gt; payments_raw[[#This Row],[sub_end_date]]), 1, 0)</f>
        <v>0</v>
      </c>
      <c r="J916" s="2">
        <f>IF(payments_raw[[#This Row],[amount]] &lt;= 0, 1, 0)</f>
        <v>0</v>
      </c>
      <c r="K9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7" spans="1:11" x14ac:dyDescent="0.3">
      <c r="A917">
        <v>64119168</v>
      </c>
      <c r="B917">
        <v>6875686</v>
      </c>
      <c r="C917" s="1">
        <v>45352</v>
      </c>
      <c r="D917">
        <v>299</v>
      </c>
      <c r="E917">
        <f>IF(
  ISNA(
    _xlfn.XLOOKUP(
      payments_raw[[#This Row],[subscription_id]],
      subscriptions[subscription_id],
      subscriptions[subscription_id]
    )
  ),
  0,
  1
)</f>
        <v>1</v>
      </c>
      <c r="F917" s="1">
        <f>_xlfn.XLOOKUP(payments_raw[[#This Row],[subscription_id]], subscriptions[subscription_id], subscriptions[start_date])</f>
        <v>45142</v>
      </c>
      <c r="G9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917" s="2">
        <f>IF(payments_raw[[#This Row],[payment_date]] &lt; payments_raw[[#This Row],[sub_start_date]], 1, 0)</f>
        <v>0</v>
      </c>
      <c r="I917" s="2">
        <f>IF(AND(payments_raw[[#This Row],[sub_end_date]]&lt;&gt;"", payments_raw[[#This Row],[payment_date]] &gt; payments_raw[[#This Row],[sub_end_date]]), 1, 0)</f>
        <v>0</v>
      </c>
      <c r="J917" s="2">
        <f>IF(payments_raw[[#This Row],[amount]] &lt;= 0, 1, 0)</f>
        <v>0</v>
      </c>
      <c r="K9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8" spans="1:11" x14ac:dyDescent="0.3">
      <c r="A918">
        <v>90035643</v>
      </c>
      <c r="B918">
        <v>3457722</v>
      </c>
      <c r="C918" s="1">
        <v>44995</v>
      </c>
      <c r="D918">
        <v>149</v>
      </c>
      <c r="E918">
        <f>IF(
  ISNA(
    _xlfn.XLOOKUP(
      payments_raw[[#This Row],[subscription_id]],
      subscriptions[subscription_id],
      subscriptions[subscription_id]
    )
  ),
  0,
  1
)</f>
        <v>1</v>
      </c>
      <c r="F918" s="1">
        <f>_xlfn.XLOOKUP(payments_raw[[#This Row],[subscription_id]], subscriptions[subscription_id], subscriptions[start_date])</f>
        <v>44855</v>
      </c>
      <c r="G9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18" s="2">
        <f>IF(payments_raw[[#This Row],[payment_date]] &lt; payments_raw[[#This Row],[sub_start_date]], 1, 0)</f>
        <v>0</v>
      </c>
      <c r="I918" s="2">
        <f>IF(AND(payments_raw[[#This Row],[sub_end_date]]&lt;&gt;"", payments_raw[[#This Row],[payment_date]] &gt; payments_raw[[#This Row],[sub_end_date]]), 1, 0)</f>
        <v>0</v>
      </c>
      <c r="J918" s="2">
        <f>IF(payments_raw[[#This Row],[amount]] &lt;= 0, 1, 0)</f>
        <v>0</v>
      </c>
      <c r="K9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19" spans="1:11" x14ac:dyDescent="0.3">
      <c r="A919">
        <v>84553181</v>
      </c>
      <c r="B919">
        <v>6772196</v>
      </c>
      <c r="C919" s="1">
        <v>45306</v>
      </c>
      <c r="D919">
        <v>390</v>
      </c>
      <c r="E919">
        <f>IF(
  ISNA(
    _xlfn.XLOOKUP(
      payments_raw[[#This Row],[subscription_id]],
      subscriptions[subscription_id],
      subscriptions[subscription_id]
    )
  ),
  0,
  1
)</f>
        <v>1</v>
      </c>
      <c r="F919" s="1">
        <f>_xlfn.XLOOKUP(payments_raw[[#This Row],[subscription_id]], subscriptions[subscription_id], subscriptions[start_date])</f>
        <v>45283</v>
      </c>
      <c r="G9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919" s="2">
        <f>IF(payments_raw[[#This Row],[payment_date]] &lt; payments_raw[[#This Row],[sub_start_date]], 1, 0)</f>
        <v>0</v>
      </c>
      <c r="I919" s="2">
        <f>IF(AND(payments_raw[[#This Row],[sub_end_date]]&lt;&gt;"", payments_raw[[#This Row],[payment_date]] &gt; payments_raw[[#This Row],[sub_end_date]]), 1, 0)</f>
        <v>0</v>
      </c>
      <c r="J919" s="2">
        <f>IF(payments_raw[[#This Row],[amount]] &lt;= 0, 1, 0)</f>
        <v>0</v>
      </c>
      <c r="K9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0" spans="1:11" x14ac:dyDescent="0.3">
      <c r="A920">
        <v>76047752</v>
      </c>
      <c r="B920">
        <v>2967833</v>
      </c>
      <c r="C920" s="1">
        <v>45570</v>
      </c>
      <c r="D920">
        <v>79</v>
      </c>
      <c r="E920">
        <f>IF(
  ISNA(
    _xlfn.XLOOKUP(
      payments_raw[[#This Row],[subscription_id]],
      subscriptions[subscription_id],
      subscriptions[subscription_id]
    )
  ),
  0,
  1
)</f>
        <v>1</v>
      </c>
      <c r="F920" s="1">
        <f>_xlfn.XLOOKUP(payments_raw[[#This Row],[subscription_id]], subscriptions[subscription_id], subscriptions[start_date])</f>
        <v>45199</v>
      </c>
      <c r="G9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0" s="2">
        <f>IF(payments_raw[[#This Row],[payment_date]] &lt; payments_raw[[#This Row],[sub_start_date]], 1, 0)</f>
        <v>0</v>
      </c>
      <c r="I920" s="2">
        <f>IF(AND(payments_raw[[#This Row],[sub_end_date]]&lt;&gt;"", payments_raw[[#This Row],[payment_date]] &gt; payments_raw[[#This Row],[sub_end_date]]), 1, 0)</f>
        <v>0</v>
      </c>
      <c r="J920" s="2">
        <f>IF(payments_raw[[#This Row],[amount]] &lt;= 0, 1, 0)</f>
        <v>0</v>
      </c>
      <c r="K9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1" spans="1:11" x14ac:dyDescent="0.3">
      <c r="A921">
        <v>73637906</v>
      </c>
      <c r="B921">
        <v>8379665</v>
      </c>
      <c r="C921" s="1">
        <v>45637</v>
      </c>
      <c r="D921">
        <v>299</v>
      </c>
      <c r="E921">
        <f>IF(
  ISNA(
    _xlfn.XLOOKUP(
      payments_raw[[#This Row],[subscription_id]],
      subscriptions[subscription_id],
      subscriptions[subscription_id]
    )
  ),
  0,
  1
)</f>
        <v>1</v>
      </c>
      <c r="F921" s="1">
        <f>_xlfn.XLOOKUP(payments_raw[[#This Row],[subscription_id]], subscriptions[subscription_id], subscriptions[start_date])</f>
        <v>45165</v>
      </c>
      <c r="G9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1" s="2">
        <f>IF(payments_raw[[#This Row],[payment_date]] &lt; payments_raw[[#This Row],[sub_start_date]], 1, 0)</f>
        <v>0</v>
      </c>
      <c r="I921" s="2">
        <f>IF(AND(payments_raw[[#This Row],[sub_end_date]]&lt;&gt;"", payments_raw[[#This Row],[payment_date]] &gt; payments_raw[[#This Row],[sub_end_date]]), 1, 0)</f>
        <v>0</v>
      </c>
      <c r="J921" s="2">
        <f>IF(payments_raw[[#This Row],[amount]] &lt;= 0, 1, 0)</f>
        <v>0</v>
      </c>
      <c r="K9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2" spans="1:11" x14ac:dyDescent="0.3">
      <c r="A922">
        <v>16401529</v>
      </c>
      <c r="B922">
        <v>8339925</v>
      </c>
      <c r="C922" s="1">
        <v>45162</v>
      </c>
      <c r="D922">
        <v>79</v>
      </c>
      <c r="E922">
        <f>IF(
  ISNA(
    _xlfn.XLOOKUP(
      payments_raw[[#This Row],[subscription_id]],
      subscriptions[subscription_id],
      subscriptions[subscription_id]
    )
  ),
  0,
  1
)</f>
        <v>1</v>
      </c>
      <c r="F922" s="1">
        <f>_xlfn.XLOOKUP(payments_raw[[#This Row],[subscription_id]], subscriptions[subscription_id], subscriptions[start_date])</f>
        <v>45142</v>
      </c>
      <c r="G9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45222</v>
      </c>
      <c r="H922" s="2">
        <f>IF(payments_raw[[#This Row],[payment_date]] &lt; payments_raw[[#This Row],[sub_start_date]], 1, 0)</f>
        <v>0</v>
      </c>
      <c r="I922" s="2">
        <f>IF(AND(payments_raw[[#This Row],[sub_end_date]]&lt;&gt;"", payments_raw[[#This Row],[payment_date]] &gt; payments_raw[[#This Row],[sub_end_date]]), 1, 0)</f>
        <v>0</v>
      </c>
      <c r="J922" s="2">
        <f>IF(payments_raw[[#This Row],[amount]] &lt;= 0, 1, 0)</f>
        <v>0</v>
      </c>
      <c r="K9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3" spans="1:11" x14ac:dyDescent="0.3">
      <c r="A923">
        <v>90771986</v>
      </c>
      <c r="B923">
        <v>8637262</v>
      </c>
      <c r="C923" s="1">
        <v>44886</v>
      </c>
      <c r="D923">
        <v>790</v>
      </c>
      <c r="E923">
        <f>IF(
  ISNA(
    _xlfn.XLOOKUP(
      payments_raw[[#This Row],[subscription_id]],
      subscriptions[subscription_id],
      subscriptions[subscription_id]
    )
  ),
  0,
  1
)</f>
        <v>1</v>
      </c>
      <c r="F923" s="1">
        <f>_xlfn.XLOOKUP(payments_raw[[#This Row],[subscription_id]], subscriptions[subscription_id], subscriptions[start_date])</f>
        <v>44852</v>
      </c>
      <c r="G9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45223</v>
      </c>
      <c r="H923" s="2">
        <f>IF(payments_raw[[#This Row],[payment_date]] &lt; payments_raw[[#This Row],[sub_start_date]], 1, 0)</f>
        <v>0</v>
      </c>
      <c r="I923" s="2">
        <f>IF(AND(payments_raw[[#This Row],[sub_end_date]]&lt;&gt;"", payments_raw[[#This Row],[payment_date]] &gt; payments_raw[[#This Row],[sub_end_date]]), 1, 0)</f>
        <v>0</v>
      </c>
      <c r="J923" s="2">
        <f>IF(payments_raw[[#This Row],[amount]] &lt;= 0, 1, 0)</f>
        <v>0</v>
      </c>
      <c r="K9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4" spans="1:11" x14ac:dyDescent="0.3">
      <c r="A924">
        <v>45372528</v>
      </c>
      <c r="B924">
        <v>2693039</v>
      </c>
      <c r="C924" s="1">
        <v>44826</v>
      </c>
      <c r="D924">
        <v>299</v>
      </c>
      <c r="E924">
        <f>IF(
  ISNA(
    _xlfn.XLOOKUP(
      payments_raw[[#This Row],[subscription_id]],
      subscriptions[subscription_id],
      subscriptions[subscription_id]
    )
  ),
  0,
  1
)</f>
        <v>1</v>
      </c>
      <c r="F924" s="1">
        <f>_xlfn.XLOOKUP(payments_raw[[#This Row],[subscription_id]], subscriptions[subscription_id], subscriptions[start_date])</f>
        <v>44803</v>
      </c>
      <c r="G9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4" s="2">
        <f>IF(payments_raw[[#This Row],[payment_date]] &lt; payments_raw[[#This Row],[sub_start_date]], 1, 0)</f>
        <v>0</v>
      </c>
      <c r="I924" s="2">
        <f>IF(AND(payments_raw[[#This Row],[sub_end_date]]&lt;&gt;"", payments_raw[[#This Row],[payment_date]] &gt; payments_raw[[#This Row],[sub_end_date]]), 1, 0)</f>
        <v>0</v>
      </c>
      <c r="J924" s="2">
        <f>IF(payments_raw[[#This Row],[amount]] &lt;= 0, 1, 0)</f>
        <v>0</v>
      </c>
      <c r="K9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5" spans="1:11" x14ac:dyDescent="0.3">
      <c r="A925">
        <v>80327598</v>
      </c>
      <c r="B925">
        <v>7305241</v>
      </c>
      <c r="C925" s="1">
        <v>45576</v>
      </c>
      <c r="D925">
        <v>1490</v>
      </c>
      <c r="E925">
        <f>IF(
  ISNA(
    _xlfn.XLOOKUP(
      payments_raw[[#This Row],[subscription_id]],
      subscriptions[subscription_id],
      subscriptions[subscription_id]
    )
  ),
  0,
  1
)</f>
        <v>1</v>
      </c>
      <c r="F925" s="1">
        <f>_xlfn.XLOOKUP(payments_raw[[#This Row],[subscription_id]], subscriptions[subscription_id], subscriptions[start_date])</f>
        <v>44886</v>
      </c>
      <c r="G9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5" s="2">
        <f>IF(payments_raw[[#This Row],[payment_date]] &lt; payments_raw[[#This Row],[sub_start_date]], 1, 0)</f>
        <v>0</v>
      </c>
      <c r="I925" s="2">
        <f>IF(AND(payments_raw[[#This Row],[sub_end_date]]&lt;&gt;"", payments_raw[[#This Row],[payment_date]] &gt; payments_raw[[#This Row],[sub_end_date]]), 1, 0)</f>
        <v>0</v>
      </c>
      <c r="J925" s="2">
        <f>IF(payments_raw[[#This Row],[amount]] &lt;= 0, 1, 0)</f>
        <v>0</v>
      </c>
      <c r="K9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6" spans="1:11" x14ac:dyDescent="0.3">
      <c r="A926">
        <v>19013806</v>
      </c>
      <c r="B926">
        <v>4331501</v>
      </c>
      <c r="C926" s="1">
        <v>44842</v>
      </c>
      <c r="D926">
        <v>1490</v>
      </c>
      <c r="E926">
        <f>IF(
  ISNA(
    _xlfn.XLOOKUP(
      payments_raw[[#This Row],[subscription_id]],
      subscriptions[subscription_id],
      subscriptions[subscription_id]
    )
  ),
  0,
  1
)</f>
        <v>1</v>
      </c>
      <c r="F926" s="1">
        <f>_xlfn.XLOOKUP(payments_raw[[#This Row],[subscription_id]], subscriptions[subscription_id], subscriptions[start_date])</f>
        <v>44743</v>
      </c>
      <c r="G9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926" s="2">
        <f>IF(payments_raw[[#This Row],[payment_date]] &lt; payments_raw[[#This Row],[sub_start_date]], 1, 0)</f>
        <v>0</v>
      </c>
      <c r="I926" s="2">
        <f>IF(AND(payments_raw[[#This Row],[sub_end_date]]&lt;&gt;"", payments_raw[[#This Row],[payment_date]] &gt; payments_raw[[#This Row],[sub_end_date]]), 1, 0)</f>
        <v>0</v>
      </c>
      <c r="J926" s="2">
        <f>IF(payments_raw[[#This Row],[amount]] &lt;= 0, 1, 0)</f>
        <v>0</v>
      </c>
      <c r="K9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7" spans="1:11" x14ac:dyDescent="0.3">
      <c r="A927">
        <v>70916922</v>
      </c>
      <c r="B927">
        <v>8064499</v>
      </c>
      <c r="C927" s="1">
        <v>45295</v>
      </c>
      <c r="D927">
        <v>19.5</v>
      </c>
      <c r="E927">
        <f>IF(
  ISNA(
    _xlfn.XLOOKUP(
      payments_raw[[#This Row],[subscription_id]],
      subscriptions[subscription_id],
      subscriptions[subscription_id]
    )
  ),
  0,
  1
)</f>
        <v>1</v>
      </c>
      <c r="F927" s="1">
        <f>_xlfn.XLOOKUP(payments_raw[[#This Row],[subscription_id]], subscriptions[subscription_id], subscriptions[start_date])</f>
        <v>45058</v>
      </c>
      <c r="G9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7" s="2">
        <f>IF(payments_raw[[#This Row],[payment_date]] &lt; payments_raw[[#This Row],[sub_start_date]], 1, 0)</f>
        <v>0</v>
      </c>
      <c r="I927" s="2">
        <f>IF(AND(payments_raw[[#This Row],[sub_end_date]]&lt;&gt;"", payments_raw[[#This Row],[payment_date]] &gt; payments_raw[[#This Row],[sub_end_date]]), 1, 0)</f>
        <v>0</v>
      </c>
      <c r="J927" s="2">
        <f>IF(payments_raw[[#This Row],[amount]] &lt;= 0, 1, 0)</f>
        <v>0</v>
      </c>
      <c r="K9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8" spans="1:11" x14ac:dyDescent="0.3">
      <c r="A928">
        <v>52171230</v>
      </c>
      <c r="B928">
        <v>8727379</v>
      </c>
      <c r="C928" s="1">
        <v>44654</v>
      </c>
      <c r="D928">
        <v>19</v>
      </c>
      <c r="E928">
        <f>IF(
  ISNA(
    _xlfn.XLOOKUP(
      payments_raw[[#This Row],[subscription_id]],
      subscriptions[subscription_id],
      subscriptions[subscription_id]
    )
  ),
  0,
  1
)</f>
        <v>1</v>
      </c>
      <c r="F928" s="1">
        <f>_xlfn.XLOOKUP(payments_raw[[#This Row],[subscription_id]], subscriptions[subscription_id], subscriptions[start_date])</f>
        <v>44563</v>
      </c>
      <c r="G9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44695</v>
      </c>
      <c r="H928" s="2">
        <f>IF(payments_raw[[#This Row],[payment_date]] &lt; payments_raw[[#This Row],[sub_start_date]], 1, 0)</f>
        <v>0</v>
      </c>
      <c r="I928" s="2">
        <f>IF(AND(payments_raw[[#This Row],[sub_end_date]]&lt;&gt;"", payments_raw[[#This Row],[payment_date]] &gt; payments_raw[[#This Row],[sub_end_date]]), 1, 0)</f>
        <v>0</v>
      </c>
      <c r="J928" s="2">
        <f>IF(payments_raw[[#This Row],[amount]] &lt;= 0, 1, 0)</f>
        <v>0</v>
      </c>
      <c r="K9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29" spans="1:11" x14ac:dyDescent="0.3">
      <c r="A929">
        <v>32984583</v>
      </c>
      <c r="B929">
        <v>9118679</v>
      </c>
      <c r="C929" s="1">
        <v>44986</v>
      </c>
      <c r="D929">
        <v>19</v>
      </c>
      <c r="E929">
        <f>IF(
  ISNA(
    _xlfn.XLOOKUP(
      payments_raw[[#This Row],[subscription_id]],
      subscriptions[subscription_id],
      subscriptions[subscription_id]
    )
  ),
  0,
  1
)</f>
        <v>1</v>
      </c>
      <c r="F929" s="1">
        <f>_xlfn.XLOOKUP(payments_raw[[#This Row],[subscription_id]], subscriptions[subscription_id], subscriptions[start_date])</f>
        <v>44572</v>
      </c>
      <c r="G9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29" s="2">
        <f>IF(payments_raw[[#This Row],[payment_date]] &lt; payments_raw[[#This Row],[sub_start_date]], 1, 0)</f>
        <v>0</v>
      </c>
      <c r="I929" s="2">
        <f>IF(AND(payments_raw[[#This Row],[sub_end_date]]&lt;&gt;"", payments_raw[[#This Row],[payment_date]] &gt; payments_raw[[#This Row],[sub_end_date]]), 1, 0)</f>
        <v>0</v>
      </c>
      <c r="J929" s="2">
        <f>IF(payments_raw[[#This Row],[amount]] &lt;= 0, 1, 0)</f>
        <v>0</v>
      </c>
      <c r="K9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0" spans="1:11" x14ac:dyDescent="0.3">
      <c r="A930">
        <v>63863225</v>
      </c>
      <c r="B930">
        <v>8827002</v>
      </c>
      <c r="C930" s="1">
        <v>45461</v>
      </c>
      <c r="D930">
        <v>149</v>
      </c>
      <c r="E930">
        <f>IF(
  ISNA(
    _xlfn.XLOOKUP(
      payments_raw[[#This Row],[subscription_id]],
      subscriptions[subscription_id],
      subscriptions[subscription_id]
    )
  ),
  0,
  1
)</f>
        <v>1</v>
      </c>
      <c r="F930" s="1">
        <f>_xlfn.XLOOKUP(payments_raw[[#This Row],[subscription_id]], subscriptions[subscription_id], subscriptions[start_date])</f>
        <v>45434</v>
      </c>
      <c r="G9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0" s="2">
        <f>IF(payments_raw[[#This Row],[payment_date]] &lt; payments_raw[[#This Row],[sub_start_date]], 1, 0)</f>
        <v>0</v>
      </c>
      <c r="I930" s="2">
        <f>IF(AND(payments_raw[[#This Row],[sub_end_date]]&lt;&gt;"", payments_raw[[#This Row],[payment_date]] &gt; payments_raw[[#This Row],[sub_end_date]]), 1, 0)</f>
        <v>0</v>
      </c>
      <c r="J930" s="2">
        <f>IF(payments_raw[[#This Row],[amount]] &lt;= 0, 1, 0)</f>
        <v>0</v>
      </c>
      <c r="K9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1" spans="1:11" x14ac:dyDescent="0.3">
      <c r="A931">
        <v>20623444</v>
      </c>
      <c r="B931">
        <v>4273103</v>
      </c>
      <c r="C931" s="1">
        <v>45605</v>
      </c>
      <c r="D931">
        <v>395</v>
      </c>
      <c r="E931">
        <f>IF(
  ISNA(
    _xlfn.XLOOKUP(
      payments_raw[[#This Row],[subscription_id]],
      subscriptions[subscription_id],
      subscriptions[subscription_id]
    )
  ),
  0,
  1
)</f>
        <v>1</v>
      </c>
      <c r="F931" s="1">
        <f>_xlfn.XLOOKUP(payments_raw[[#This Row],[subscription_id]], subscriptions[subscription_id], subscriptions[start_date])</f>
        <v>45368</v>
      </c>
      <c r="G9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1" s="2">
        <f>IF(payments_raw[[#This Row],[payment_date]] &lt; payments_raw[[#This Row],[sub_start_date]], 1, 0)</f>
        <v>0</v>
      </c>
      <c r="I931" s="2">
        <f>IF(AND(payments_raw[[#This Row],[sub_end_date]]&lt;&gt;"", payments_raw[[#This Row],[payment_date]] &gt; payments_raw[[#This Row],[sub_end_date]]), 1, 0)</f>
        <v>0</v>
      </c>
      <c r="J931" s="2">
        <f>IF(payments_raw[[#This Row],[amount]] &lt;= 0, 1, 0)</f>
        <v>0</v>
      </c>
      <c r="K9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2" spans="1:11" x14ac:dyDescent="0.3">
      <c r="A932">
        <v>23644112</v>
      </c>
      <c r="B932">
        <v>1478098</v>
      </c>
      <c r="C932" s="1">
        <v>45545</v>
      </c>
      <c r="D932">
        <v>19</v>
      </c>
      <c r="E932">
        <f>IF(
  ISNA(
    _xlfn.XLOOKUP(
      payments_raw[[#This Row],[subscription_id]],
      subscriptions[subscription_id],
      subscriptions[subscription_id]
    )
  ),
  0,
  1
)</f>
        <v>1</v>
      </c>
      <c r="F932" s="1">
        <f>_xlfn.XLOOKUP(payments_raw[[#This Row],[subscription_id]], subscriptions[subscription_id], subscriptions[start_date])</f>
        <v>45525</v>
      </c>
      <c r="G9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2" s="2">
        <f>IF(payments_raw[[#This Row],[payment_date]] &lt; payments_raw[[#This Row],[sub_start_date]], 1, 0)</f>
        <v>0</v>
      </c>
      <c r="I932" s="2">
        <f>IF(AND(payments_raw[[#This Row],[sub_end_date]]&lt;&gt;"", payments_raw[[#This Row],[payment_date]] &gt; payments_raw[[#This Row],[sub_end_date]]), 1, 0)</f>
        <v>0</v>
      </c>
      <c r="J932" s="2">
        <f>IF(payments_raw[[#This Row],[amount]] &lt;= 0, 1, 0)</f>
        <v>0</v>
      </c>
      <c r="K9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3" spans="1:11" x14ac:dyDescent="0.3">
      <c r="A933">
        <v>10062336</v>
      </c>
      <c r="B933">
        <v>8590547</v>
      </c>
      <c r="C933" s="1">
        <v>45025</v>
      </c>
      <c r="D933">
        <v>390</v>
      </c>
      <c r="E933">
        <f>IF(
  ISNA(
    _xlfn.XLOOKUP(
      payments_raw[[#This Row],[subscription_id]],
      subscriptions[subscription_id],
      subscriptions[subscription_id]
    )
  ),
  0,
  1
)</f>
        <v>1</v>
      </c>
      <c r="F933" s="1">
        <f>_xlfn.XLOOKUP(payments_raw[[#This Row],[subscription_id]], subscriptions[subscription_id], subscriptions[start_date])</f>
        <v>44977</v>
      </c>
      <c r="G9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45103</v>
      </c>
      <c r="H933" s="2">
        <f>IF(payments_raw[[#This Row],[payment_date]] &lt; payments_raw[[#This Row],[sub_start_date]], 1, 0)</f>
        <v>0</v>
      </c>
      <c r="I933" s="2">
        <f>IF(AND(payments_raw[[#This Row],[sub_end_date]]&lt;&gt;"", payments_raw[[#This Row],[payment_date]] &gt; payments_raw[[#This Row],[sub_end_date]]), 1, 0)</f>
        <v>0</v>
      </c>
      <c r="J933" s="2">
        <f>IF(payments_raw[[#This Row],[amount]] &lt;= 0, 1, 0)</f>
        <v>0</v>
      </c>
      <c r="K9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4" spans="1:11" x14ac:dyDescent="0.3">
      <c r="A934">
        <v>66626400</v>
      </c>
      <c r="B934">
        <v>9513662</v>
      </c>
      <c r="C934" s="1">
        <v>45566</v>
      </c>
      <c r="D934">
        <v>39</v>
      </c>
      <c r="E934">
        <f>IF(
  ISNA(
    _xlfn.XLOOKUP(
      payments_raw[[#This Row],[subscription_id]],
      subscriptions[subscription_id],
      subscriptions[subscription_id]
    )
  ),
  0,
  1
)</f>
        <v>1</v>
      </c>
      <c r="F934" s="1">
        <f>_xlfn.XLOOKUP(payments_raw[[#This Row],[subscription_id]], subscriptions[subscription_id], subscriptions[start_date])</f>
        <v>45536</v>
      </c>
      <c r="G9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4" s="2">
        <f>IF(payments_raw[[#This Row],[payment_date]] &lt; payments_raw[[#This Row],[sub_start_date]], 1, 0)</f>
        <v>0</v>
      </c>
      <c r="I934" s="2">
        <f>IF(AND(payments_raw[[#This Row],[sub_end_date]]&lt;&gt;"", payments_raw[[#This Row],[payment_date]] &gt; payments_raw[[#This Row],[sub_end_date]]), 1, 0)</f>
        <v>0</v>
      </c>
      <c r="J934" s="2">
        <f>IF(payments_raw[[#This Row],[amount]] &lt;= 0, 1, 0)</f>
        <v>0</v>
      </c>
      <c r="K9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5" spans="1:11" x14ac:dyDescent="0.3">
      <c r="A935">
        <v>99876603</v>
      </c>
      <c r="B935">
        <v>4802391</v>
      </c>
      <c r="C935" s="1">
        <v>45443</v>
      </c>
      <c r="D935">
        <v>1490</v>
      </c>
      <c r="E935">
        <f>IF(
  ISNA(
    _xlfn.XLOOKUP(
      payments_raw[[#This Row],[subscription_id]],
      subscriptions[subscription_id],
      subscriptions[subscription_id]
    )
  ),
  0,
  1
)</f>
        <v>1</v>
      </c>
      <c r="F935" s="1">
        <f>_xlfn.XLOOKUP(payments_raw[[#This Row],[subscription_id]], subscriptions[subscription_id], subscriptions[start_date])</f>
        <v>45281</v>
      </c>
      <c r="G9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935" s="2">
        <f>IF(payments_raw[[#This Row],[payment_date]] &lt; payments_raw[[#This Row],[sub_start_date]], 1, 0)</f>
        <v>0</v>
      </c>
      <c r="I935" s="2">
        <f>IF(AND(payments_raw[[#This Row],[sub_end_date]]&lt;&gt;"", payments_raw[[#This Row],[payment_date]] &gt; payments_raw[[#This Row],[sub_end_date]]), 1, 0)</f>
        <v>0</v>
      </c>
      <c r="J935" s="2">
        <f>IF(payments_raw[[#This Row],[amount]] &lt;= 0, 1, 0)</f>
        <v>0</v>
      </c>
      <c r="K9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6" spans="1:11" x14ac:dyDescent="0.3">
      <c r="A936">
        <v>76538181</v>
      </c>
      <c r="B936">
        <v>8455510</v>
      </c>
      <c r="C936" s="1">
        <v>45431</v>
      </c>
      <c r="D936">
        <v>299</v>
      </c>
      <c r="E936">
        <f>IF(
  ISNA(
    _xlfn.XLOOKUP(
      payments_raw[[#This Row],[subscription_id]],
      subscriptions[subscription_id],
      subscriptions[subscription_id]
    )
  ),
  0,
  1
)</f>
        <v>1</v>
      </c>
      <c r="F936" s="1">
        <f>_xlfn.XLOOKUP(payments_raw[[#This Row],[subscription_id]], subscriptions[subscription_id], subscriptions[start_date])</f>
        <v>44872</v>
      </c>
      <c r="G9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6" s="2">
        <f>IF(payments_raw[[#This Row],[payment_date]] &lt; payments_raw[[#This Row],[sub_start_date]], 1, 0)</f>
        <v>0</v>
      </c>
      <c r="I936" s="2">
        <f>IF(AND(payments_raw[[#This Row],[sub_end_date]]&lt;&gt;"", payments_raw[[#This Row],[payment_date]] &gt; payments_raw[[#This Row],[sub_end_date]]), 1, 0)</f>
        <v>0</v>
      </c>
      <c r="J936" s="2">
        <f>IF(payments_raw[[#This Row],[amount]] &lt;= 0, 1, 0)</f>
        <v>0</v>
      </c>
      <c r="K9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7" spans="1:11" x14ac:dyDescent="0.3">
      <c r="A937">
        <v>56300448</v>
      </c>
      <c r="B937">
        <v>4384399</v>
      </c>
      <c r="C937" s="1">
        <v>45398</v>
      </c>
      <c r="D937">
        <v>149</v>
      </c>
      <c r="E937">
        <f>IF(
  ISNA(
    _xlfn.XLOOKUP(
      payments_raw[[#This Row],[subscription_id]],
      subscriptions[subscription_id],
      subscriptions[subscription_id]
    )
  ),
  0,
  1
)</f>
        <v>1</v>
      </c>
      <c r="F937" s="1">
        <f>_xlfn.XLOOKUP(payments_raw[[#This Row],[subscription_id]], subscriptions[subscription_id], subscriptions[start_date])</f>
        <v>44628</v>
      </c>
      <c r="G9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7" s="2">
        <f>IF(payments_raw[[#This Row],[payment_date]] &lt; payments_raw[[#This Row],[sub_start_date]], 1, 0)</f>
        <v>0</v>
      </c>
      <c r="I937" s="2">
        <f>IF(AND(payments_raw[[#This Row],[sub_end_date]]&lt;&gt;"", payments_raw[[#This Row],[payment_date]] &gt; payments_raw[[#This Row],[sub_end_date]]), 1, 0)</f>
        <v>0</v>
      </c>
      <c r="J937" s="2">
        <f>IF(payments_raw[[#This Row],[amount]] &lt;= 0, 1, 0)</f>
        <v>0</v>
      </c>
      <c r="K9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8" spans="1:11" x14ac:dyDescent="0.3">
      <c r="A938">
        <v>39293518</v>
      </c>
      <c r="B938">
        <v>5547933</v>
      </c>
      <c r="C938" s="1">
        <v>45153</v>
      </c>
      <c r="D938">
        <v>134.1</v>
      </c>
      <c r="E938">
        <f>IF(
  ISNA(
    _xlfn.XLOOKUP(
      payments_raw[[#This Row],[subscription_id]],
      subscriptions[subscription_id],
      subscriptions[subscription_id]
    )
  ),
  0,
  1
)</f>
        <v>1</v>
      </c>
      <c r="F938" s="1">
        <f>_xlfn.XLOOKUP(payments_raw[[#This Row],[subscription_id]], subscriptions[subscription_id], subscriptions[start_date])</f>
        <v>45039</v>
      </c>
      <c r="G9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45180</v>
      </c>
      <c r="H938" s="2">
        <f>IF(payments_raw[[#This Row],[payment_date]] &lt; payments_raw[[#This Row],[sub_start_date]], 1, 0)</f>
        <v>0</v>
      </c>
      <c r="I938" s="2">
        <f>IF(AND(payments_raw[[#This Row],[sub_end_date]]&lt;&gt;"", payments_raw[[#This Row],[payment_date]] &gt; payments_raw[[#This Row],[sub_end_date]]), 1, 0)</f>
        <v>0</v>
      </c>
      <c r="J938" s="2">
        <f>IF(payments_raw[[#This Row],[amount]] &lt;= 0, 1, 0)</f>
        <v>0</v>
      </c>
      <c r="K9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39" spans="1:11" x14ac:dyDescent="0.3">
      <c r="A939">
        <v>83174001</v>
      </c>
      <c r="B939">
        <v>9712557</v>
      </c>
      <c r="C939" s="1">
        <v>45211</v>
      </c>
      <c r="D939">
        <v>190</v>
      </c>
      <c r="E939">
        <f>IF(
  ISNA(
    _xlfn.XLOOKUP(
      payments_raw[[#This Row],[subscription_id]],
      subscriptions[subscription_id],
      subscriptions[subscription_id]
    )
  ),
  0,
  1
)</f>
        <v>1</v>
      </c>
      <c r="F939" s="1">
        <f>_xlfn.XLOOKUP(payments_raw[[#This Row],[subscription_id]], subscriptions[subscription_id], subscriptions[start_date])</f>
        <v>44604</v>
      </c>
      <c r="G9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39" s="2">
        <f>IF(payments_raw[[#This Row],[payment_date]] &lt; payments_raw[[#This Row],[sub_start_date]], 1, 0)</f>
        <v>0</v>
      </c>
      <c r="I939" s="2">
        <f>IF(AND(payments_raw[[#This Row],[sub_end_date]]&lt;&gt;"", payments_raw[[#This Row],[payment_date]] &gt; payments_raw[[#This Row],[sub_end_date]]), 1, 0)</f>
        <v>0</v>
      </c>
      <c r="J939" s="2">
        <f>IF(payments_raw[[#This Row],[amount]] &lt;= 0, 1, 0)</f>
        <v>0</v>
      </c>
      <c r="K9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0" spans="1:11" x14ac:dyDescent="0.3">
      <c r="A940">
        <v>89531389</v>
      </c>
      <c r="B940">
        <v>2001936</v>
      </c>
      <c r="C940" s="1">
        <v>45145</v>
      </c>
      <c r="D940">
        <v>149</v>
      </c>
      <c r="E940">
        <f>IF(
  ISNA(
    _xlfn.XLOOKUP(
      payments_raw[[#This Row],[subscription_id]],
      subscriptions[subscription_id],
      subscriptions[subscription_id]
    )
  ),
  0,
  1
)</f>
        <v>1</v>
      </c>
      <c r="F940" s="1">
        <f>_xlfn.XLOOKUP(payments_raw[[#This Row],[subscription_id]], subscriptions[subscription_id], subscriptions[start_date])</f>
        <v>45133</v>
      </c>
      <c r="G9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45359</v>
      </c>
      <c r="H940" s="2">
        <f>IF(payments_raw[[#This Row],[payment_date]] &lt; payments_raw[[#This Row],[sub_start_date]], 1, 0)</f>
        <v>0</v>
      </c>
      <c r="I940" s="2">
        <f>IF(AND(payments_raw[[#This Row],[sub_end_date]]&lt;&gt;"", payments_raw[[#This Row],[payment_date]] &gt; payments_raw[[#This Row],[sub_end_date]]), 1, 0)</f>
        <v>0</v>
      </c>
      <c r="J940" s="2">
        <f>IF(payments_raw[[#This Row],[amount]] &lt;= 0, 1, 0)</f>
        <v>0</v>
      </c>
      <c r="K9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1" spans="1:11" x14ac:dyDescent="0.3">
      <c r="A941">
        <v>32641668</v>
      </c>
      <c r="B941">
        <v>6692359</v>
      </c>
      <c r="C941" s="1">
        <v>45577</v>
      </c>
      <c r="D941">
        <v>2990</v>
      </c>
      <c r="E941">
        <f>IF(
  ISNA(
    _xlfn.XLOOKUP(
      payments_raw[[#This Row],[subscription_id]],
      subscriptions[subscription_id],
      subscriptions[subscription_id]
    )
  ),
  0,
  1
)</f>
        <v>1</v>
      </c>
      <c r="F941" s="1">
        <f>_xlfn.XLOOKUP(payments_raw[[#This Row],[subscription_id]], subscriptions[subscription_id], subscriptions[start_date])</f>
        <v>45503</v>
      </c>
      <c r="G9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45604</v>
      </c>
      <c r="H941" s="2">
        <f>IF(payments_raw[[#This Row],[payment_date]] &lt; payments_raw[[#This Row],[sub_start_date]], 1, 0)</f>
        <v>0</v>
      </c>
      <c r="I941" s="2">
        <f>IF(AND(payments_raw[[#This Row],[sub_end_date]]&lt;&gt;"", payments_raw[[#This Row],[payment_date]] &gt; payments_raw[[#This Row],[sub_end_date]]), 1, 0)</f>
        <v>0</v>
      </c>
      <c r="J941" s="2">
        <f>IF(payments_raw[[#This Row],[amount]] &lt;= 0, 1, 0)</f>
        <v>0</v>
      </c>
      <c r="K9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2" spans="1:11" x14ac:dyDescent="0.3">
      <c r="A942">
        <v>28904718</v>
      </c>
      <c r="B942">
        <v>5617358</v>
      </c>
      <c r="C942" s="1">
        <v>45574</v>
      </c>
      <c r="D942">
        <v>190</v>
      </c>
      <c r="E942">
        <f>IF(
  ISNA(
    _xlfn.XLOOKUP(
      payments_raw[[#This Row],[subscription_id]],
      subscriptions[subscription_id],
      subscriptions[subscription_id]
    )
  ),
  0,
  1
)</f>
        <v>1</v>
      </c>
      <c r="F942" s="1">
        <f>_xlfn.XLOOKUP(payments_raw[[#This Row],[subscription_id]], subscriptions[subscription_id], subscriptions[start_date])</f>
        <v>45473</v>
      </c>
      <c r="G9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2" s="2">
        <f>IF(payments_raw[[#This Row],[payment_date]] &lt; payments_raw[[#This Row],[sub_start_date]], 1, 0)</f>
        <v>0</v>
      </c>
      <c r="I942" s="2">
        <f>IF(AND(payments_raw[[#This Row],[sub_end_date]]&lt;&gt;"", payments_raw[[#This Row],[payment_date]] &gt; payments_raw[[#This Row],[sub_end_date]]), 1, 0)</f>
        <v>0</v>
      </c>
      <c r="J942" s="2">
        <f>IF(payments_raw[[#This Row],[amount]] &lt;= 0, 1, 0)</f>
        <v>0</v>
      </c>
      <c r="K9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3" spans="1:11" x14ac:dyDescent="0.3">
      <c r="A943">
        <v>15771530</v>
      </c>
      <c r="B943">
        <v>9515457</v>
      </c>
      <c r="C943" s="1">
        <v>45238</v>
      </c>
      <c r="D943">
        <v>2990</v>
      </c>
      <c r="E943">
        <f>IF(
  ISNA(
    _xlfn.XLOOKUP(
      payments_raw[[#This Row],[subscription_id]],
      subscriptions[subscription_id],
      subscriptions[subscription_id]
    )
  ),
  0,
  1
)</f>
        <v>1</v>
      </c>
      <c r="F943" s="1">
        <f>_xlfn.XLOOKUP(payments_raw[[#This Row],[subscription_id]], subscriptions[subscription_id], subscriptions[start_date])</f>
        <v>45142</v>
      </c>
      <c r="G9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3" s="2">
        <f>IF(payments_raw[[#This Row],[payment_date]] &lt; payments_raw[[#This Row],[sub_start_date]], 1, 0)</f>
        <v>0</v>
      </c>
      <c r="I943" s="2">
        <f>IF(AND(payments_raw[[#This Row],[sub_end_date]]&lt;&gt;"", payments_raw[[#This Row],[payment_date]] &gt; payments_raw[[#This Row],[sub_end_date]]), 1, 0)</f>
        <v>0</v>
      </c>
      <c r="J943" s="2">
        <f>IF(payments_raw[[#This Row],[amount]] &lt;= 0, 1, 0)</f>
        <v>0</v>
      </c>
      <c r="K9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4" spans="1:11" x14ac:dyDescent="0.3">
      <c r="A944">
        <v>48219923</v>
      </c>
      <c r="B944">
        <v>1713952</v>
      </c>
      <c r="C944" s="1">
        <v>45516</v>
      </c>
      <c r="D944">
        <v>390</v>
      </c>
      <c r="E944">
        <f>IF(
  ISNA(
    _xlfn.XLOOKUP(
      payments_raw[[#This Row],[subscription_id]],
      subscriptions[subscription_id],
      subscriptions[subscription_id]
    )
  ),
  0,
  1
)</f>
        <v>1</v>
      </c>
      <c r="F944" s="1">
        <f>_xlfn.XLOOKUP(payments_raw[[#This Row],[subscription_id]], subscriptions[subscription_id], subscriptions[start_date])</f>
        <v>45503</v>
      </c>
      <c r="G9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4" s="2">
        <f>IF(payments_raw[[#This Row],[payment_date]] &lt; payments_raw[[#This Row],[sub_start_date]], 1, 0)</f>
        <v>0</v>
      </c>
      <c r="I944" s="2">
        <f>IF(AND(payments_raw[[#This Row],[sub_end_date]]&lt;&gt;"", payments_raw[[#This Row],[payment_date]] &gt; payments_raw[[#This Row],[sub_end_date]]), 1, 0)</f>
        <v>0</v>
      </c>
      <c r="J944" s="2">
        <f>IF(payments_raw[[#This Row],[amount]] &lt;= 0, 1, 0)</f>
        <v>0</v>
      </c>
      <c r="K9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5" spans="1:11" x14ac:dyDescent="0.3">
      <c r="A945">
        <v>37499912</v>
      </c>
      <c r="B945">
        <v>9949336</v>
      </c>
      <c r="C945" s="1">
        <v>44770</v>
      </c>
      <c r="D945">
        <v>2990</v>
      </c>
      <c r="E945">
        <f>IF(
  ISNA(
    _xlfn.XLOOKUP(
      payments_raw[[#This Row],[subscription_id]],
      subscriptions[subscription_id],
      subscriptions[subscription_id]
    )
  ),
  0,
  1
)</f>
        <v>1</v>
      </c>
      <c r="F945" s="1">
        <f>_xlfn.XLOOKUP(payments_raw[[#This Row],[subscription_id]], subscriptions[subscription_id], subscriptions[start_date])</f>
        <v>44642</v>
      </c>
      <c r="G94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945" s="2">
        <f>IF(payments_raw[[#This Row],[payment_date]] &lt; payments_raw[[#This Row],[sub_start_date]], 1, 0)</f>
        <v>0</v>
      </c>
      <c r="I945" s="2">
        <f>IF(AND(payments_raw[[#This Row],[sub_end_date]]&lt;&gt;"", payments_raw[[#This Row],[payment_date]] &gt; payments_raw[[#This Row],[sub_end_date]]), 1, 0)</f>
        <v>0</v>
      </c>
      <c r="J945" s="2">
        <f>IF(payments_raw[[#This Row],[amount]] &lt;= 0, 1, 0)</f>
        <v>0</v>
      </c>
      <c r="K9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6" spans="1:11" x14ac:dyDescent="0.3">
      <c r="A946">
        <v>63466917</v>
      </c>
      <c r="B946">
        <v>6337250</v>
      </c>
      <c r="C946" s="1">
        <v>45367</v>
      </c>
      <c r="D946">
        <v>19</v>
      </c>
      <c r="E946">
        <f>IF(
  ISNA(
    _xlfn.XLOOKUP(
      payments_raw[[#This Row],[subscription_id]],
      subscriptions[subscription_id],
      subscriptions[subscription_id]
    )
  ),
  0,
  1
)</f>
        <v>1</v>
      </c>
      <c r="F946" s="1">
        <f>_xlfn.XLOOKUP(payments_raw[[#This Row],[subscription_id]], subscriptions[subscription_id], subscriptions[start_date])</f>
        <v>44886</v>
      </c>
      <c r="G9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6" s="2">
        <f>IF(payments_raw[[#This Row],[payment_date]] &lt; payments_raw[[#This Row],[sub_start_date]], 1, 0)</f>
        <v>0</v>
      </c>
      <c r="I946" s="2">
        <f>IF(AND(payments_raw[[#This Row],[sub_end_date]]&lt;&gt;"", payments_raw[[#This Row],[payment_date]] &gt; payments_raw[[#This Row],[sub_end_date]]), 1, 0)</f>
        <v>0</v>
      </c>
      <c r="J946" s="2">
        <f>IF(payments_raw[[#This Row],[amount]] &lt;= 0, 1, 0)</f>
        <v>0</v>
      </c>
      <c r="K9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7" spans="1:11" x14ac:dyDescent="0.3">
      <c r="A947">
        <v>29028482</v>
      </c>
      <c r="B947">
        <v>8882947</v>
      </c>
      <c r="C947" s="1">
        <v>45242</v>
      </c>
      <c r="D947">
        <v>79</v>
      </c>
      <c r="E947">
        <f>IF(
  ISNA(
    _xlfn.XLOOKUP(
      payments_raw[[#This Row],[subscription_id]],
      subscriptions[subscription_id],
      subscriptions[subscription_id]
    )
  ),
  0,
  1
)</f>
        <v>1</v>
      </c>
      <c r="F947" s="1">
        <f>_xlfn.XLOOKUP(payments_raw[[#This Row],[subscription_id]], subscriptions[subscription_id], subscriptions[start_date])</f>
        <v>44768</v>
      </c>
      <c r="G9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7" s="2">
        <f>IF(payments_raw[[#This Row],[payment_date]] &lt; payments_raw[[#This Row],[sub_start_date]], 1, 0)</f>
        <v>0</v>
      </c>
      <c r="I947" s="2">
        <f>IF(AND(payments_raw[[#This Row],[sub_end_date]]&lt;&gt;"", payments_raw[[#This Row],[payment_date]] &gt; payments_raw[[#This Row],[sub_end_date]]), 1, 0)</f>
        <v>0</v>
      </c>
      <c r="J947" s="2">
        <f>IF(payments_raw[[#This Row],[amount]] &lt;= 0, 1, 0)</f>
        <v>0</v>
      </c>
      <c r="K9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8" spans="1:11" x14ac:dyDescent="0.3">
      <c r="A948">
        <v>77063002</v>
      </c>
      <c r="B948">
        <v>6916088</v>
      </c>
      <c r="C948" s="1">
        <v>45440</v>
      </c>
      <c r="D948">
        <v>299</v>
      </c>
      <c r="E948">
        <f>IF(
  ISNA(
    _xlfn.XLOOKUP(
      payments_raw[[#This Row],[subscription_id]],
      subscriptions[subscription_id],
      subscriptions[subscription_id]
    )
  ),
  0,
  1
)</f>
        <v>1</v>
      </c>
      <c r="F948" s="1">
        <f>_xlfn.XLOOKUP(payments_raw[[#This Row],[subscription_id]], subscriptions[subscription_id], subscriptions[start_date])</f>
        <v>45178</v>
      </c>
      <c r="G9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45473</v>
      </c>
      <c r="H948" s="2">
        <f>IF(payments_raw[[#This Row],[payment_date]] &lt; payments_raw[[#This Row],[sub_start_date]], 1, 0)</f>
        <v>0</v>
      </c>
      <c r="I948" s="2">
        <f>IF(AND(payments_raw[[#This Row],[sub_end_date]]&lt;&gt;"", payments_raw[[#This Row],[payment_date]] &gt; payments_raw[[#This Row],[sub_end_date]]), 1, 0)</f>
        <v>0</v>
      </c>
      <c r="J948" s="2">
        <f>IF(payments_raw[[#This Row],[amount]] &lt;= 0, 1, 0)</f>
        <v>0</v>
      </c>
      <c r="K9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49" spans="1:11" x14ac:dyDescent="0.3">
      <c r="A949">
        <v>35051514</v>
      </c>
      <c r="B949">
        <v>5142216</v>
      </c>
      <c r="C949" s="1">
        <v>44901</v>
      </c>
      <c r="D949">
        <v>195</v>
      </c>
      <c r="E949">
        <f>IF(
  ISNA(
    _xlfn.XLOOKUP(
      payments_raw[[#This Row],[subscription_id]],
      subscriptions[subscription_id],
      subscriptions[subscription_id]
    )
  ),
  0,
  1
)</f>
        <v>1</v>
      </c>
      <c r="F949" s="1">
        <f>_xlfn.XLOOKUP(payments_raw[[#This Row],[subscription_id]], subscriptions[subscription_id], subscriptions[start_date])</f>
        <v>44825</v>
      </c>
      <c r="G9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49" s="2">
        <f>IF(payments_raw[[#This Row],[payment_date]] &lt; payments_raw[[#This Row],[sub_start_date]], 1, 0)</f>
        <v>0</v>
      </c>
      <c r="I949" s="2">
        <f>IF(AND(payments_raw[[#This Row],[sub_end_date]]&lt;&gt;"", payments_raw[[#This Row],[payment_date]] &gt; payments_raw[[#This Row],[sub_end_date]]), 1, 0)</f>
        <v>0</v>
      </c>
      <c r="J949" s="2">
        <f>IF(payments_raw[[#This Row],[amount]] &lt;= 0, 1, 0)</f>
        <v>0</v>
      </c>
      <c r="K9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0" spans="1:11" x14ac:dyDescent="0.3">
      <c r="A950">
        <v>95773512</v>
      </c>
      <c r="B950">
        <v>5653927</v>
      </c>
      <c r="C950" s="1">
        <v>44848</v>
      </c>
      <c r="D950">
        <v>39</v>
      </c>
      <c r="E950">
        <f>IF(
  ISNA(
    _xlfn.XLOOKUP(
      payments_raw[[#This Row],[subscription_id]],
      subscriptions[subscription_id],
      subscriptions[subscription_id]
    )
  ),
  0,
  1
)</f>
        <v>1</v>
      </c>
      <c r="F950" s="1">
        <f>_xlfn.XLOOKUP(payments_raw[[#This Row],[subscription_id]], subscriptions[subscription_id], subscriptions[start_date])</f>
        <v>44825</v>
      </c>
      <c r="G9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45071</v>
      </c>
      <c r="H950" s="2">
        <f>IF(payments_raw[[#This Row],[payment_date]] &lt; payments_raw[[#This Row],[sub_start_date]], 1, 0)</f>
        <v>0</v>
      </c>
      <c r="I950" s="2">
        <f>IF(AND(payments_raw[[#This Row],[sub_end_date]]&lt;&gt;"", payments_raw[[#This Row],[payment_date]] &gt; payments_raw[[#This Row],[sub_end_date]]), 1, 0)</f>
        <v>0</v>
      </c>
      <c r="J950" s="2">
        <f>IF(payments_raw[[#This Row],[amount]] &lt;= 0, 1, 0)</f>
        <v>0</v>
      </c>
      <c r="K9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1" spans="1:11" x14ac:dyDescent="0.3">
      <c r="A951">
        <v>89053312</v>
      </c>
      <c r="B951">
        <v>1121243</v>
      </c>
      <c r="C951" s="1">
        <v>45196</v>
      </c>
      <c r="D951">
        <v>79</v>
      </c>
      <c r="E951">
        <f>IF(
  ISNA(
    _xlfn.XLOOKUP(
      payments_raw[[#This Row],[subscription_id]],
      subscriptions[subscription_id],
      subscriptions[subscription_id]
    )
  ),
  0,
  1
)</f>
        <v>1</v>
      </c>
      <c r="F951" s="1">
        <f>_xlfn.XLOOKUP(payments_raw[[#This Row],[subscription_id]], subscriptions[subscription_id], subscriptions[start_date])</f>
        <v>44647</v>
      </c>
      <c r="G9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1" s="2">
        <f>IF(payments_raw[[#This Row],[payment_date]] &lt; payments_raw[[#This Row],[sub_start_date]], 1, 0)</f>
        <v>0</v>
      </c>
      <c r="I951" s="2">
        <f>IF(AND(payments_raw[[#This Row],[sub_end_date]]&lt;&gt;"", payments_raw[[#This Row],[payment_date]] &gt; payments_raw[[#This Row],[sub_end_date]]), 1, 0)</f>
        <v>0</v>
      </c>
      <c r="J951" s="2">
        <f>IF(payments_raw[[#This Row],[amount]] &lt;= 0, 1, 0)</f>
        <v>0</v>
      </c>
      <c r="K9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2" spans="1:11" x14ac:dyDescent="0.3">
      <c r="A952">
        <v>23735568</v>
      </c>
      <c r="B952">
        <v>3977821</v>
      </c>
      <c r="C952" s="1">
        <v>44965</v>
      </c>
      <c r="D952">
        <v>2990</v>
      </c>
      <c r="E952">
        <f>IF(
  ISNA(
    _xlfn.XLOOKUP(
      payments_raw[[#This Row],[subscription_id]],
      subscriptions[subscription_id],
      subscriptions[subscription_id]
    )
  ),
  0,
  1
)</f>
        <v>1</v>
      </c>
      <c r="F952" s="1">
        <f>_xlfn.XLOOKUP(payments_raw[[#This Row],[subscription_id]], subscriptions[subscription_id], subscriptions[start_date])</f>
        <v>44866</v>
      </c>
      <c r="G9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45123</v>
      </c>
      <c r="H952" s="2">
        <f>IF(payments_raw[[#This Row],[payment_date]] &lt; payments_raw[[#This Row],[sub_start_date]], 1, 0)</f>
        <v>0</v>
      </c>
      <c r="I952" s="2">
        <f>IF(AND(payments_raw[[#This Row],[sub_end_date]]&lt;&gt;"", payments_raw[[#This Row],[payment_date]] &gt; payments_raw[[#This Row],[sub_end_date]]), 1, 0)</f>
        <v>0</v>
      </c>
      <c r="J952" s="2">
        <f>IF(payments_raw[[#This Row],[amount]] &lt;= 0, 1, 0)</f>
        <v>0</v>
      </c>
      <c r="K9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3" spans="1:11" x14ac:dyDescent="0.3">
      <c r="A953">
        <v>66353692</v>
      </c>
      <c r="B953">
        <v>6665383</v>
      </c>
      <c r="C953" s="1">
        <v>44969</v>
      </c>
      <c r="D953">
        <v>190</v>
      </c>
      <c r="E953">
        <f>IF(
  ISNA(
    _xlfn.XLOOKUP(
      payments_raw[[#This Row],[subscription_id]],
      subscriptions[subscription_id],
      subscriptions[subscription_id]
    )
  ),
  0,
  1
)</f>
        <v>1</v>
      </c>
      <c r="F953" s="1">
        <f>_xlfn.XLOOKUP(payments_raw[[#This Row],[subscription_id]], subscriptions[subscription_id], subscriptions[start_date])</f>
        <v>44882</v>
      </c>
      <c r="G9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45176</v>
      </c>
      <c r="H953" s="2">
        <f>IF(payments_raw[[#This Row],[payment_date]] &lt; payments_raw[[#This Row],[sub_start_date]], 1, 0)</f>
        <v>0</v>
      </c>
      <c r="I953" s="2">
        <f>IF(AND(payments_raw[[#This Row],[sub_end_date]]&lt;&gt;"", payments_raw[[#This Row],[payment_date]] &gt; payments_raw[[#This Row],[sub_end_date]]), 1, 0)</f>
        <v>0</v>
      </c>
      <c r="J953" s="2">
        <f>IF(payments_raw[[#This Row],[amount]] &lt;= 0, 1, 0)</f>
        <v>0</v>
      </c>
      <c r="K9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4" spans="1:11" x14ac:dyDescent="0.3">
      <c r="A954">
        <v>55652489</v>
      </c>
      <c r="B954">
        <v>4808186</v>
      </c>
      <c r="C954" s="1">
        <v>45636</v>
      </c>
      <c r="D954">
        <v>190</v>
      </c>
      <c r="E954">
        <f>IF(
  ISNA(
    _xlfn.XLOOKUP(
      payments_raw[[#This Row],[subscription_id]],
      subscriptions[subscription_id],
      subscriptions[subscription_id]
    )
  ),
  0,
  1
)</f>
        <v>1</v>
      </c>
      <c r="F954" s="1">
        <f>_xlfn.XLOOKUP(payments_raw[[#This Row],[subscription_id]], subscriptions[subscription_id], subscriptions[start_date])</f>
        <v>45385</v>
      </c>
      <c r="G9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4" s="2">
        <f>IF(payments_raw[[#This Row],[payment_date]] &lt; payments_raw[[#This Row],[sub_start_date]], 1, 0)</f>
        <v>0</v>
      </c>
      <c r="I954" s="2">
        <f>IF(AND(payments_raw[[#This Row],[sub_end_date]]&lt;&gt;"", payments_raw[[#This Row],[payment_date]] &gt; payments_raw[[#This Row],[sub_end_date]]), 1, 0)</f>
        <v>0</v>
      </c>
      <c r="J954" s="2">
        <f>IF(payments_raw[[#This Row],[amount]] &lt;= 0, 1, 0)</f>
        <v>0</v>
      </c>
      <c r="K9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5" spans="1:11" x14ac:dyDescent="0.3">
      <c r="A955">
        <v>91402258</v>
      </c>
      <c r="B955">
        <v>4096967</v>
      </c>
      <c r="C955" s="1">
        <v>45157</v>
      </c>
      <c r="D955">
        <v>149</v>
      </c>
      <c r="E955">
        <f>IF(
  ISNA(
    _xlfn.XLOOKUP(
      payments_raw[[#This Row],[subscription_id]],
      subscriptions[subscription_id],
      subscriptions[subscription_id]
    )
  ),
  0,
  1
)</f>
        <v>1</v>
      </c>
      <c r="F955" s="1">
        <f>_xlfn.XLOOKUP(payments_raw[[#This Row],[subscription_id]], subscriptions[subscription_id], subscriptions[start_date])</f>
        <v>45045</v>
      </c>
      <c r="G9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955" s="2">
        <f>IF(payments_raw[[#This Row],[payment_date]] &lt; payments_raw[[#This Row],[sub_start_date]], 1, 0)</f>
        <v>0</v>
      </c>
      <c r="I955" s="2">
        <f>IF(AND(payments_raw[[#This Row],[sub_end_date]]&lt;&gt;"", payments_raw[[#This Row],[payment_date]] &gt; payments_raw[[#This Row],[sub_end_date]]), 1, 0)</f>
        <v>0</v>
      </c>
      <c r="J955" s="2">
        <f>IF(payments_raw[[#This Row],[amount]] &lt;= 0, 1, 0)</f>
        <v>0</v>
      </c>
      <c r="K9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6" spans="1:11" x14ac:dyDescent="0.3">
      <c r="A956">
        <v>67179503</v>
      </c>
      <c r="B956">
        <v>8297560</v>
      </c>
      <c r="C956" s="1">
        <v>45497</v>
      </c>
      <c r="D956">
        <v>39</v>
      </c>
      <c r="E956">
        <f>IF(
  ISNA(
    _xlfn.XLOOKUP(
      payments_raw[[#This Row],[subscription_id]],
      subscriptions[subscription_id],
      subscriptions[subscription_id]
    )
  ),
  0,
  1
)</f>
        <v>1</v>
      </c>
      <c r="F956" s="1">
        <f>_xlfn.XLOOKUP(payments_raw[[#This Row],[subscription_id]], subscriptions[subscription_id], subscriptions[start_date])</f>
        <v>45379</v>
      </c>
      <c r="G9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6" s="2">
        <f>IF(payments_raw[[#This Row],[payment_date]] &lt; payments_raw[[#This Row],[sub_start_date]], 1, 0)</f>
        <v>0</v>
      </c>
      <c r="I956" s="2">
        <f>IF(AND(payments_raw[[#This Row],[sub_end_date]]&lt;&gt;"", payments_raw[[#This Row],[payment_date]] &gt; payments_raw[[#This Row],[sub_end_date]]), 1, 0)</f>
        <v>0</v>
      </c>
      <c r="J956" s="2">
        <f>IF(payments_raw[[#This Row],[amount]] &lt;= 0, 1, 0)</f>
        <v>0</v>
      </c>
      <c r="K9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7" spans="1:11" x14ac:dyDescent="0.3">
      <c r="A957">
        <v>82391660</v>
      </c>
      <c r="B957">
        <v>7364768</v>
      </c>
      <c r="C957" s="1">
        <v>45569</v>
      </c>
      <c r="D957">
        <v>19</v>
      </c>
      <c r="E957">
        <f>IF(
  ISNA(
    _xlfn.XLOOKUP(
      payments_raw[[#This Row],[subscription_id]],
      subscriptions[subscription_id],
      subscriptions[subscription_id]
    )
  ),
  0,
  1
)</f>
        <v>1</v>
      </c>
      <c r="F957" s="1">
        <f>_xlfn.XLOOKUP(payments_raw[[#This Row],[subscription_id]], subscriptions[subscription_id], subscriptions[start_date])</f>
        <v>45538</v>
      </c>
      <c r="G9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7" s="2">
        <f>IF(payments_raw[[#This Row],[payment_date]] &lt; payments_raw[[#This Row],[sub_start_date]], 1, 0)</f>
        <v>0</v>
      </c>
      <c r="I957" s="2">
        <f>IF(AND(payments_raw[[#This Row],[sub_end_date]]&lt;&gt;"", payments_raw[[#This Row],[payment_date]] &gt; payments_raw[[#This Row],[sub_end_date]]), 1, 0)</f>
        <v>0</v>
      </c>
      <c r="J957" s="2">
        <f>IF(payments_raw[[#This Row],[amount]] &lt;= 0, 1, 0)</f>
        <v>0</v>
      </c>
      <c r="K9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8" spans="1:11" x14ac:dyDescent="0.3">
      <c r="A958">
        <v>79162437</v>
      </c>
      <c r="B958">
        <v>7213813</v>
      </c>
      <c r="C958" s="1">
        <v>44821</v>
      </c>
      <c r="D958">
        <v>79</v>
      </c>
      <c r="E958">
        <f>IF(
  ISNA(
    _xlfn.XLOOKUP(
      payments_raw[[#This Row],[subscription_id]],
      subscriptions[subscription_id],
      subscriptions[subscription_id]
    )
  ),
  0,
  1
)</f>
        <v>1</v>
      </c>
      <c r="F958" s="1">
        <f>_xlfn.XLOOKUP(payments_raw[[#This Row],[subscription_id]], subscriptions[subscription_id], subscriptions[start_date])</f>
        <v>44640</v>
      </c>
      <c r="G9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58" s="2">
        <f>IF(payments_raw[[#This Row],[payment_date]] &lt; payments_raw[[#This Row],[sub_start_date]], 1, 0)</f>
        <v>0</v>
      </c>
      <c r="I958" s="2">
        <f>IF(AND(payments_raw[[#This Row],[sub_end_date]]&lt;&gt;"", payments_raw[[#This Row],[payment_date]] &gt; payments_raw[[#This Row],[sub_end_date]]), 1, 0)</f>
        <v>0</v>
      </c>
      <c r="J958" s="2">
        <f>IF(payments_raw[[#This Row],[amount]] &lt;= 0, 1, 0)</f>
        <v>0</v>
      </c>
      <c r="K9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59" spans="1:11" x14ac:dyDescent="0.3">
      <c r="A959">
        <v>52740512</v>
      </c>
      <c r="B959">
        <v>8335114</v>
      </c>
      <c r="C959" s="1">
        <v>44731</v>
      </c>
      <c r="D959">
        <v>149.5</v>
      </c>
      <c r="E959">
        <f>IF(
  ISNA(
    _xlfn.XLOOKUP(
      payments_raw[[#This Row],[subscription_id]],
      subscriptions[subscription_id],
      subscriptions[subscription_id]
    )
  ),
  0,
  1
)</f>
        <v>1</v>
      </c>
      <c r="F959" s="1">
        <f>_xlfn.XLOOKUP(payments_raw[[#This Row],[subscription_id]], subscriptions[subscription_id], subscriptions[start_date])</f>
        <v>44627</v>
      </c>
      <c r="G9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44824</v>
      </c>
      <c r="H959" s="2">
        <f>IF(payments_raw[[#This Row],[payment_date]] &lt; payments_raw[[#This Row],[sub_start_date]], 1, 0)</f>
        <v>0</v>
      </c>
      <c r="I959" s="2">
        <f>IF(AND(payments_raw[[#This Row],[sub_end_date]]&lt;&gt;"", payments_raw[[#This Row],[payment_date]] &gt; payments_raw[[#This Row],[sub_end_date]]), 1, 0)</f>
        <v>0</v>
      </c>
      <c r="J959" s="2">
        <f>IF(payments_raw[[#This Row],[amount]] &lt;= 0, 1, 0)</f>
        <v>0</v>
      </c>
      <c r="K9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0" spans="1:11" x14ac:dyDescent="0.3">
      <c r="A960">
        <v>86829631</v>
      </c>
      <c r="B960">
        <v>6409052</v>
      </c>
      <c r="C960" s="1">
        <v>45439</v>
      </c>
      <c r="D960">
        <v>149</v>
      </c>
      <c r="E960">
        <f>IF(
  ISNA(
    _xlfn.XLOOKUP(
      payments_raw[[#This Row],[subscription_id]],
      subscriptions[subscription_id],
      subscriptions[subscription_id]
    )
  ),
  0,
  1
)</f>
        <v>1</v>
      </c>
      <c r="F960" s="1">
        <f>_xlfn.XLOOKUP(payments_raw[[#This Row],[subscription_id]], subscriptions[subscription_id], subscriptions[start_date])</f>
        <v>44979</v>
      </c>
      <c r="G9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60" s="2">
        <f>IF(payments_raw[[#This Row],[payment_date]] &lt; payments_raw[[#This Row],[sub_start_date]], 1, 0)</f>
        <v>0</v>
      </c>
      <c r="I960" s="2">
        <f>IF(AND(payments_raw[[#This Row],[sub_end_date]]&lt;&gt;"", payments_raw[[#This Row],[payment_date]] &gt; payments_raw[[#This Row],[sub_end_date]]), 1, 0)</f>
        <v>0</v>
      </c>
      <c r="J960" s="2">
        <f>IF(payments_raw[[#This Row],[amount]] &lt;= 0, 1, 0)</f>
        <v>0</v>
      </c>
      <c r="K9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1" spans="1:11" x14ac:dyDescent="0.3">
      <c r="A961">
        <v>13076093</v>
      </c>
      <c r="B961">
        <v>1108226</v>
      </c>
      <c r="C961" s="1">
        <v>45618</v>
      </c>
      <c r="D961">
        <v>2990</v>
      </c>
      <c r="E961">
        <f>IF(
  ISNA(
    _xlfn.XLOOKUP(
      payments_raw[[#This Row],[subscription_id]],
      subscriptions[subscription_id],
      subscriptions[subscription_id]
    )
  ),
  0,
  1
)</f>
        <v>1</v>
      </c>
      <c r="F961" s="1">
        <f>_xlfn.XLOOKUP(payments_raw[[#This Row],[subscription_id]], subscriptions[subscription_id], subscriptions[start_date])</f>
        <v>45555</v>
      </c>
      <c r="G9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961" s="2">
        <f>IF(payments_raw[[#This Row],[payment_date]] &lt; payments_raw[[#This Row],[sub_start_date]], 1, 0)</f>
        <v>0</v>
      </c>
      <c r="I961" s="2">
        <f>IF(AND(payments_raw[[#This Row],[sub_end_date]]&lt;&gt;"", payments_raw[[#This Row],[payment_date]] &gt; payments_raw[[#This Row],[sub_end_date]]), 1, 0)</f>
        <v>0</v>
      </c>
      <c r="J961" s="2">
        <f>IF(payments_raw[[#This Row],[amount]] &lt;= 0, 1, 0)</f>
        <v>0</v>
      </c>
      <c r="K9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2" spans="1:11" x14ac:dyDescent="0.3">
      <c r="A962">
        <v>89002110</v>
      </c>
      <c r="B962">
        <v>6290495</v>
      </c>
      <c r="C962" s="1">
        <v>45520</v>
      </c>
      <c r="D962">
        <v>190</v>
      </c>
      <c r="E962">
        <f>IF(
  ISNA(
    _xlfn.XLOOKUP(
      payments_raw[[#This Row],[subscription_id]],
      subscriptions[subscription_id],
      subscriptions[subscription_id]
    )
  ),
  0,
  1
)</f>
        <v>1</v>
      </c>
      <c r="F962" s="1">
        <f>_xlfn.XLOOKUP(payments_raw[[#This Row],[subscription_id]], subscriptions[subscription_id], subscriptions[start_date])</f>
        <v>45486</v>
      </c>
      <c r="G9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962" s="2">
        <f>IF(payments_raw[[#This Row],[payment_date]] &lt; payments_raw[[#This Row],[sub_start_date]], 1, 0)</f>
        <v>0</v>
      </c>
      <c r="I962" s="2">
        <f>IF(AND(payments_raw[[#This Row],[sub_end_date]]&lt;&gt;"", payments_raw[[#This Row],[payment_date]] &gt; payments_raw[[#This Row],[sub_end_date]]), 1, 0)</f>
        <v>0</v>
      </c>
      <c r="J962" s="2">
        <f>IF(payments_raw[[#This Row],[amount]] &lt;= 0, 1, 0)</f>
        <v>0</v>
      </c>
      <c r="K9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3" spans="1:11" x14ac:dyDescent="0.3">
      <c r="A963">
        <v>67537690</v>
      </c>
      <c r="B963">
        <v>1548189</v>
      </c>
      <c r="C963" s="1">
        <v>45417</v>
      </c>
      <c r="D963">
        <v>79</v>
      </c>
      <c r="E963">
        <f>IF(
  ISNA(
    _xlfn.XLOOKUP(
      payments_raw[[#This Row],[subscription_id]],
      subscriptions[subscription_id],
      subscriptions[subscription_id]
    )
  ),
  0,
  1
)</f>
        <v>1</v>
      </c>
      <c r="F963" s="1">
        <f>_xlfn.XLOOKUP(payments_raw[[#This Row],[subscription_id]], subscriptions[subscription_id], subscriptions[start_date])</f>
        <v>44593</v>
      </c>
      <c r="G9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63" s="2">
        <f>IF(payments_raw[[#This Row],[payment_date]] &lt; payments_raw[[#This Row],[sub_start_date]], 1, 0)</f>
        <v>0</v>
      </c>
      <c r="I963" s="2">
        <f>IF(AND(payments_raw[[#This Row],[sub_end_date]]&lt;&gt;"", payments_raw[[#This Row],[payment_date]] &gt; payments_raw[[#This Row],[sub_end_date]]), 1, 0)</f>
        <v>0</v>
      </c>
      <c r="J963" s="2">
        <f>IF(payments_raw[[#This Row],[amount]] &lt;= 0, 1, 0)</f>
        <v>0</v>
      </c>
      <c r="K9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4" spans="1:11" x14ac:dyDescent="0.3">
      <c r="A964">
        <v>25971233</v>
      </c>
      <c r="B964">
        <v>7914190</v>
      </c>
      <c r="C964" s="1">
        <v>45130</v>
      </c>
      <c r="D964">
        <v>1490</v>
      </c>
      <c r="E964">
        <f>IF(
  ISNA(
    _xlfn.XLOOKUP(
      payments_raw[[#This Row],[subscription_id]],
      subscriptions[subscription_id],
      subscriptions[subscription_id]
    )
  ),
  0,
  1
)</f>
        <v>1</v>
      </c>
      <c r="F964" s="1">
        <f>_xlfn.XLOOKUP(payments_raw[[#This Row],[subscription_id]], subscriptions[subscription_id], subscriptions[start_date])</f>
        <v>44666</v>
      </c>
      <c r="G9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64" s="2">
        <f>IF(payments_raw[[#This Row],[payment_date]] &lt; payments_raw[[#This Row],[sub_start_date]], 1, 0)</f>
        <v>0</v>
      </c>
      <c r="I964" s="2">
        <f>IF(AND(payments_raw[[#This Row],[sub_end_date]]&lt;&gt;"", payments_raw[[#This Row],[payment_date]] &gt; payments_raw[[#This Row],[sub_end_date]]), 1, 0)</f>
        <v>0</v>
      </c>
      <c r="J964" s="2">
        <f>IF(payments_raw[[#This Row],[amount]] &lt;= 0, 1, 0)</f>
        <v>0</v>
      </c>
      <c r="K9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5" spans="1:11" x14ac:dyDescent="0.3">
      <c r="A965">
        <v>18199219</v>
      </c>
      <c r="B965">
        <v>1057394</v>
      </c>
      <c r="C965" s="1">
        <v>44887</v>
      </c>
      <c r="D965">
        <v>390</v>
      </c>
      <c r="E965">
        <f>IF(
  ISNA(
    _xlfn.XLOOKUP(
      payments_raw[[#This Row],[subscription_id]],
      subscriptions[subscription_id],
      subscriptions[subscription_id]
    )
  ),
  0,
  1
)</f>
        <v>1</v>
      </c>
      <c r="F965" s="1">
        <f>_xlfn.XLOOKUP(payments_raw[[#This Row],[subscription_id]], subscriptions[subscription_id], subscriptions[start_date])</f>
        <v>44681</v>
      </c>
      <c r="G9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45001</v>
      </c>
      <c r="H965" s="2">
        <f>IF(payments_raw[[#This Row],[payment_date]] &lt; payments_raw[[#This Row],[sub_start_date]], 1, 0)</f>
        <v>0</v>
      </c>
      <c r="I965" s="2">
        <f>IF(AND(payments_raw[[#This Row],[sub_end_date]]&lt;&gt;"", payments_raw[[#This Row],[payment_date]] &gt; payments_raw[[#This Row],[sub_end_date]]), 1, 0)</f>
        <v>0</v>
      </c>
      <c r="J965" s="2">
        <f>IF(payments_raw[[#This Row],[amount]] &lt;= 0, 1, 0)</f>
        <v>0</v>
      </c>
      <c r="K9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6" spans="1:11" x14ac:dyDescent="0.3">
      <c r="A966">
        <v>76634324</v>
      </c>
      <c r="B966">
        <v>2120248</v>
      </c>
      <c r="C966" s="1">
        <v>45339</v>
      </c>
      <c r="D966">
        <v>149</v>
      </c>
      <c r="E966">
        <f>IF(
  ISNA(
    _xlfn.XLOOKUP(
      payments_raw[[#This Row],[subscription_id]],
      subscriptions[subscription_id],
      subscriptions[subscription_id]
    )
  ),
  0,
  1
)</f>
        <v>1</v>
      </c>
      <c r="F966" s="1">
        <f>_xlfn.XLOOKUP(payments_raw[[#This Row],[subscription_id]], subscriptions[subscription_id], subscriptions[start_date])</f>
        <v>45279</v>
      </c>
      <c r="G9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45424</v>
      </c>
      <c r="H966" s="2">
        <f>IF(payments_raw[[#This Row],[payment_date]] &lt; payments_raw[[#This Row],[sub_start_date]], 1, 0)</f>
        <v>0</v>
      </c>
      <c r="I966" s="2">
        <f>IF(AND(payments_raw[[#This Row],[sub_end_date]]&lt;&gt;"", payments_raw[[#This Row],[payment_date]] &gt; payments_raw[[#This Row],[sub_end_date]]), 1, 0)</f>
        <v>0</v>
      </c>
      <c r="J966" s="2">
        <f>IF(payments_raw[[#This Row],[amount]] &lt;= 0, 1, 0)</f>
        <v>0</v>
      </c>
      <c r="K9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7" spans="1:11" x14ac:dyDescent="0.3">
      <c r="A967">
        <v>79562011</v>
      </c>
      <c r="B967">
        <v>8972523</v>
      </c>
      <c r="C967" s="1">
        <v>45417</v>
      </c>
      <c r="D967">
        <v>390</v>
      </c>
      <c r="E967">
        <f>IF(
  ISNA(
    _xlfn.XLOOKUP(
      payments_raw[[#This Row],[subscription_id]],
      subscriptions[subscription_id],
      subscriptions[subscription_id]
    )
  ),
  0,
  1
)</f>
        <v>1</v>
      </c>
      <c r="F967" s="1">
        <f>_xlfn.XLOOKUP(payments_raw[[#This Row],[subscription_id]], subscriptions[subscription_id], subscriptions[start_date])</f>
        <v>45408</v>
      </c>
      <c r="G9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45439</v>
      </c>
      <c r="H967" s="2">
        <f>IF(payments_raw[[#This Row],[payment_date]] &lt; payments_raw[[#This Row],[sub_start_date]], 1, 0)</f>
        <v>0</v>
      </c>
      <c r="I967" s="2">
        <f>IF(AND(payments_raw[[#This Row],[sub_end_date]]&lt;&gt;"", payments_raw[[#This Row],[payment_date]] &gt; payments_raw[[#This Row],[sub_end_date]]), 1, 0)</f>
        <v>0</v>
      </c>
      <c r="J967" s="2">
        <f>IF(payments_raw[[#This Row],[amount]] &lt;= 0, 1, 0)</f>
        <v>0</v>
      </c>
      <c r="K9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8" spans="1:11" x14ac:dyDescent="0.3">
      <c r="A968">
        <v>12075251</v>
      </c>
      <c r="B968">
        <v>5327209</v>
      </c>
      <c r="C968" s="1">
        <v>45498</v>
      </c>
      <c r="D968">
        <v>39</v>
      </c>
      <c r="E968">
        <f>IF(
  ISNA(
    _xlfn.XLOOKUP(
      payments_raw[[#This Row],[subscription_id]],
      subscriptions[subscription_id],
      subscriptions[subscription_id]
    )
  ),
  0,
  1
)</f>
        <v>1</v>
      </c>
      <c r="F968" s="1">
        <f>_xlfn.XLOOKUP(payments_raw[[#This Row],[subscription_id]], subscriptions[subscription_id], subscriptions[start_date])</f>
        <v>45125</v>
      </c>
      <c r="G9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68" s="2">
        <f>IF(payments_raw[[#This Row],[payment_date]] &lt; payments_raw[[#This Row],[sub_start_date]], 1, 0)</f>
        <v>0</v>
      </c>
      <c r="I968" s="2">
        <f>IF(AND(payments_raw[[#This Row],[sub_end_date]]&lt;&gt;"", payments_raw[[#This Row],[payment_date]] &gt; payments_raw[[#This Row],[sub_end_date]]), 1, 0)</f>
        <v>0</v>
      </c>
      <c r="J968" s="2">
        <f>IF(payments_raw[[#This Row],[amount]] &lt;= 0, 1, 0)</f>
        <v>0</v>
      </c>
      <c r="K9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69" spans="1:11" x14ac:dyDescent="0.3">
      <c r="A969">
        <v>60481546</v>
      </c>
      <c r="B969">
        <v>8706139</v>
      </c>
      <c r="C969" s="1">
        <v>44862</v>
      </c>
      <c r="D969">
        <v>1490</v>
      </c>
      <c r="E969">
        <f>IF(
  ISNA(
    _xlfn.XLOOKUP(
      payments_raw[[#This Row],[subscription_id]],
      subscriptions[subscription_id],
      subscriptions[subscription_id]
    )
  ),
  0,
  1
)</f>
        <v>1</v>
      </c>
      <c r="F969" s="1">
        <f>_xlfn.XLOOKUP(payments_raw[[#This Row],[subscription_id]], subscriptions[subscription_id], subscriptions[start_date])</f>
        <v>44586</v>
      </c>
      <c r="G96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44884</v>
      </c>
      <c r="H969" s="2">
        <f>IF(payments_raw[[#This Row],[payment_date]] &lt; payments_raw[[#This Row],[sub_start_date]], 1, 0)</f>
        <v>0</v>
      </c>
      <c r="I969" s="2">
        <f>IF(AND(payments_raw[[#This Row],[sub_end_date]]&lt;&gt;"", payments_raw[[#This Row],[payment_date]] &gt; payments_raw[[#This Row],[sub_end_date]]), 1, 0)</f>
        <v>0</v>
      </c>
      <c r="J969" s="2">
        <f>IF(payments_raw[[#This Row],[amount]] &lt;= 0, 1, 0)</f>
        <v>0</v>
      </c>
      <c r="K9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0" spans="1:11" x14ac:dyDescent="0.3">
      <c r="A970">
        <v>98437475</v>
      </c>
      <c r="B970">
        <v>7063033</v>
      </c>
      <c r="C970" s="1">
        <v>45410</v>
      </c>
      <c r="D970">
        <v>149</v>
      </c>
      <c r="E970">
        <f>IF(
  ISNA(
    _xlfn.XLOOKUP(
      payments_raw[[#This Row],[subscription_id]],
      subscriptions[subscription_id],
      subscriptions[subscription_id]
    )
  ),
  0,
  1
)</f>
        <v>1</v>
      </c>
      <c r="F970" s="1">
        <f>_xlfn.XLOOKUP(payments_raw[[#This Row],[subscription_id]], subscriptions[subscription_id], subscriptions[start_date])</f>
        <v>45323</v>
      </c>
      <c r="G9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0" s="2">
        <f>IF(payments_raw[[#This Row],[payment_date]] &lt; payments_raw[[#This Row],[sub_start_date]], 1, 0)</f>
        <v>0</v>
      </c>
      <c r="I970" s="2">
        <f>IF(AND(payments_raw[[#This Row],[sub_end_date]]&lt;&gt;"", payments_raw[[#This Row],[payment_date]] &gt; payments_raw[[#This Row],[sub_end_date]]), 1, 0)</f>
        <v>0</v>
      </c>
      <c r="J970" s="2">
        <f>IF(payments_raw[[#This Row],[amount]] &lt;= 0, 1, 0)</f>
        <v>0</v>
      </c>
      <c r="K9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1" spans="1:11" x14ac:dyDescent="0.3">
      <c r="A971">
        <v>94446429</v>
      </c>
      <c r="B971">
        <v>8621830</v>
      </c>
      <c r="C971" s="1">
        <v>45268</v>
      </c>
      <c r="D971">
        <v>190</v>
      </c>
      <c r="E971">
        <f>IF(
  ISNA(
    _xlfn.XLOOKUP(
      payments_raw[[#This Row],[subscription_id]],
      subscriptions[subscription_id],
      subscriptions[subscription_id]
    )
  ),
  0,
  1
)</f>
        <v>1</v>
      </c>
      <c r="F971" s="1">
        <f>_xlfn.XLOOKUP(payments_raw[[#This Row],[subscription_id]], subscriptions[subscription_id], subscriptions[start_date])</f>
        <v>45090</v>
      </c>
      <c r="G9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45376</v>
      </c>
      <c r="H971" s="2">
        <f>IF(payments_raw[[#This Row],[payment_date]] &lt; payments_raw[[#This Row],[sub_start_date]], 1, 0)</f>
        <v>0</v>
      </c>
      <c r="I971" s="2">
        <f>IF(AND(payments_raw[[#This Row],[sub_end_date]]&lt;&gt;"", payments_raw[[#This Row],[payment_date]] &gt; payments_raw[[#This Row],[sub_end_date]]), 1, 0)</f>
        <v>0</v>
      </c>
      <c r="J971" s="2">
        <f>IF(payments_raw[[#This Row],[amount]] &lt;= 0, 1, 0)</f>
        <v>0</v>
      </c>
      <c r="K9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2" spans="1:11" x14ac:dyDescent="0.3">
      <c r="A972">
        <v>31369764</v>
      </c>
      <c r="B972">
        <v>4838024</v>
      </c>
      <c r="C972" s="1">
        <v>45198</v>
      </c>
      <c r="D972">
        <v>790</v>
      </c>
      <c r="E972">
        <f>IF(
  ISNA(
    _xlfn.XLOOKUP(
      payments_raw[[#This Row],[subscription_id]],
      subscriptions[subscription_id],
      subscriptions[subscription_id]
    )
  ),
  0,
  1
)</f>
        <v>1</v>
      </c>
      <c r="F972" s="1">
        <f>_xlfn.XLOOKUP(payments_raw[[#This Row],[subscription_id]], subscriptions[subscription_id], subscriptions[start_date])</f>
        <v>45187</v>
      </c>
      <c r="G9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972" s="2">
        <f>IF(payments_raw[[#This Row],[payment_date]] &lt; payments_raw[[#This Row],[sub_start_date]], 1, 0)</f>
        <v>0</v>
      </c>
      <c r="I972" s="2">
        <f>IF(AND(payments_raw[[#This Row],[sub_end_date]]&lt;&gt;"", payments_raw[[#This Row],[payment_date]] &gt; payments_raw[[#This Row],[sub_end_date]]), 1, 0)</f>
        <v>0</v>
      </c>
      <c r="J972" s="2">
        <f>IF(payments_raw[[#This Row],[amount]] &lt;= 0, 1, 0)</f>
        <v>0</v>
      </c>
      <c r="K9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3" spans="1:11" x14ac:dyDescent="0.3">
      <c r="A973">
        <v>98523993</v>
      </c>
      <c r="B973">
        <v>1174620</v>
      </c>
      <c r="C973" s="1">
        <v>45477</v>
      </c>
      <c r="D973">
        <v>14.25</v>
      </c>
      <c r="E973">
        <f>IF(
  ISNA(
    _xlfn.XLOOKUP(
      payments_raw[[#This Row],[subscription_id]],
      subscriptions[subscription_id],
      subscriptions[subscription_id]
    )
  ),
  0,
  1
)</f>
        <v>1</v>
      </c>
      <c r="F973" s="1">
        <f>_xlfn.XLOOKUP(payments_raw[[#This Row],[subscription_id]], subscriptions[subscription_id], subscriptions[start_date])</f>
        <v>45290</v>
      </c>
      <c r="G9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3" s="2">
        <f>IF(payments_raw[[#This Row],[payment_date]] &lt; payments_raw[[#This Row],[sub_start_date]], 1, 0)</f>
        <v>0</v>
      </c>
      <c r="I973" s="2">
        <f>IF(AND(payments_raw[[#This Row],[sub_end_date]]&lt;&gt;"", payments_raw[[#This Row],[payment_date]] &gt; payments_raw[[#This Row],[sub_end_date]]), 1, 0)</f>
        <v>0</v>
      </c>
      <c r="J973" s="2">
        <f>IF(payments_raw[[#This Row],[amount]] &lt;= 0, 1, 0)</f>
        <v>0</v>
      </c>
      <c r="K9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4" spans="1:11" x14ac:dyDescent="0.3">
      <c r="A974">
        <v>82353357</v>
      </c>
      <c r="B974">
        <v>7697098</v>
      </c>
      <c r="C974" s="1">
        <v>45426</v>
      </c>
      <c r="D974">
        <v>190</v>
      </c>
      <c r="E974">
        <f>IF(
  ISNA(
    _xlfn.XLOOKUP(
      payments_raw[[#This Row],[subscription_id]],
      subscriptions[subscription_id],
      subscriptions[subscription_id]
    )
  ),
  0,
  1
)</f>
        <v>1</v>
      </c>
      <c r="F974" s="1">
        <f>_xlfn.XLOOKUP(payments_raw[[#This Row],[subscription_id]], subscriptions[subscription_id], subscriptions[start_date])</f>
        <v>44968</v>
      </c>
      <c r="G9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4" s="2">
        <f>IF(payments_raw[[#This Row],[payment_date]] &lt; payments_raw[[#This Row],[sub_start_date]], 1, 0)</f>
        <v>0</v>
      </c>
      <c r="I974" s="2">
        <f>IF(AND(payments_raw[[#This Row],[sub_end_date]]&lt;&gt;"", payments_raw[[#This Row],[payment_date]] &gt; payments_raw[[#This Row],[sub_end_date]]), 1, 0)</f>
        <v>0</v>
      </c>
      <c r="J974" s="2">
        <f>IF(payments_raw[[#This Row],[amount]] &lt;= 0, 1, 0)</f>
        <v>0</v>
      </c>
      <c r="K9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5" spans="1:11" x14ac:dyDescent="0.3">
      <c r="A975">
        <v>45555431</v>
      </c>
      <c r="B975">
        <v>1598744</v>
      </c>
      <c r="C975" s="1">
        <v>45521</v>
      </c>
      <c r="D975">
        <v>1490</v>
      </c>
      <c r="E975">
        <f>IF(
  ISNA(
    _xlfn.XLOOKUP(
      payments_raw[[#This Row],[subscription_id]],
      subscriptions[subscription_id],
      subscriptions[subscription_id]
    )
  ),
  0,
  1
)</f>
        <v>1</v>
      </c>
      <c r="F975" s="1">
        <f>_xlfn.XLOOKUP(payments_raw[[#This Row],[subscription_id]], subscriptions[subscription_id], subscriptions[start_date])</f>
        <v>45107</v>
      </c>
      <c r="G9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5" s="2">
        <f>IF(payments_raw[[#This Row],[payment_date]] &lt; payments_raw[[#This Row],[sub_start_date]], 1, 0)</f>
        <v>0</v>
      </c>
      <c r="I975" s="2">
        <f>IF(AND(payments_raw[[#This Row],[sub_end_date]]&lt;&gt;"", payments_raw[[#This Row],[payment_date]] &gt; payments_raw[[#This Row],[sub_end_date]]), 1, 0)</f>
        <v>0</v>
      </c>
      <c r="J975" s="2">
        <f>IF(payments_raw[[#This Row],[amount]] &lt;= 0, 1, 0)</f>
        <v>0</v>
      </c>
      <c r="K9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6" spans="1:11" x14ac:dyDescent="0.3">
      <c r="A976">
        <v>19779395</v>
      </c>
      <c r="B976">
        <v>3730666</v>
      </c>
      <c r="C976" s="1">
        <v>45315</v>
      </c>
      <c r="D976">
        <v>19</v>
      </c>
      <c r="E976">
        <f>IF(
  ISNA(
    _xlfn.XLOOKUP(
      payments_raw[[#This Row],[subscription_id]],
      subscriptions[subscription_id],
      subscriptions[subscription_id]
    )
  ),
  0,
  1
)</f>
        <v>1</v>
      </c>
      <c r="F976" s="1">
        <f>_xlfn.XLOOKUP(payments_raw[[#This Row],[subscription_id]], subscriptions[subscription_id], subscriptions[start_date])</f>
        <v>44780</v>
      </c>
      <c r="G9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6" s="2">
        <f>IF(payments_raw[[#This Row],[payment_date]] &lt; payments_raw[[#This Row],[sub_start_date]], 1, 0)</f>
        <v>0</v>
      </c>
      <c r="I976" s="2">
        <f>IF(AND(payments_raw[[#This Row],[sub_end_date]]&lt;&gt;"", payments_raw[[#This Row],[payment_date]] &gt; payments_raw[[#This Row],[sub_end_date]]), 1, 0)</f>
        <v>0</v>
      </c>
      <c r="J976" s="2">
        <f>IF(payments_raw[[#This Row],[amount]] &lt;= 0, 1, 0)</f>
        <v>0</v>
      </c>
      <c r="K9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7" spans="1:11" x14ac:dyDescent="0.3">
      <c r="A977">
        <v>33382705</v>
      </c>
      <c r="B977">
        <v>4720771</v>
      </c>
      <c r="C977" s="1">
        <v>45287</v>
      </c>
      <c r="D977">
        <v>790</v>
      </c>
      <c r="E977">
        <f>IF(
  ISNA(
    _xlfn.XLOOKUP(
      payments_raw[[#This Row],[subscription_id]],
      subscriptions[subscription_id],
      subscriptions[subscription_id]
    )
  ),
  0,
  1
)</f>
        <v>1</v>
      </c>
      <c r="F977" s="1">
        <f>_xlfn.XLOOKUP(payments_raw[[#This Row],[subscription_id]], subscriptions[subscription_id], subscriptions[start_date])</f>
        <v>45250</v>
      </c>
      <c r="G9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7" s="2">
        <f>IF(payments_raw[[#This Row],[payment_date]] &lt; payments_raw[[#This Row],[sub_start_date]], 1, 0)</f>
        <v>0</v>
      </c>
      <c r="I977" s="2">
        <f>IF(AND(payments_raw[[#This Row],[sub_end_date]]&lt;&gt;"", payments_raw[[#This Row],[payment_date]] &gt; payments_raw[[#This Row],[sub_end_date]]), 1, 0)</f>
        <v>0</v>
      </c>
      <c r="J977" s="2">
        <f>IF(payments_raw[[#This Row],[amount]] &lt;= 0, 1, 0)</f>
        <v>0</v>
      </c>
      <c r="K9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8" spans="1:11" x14ac:dyDescent="0.3">
      <c r="A978">
        <v>28621916</v>
      </c>
      <c r="B978">
        <v>2945459</v>
      </c>
      <c r="C978" s="1">
        <v>45567</v>
      </c>
      <c r="D978">
        <v>1490</v>
      </c>
      <c r="E978">
        <f>IF(
  ISNA(
    _xlfn.XLOOKUP(
      payments_raw[[#This Row],[subscription_id]],
      subscriptions[subscription_id],
      subscriptions[subscription_id]
    )
  ),
  0,
  1
)</f>
        <v>1</v>
      </c>
      <c r="F978" s="1">
        <f>_xlfn.XLOOKUP(payments_raw[[#This Row],[subscription_id]], subscriptions[subscription_id], subscriptions[start_date])</f>
        <v>45484</v>
      </c>
      <c r="G9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8" s="2">
        <f>IF(payments_raw[[#This Row],[payment_date]] &lt; payments_raw[[#This Row],[sub_start_date]], 1, 0)</f>
        <v>0</v>
      </c>
      <c r="I978" s="2">
        <f>IF(AND(payments_raw[[#This Row],[sub_end_date]]&lt;&gt;"", payments_raw[[#This Row],[payment_date]] &gt; payments_raw[[#This Row],[sub_end_date]]), 1, 0)</f>
        <v>0</v>
      </c>
      <c r="J978" s="2">
        <f>IF(payments_raw[[#This Row],[amount]] &lt;= 0, 1, 0)</f>
        <v>0</v>
      </c>
      <c r="K9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79" spans="1:11" x14ac:dyDescent="0.3">
      <c r="A979">
        <v>71300688</v>
      </c>
      <c r="B979">
        <v>3283712</v>
      </c>
      <c r="C979" s="1">
        <v>45562</v>
      </c>
      <c r="D979">
        <v>790</v>
      </c>
      <c r="E979">
        <f>IF(
  ISNA(
    _xlfn.XLOOKUP(
      payments_raw[[#This Row],[subscription_id]],
      subscriptions[subscription_id],
      subscriptions[subscription_id]
    )
  ),
  0,
  1
)</f>
        <v>1</v>
      </c>
      <c r="F979" s="1">
        <f>_xlfn.XLOOKUP(payments_raw[[#This Row],[subscription_id]], subscriptions[subscription_id], subscriptions[start_date])</f>
        <v>45176</v>
      </c>
      <c r="G9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79" s="2">
        <f>IF(payments_raw[[#This Row],[payment_date]] &lt; payments_raw[[#This Row],[sub_start_date]], 1, 0)</f>
        <v>0</v>
      </c>
      <c r="I979" s="2">
        <f>IF(AND(payments_raw[[#This Row],[sub_end_date]]&lt;&gt;"", payments_raw[[#This Row],[payment_date]] &gt; payments_raw[[#This Row],[sub_end_date]]), 1, 0)</f>
        <v>0</v>
      </c>
      <c r="J979" s="2">
        <f>IF(payments_raw[[#This Row],[amount]] &lt;= 0, 1, 0)</f>
        <v>0</v>
      </c>
      <c r="K9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0" spans="1:11" x14ac:dyDescent="0.3">
      <c r="A980">
        <v>15292851</v>
      </c>
      <c r="B980">
        <v>7222701</v>
      </c>
      <c r="C980" s="1">
        <v>45601</v>
      </c>
      <c r="D980">
        <v>39</v>
      </c>
      <c r="E980">
        <f>IF(
  ISNA(
    _xlfn.XLOOKUP(
      payments_raw[[#This Row],[subscription_id]],
      subscriptions[subscription_id],
      subscriptions[subscription_id]
    )
  ),
  0,
  1
)</f>
        <v>1</v>
      </c>
      <c r="F980" s="1">
        <f>_xlfn.XLOOKUP(payments_raw[[#This Row],[subscription_id]], subscriptions[subscription_id], subscriptions[start_date])</f>
        <v>45459</v>
      </c>
      <c r="G9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980" s="2">
        <f>IF(payments_raw[[#This Row],[payment_date]] &lt; payments_raw[[#This Row],[sub_start_date]], 1, 0)</f>
        <v>0</v>
      </c>
      <c r="I980" s="2">
        <f>IF(AND(payments_raw[[#This Row],[sub_end_date]]&lt;&gt;"", payments_raw[[#This Row],[payment_date]] &gt; payments_raw[[#This Row],[sub_end_date]]), 1, 0)</f>
        <v>0</v>
      </c>
      <c r="J980" s="2">
        <f>IF(payments_raw[[#This Row],[amount]] &lt;= 0, 1, 0)</f>
        <v>0</v>
      </c>
      <c r="K9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1" spans="1:11" x14ac:dyDescent="0.3">
      <c r="A981">
        <v>46039806</v>
      </c>
      <c r="B981">
        <v>3612902</v>
      </c>
      <c r="C981" s="1">
        <v>45584</v>
      </c>
      <c r="D981">
        <v>190</v>
      </c>
      <c r="E981">
        <f>IF(
  ISNA(
    _xlfn.XLOOKUP(
      payments_raw[[#This Row],[subscription_id]],
      subscriptions[subscription_id],
      subscriptions[subscription_id]
    )
  ),
  0,
  1
)</f>
        <v>1</v>
      </c>
      <c r="F981" s="1">
        <f>_xlfn.XLOOKUP(payments_raw[[#This Row],[subscription_id]], subscriptions[subscription_id], subscriptions[start_date])</f>
        <v>45524</v>
      </c>
      <c r="G9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81" s="2">
        <f>IF(payments_raw[[#This Row],[payment_date]] &lt; payments_raw[[#This Row],[sub_start_date]], 1, 0)</f>
        <v>0</v>
      </c>
      <c r="I981" s="2">
        <f>IF(AND(payments_raw[[#This Row],[sub_end_date]]&lt;&gt;"", payments_raw[[#This Row],[payment_date]] &gt; payments_raw[[#This Row],[sub_end_date]]), 1, 0)</f>
        <v>0</v>
      </c>
      <c r="J981" s="2">
        <f>IF(payments_raw[[#This Row],[amount]] &lt;= 0, 1, 0)</f>
        <v>0</v>
      </c>
      <c r="K9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2" spans="1:11" x14ac:dyDescent="0.3">
      <c r="A982">
        <v>91733397</v>
      </c>
      <c r="B982">
        <v>7288704</v>
      </c>
      <c r="C982" s="1">
        <v>44773</v>
      </c>
      <c r="D982">
        <v>79</v>
      </c>
      <c r="E982">
        <f>IF(
  ISNA(
    _xlfn.XLOOKUP(
      payments_raw[[#This Row],[subscription_id]],
      subscriptions[subscription_id],
      subscriptions[subscription_id]
    )
  ),
  0,
  1
)</f>
        <v>1</v>
      </c>
      <c r="F982" s="1">
        <f>_xlfn.XLOOKUP(payments_raw[[#This Row],[subscription_id]], subscriptions[subscription_id], subscriptions[start_date])</f>
        <v>44704</v>
      </c>
      <c r="G9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44830</v>
      </c>
      <c r="H982" s="2">
        <f>IF(payments_raw[[#This Row],[payment_date]] &lt; payments_raw[[#This Row],[sub_start_date]], 1, 0)</f>
        <v>0</v>
      </c>
      <c r="I982" s="2">
        <f>IF(AND(payments_raw[[#This Row],[sub_end_date]]&lt;&gt;"", payments_raw[[#This Row],[payment_date]] &gt; payments_raw[[#This Row],[sub_end_date]]), 1, 0)</f>
        <v>0</v>
      </c>
      <c r="J982" s="2">
        <f>IF(payments_raw[[#This Row],[amount]] &lt;= 0, 1, 0)</f>
        <v>0</v>
      </c>
      <c r="K9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3" spans="1:11" x14ac:dyDescent="0.3">
      <c r="A983">
        <v>83380336</v>
      </c>
      <c r="B983">
        <v>3555942</v>
      </c>
      <c r="C983" s="1">
        <v>45006</v>
      </c>
      <c r="D983">
        <v>39</v>
      </c>
      <c r="E983">
        <f>IF(
  ISNA(
    _xlfn.XLOOKUP(
      payments_raw[[#This Row],[subscription_id]],
      subscriptions[subscription_id],
      subscriptions[subscription_id]
    )
  ),
  0,
  1
)</f>
        <v>1</v>
      </c>
      <c r="F983" s="1">
        <f>_xlfn.XLOOKUP(payments_raw[[#This Row],[subscription_id]], subscriptions[subscription_id], subscriptions[start_date])</f>
        <v>45004</v>
      </c>
      <c r="G9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45092</v>
      </c>
      <c r="H983" s="2">
        <f>IF(payments_raw[[#This Row],[payment_date]] &lt; payments_raw[[#This Row],[sub_start_date]], 1, 0)</f>
        <v>0</v>
      </c>
      <c r="I983" s="2">
        <f>IF(AND(payments_raw[[#This Row],[sub_end_date]]&lt;&gt;"", payments_raw[[#This Row],[payment_date]] &gt; payments_raw[[#This Row],[sub_end_date]]), 1, 0)</f>
        <v>0</v>
      </c>
      <c r="J983" s="2">
        <f>IF(payments_raw[[#This Row],[amount]] &lt;= 0, 1, 0)</f>
        <v>0</v>
      </c>
      <c r="K9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4" spans="1:11" x14ac:dyDescent="0.3">
      <c r="A984">
        <v>27028750</v>
      </c>
      <c r="B984">
        <v>2378902</v>
      </c>
      <c r="C984" s="1">
        <v>44765</v>
      </c>
      <c r="D984">
        <v>190</v>
      </c>
      <c r="E984">
        <f>IF(
  ISNA(
    _xlfn.XLOOKUP(
      payments_raw[[#This Row],[subscription_id]],
      subscriptions[subscription_id],
      subscriptions[subscription_id]
    )
  ),
  0,
  1
)</f>
        <v>1</v>
      </c>
      <c r="F984" s="1">
        <f>_xlfn.XLOOKUP(payments_raw[[#This Row],[subscription_id]], subscriptions[subscription_id], subscriptions[start_date])</f>
        <v>44756</v>
      </c>
      <c r="G98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44930</v>
      </c>
      <c r="H984" s="2">
        <f>IF(payments_raw[[#This Row],[payment_date]] &lt; payments_raw[[#This Row],[sub_start_date]], 1, 0)</f>
        <v>0</v>
      </c>
      <c r="I984" s="2">
        <f>IF(AND(payments_raw[[#This Row],[sub_end_date]]&lt;&gt;"", payments_raw[[#This Row],[payment_date]] &gt; payments_raw[[#This Row],[sub_end_date]]), 1, 0)</f>
        <v>0</v>
      </c>
      <c r="J984" s="2">
        <f>IF(payments_raw[[#This Row],[amount]] &lt;= 0, 1, 0)</f>
        <v>0</v>
      </c>
      <c r="K9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5" spans="1:11" x14ac:dyDescent="0.3">
      <c r="A985">
        <v>14551461</v>
      </c>
      <c r="B985">
        <v>9964482</v>
      </c>
      <c r="C985" s="1">
        <v>45577</v>
      </c>
      <c r="D985">
        <v>39</v>
      </c>
      <c r="E985">
        <f>IF(
  ISNA(
    _xlfn.XLOOKUP(
      payments_raw[[#This Row],[subscription_id]],
      subscriptions[subscription_id],
      subscriptions[subscription_id]
    )
  ),
  0,
  1
)</f>
        <v>1</v>
      </c>
      <c r="F985" s="1">
        <f>_xlfn.XLOOKUP(payments_raw[[#This Row],[subscription_id]], subscriptions[subscription_id], subscriptions[start_date])</f>
        <v>45268</v>
      </c>
      <c r="G9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85" s="2">
        <f>IF(payments_raw[[#This Row],[payment_date]] &lt; payments_raw[[#This Row],[sub_start_date]], 1, 0)</f>
        <v>0</v>
      </c>
      <c r="I985" s="2">
        <f>IF(AND(payments_raw[[#This Row],[sub_end_date]]&lt;&gt;"", payments_raw[[#This Row],[payment_date]] &gt; payments_raw[[#This Row],[sub_end_date]]), 1, 0)</f>
        <v>0</v>
      </c>
      <c r="J985" s="2">
        <f>IF(payments_raw[[#This Row],[amount]] &lt;= 0, 1, 0)</f>
        <v>0</v>
      </c>
      <c r="K9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6" spans="1:11" x14ac:dyDescent="0.3">
      <c r="A986">
        <v>40843108</v>
      </c>
      <c r="B986">
        <v>9242417</v>
      </c>
      <c r="C986" s="1">
        <v>45645</v>
      </c>
      <c r="D986">
        <v>39</v>
      </c>
      <c r="E986">
        <f>IF(
  ISNA(
    _xlfn.XLOOKUP(
      payments_raw[[#This Row],[subscription_id]],
      subscriptions[subscription_id],
      subscriptions[subscription_id]
    )
  ),
  0,
  1
)</f>
        <v>1</v>
      </c>
      <c r="F986" s="1">
        <f>_xlfn.XLOOKUP(payments_raw[[#This Row],[subscription_id]], subscriptions[subscription_id], subscriptions[start_date])</f>
        <v>45306</v>
      </c>
      <c r="G9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86" s="2">
        <f>IF(payments_raw[[#This Row],[payment_date]] &lt; payments_raw[[#This Row],[sub_start_date]], 1, 0)</f>
        <v>0</v>
      </c>
      <c r="I986" s="2">
        <f>IF(AND(payments_raw[[#This Row],[sub_end_date]]&lt;&gt;"", payments_raw[[#This Row],[payment_date]] &gt; payments_raw[[#This Row],[sub_end_date]]), 1, 0)</f>
        <v>0</v>
      </c>
      <c r="J986" s="2">
        <f>IF(payments_raw[[#This Row],[amount]] &lt;= 0, 1, 0)</f>
        <v>0</v>
      </c>
      <c r="K9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7" spans="1:11" x14ac:dyDescent="0.3">
      <c r="A987">
        <v>68136525</v>
      </c>
      <c r="B987">
        <v>9448643</v>
      </c>
      <c r="C987" s="1">
        <v>45504</v>
      </c>
      <c r="D987">
        <v>790</v>
      </c>
      <c r="E987">
        <f>IF(
  ISNA(
    _xlfn.XLOOKUP(
      payments_raw[[#This Row],[subscription_id]],
      subscriptions[subscription_id],
      subscriptions[subscription_id]
    )
  ),
  0,
  1
)</f>
        <v>1</v>
      </c>
      <c r="F987" s="1">
        <f>_xlfn.XLOOKUP(payments_raw[[#This Row],[subscription_id]], subscriptions[subscription_id], subscriptions[start_date])</f>
        <v>44768</v>
      </c>
      <c r="G9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87" s="2">
        <f>IF(payments_raw[[#This Row],[payment_date]] &lt; payments_raw[[#This Row],[sub_start_date]], 1, 0)</f>
        <v>0</v>
      </c>
      <c r="I987" s="2">
        <f>IF(AND(payments_raw[[#This Row],[sub_end_date]]&lt;&gt;"", payments_raw[[#This Row],[payment_date]] &gt; payments_raw[[#This Row],[sub_end_date]]), 1, 0)</f>
        <v>0</v>
      </c>
      <c r="J987" s="2">
        <f>IF(payments_raw[[#This Row],[amount]] &lt;= 0, 1, 0)</f>
        <v>0</v>
      </c>
      <c r="K9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8" spans="1:11" x14ac:dyDescent="0.3">
      <c r="A988">
        <v>43657954</v>
      </c>
      <c r="B988">
        <v>8651518</v>
      </c>
      <c r="C988" s="1">
        <v>45444</v>
      </c>
      <c r="D988">
        <v>299</v>
      </c>
      <c r="E988">
        <f>IF(
  ISNA(
    _xlfn.XLOOKUP(
      payments_raw[[#This Row],[subscription_id]],
      subscriptions[subscription_id],
      subscriptions[subscription_id]
    )
  ),
  0,
  1
)</f>
        <v>1</v>
      </c>
      <c r="F988" s="1">
        <f>_xlfn.XLOOKUP(payments_raw[[#This Row],[subscription_id]], subscriptions[subscription_id], subscriptions[start_date])</f>
        <v>44925</v>
      </c>
      <c r="G9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88" s="2">
        <f>IF(payments_raw[[#This Row],[payment_date]] &lt; payments_raw[[#This Row],[sub_start_date]], 1, 0)</f>
        <v>0</v>
      </c>
      <c r="I988" s="2">
        <f>IF(AND(payments_raw[[#This Row],[sub_end_date]]&lt;&gt;"", payments_raw[[#This Row],[payment_date]] &gt; payments_raw[[#This Row],[sub_end_date]]), 1, 0)</f>
        <v>0</v>
      </c>
      <c r="J988" s="2">
        <f>IF(payments_raw[[#This Row],[amount]] &lt;= 0, 1, 0)</f>
        <v>0</v>
      </c>
      <c r="K9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89" spans="1:11" x14ac:dyDescent="0.3">
      <c r="A989">
        <v>97022836</v>
      </c>
      <c r="B989">
        <v>1238014</v>
      </c>
      <c r="C989" s="1">
        <v>44886</v>
      </c>
      <c r="D989">
        <v>1490</v>
      </c>
      <c r="E989">
        <f>IF(
  ISNA(
    _xlfn.XLOOKUP(
      payments_raw[[#This Row],[subscription_id]],
      subscriptions[subscription_id],
      subscriptions[subscription_id]
    )
  ),
  0,
  1
)</f>
        <v>1</v>
      </c>
      <c r="F989" s="1">
        <f>_xlfn.XLOOKUP(payments_raw[[#This Row],[subscription_id]], subscriptions[subscription_id], subscriptions[start_date])</f>
        <v>44870</v>
      </c>
      <c r="G98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989" s="2">
        <f>IF(payments_raw[[#This Row],[payment_date]] &lt; payments_raw[[#This Row],[sub_start_date]], 1, 0)</f>
        <v>0</v>
      </c>
      <c r="I989" s="2">
        <f>IF(AND(payments_raw[[#This Row],[sub_end_date]]&lt;&gt;"", payments_raw[[#This Row],[payment_date]] &gt; payments_raw[[#This Row],[sub_end_date]]), 1, 0)</f>
        <v>0</v>
      </c>
      <c r="J989" s="2">
        <f>IF(payments_raw[[#This Row],[amount]] &lt;= 0, 1, 0)</f>
        <v>0</v>
      </c>
      <c r="K9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0" spans="1:11" x14ac:dyDescent="0.3">
      <c r="A990">
        <v>91281938</v>
      </c>
      <c r="B990">
        <v>2772324</v>
      </c>
      <c r="C990" s="1">
        <v>45384</v>
      </c>
      <c r="D990">
        <v>2990</v>
      </c>
      <c r="E990">
        <f>IF(
  ISNA(
    _xlfn.XLOOKUP(
      payments_raw[[#This Row],[subscription_id]],
      subscriptions[subscription_id],
      subscriptions[subscription_id]
    )
  ),
  0,
  1
)</f>
        <v>1</v>
      </c>
      <c r="F990" s="1">
        <f>_xlfn.XLOOKUP(payments_raw[[#This Row],[subscription_id]], subscriptions[subscription_id], subscriptions[start_date])</f>
        <v>45212</v>
      </c>
      <c r="G9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90" s="2">
        <f>IF(payments_raw[[#This Row],[payment_date]] &lt; payments_raw[[#This Row],[sub_start_date]], 1, 0)</f>
        <v>0</v>
      </c>
      <c r="I990" s="2">
        <f>IF(AND(payments_raw[[#This Row],[sub_end_date]]&lt;&gt;"", payments_raw[[#This Row],[payment_date]] &gt; payments_raw[[#This Row],[sub_end_date]]), 1, 0)</f>
        <v>0</v>
      </c>
      <c r="J990" s="2">
        <f>IF(payments_raw[[#This Row],[amount]] &lt;= 0, 1, 0)</f>
        <v>0</v>
      </c>
      <c r="K9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1" spans="1:11" x14ac:dyDescent="0.3">
      <c r="A991">
        <v>91836571</v>
      </c>
      <c r="B991">
        <v>6254198</v>
      </c>
      <c r="C991" s="1">
        <v>45638</v>
      </c>
      <c r="D991">
        <v>299</v>
      </c>
      <c r="E991">
        <f>IF(
  ISNA(
    _xlfn.XLOOKUP(
      payments_raw[[#This Row],[subscription_id]],
      subscriptions[subscription_id],
      subscriptions[subscription_id]
    )
  ),
  0,
  1
)</f>
        <v>1</v>
      </c>
      <c r="F991" s="1">
        <f>_xlfn.XLOOKUP(payments_raw[[#This Row],[subscription_id]], subscriptions[subscription_id], subscriptions[start_date])</f>
        <v>45573</v>
      </c>
      <c r="G9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991" s="2">
        <f>IF(payments_raw[[#This Row],[payment_date]] &lt; payments_raw[[#This Row],[sub_start_date]], 1, 0)</f>
        <v>0</v>
      </c>
      <c r="I991" s="2">
        <f>IF(AND(payments_raw[[#This Row],[sub_end_date]]&lt;&gt;"", payments_raw[[#This Row],[payment_date]] &gt; payments_raw[[#This Row],[sub_end_date]]), 1, 0)</f>
        <v>0</v>
      </c>
      <c r="J991" s="2">
        <f>IF(payments_raw[[#This Row],[amount]] &lt;= 0, 1, 0)</f>
        <v>0</v>
      </c>
      <c r="K9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2" spans="1:11" x14ac:dyDescent="0.3">
      <c r="A992">
        <v>18860687</v>
      </c>
      <c r="B992">
        <v>9060201</v>
      </c>
      <c r="C992" s="1">
        <v>45636</v>
      </c>
      <c r="D992">
        <v>1117.5</v>
      </c>
      <c r="E992">
        <f>IF(
  ISNA(
    _xlfn.XLOOKUP(
      payments_raw[[#This Row],[subscription_id]],
      subscriptions[subscription_id],
      subscriptions[subscription_id]
    )
  ),
  0,
  1
)</f>
        <v>1</v>
      </c>
      <c r="F992" s="1">
        <f>_xlfn.XLOOKUP(payments_raw[[#This Row],[subscription_id]], subscriptions[subscription_id], subscriptions[start_date])</f>
        <v>45471</v>
      </c>
      <c r="G9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45658</v>
      </c>
      <c r="H992" s="2">
        <f>IF(payments_raw[[#This Row],[payment_date]] &lt; payments_raw[[#This Row],[sub_start_date]], 1, 0)</f>
        <v>0</v>
      </c>
      <c r="I992" s="2">
        <f>IF(AND(payments_raw[[#This Row],[sub_end_date]]&lt;&gt;"", payments_raw[[#This Row],[payment_date]] &gt; payments_raw[[#This Row],[sub_end_date]]), 1, 0)</f>
        <v>0</v>
      </c>
      <c r="J992" s="2">
        <f>IF(payments_raw[[#This Row],[amount]] &lt;= 0, 1, 0)</f>
        <v>0</v>
      </c>
      <c r="K9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3" spans="1:11" x14ac:dyDescent="0.3">
      <c r="A993">
        <v>70648113</v>
      </c>
      <c r="B993">
        <v>2849490</v>
      </c>
      <c r="C993" s="1">
        <v>45644</v>
      </c>
      <c r="D993">
        <v>79</v>
      </c>
      <c r="E993">
        <f>IF(
  ISNA(
    _xlfn.XLOOKUP(
      payments_raw[[#This Row],[subscription_id]],
      subscriptions[subscription_id],
      subscriptions[subscription_id]
    )
  ),
  0,
  1
)</f>
        <v>1</v>
      </c>
      <c r="F993" s="1">
        <f>_xlfn.XLOOKUP(payments_raw[[#This Row],[subscription_id]], subscriptions[subscription_id], subscriptions[start_date])</f>
        <v>45484</v>
      </c>
      <c r="G9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93" s="2">
        <f>IF(payments_raw[[#This Row],[payment_date]] &lt; payments_raw[[#This Row],[sub_start_date]], 1, 0)</f>
        <v>0</v>
      </c>
      <c r="I993" s="2">
        <f>IF(AND(payments_raw[[#This Row],[sub_end_date]]&lt;&gt;"", payments_raw[[#This Row],[payment_date]] &gt; payments_raw[[#This Row],[sub_end_date]]), 1, 0)</f>
        <v>0</v>
      </c>
      <c r="J993" s="2">
        <f>IF(payments_raw[[#This Row],[amount]] &lt;= 0, 1, 0)</f>
        <v>0</v>
      </c>
      <c r="K9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4" spans="1:11" x14ac:dyDescent="0.3">
      <c r="A994">
        <v>71456344</v>
      </c>
      <c r="B994">
        <v>2292524</v>
      </c>
      <c r="C994" s="1">
        <v>45606</v>
      </c>
      <c r="D994">
        <v>790</v>
      </c>
      <c r="E994">
        <f>IF(
  ISNA(
    _xlfn.XLOOKUP(
      payments_raw[[#This Row],[subscription_id]],
      subscriptions[subscription_id],
      subscriptions[subscription_id]
    )
  ),
  0,
  1
)</f>
        <v>1</v>
      </c>
      <c r="F994" s="1">
        <f>_xlfn.XLOOKUP(payments_raw[[#This Row],[subscription_id]], subscriptions[subscription_id], subscriptions[start_date])</f>
        <v>44837</v>
      </c>
      <c r="G9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94" s="2">
        <f>IF(payments_raw[[#This Row],[payment_date]] &lt; payments_raw[[#This Row],[sub_start_date]], 1, 0)</f>
        <v>0</v>
      </c>
      <c r="I994" s="2">
        <f>IF(AND(payments_raw[[#This Row],[sub_end_date]]&lt;&gt;"", payments_raw[[#This Row],[payment_date]] &gt; payments_raw[[#This Row],[sub_end_date]]), 1, 0)</f>
        <v>0</v>
      </c>
      <c r="J994" s="2">
        <f>IF(payments_raw[[#This Row],[amount]] &lt;= 0, 1, 0)</f>
        <v>0</v>
      </c>
      <c r="K9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5" spans="1:11" x14ac:dyDescent="0.3">
      <c r="A995">
        <v>97890180</v>
      </c>
      <c r="B995">
        <v>1262370</v>
      </c>
      <c r="C995" s="1">
        <v>45004</v>
      </c>
      <c r="D995">
        <v>9.5</v>
      </c>
      <c r="E995">
        <f>IF(
  ISNA(
    _xlfn.XLOOKUP(
      payments_raw[[#This Row],[subscription_id]],
      subscriptions[subscription_id],
      subscriptions[subscription_id]
    )
  ),
  0,
  1
)</f>
        <v>1</v>
      </c>
      <c r="F995" s="1">
        <f>_xlfn.XLOOKUP(payments_raw[[#This Row],[subscription_id]], subscriptions[subscription_id], subscriptions[start_date])</f>
        <v>44779</v>
      </c>
      <c r="G9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995" s="2">
        <f>IF(payments_raw[[#This Row],[payment_date]] &lt; payments_raw[[#This Row],[sub_start_date]], 1, 0)</f>
        <v>0</v>
      </c>
      <c r="I995" s="2">
        <f>IF(AND(payments_raw[[#This Row],[sub_end_date]]&lt;&gt;"", payments_raw[[#This Row],[payment_date]] &gt; payments_raw[[#This Row],[sub_end_date]]), 1, 0)</f>
        <v>0</v>
      </c>
      <c r="J995" s="2">
        <f>IF(payments_raw[[#This Row],[amount]] &lt;= 0, 1, 0)</f>
        <v>0</v>
      </c>
      <c r="K9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6" spans="1:11" x14ac:dyDescent="0.3">
      <c r="A996">
        <v>41578870</v>
      </c>
      <c r="B996">
        <v>2391959</v>
      </c>
      <c r="C996" s="1">
        <v>45646</v>
      </c>
      <c r="D996">
        <v>2990</v>
      </c>
      <c r="E996">
        <f>IF(
  ISNA(
    _xlfn.XLOOKUP(
      payments_raw[[#This Row],[subscription_id]],
      subscriptions[subscription_id],
      subscriptions[subscription_id]
    )
  ),
  0,
  1
)</f>
        <v>1</v>
      </c>
      <c r="F996" s="1">
        <f>_xlfn.XLOOKUP(payments_raw[[#This Row],[subscription_id]], subscriptions[subscription_id], subscriptions[start_date])</f>
        <v>45595</v>
      </c>
      <c r="G9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996" s="2">
        <f>IF(payments_raw[[#This Row],[payment_date]] &lt; payments_raw[[#This Row],[sub_start_date]], 1, 0)</f>
        <v>0</v>
      </c>
      <c r="I996" s="2">
        <f>IF(AND(payments_raw[[#This Row],[sub_end_date]]&lt;&gt;"", payments_raw[[#This Row],[payment_date]] &gt; payments_raw[[#This Row],[sub_end_date]]), 1, 0)</f>
        <v>0</v>
      </c>
      <c r="J996" s="2">
        <f>IF(payments_raw[[#This Row],[amount]] &lt;= 0, 1, 0)</f>
        <v>0</v>
      </c>
      <c r="K9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7" spans="1:11" x14ac:dyDescent="0.3">
      <c r="A997">
        <v>74102579</v>
      </c>
      <c r="B997">
        <v>9066089</v>
      </c>
      <c r="C997" s="1">
        <v>45577</v>
      </c>
      <c r="D997">
        <v>299</v>
      </c>
      <c r="E997">
        <f>IF(
  ISNA(
    _xlfn.XLOOKUP(
      payments_raw[[#This Row],[subscription_id]],
      subscriptions[subscription_id],
      subscriptions[subscription_id]
    )
  ),
  0,
  1
)</f>
        <v>1</v>
      </c>
      <c r="F997" s="1">
        <f>_xlfn.XLOOKUP(payments_raw[[#This Row],[subscription_id]], subscriptions[subscription_id], subscriptions[start_date])</f>
        <v>45552</v>
      </c>
      <c r="G9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997" s="2">
        <f>IF(payments_raw[[#This Row],[payment_date]] &lt; payments_raw[[#This Row],[sub_start_date]], 1, 0)</f>
        <v>0</v>
      </c>
      <c r="I997" s="2">
        <f>IF(AND(payments_raw[[#This Row],[sub_end_date]]&lt;&gt;"", payments_raw[[#This Row],[payment_date]] &gt; payments_raw[[#This Row],[sub_end_date]]), 1, 0)</f>
        <v>0</v>
      </c>
      <c r="J997" s="2">
        <f>IF(payments_raw[[#This Row],[amount]] &lt;= 0, 1, 0)</f>
        <v>0</v>
      </c>
      <c r="K9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8" spans="1:11" x14ac:dyDescent="0.3">
      <c r="A998">
        <v>98144370</v>
      </c>
      <c r="B998">
        <v>5812480</v>
      </c>
      <c r="C998" s="1">
        <v>45119</v>
      </c>
      <c r="D998">
        <v>71.099999999999994</v>
      </c>
      <c r="E998">
        <f>IF(
  ISNA(
    _xlfn.XLOOKUP(
      payments_raw[[#This Row],[subscription_id]],
      subscriptions[subscription_id],
      subscriptions[subscription_id]
    )
  ),
  0,
  1
)</f>
        <v>1</v>
      </c>
      <c r="F998" s="1">
        <f>_xlfn.XLOOKUP(payments_raw[[#This Row],[subscription_id]], subscriptions[subscription_id], subscriptions[start_date])</f>
        <v>45024</v>
      </c>
      <c r="G9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45404</v>
      </c>
      <c r="H998" s="2">
        <f>IF(payments_raw[[#This Row],[payment_date]] &lt; payments_raw[[#This Row],[sub_start_date]], 1, 0)</f>
        <v>0</v>
      </c>
      <c r="I998" s="2">
        <f>IF(AND(payments_raw[[#This Row],[sub_end_date]]&lt;&gt;"", payments_raw[[#This Row],[payment_date]] &gt; payments_raw[[#This Row],[sub_end_date]]), 1, 0)</f>
        <v>0</v>
      </c>
      <c r="J998" s="2">
        <f>IF(payments_raw[[#This Row],[amount]] &lt;= 0, 1, 0)</f>
        <v>0</v>
      </c>
      <c r="K9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999" spans="1:11" x14ac:dyDescent="0.3">
      <c r="A999">
        <v>70667274</v>
      </c>
      <c r="B999">
        <v>1417616</v>
      </c>
      <c r="C999" s="1">
        <v>45515</v>
      </c>
      <c r="D999">
        <v>390</v>
      </c>
      <c r="E999">
        <f>IF(
  ISNA(
    _xlfn.XLOOKUP(
      payments_raw[[#This Row],[subscription_id]],
      subscriptions[subscription_id],
      subscriptions[subscription_id]
    )
  ),
  0,
  1
)</f>
        <v>1</v>
      </c>
      <c r="F999" s="1">
        <f>_xlfn.XLOOKUP(payments_raw[[#This Row],[subscription_id]], subscriptions[subscription_id], subscriptions[start_date])</f>
        <v>45375</v>
      </c>
      <c r="G9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999" s="2">
        <f>IF(payments_raw[[#This Row],[payment_date]] &lt; payments_raw[[#This Row],[sub_start_date]], 1, 0)</f>
        <v>0</v>
      </c>
      <c r="I999" s="2">
        <f>IF(AND(payments_raw[[#This Row],[sub_end_date]]&lt;&gt;"", payments_raw[[#This Row],[payment_date]] &gt; payments_raw[[#This Row],[sub_end_date]]), 1, 0)</f>
        <v>0</v>
      </c>
      <c r="J999" s="2">
        <f>IF(payments_raw[[#This Row],[amount]] &lt;= 0, 1, 0)</f>
        <v>0</v>
      </c>
      <c r="K9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0" spans="1:11" x14ac:dyDescent="0.3">
      <c r="A1000">
        <v>20467889</v>
      </c>
      <c r="B1000">
        <v>5052611</v>
      </c>
      <c r="C1000" s="1">
        <v>44727</v>
      </c>
      <c r="D1000">
        <v>2691</v>
      </c>
      <c r="E1000">
        <f>IF(
  ISNA(
    _xlfn.XLOOKUP(
      payments_raw[[#This Row],[subscription_id]],
      subscriptions[subscription_id],
      subscriptions[subscription_id]
    )
  ),
  0,
  1
)</f>
        <v>1</v>
      </c>
      <c r="F1000" s="1">
        <f>_xlfn.XLOOKUP(payments_raw[[#This Row],[subscription_id]], subscriptions[subscription_id], subscriptions[start_date])</f>
        <v>44570</v>
      </c>
      <c r="G100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44812</v>
      </c>
      <c r="H1000" s="2">
        <f>IF(payments_raw[[#This Row],[payment_date]] &lt; payments_raw[[#This Row],[sub_start_date]], 1, 0)</f>
        <v>0</v>
      </c>
      <c r="I1000" s="2">
        <f>IF(AND(payments_raw[[#This Row],[sub_end_date]]&lt;&gt;"", payments_raw[[#This Row],[payment_date]] &gt; payments_raw[[#This Row],[sub_end_date]]), 1, 0)</f>
        <v>0</v>
      </c>
      <c r="J1000" s="2">
        <f>IF(payments_raw[[#This Row],[amount]] &lt;= 0, 1, 0)</f>
        <v>0</v>
      </c>
      <c r="K10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1" spans="1:11" x14ac:dyDescent="0.3">
      <c r="A1001">
        <v>99079258</v>
      </c>
      <c r="B1001">
        <v>1968122</v>
      </c>
      <c r="C1001" s="1">
        <v>45469</v>
      </c>
      <c r="D1001">
        <v>149</v>
      </c>
      <c r="E1001">
        <f>IF(
  ISNA(
    _xlfn.XLOOKUP(
      payments_raw[[#This Row],[subscription_id]],
      subscriptions[subscription_id],
      subscriptions[subscription_id]
    )
  ),
  0,
  1
)</f>
        <v>1</v>
      </c>
      <c r="F1001" s="1">
        <f>_xlfn.XLOOKUP(payments_raw[[#This Row],[subscription_id]], subscriptions[subscription_id], subscriptions[start_date])</f>
        <v>45351</v>
      </c>
      <c r="G10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45507</v>
      </c>
      <c r="H1001" s="2">
        <f>IF(payments_raw[[#This Row],[payment_date]] &lt; payments_raw[[#This Row],[sub_start_date]], 1, 0)</f>
        <v>0</v>
      </c>
      <c r="I1001" s="2">
        <f>IF(AND(payments_raw[[#This Row],[sub_end_date]]&lt;&gt;"", payments_raw[[#This Row],[payment_date]] &gt; payments_raw[[#This Row],[sub_end_date]]), 1, 0)</f>
        <v>0</v>
      </c>
      <c r="J1001" s="2">
        <f>IF(payments_raw[[#This Row],[amount]] &lt;= 0, 1, 0)</f>
        <v>0</v>
      </c>
      <c r="K10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2" spans="1:11" x14ac:dyDescent="0.3">
      <c r="A1002">
        <v>81430313</v>
      </c>
      <c r="B1002">
        <v>8335114</v>
      </c>
      <c r="C1002" s="1">
        <v>44753</v>
      </c>
      <c r="D1002">
        <v>299</v>
      </c>
      <c r="E1002">
        <f>IF(
  ISNA(
    _xlfn.XLOOKUP(
      payments_raw[[#This Row],[subscription_id]],
      subscriptions[subscription_id],
      subscriptions[subscription_id]
    )
  ),
  0,
  1
)</f>
        <v>1</v>
      </c>
      <c r="F1002" s="1">
        <f>_xlfn.XLOOKUP(payments_raw[[#This Row],[subscription_id]], subscriptions[subscription_id], subscriptions[start_date])</f>
        <v>44627</v>
      </c>
      <c r="G100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44824</v>
      </c>
      <c r="H1002" s="2">
        <f>IF(payments_raw[[#This Row],[payment_date]] &lt; payments_raw[[#This Row],[sub_start_date]], 1, 0)</f>
        <v>0</v>
      </c>
      <c r="I1002" s="2">
        <f>IF(AND(payments_raw[[#This Row],[sub_end_date]]&lt;&gt;"", payments_raw[[#This Row],[payment_date]] &gt; payments_raw[[#This Row],[sub_end_date]]), 1, 0)</f>
        <v>0</v>
      </c>
      <c r="J1002" s="2">
        <f>IF(payments_raw[[#This Row],[amount]] &lt;= 0, 1, 0)</f>
        <v>0</v>
      </c>
      <c r="K10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3" spans="1:11" x14ac:dyDescent="0.3">
      <c r="A1003">
        <v>30121529</v>
      </c>
      <c r="B1003">
        <v>9971807</v>
      </c>
      <c r="C1003" s="1">
        <v>45658</v>
      </c>
      <c r="D1003">
        <v>790</v>
      </c>
      <c r="E1003">
        <f>IF(
  ISNA(
    _xlfn.XLOOKUP(
      payments_raw[[#This Row],[subscription_id]],
      subscriptions[subscription_id],
      subscriptions[subscription_id]
    )
  ),
  0,
  1
)</f>
        <v>1</v>
      </c>
      <c r="F1003" s="1">
        <f>_xlfn.XLOOKUP(payments_raw[[#This Row],[subscription_id]], subscriptions[subscription_id], subscriptions[start_date])</f>
        <v>45511</v>
      </c>
      <c r="G10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03" s="2">
        <f>IF(payments_raw[[#This Row],[payment_date]] &lt; payments_raw[[#This Row],[sub_start_date]], 1, 0)</f>
        <v>0</v>
      </c>
      <c r="I1003" s="2">
        <f>IF(AND(payments_raw[[#This Row],[sub_end_date]]&lt;&gt;"", payments_raw[[#This Row],[payment_date]] &gt; payments_raw[[#This Row],[sub_end_date]]), 1, 0)</f>
        <v>0</v>
      </c>
      <c r="J1003" s="2">
        <f>IF(payments_raw[[#This Row],[amount]] &lt;= 0, 1, 0)</f>
        <v>0</v>
      </c>
      <c r="K10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4" spans="1:11" x14ac:dyDescent="0.3">
      <c r="A1004">
        <v>77888064</v>
      </c>
      <c r="B1004">
        <v>5509606</v>
      </c>
      <c r="C1004" s="1">
        <v>45488</v>
      </c>
      <c r="D1004">
        <v>2990</v>
      </c>
      <c r="E1004">
        <f>IF(
  ISNA(
    _xlfn.XLOOKUP(
      payments_raw[[#This Row],[subscription_id]],
      subscriptions[subscription_id],
      subscriptions[subscription_id]
    )
  ),
  0,
  1
)</f>
        <v>1</v>
      </c>
      <c r="F1004" s="1">
        <f>_xlfn.XLOOKUP(payments_raw[[#This Row],[subscription_id]], subscriptions[subscription_id], subscriptions[start_date])</f>
        <v>44979</v>
      </c>
      <c r="G10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04" s="2">
        <f>IF(payments_raw[[#This Row],[payment_date]] &lt; payments_raw[[#This Row],[sub_start_date]], 1, 0)</f>
        <v>0</v>
      </c>
      <c r="I1004" s="2">
        <f>IF(AND(payments_raw[[#This Row],[sub_end_date]]&lt;&gt;"", payments_raw[[#This Row],[payment_date]] &gt; payments_raw[[#This Row],[sub_end_date]]), 1, 0)</f>
        <v>0</v>
      </c>
      <c r="J1004" s="2">
        <f>IF(payments_raw[[#This Row],[amount]] &lt;= 0, 1, 0)</f>
        <v>0</v>
      </c>
      <c r="K10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5" spans="1:11" x14ac:dyDescent="0.3">
      <c r="A1005">
        <v>30658164</v>
      </c>
      <c r="B1005">
        <v>1225606</v>
      </c>
      <c r="C1005" s="1">
        <v>45326</v>
      </c>
      <c r="D1005">
        <v>1490</v>
      </c>
      <c r="E1005">
        <f>IF(
  ISNA(
    _xlfn.XLOOKUP(
      payments_raw[[#This Row],[subscription_id]],
      subscriptions[subscription_id],
      subscriptions[subscription_id]
    )
  ),
  0,
  1
)</f>
        <v>1</v>
      </c>
      <c r="F1005" s="1">
        <f>_xlfn.XLOOKUP(payments_raw[[#This Row],[subscription_id]], subscriptions[subscription_id], subscriptions[start_date])</f>
        <v>45260</v>
      </c>
      <c r="G10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45606</v>
      </c>
      <c r="H1005" s="2">
        <f>IF(payments_raw[[#This Row],[payment_date]] &lt; payments_raw[[#This Row],[sub_start_date]], 1, 0)</f>
        <v>0</v>
      </c>
      <c r="I1005" s="2">
        <f>IF(AND(payments_raw[[#This Row],[sub_end_date]]&lt;&gt;"", payments_raw[[#This Row],[payment_date]] &gt; payments_raw[[#This Row],[sub_end_date]]), 1, 0)</f>
        <v>0</v>
      </c>
      <c r="J1005" s="2">
        <f>IF(payments_raw[[#This Row],[amount]] &lt;= 0, 1, 0)</f>
        <v>0</v>
      </c>
      <c r="K10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6" spans="1:11" x14ac:dyDescent="0.3">
      <c r="A1006">
        <v>87417359</v>
      </c>
      <c r="B1006">
        <v>2972720</v>
      </c>
      <c r="C1006" s="1">
        <v>45503</v>
      </c>
      <c r="D1006">
        <v>1490</v>
      </c>
      <c r="E1006">
        <f>IF(
  ISNA(
    _xlfn.XLOOKUP(
      payments_raw[[#This Row],[subscription_id]],
      subscriptions[subscription_id],
      subscriptions[subscription_id]
    )
  ),
  0,
  1
)</f>
        <v>1</v>
      </c>
      <c r="F1006" s="1">
        <f>_xlfn.XLOOKUP(payments_raw[[#This Row],[subscription_id]], subscriptions[subscription_id], subscriptions[start_date])</f>
        <v>45453</v>
      </c>
      <c r="G10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1006" s="2">
        <f>IF(payments_raw[[#This Row],[payment_date]] &lt; payments_raw[[#This Row],[sub_start_date]], 1, 0)</f>
        <v>0</v>
      </c>
      <c r="I1006" s="2">
        <f>IF(AND(payments_raw[[#This Row],[sub_end_date]]&lt;&gt;"", payments_raw[[#This Row],[payment_date]] &gt; payments_raw[[#This Row],[sub_end_date]]), 1, 0)</f>
        <v>0</v>
      </c>
      <c r="J1006" s="2">
        <f>IF(payments_raw[[#This Row],[amount]] &lt;= 0, 1, 0)</f>
        <v>0</v>
      </c>
      <c r="K10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7" spans="1:11" x14ac:dyDescent="0.3">
      <c r="A1007">
        <v>15124422</v>
      </c>
      <c r="B1007">
        <v>5322289</v>
      </c>
      <c r="C1007" s="1">
        <v>45638</v>
      </c>
      <c r="D1007">
        <v>19</v>
      </c>
      <c r="E1007">
        <f>IF(
  ISNA(
    _xlfn.XLOOKUP(
      payments_raw[[#This Row],[subscription_id]],
      subscriptions[subscription_id],
      subscriptions[subscription_id]
    )
  ),
  0,
  1
)</f>
        <v>1</v>
      </c>
      <c r="F1007" s="1">
        <f>_xlfn.XLOOKUP(payments_raw[[#This Row],[subscription_id]], subscriptions[subscription_id], subscriptions[start_date])</f>
        <v>45537</v>
      </c>
      <c r="G10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007" s="2">
        <f>IF(payments_raw[[#This Row],[payment_date]] &lt; payments_raw[[#This Row],[sub_start_date]], 1, 0)</f>
        <v>0</v>
      </c>
      <c r="I1007" s="2">
        <f>IF(AND(payments_raw[[#This Row],[sub_end_date]]&lt;&gt;"", payments_raw[[#This Row],[payment_date]] &gt; payments_raw[[#This Row],[sub_end_date]]), 1, 0)</f>
        <v>0</v>
      </c>
      <c r="J1007" s="2">
        <f>IF(payments_raw[[#This Row],[amount]] &lt;= 0, 1, 0)</f>
        <v>0</v>
      </c>
      <c r="K10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8" spans="1:11" x14ac:dyDescent="0.3">
      <c r="A1008">
        <v>52715309</v>
      </c>
      <c r="B1008">
        <v>1546929</v>
      </c>
      <c r="C1008" s="1">
        <v>45566</v>
      </c>
      <c r="D1008">
        <v>39</v>
      </c>
      <c r="E1008">
        <f>IF(
  ISNA(
    _xlfn.XLOOKUP(
      payments_raw[[#This Row],[subscription_id]],
      subscriptions[subscription_id],
      subscriptions[subscription_id]
    )
  ),
  0,
  1
)</f>
        <v>1</v>
      </c>
      <c r="F1008" s="1">
        <f>_xlfn.XLOOKUP(payments_raw[[#This Row],[subscription_id]], subscriptions[subscription_id], subscriptions[start_date])</f>
        <v>44869</v>
      </c>
      <c r="G10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08" s="2">
        <f>IF(payments_raw[[#This Row],[payment_date]] &lt; payments_raw[[#This Row],[sub_start_date]], 1, 0)</f>
        <v>0</v>
      </c>
      <c r="I1008" s="2">
        <f>IF(AND(payments_raw[[#This Row],[sub_end_date]]&lt;&gt;"", payments_raw[[#This Row],[payment_date]] &gt; payments_raw[[#This Row],[sub_end_date]]), 1, 0)</f>
        <v>0</v>
      </c>
      <c r="J1008" s="2">
        <f>IF(payments_raw[[#This Row],[amount]] &lt;= 0, 1, 0)</f>
        <v>0</v>
      </c>
      <c r="K10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09" spans="1:11" x14ac:dyDescent="0.3">
      <c r="A1009">
        <v>63498334</v>
      </c>
      <c r="B1009">
        <v>3967808</v>
      </c>
      <c r="C1009" s="1">
        <v>45553</v>
      </c>
      <c r="D1009">
        <v>299</v>
      </c>
      <c r="E1009">
        <f>IF(
  ISNA(
    _xlfn.XLOOKUP(
      payments_raw[[#This Row],[subscription_id]],
      subscriptions[subscription_id],
      subscriptions[subscription_id]
    )
  ),
  0,
  1
)</f>
        <v>1</v>
      </c>
      <c r="F1009" s="1">
        <f>_xlfn.XLOOKUP(payments_raw[[#This Row],[subscription_id]], subscriptions[subscription_id], subscriptions[start_date])</f>
        <v>44895</v>
      </c>
      <c r="G10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09" s="2">
        <f>IF(payments_raw[[#This Row],[payment_date]] &lt; payments_raw[[#This Row],[sub_start_date]], 1, 0)</f>
        <v>0</v>
      </c>
      <c r="I1009" s="2">
        <f>IF(AND(payments_raw[[#This Row],[sub_end_date]]&lt;&gt;"", payments_raw[[#This Row],[payment_date]] &gt; payments_raw[[#This Row],[sub_end_date]]), 1, 0)</f>
        <v>0</v>
      </c>
      <c r="J1009" s="2">
        <f>IF(payments_raw[[#This Row],[amount]] &lt;= 0, 1, 0)</f>
        <v>0</v>
      </c>
      <c r="K10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0" spans="1:11" x14ac:dyDescent="0.3">
      <c r="A1010">
        <v>93912944</v>
      </c>
      <c r="B1010">
        <v>3071382</v>
      </c>
      <c r="C1010" s="1">
        <v>45243</v>
      </c>
      <c r="D1010">
        <v>299</v>
      </c>
      <c r="E1010">
        <f>IF(
  ISNA(
    _xlfn.XLOOKUP(
      payments_raw[[#This Row],[subscription_id]],
      subscriptions[subscription_id],
      subscriptions[subscription_id]
    )
  ),
  0,
  1
)</f>
        <v>1</v>
      </c>
      <c r="F1010" s="1">
        <f>_xlfn.XLOOKUP(payments_raw[[#This Row],[subscription_id]], subscriptions[subscription_id], subscriptions[start_date])</f>
        <v>45122</v>
      </c>
      <c r="G10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45513</v>
      </c>
      <c r="H1010" s="2">
        <f>IF(payments_raw[[#This Row],[payment_date]] &lt; payments_raw[[#This Row],[sub_start_date]], 1, 0)</f>
        <v>0</v>
      </c>
      <c r="I1010" s="2">
        <f>IF(AND(payments_raw[[#This Row],[sub_end_date]]&lt;&gt;"", payments_raw[[#This Row],[payment_date]] &gt; payments_raw[[#This Row],[sub_end_date]]), 1, 0)</f>
        <v>0</v>
      </c>
      <c r="J1010" s="2">
        <f>IF(payments_raw[[#This Row],[amount]] &lt;= 0, 1, 0)</f>
        <v>0</v>
      </c>
      <c r="K10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1" spans="1:11" x14ac:dyDescent="0.3">
      <c r="A1011">
        <v>46148486</v>
      </c>
      <c r="B1011">
        <v>9089526</v>
      </c>
      <c r="C1011" s="1">
        <v>45572</v>
      </c>
      <c r="D1011">
        <v>111.75</v>
      </c>
      <c r="E1011">
        <f>IF(
  ISNA(
    _xlfn.XLOOKUP(
      payments_raw[[#This Row],[subscription_id]],
      subscriptions[subscription_id],
      subscriptions[subscription_id]
    )
  ),
  0,
  1
)</f>
        <v>1</v>
      </c>
      <c r="F1011" s="1">
        <f>_xlfn.XLOOKUP(payments_raw[[#This Row],[subscription_id]], subscriptions[subscription_id], subscriptions[start_date])</f>
        <v>44668</v>
      </c>
      <c r="G10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11" s="2">
        <f>IF(payments_raw[[#This Row],[payment_date]] &lt; payments_raw[[#This Row],[sub_start_date]], 1, 0)</f>
        <v>0</v>
      </c>
      <c r="I1011" s="2">
        <f>IF(AND(payments_raw[[#This Row],[sub_end_date]]&lt;&gt;"", payments_raw[[#This Row],[payment_date]] &gt; payments_raw[[#This Row],[sub_end_date]]), 1, 0)</f>
        <v>0</v>
      </c>
      <c r="J1011" s="2">
        <f>IF(payments_raw[[#This Row],[amount]] &lt;= 0, 1, 0)</f>
        <v>0</v>
      </c>
      <c r="K10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2" spans="1:11" x14ac:dyDescent="0.3">
      <c r="A1012">
        <v>62365641</v>
      </c>
      <c r="B1012">
        <v>3864666</v>
      </c>
      <c r="C1012" s="1">
        <v>45310</v>
      </c>
      <c r="D1012">
        <v>790</v>
      </c>
      <c r="E1012">
        <f>IF(
  ISNA(
    _xlfn.XLOOKUP(
      payments_raw[[#This Row],[subscription_id]],
      subscriptions[subscription_id],
      subscriptions[subscription_id]
    )
  ),
  0,
  1
)</f>
        <v>1</v>
      </c>
      <c r="F1012" s="1">
        <f>_xlfn.XLOOKUP(payments_raw[[#This Row],[subscription_id]], subscriptions[subscription_id], subscriptions[start_date])</f>
        <v>45213</v>
      </c>
      <c r="G10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45442</v>
      </c>
      <c r="H1012" s="2">
        <f>IF(payments_raw[[#This Row],[payment_date]] &lt; payments_raw[[#This Row],[sub_start_date]], 1, 0)</f>
        <v>0</v>
      </c>
      <c r="I1012" s="2">
        <f>IF(AND(payments_raw[[#This Row],[sub_end_date]]&lt;&gt;"", payments_raw[[#This Row],[payment_date]] &gt; payments_raw[[#This Row],[sub_end_date]]), 1, 0)</f>
        <v>0</v>
      </c>
      <c r="J1012" s="2">
        <f>IF(payments_raw[[#This Row],[amount]] &lt;= 0, 1, 0)</f>
        <v>0</v>
      </c>
      <c r="K10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3" spans="1:11" x14ac:dyDescent="0.3">
      <c r="A1013">
        <v>54543767</v>
      </c>
      <c r="B1013">
        <v>9310719</v>
      </c>
      <c r="C1013" s="1">
        <v>44775</v>
      </c>
      <c r="D1013">
        <v>79</v>
      </c>
      <c r="E1013">
        <f>IF(
  ISNA(
    _xlfn.XLOOKUP(
      payments_raw[[#This Row],[subscription_id]],
      subscriptions[subscription_id],
      subscriptions[subscription_id]
    )
  ),
  0,
  1
)</f>
        <v>1</v>
      </c>
      <c r="F1013" s="1">
        <f>_xlfn.XLOOKUP(payments_raw[[#This Row],[subscription_id]], subscriptions[subscription_id], subscriptions[start_date])</f>
        <v>44600</v>
      </c>
      <c r="G101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44826</v>
      </c>
      <c r="H1013" s="2">
        <f>IF(payments_raw[[#This Row],[payment_date]] &lt; payments_raw[[#This Row],[sub_start_date]], 1, 0)</f>
        <v>0</v>
      </c>
      <c r="I1013" s="2">
        <f>IF(AND(payments_raw[[#This Row],[sub_end_date]]&lt;&gt;"", payments_raw[[#This Row],[payment_date]] &gt; payments_raw[[#This Row],[sub_end_date]]), 1, 0)</f>
        <v>0</v>
      </c>
      <c r="J1013" s="2">
        <f>IF(payments_raw[[#This Row],[amount]] &lt;= 0, 1, 0)</f>
        <v>0</v>
      </c>
      <c r="K10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4" spans="1:11" x14ac:dyDescent="0.3">
      <c r="A1014">
        <v>15142659</v>
      </c>
      <c r="B1014">
        <v>8776527</v>
      </c>
      <c r="C1014" s="1">
        <v>45321</v>
      </c>
      <c r="D1014">
        <v>149</v>
      </c>
      <c r="E1014">
        <f>IF(
  ISNA(
    _xlfn.XLOOKUP(
      payments_raw[[#This Row],[subscription_id]],
      subscriptions[subscription_id],
      subscriptions[subscription_id]
    )
  ),
  0,
  1
)</f>
        <v>1</v>
      </c>
      <c r="F1014" s="1">
        <f>_xlfn.XLOOKUP(payments_raw[[#This Row],[subscription_id]], subscriptions[subscription_id], subscriptions[start_date])</f>
        <v>45306</v>
      </c>
      <c r="G10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14" s="2">
        <f>IF(payments_raw[[#This Row],[payment_date]] &lt; payments_raw[[#This Row],[sub_start_date]], 1, 0)</f>
        <v>0</v>
      </c>
      <c r="I1014" s="2">
        <f>IF(AND(payments_raw[[#This Row],[sub_end_date]]&lt;&gt;"", payments_raw[[#This Row],[payment_date]] &gt; payments_raw[[#This Row],[sub_end_date]]), 1, 0)</f>
        <v>0</v>
      </c>
      <c r="J1014" s="2">
        <f>IF(payments_raw[[#This Row],[amount]] &lt;= 0, 1, 0)</f>
        <v>0</v>
      </c>
      <c r="K10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5" spans="1:11" x14ac:dyDescent="0.3">
      <c r="A1015">
        <v>32537795</v>
      </c>
      <c r="B1015">
        <v>2321455</v>
      </c>
      <c r="C1015" s="1">
        <v>45324</v>
      </c>
      <c r="D1015">
        <v>190</v>
      </c>
      <c r="E1015">
        <f>IF(
  ISNA(
    _xlfn.XLOOKUP(
      payments_raw[[#This Row],[subscription_id]],
      subscriptions[subscription_id],
      subscriptions[subscription_id]
    )
  ),
  0,
  1
)</f>
        <v>1</v>
      </c>
      <c r="F1015" s="1">
        <f>_xlfn.XLOOKUP(payments_raw[[#This Row],[subscription_id]], subscriptions[subscription_id], subscriptions[start_date])</f>
        <v>45253</v>
      </c>
      <c r="G10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45437</v>
      </c>
      <c r="H1015" s="2">
        <f>IF(payments_raw[[#This Row],[payment_date]] &lt; payments_raw[[#This Row],[sub_start_date]], 1, 0)</f>
        <v>0</v>
      </c>
      <c r="I1015" s="2">
        <f>IF(AND(payments_raw[[#This Row],[sub_end_date]]&lt;&gt;"", payments_raw[[#This Row],[payment_date]] &gt; payments_raw[[#This Row],[sub_end_date]]), 1, 0)</f>
        <v>0</v>
      </c>
      <c r="J1015" s="2">
        <f>IF(payments_raw[[#This Row],[amount]] &lt;= 0, 1, 0)</f>
        <v>0</v>
      </c>
      <c r="K10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6" spans="1:11" x14ac:dyDescent="0.3">
      <c r="A1016">
        <v>33609865</v>
      </c>
      <c r="B1016">
        <v>2586848</v>
      </c>
      <c r="C1016" s="1">
        <v>45070</v>
      </c>
      <c r="D1016">
        <v>299</v>
      </c>
      <c r="E1016">
        <f>IF(
  ISNA(
    _xlfn.XLOOKUP(
      payments_raw[[#This Row],[subscription_id]],
      subscriptions[subscription_id],
      subscriptions[subscription_id]
    )
  ),
  0,
  1
)</f>
        <v>1</v>
      </c>
      <c r="F1016" s="1">
        <f>_xlfn.XLOOKUP(payments_raw[[#This Row],[subscription_id]], subscriptions[subscription_id], subscriptions[start_date])</f>
        <v>45027</v>
      </c>
      <c r="G10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45113</v>
      </c>
      <c r="H1016" s="2">
        <f>IF(payments_raw[[#This Row],[payment_date]] &lt; payments_raw[[#This Row],[sub_start_date]], 1, 0)</f>
        <v>0</v>
      </c>
      <c r="I1016" s="2">
        <f>IF(AND(payments_raw[[#This Row],[sub_end_date]]&lt;&gt;"", payments_raw[[#This Row],[payment_date]] &gt; payments_raw[[#This Row],[sub_end_date]]), 1, 0)</f>
        <v>0</v>
      </c>
      <c r="J1016" s="2">
        <f>IF(payments_raw[[#This Row],[amount]] &lt;= 0, 1, 0)</f>
        <v>0</v>
      </c>
      <c r="K10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7" spans="1:11" x14ac:dyDescent="0.3">
      <c r="A1017">
        <v>46013628</v>
      </c>
      <c r="B1017">
        <v>7692147</v>
      </c>
      <c r="C1017" s="1">
        <v>44898</v>
      </c>
      <c r="D1017">
        <v>1490</v>
      </c>
      <c r="E1017">
        <f>IF(
  ISNA(
    _xlfn.XLOOKUP(
      payments_raw[[#This Row],[subscription_id]],
      subscriptions[subscription_id],
      subscriptions[subscription_id]
    )
  ),
  0,
  1
)</f>
        <v>1</v>
      </c>
      <c r="F1017" s="1">
        <f>_xlfn.XLOOKUP(payments_raw[[#This Row],[subscription_id]], subscriptions[subscription_id], subscriptions[start_date])</f>
        <v>44834</v>
      </c>
      <c r="G101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1017" s="2">
        <f>IF(payments_raw[[#This Row],[payment_date]] &lt; payments_raw[[#This Row],[sub_start_date]], 1, 0)</f>
        <v>0</v>
      </c>
      <c r="I1017" s="2">
        <f>IF(AND(payments_raw[[#This Row],[sub_end_date]]&lt;&gt;"", payments_raw[[#This Row],[payment_date]] &gt; payments_raw[[#This Row],[sub_end_date]]), 1, 0)</f>
        <v>0</v>
      </c>
      <c r="J1017" s="2">
        <f>IF(payments_raw[[#This Row],[amount]] &lt;= 0, 1, 0)</f>
        <v>0</v>
      </c>
      <c r="K10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8" spans="1:11" x14ac:dyDescent="0.3">
      <c r="A1018">
        <v>80274372</v>
      </c>
      <c r="B1018">
        <v>5812771</v>
      </c>
      <c r="C1018" s="1">
        <v>45019</v>
      </c>
      <c r="D1018">
        <v>149</v>
      </c>
      <c r="E1018">
        <f>IF(
  ISNA(
    _xlfn.XLOOKUP(
      payments_raw[[#This Row],[subscription_id]],
      subscriptions[subscription_id],
      subscriptions[subscription_id]
    )
  ),
  0,
  1
)</f>
        <v>1</v>
      </c>
      <c r="F1018" s="1">
        <f>_xlfn.XLOOKUP(payments_raw[[#This Row],[subscription_id]], subscriptions[subscription_id], subscriptions[start_date])</f>
        <v>44919</v>
      </c>
      <c r="G10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1018" s="2">
        <f>IF(payments_raw[[#This Row],[payment_date]] &lt; payments_raw[[#This Row],[sub_start_date]], 1, 0)</f>
        <v>0</v>
      </c>
      <c r="I1018" s="2">
        <f>IF(AND(payments_raw[[#This Row],[sub_end_date]]&lt;&gt;"", payments_raw[[#This Row],[payment_date]] &gt; payments_raw[[#This Row],[sub_end_date]]), 1, 0)</f>
        <v>0</v>
      </c>
      <c r="J1018" s="2">
        <f>IF(payments_raw[[#This Row],[amount]] &lt;= 0, 1, 0)</f>
        <v>0</v>
      </c>
      <c r="K10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19" spans="1:11" x14ac:dyDescent="0.3">
      <c r="A1019">
        <v>62890778</v>
      </c>
      <c r="B1019">
        <v>6882321</v>
      </c>
      <c r="C1019" s="1">
        <v>45562</v>
      </c>
      <c r="D1019">
        <v>39</v>
      </c>
      <c r="E1019">
        <f>IF(
  ISNA(
    _xlfn.XLOOKUP(
      payments_raw[[#This Row],[subscription_id]],
      subscriptions[subscription_id],
      subscriptions[subscription_id]
    )
  ),
  0,
  1
)</f>
        <v>1</v>
      </c>
      <c r="F1019" s="1">
        <f>_xlfn.XLOOKUP(payments_raw[[#This Row],[subscription_id]], subscriptions[subscription_id], subscriptions[start_date])</f>
        <v>45512</v>
      </c>
      <c r="G10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19" s="2">
        <f>IF(payments_raw[[#This Row],[payment_date]] &lt; payments_raw[[#This Row],[sub_start_date]], 1, 0)</f>
        <v>0</v>
      </c>
      <c r="I1019" s="2">
        <f>IF(AND(payments_raw[[#This Row],[sub_end_date]]&lt;&gt;"", payments_raw[[#This Row],[payment_date]] &gt; payments_raw[[#This Row],[sub_end_date]]), 1, 0)</f>
        <v>0</v>
      </c>
      <c r="J1019" s="2">
        <f>IF(payments_raw[[#This Row],[amount]] &lt;= 0, 1, 0)</f>
        <v>0</v>
      </c>
      <c r="K10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0" spans="1:11" x14ac:dyDescent="0.3">
      <c r="A1020">
        <v>92059030</v>
      </c>
      <c r="B1020">
        <v>8110722</v>
      </c>
      <c r="C1020" s="1">
        <v>45584</v>
      </c>
      <c r="D1020">
        <v>299</v>
      </c>
      <c r="E1020">
        <f>IF(
  ISNA(
    _xlfn.XLOOKUP(
      payments_raw[[#This Row],[subscription_id]],
      subscriptions[subscription_id],
      subscriptions[subscription_id]
    )
  ),
  0,
  1
)</f>
        <v>1</v>
      </c>
      <c r="F1020" s="1">
        <f>_xlfn.XLOOKUP(payments_raw[[#This Row],[subscription_id]], subscriptions[subscription_id], subscriptions[start_date])</f>
        <v>45547</v>
      </c>
      <c r="G10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020" s="2">
        <f>IF(payments_raw[[#This Row],[payment_date]] &lt; payments_raw[[#This Row],[sub_start_date]], 1, 0)</f>
        <v>0</v>
      </c>
      <c r="I1020" s="2">
        <f>IF(AND(payments_raw[[#This Row],[sub_end_date]]&lt;&gt;"", payments_raw[[#This Row],[payment_date]] &gt; payments_raw[[#This Row],[sub_end_date]]), 1, 0)</f>
        <v>0</v>
      </c>
      <c r="J1020" s="2">
        <f>IF(payments_raw[[#This Row],[amount]] &lt;= 0, 1, 0)</f>
        <v>0</v>
      </c>
      <c r="K10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1" spans="1:11" x14ac:dyDescent="0.3">
      <c r="A1021">
        <v>43101419</v>
      </c>
      <c r="B1021">
        <v>3472414</v>
      </c>
      <c r="C1021" s="1">
        <v>45218</v>
      </c>
      <c r="D1021">
        <v>299</v>
      </c>
      <c r="E1021">
        <f>IF(
  ISNA(
    _xlfn.XLOOKUP(
      payments_raw[[#This Row],[subscription_id]],
      subscriptions[subscription_id],
      subscriptions[subscription_id]
    )
  ),
  0,
  1
)</f>
        <v>1</v>
      </c>
      <c r="F1021" s="1">
        <f>_xlfn.XLOOKUP(payments_raw[[#This Row],[subscription_id]], subscriptions[subscription_id], subscriptions[start_date])</f>
        <v>45082</v>
      </c>
      <c r="G10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21" s="2">
        <f>IF(payments_raw[[#This Row],[payment_date]] &lt; payments_raw[[#This Row],[sub_start_date]], 1, 0)</f>
        <v>0</v>
      </c>
      <c r="I1021" s="2">
        <f>IF(AND(payments_raw[[#This Row],[sub_end_date]]&lt;&gt;"", payments_raw[[#This Row],[payment_date]] &gt; payments_raw[[#This Row],[sub_end_date]]), 1, 0)</f>
        <v>0</v>
      </c>
      <c r="J1021" s="2">
        <f>IF(payments_raw[[#This Row],[amount]] &lt;= 0, 1, 0)</f>
        <v>0</v>
      </c>
      <c r="K10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2" spans="1:11" x14ac:dyDescent="0.3">
      <c r="A1022">
        <v>87316551</v>
      </c>
      <c r="B1022">
        <v>6983579</v>
      </c>
      <c r="C1022" s="1">
        <v>45277</v>
      </c>
      <c r="D1022">
        <v>19</v>
      </c>
      <c r="E1022">
        <f>IF(
  ISNA(
    _xlfn.XLOOKUP(
      payments_raw[[#This Row],[subscription_id]],
      subscriptions[subscription_id],
      subscriptions[subscription_id]
    )
  ),
  0,
  1
)</f>
        <v>1</v>
      </c>
      <c r="F1022" s="1">
        <f>_xlfn.XLOOKUP(payments_raw[[#This Row],[subscription_id]], subscriptions[subscription_id], subscriptions[start_date])</f>
        <v>45140</v>
      </c>
      <c r="G10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1022" s="2">
        <f>IF(payments_raw[[#This Row],[payment_date]] &lt; payments_raw[[#This Row],[sub_start_date]], 1, 0)</f>
        <v>0</v>
      </c>
      <c r="I1022" s="2">
        <f>IF(AND(payments_raw[[#This Row],[sub_end_date]]&lt;&gt;"", payments_raw[[#This Row],[payment_date]] &gt; payments_raw[[#This Row],[sub_end_date]]), 1, 0)</f>
        <v>0</v>
      </c>
      <c r="J1022" s="2">
        <f>IF(payments_raw[[#This Row],[amount]] &lt;= 0, 1, 0)</f>
        <v>0</v>
      </c>
      <c r="K10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3" spans="1:11" x14ac:dyDescent="0.3">
      <c r="A1023">
        <v>39822796</v>
      </c>
      <c r="B1023">
        <v>2728894</v>
      </c>
      <c r="C1023" s="1">
        <v>44842</v>
      </c>
      <c r="D1023">
        <v>19</v>
      </c>
      <c r="E1023">
        <f>IF(
  ISNA(
    _xlfn.XLOOKUP(
      payments_raw[[#This Row],[subscription_id]],
      subscriptions[subscription_id],
      subscriptions[subscription_id]
    )
  ),
  0,
  1
)</f>
        <v>1</v>
      </c>
      <c r="F1023" s="1">
        <f>_xlfn.XLOOKUP(payments_raw[[#This Row],[subscription_id]], subscriptions[subscription_id], subscriptions[start_date])</f>
        <v>44743</v>
      </c>
      <c r="G10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45081</v>
      </c>
      <c r="H1023" s="2">
        <f>IF(payments_raw[[#This Row],[payment_date]] &lt; payments_raw[[#This Row],[sub_start_date]], 1, 0)</f>
        <v>0</v>
      </c>
      <c r="I1023" s="2">
        <f>IF(AND(payments_raw[[#This Row],[sub_end_date]]&lt;&gt;"", payments_raw[[#This Row],[payment_date]] &gt; payments_raw[[#This Row],[sub_end_date]]), 1, 0)</f>
        <v>0</v>
      </c>
      <c r="J1023" s="2">
        <f>IF(payments_raw[[#This Row],[amount]] &lt;= 0, 1, 0)</f>
        <v>0</v>
      </c>
      <c r="K10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4" spans="1:11" x14ac:dyDescent="0.3">
      <c r="A1024">
        <v>86852328</v>
      </c>
      <c r="B1024">
        <v>3029740</v>
      </c>
      <c r="C1024" s="1">
        <v>44821</v>
      </c>
      <c r="D1024">
        <v>19</v>
      </c>
      <c r="E1024">
        <f>IF(
  ISNA(
    _xlfn.XLOOKUP(
      payments_raw[[#This Row],[subscription_id]],
      subscriptions[subscription_id],
      subscriptions[subscription_id]
    )
  ),
  0,
  1
)</f>
        <v>1</v>
      </c>
      <c r="F1024" s="1">
        <f>_xlfn.XLOOKUP(payments_raw[[#This Row],[subscription_id]], subscriptions[subscription_id], subscriptions[start_date])</f>
        <v>44610</v>
      </c>
      <c r="G10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24" s="2">
        <f>IF(payments_raw[[#This Row],[payment_date]] &lt; payments_raw[[#This Row],[sub_start_date]], 1, 0)</f>
        <v>0</v>
      </c>
      <c r="I1024" s="2">
        <f>IF(AND(payments_raw[[#This Row],[sub_end_date]]&lt;&gt;"", payments_raw[[#This Row],[payment_date]] &gt; payments_raw[[#This Row],[sub_end_date]]), 1, 0)</f>
        <v>0</v>
      </c>
      <c r="J1024" s="2">
        <f>IF(payments_raw[[#This Row],[amount]] &lt;= 0, 1, 0)</f>
        <v>0</v>
      </c>
      <c r="K10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5" spans="1:11" x14ac:dyDescent="0.3">
      <c r="A1025">
        <v>32068284</v>
      </c>
      <c r="B1025">
        <v>2443147</v>
      </c>
      <c r="C1025" s="1">
        <v>44744</v>
      </c>
      <c r="D1025">
        <v>134.1</v>
      </c>
      <c r="E1025">
        <f>IF(
  ISNA(
    _xlfn.XLOOKUP(
      payments_raw[[#This Row],[subscription_id]],
      subscriptions[subscription_id],
      subscriptions[subscription_id]
    )
  ),
  0,
  1
)</f>
        <v>1</v>
      </c>
      <c r="F1025" s="1">
        <f>_xlfn.XLOOKUP(payments_raw[[#This Row],[subscription_id]], subscriptions[subscription_id], subscriptions[start_date])</f>
        <v>44611</v>
      </c>
      <c r="G102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1025" s="2">
        <f>IF(payments_raw[[#This Row],[payment_date]] &lt; payments_raw[[#This Row],[sub_start_date]], 1, 0)</f>
        <v>0</v>
      </c>
      <c r="I1025" s="2">
        <f>IF(AND(payments_raw[[#This Row],[sub_end_date]]&lt;&gt;"", payments_raw[[#This Row],[payment_date]] &gt; payments_raw[[#This Row],[sub_end_date]]), 1, 0)</f>
        <v>0</v>
      </c>
      <c r="J1025" s="2">
        <f>IF(payments_raw[[#This Row],[amount]] &lt;= 0, 1, 0)</f>
        <v>0</v>
      </c>
      <c r="K10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6" spans="1:11" x14ac:dyDescent="0.3">
      <c r="A1026">
        <v>54007398</v>
      </c>
      <c r="B1026">
        <v>3485367</v>
      </c>
      <c r="C1026" s="1">
        <v>45177</v>
      </c>
      <c r="D1026">
        <v>19</v>
      </c>
      <c r="E1026">
        <f>IF(
  ISNA(
    _xlfn.XLOOKUP(
      payments_raw[[#This Row],[subscription_id]],
      subscriptions[subscription_id],
      subscriptions[subscription_id]
    )
  ),
  0,
  1
)</f>
        <v>1</v>
      </c>
      <c r="F1026" s="1">
        <f>_xlfn.XLOOKUP(payments_raw[[#This Row],[subscription_id]], subscriptions[subscription_id], subscriptions[start_date])</f>
        <v>45130</v>
      </c>
      <c r="G10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1026" s="2">
        <f>IF(payments_raw[[#This Row],[payment_date]] &lt; payments_raw[[#This Row],[sub_start_date]], 1, 0)</f>
        <v>0</v>
      </c>
      <c r="I1026" s="2">
        <f>IF(AND(payments_raw[[#This Row],[sub_end_date]]&lt;&gt;"", payments_raw[[#This Row],[payment_date]] &gt; payments_raw[[#This Row],[sub_end_date]]), 1, 0)</f>
        <v>0</v>
      </c>
      <c r="J1026" s="2">
        <f>IF(payments_raw[[#This Row],[amount]] &lt;= 0, 1, 0)</f>
        <v>0</v>
      </c>
      <c r="K10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7" spans="1:11" x14ac:dyDescent="0.3">
      <c r="A1027">
        <v>55350551</v>
      </c>
      <c r="B1027">
        <v>9714808</v>
      </c>
      <c r="C1027" s="1">
        <v>45409</v>
      </c>
      <c r="D1027">
        <v>79</v>
      </c>
      <c r="E1027">
        <f>IF(
  ISNA(
    _xlfn.XLOOKUP(
      payments_raw[[#This Row],[subscription_id]],
      subscriptions[subscription_id],
      subscriptions[subscription_id]
    )
  ),
  0,
  1
)</f>
        <v>1</v>
      </c>
      <c r="F1027" s="1">
        <f>_xlfn.XLOOKUP(payments_raw[[#This Row],[subscription_id]], subscriptions[subscription_id], subscriptions[start_date])</f>
        <v>45162</v>
      </c>
      <c r="G10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45419</v>
      </c>
      <c r="H1027" s="2">
        <f>IF(payments_raw[[#This Row],[payment_date]] &lt; payments_raw[[#This Row],[sub_start_date]], 1, 0)</f>
        <v>0</v>
      </c>
      <c r="I1027" s="2">
        <f>IF(AND(payments_raw[[#This Row],[sub_end_date]]&lt;&gt;"", payments_raw[[#This Row],[payment_date]] &gt; payments_raw[[#This Row],[sub_end_date]]), 1, 0)</f>
        <v>0</v>
      </c>
      <c r="J1027" s="2">
        <f>IF(payments_raw[[#This Row],[amount]] &lt;= 0, 1, 0)</f>
        <v>0</v>
      </c>
      <c r="K10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8" spans="1:11" x14ac:dyDescent="0.3">
      <c r="A1028">
        <v>56083747</v>
      </c>
      <c r="B1028">
        <v>1490260</v>
      </c>
      <c r="C1028" s="1">
        <v>44989</v>
      </c>
      <c r="D1028">
        <v>2990</v>
      </c>
      <c r="E1028">
        <f>IF(
  ISNA(
    _xlfn.XLOOKUP(
      payments_raw[[#This Row],[subscription_id]],
      subscriptions[subscription_id],
      subscriptions[subscription_id]
    )
  ),
  0,
  1
)</f>
        <v>1</v>
      </c>
      <c r="F1028" s="1">
        <f>_xlfn.XLOOKUP(payments_raw[[#This Row],[subscription_id]], subscriptions[subscription_id], subscriptions[start_date])</f>
        <v>44890</v>
      </c>
      <c r="G10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45087</v>
      </c>
      <c r="H1028" s="2">
        <f>IF(payments_raw[[#This Row],[payment_date]] &lt; payments_raw[[#This Row],[sub_start_date]], 1, 0)</f>
        <v>0</v>
      </c>
      <c r="I1028" s="2">
        <f>IF(AND(payments_raw[[#This Row],[sub_end_date]]&lt;&gt;"", payments_raw[[#This Row],[payment_date]] &gt; payments_raw[[#This Row],[sub_end_date]]), 1, 0)</f>
        <v>0</v>
      </c>
      <c r="J1028" s="2">
        <f>IF(payments_raw[[#This Row],[amount]] &lt;= 0, 1, 0)</f>
        <v>0</v>
      </c>
      <c r="K10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29" spans="1:11" x14ac:dyDescent="0.3">
      <c r="A1029">
        <v>87234743</v>
      </c>
      <c r="B1029">
        <v>9927688</v>
      </c>
      <c r="C1029" s="1">
        <v>44943</v>
      </c>
      <c r="D1029">
        <v>390</v>
      </c>
      <c r="E1029">
        <f>IF(
  ISNA(
    _xlfn.XLOOKUP(
      payments_raw[[#This Row],[subscription_id]],
      subscriptions[subscription_id],
      subscriptions[subscription_id]
    )
  ),
  0,
  1
)</f>
        <v>1</v>
      </c>
      <c r="F1029" s="1">
        <f>_xlfn.XLOOKUP(payments_raw[[#This Row],[subscription_id]], subscriptions[subscription_id], subscriptions[start_date])</f>
        <v>44768</v>
      </c>
      <c r="G10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29" s="2">
        <f>IF(payments_raw[[#This Row],[payment_date]] &lt; payments_raw[[#This Row],[sub_start_date]], 1, 0)</f>
        <v>0</v>
      </c>
      <c r="I1029" s="2">
        <f>IF(AND(payments_raw[[#This Row],[sub_end_date]]&lt;&gt;"", payments_raw[[#This Row],[payment_date]] &gt; payments_raw[[#This Row],[sub_end_date]]), 1, 0)</f>
        <v>0</v>
      </c>
      <c r="J1029" s="2">
        <f>IF(payments_raw[[#This Row],[amount]] &lt;= 0, 1, 0)</f>
        <v>0</v>
      </c>
      <c r="K10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0" spans="1:11" x14ac:dyDescent="0.3">
      <c r="A1030">
        <v>89070916</v>
      </c>
      <c r="B1030">
        <v>3007261</v>
      </c>
      <c r="C1030" s="1">
        <v>45035</v>
      </c>
      <c r="D1030">
        <v>299</v>
      </c>
      <c r="E1030">
        <f>IF(
  ISNA(
    _xlfn.XLOOKUP(
      payments_raw[[#This Row],[subscription_id]],
      subscriptions[subscription_id],
      subscriptions[subscription_id]
    )
  ),
  0,
  1
)</f>
        <v>1</v>
      </c>
      <c r="F1030" s="1">
        <f>_xlfn.XLOOKUP(payments_raw[[#This Row],[subscription_id]], subscriptions[subscription_id], subscriptions[start_date])</f>
        <v>45021</v>
      </c>
      <c r="G10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1030" s="2">
        <f>IF(payments_raw[[#This Row],[payment_date]] &lt; payments_raw[[#This Row],[sub_start_date]], 1, 0)</f>
        <v>0</v>
      </c>
      <c r="I1030" s="2">
        <f>IF(AND(payments_raw[[#This Row],[sub_end_date]]&lt;&gt;"", payments_raw[[#This Row],[payment_date]] &gt; payments_raw[[#This Row],[sub_end_date]]), 1, 0)</f>
        <v>0</v>
      </c>
      <c r="J1030" s="2">
        <f>IF(payments_raw[[#This Row],[amount]] &lt;= 0, 1, 0)</f>
        <v>0</v>
      </c>
      <c r="K10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1" spans="1:11" x14ac:dyDescent="0.3">
      <c r="A1031">
        <v>39832632</v>
      </c>
      <c r="B1031">
        <v>8191191</v>
      </c>
      <c r="C1031" s="1">
        <v>45422</v>
      </c>
      <c r="D1031">
        <v>790</v>
      </c>
      <c r="E1031">
        <f>IF(
  ISNA(
    _xlfn.XLOOKUP(
      payments_raw[[#This Row],[subscription_id]],
      subscriptions[subscription_id],
      subscriptions[subscription_id]
    )
  ),
  0,
  1
)</f>
        <v>1</v>
      </c>
      <c r="F1031" s="1">
        <f>_xlfn.XLOOKUP(payments_raw[[#This Row],[subscription_id]], subscriptions[subscription_id], subscriptions[start_date])</f>
        <v>45247</v>
      </c>
      <c r="G10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1" s="2">
        <f>IF(payments_raw[[#This Row],[payment_date]] &lt; payments_raw[[#This Row],[sub_start_date]], 1, 0)</f>
        <v>0</v>
      </c>
      <c r="I1031" s="2">
        <f>IF(AND(payments_raw[[#This Row],[sub_end_date]]&lt;&gt;"", payments_raw[[#This Row],[payment_date]] &gt; payments_raw[[#This Row],[sub_end_date]]), 1, 0)</f>
        <v>0</v>
      </c>
      <c r="J1031" s="2">
        <f>IF(payments_raw[[#This Row],[amount]] &lt;= 0, 1, 0)</f>
        <v>0</v>
      </c>
      <c r="K10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2" spans="1:11" x14ac:dyDescent="0.3">
      <c r="A1032">
        <v>59667523</v>
      </c>
      <c r="B1032">
        <v>8426297</v>
      </c>
      <c r="C1032" s="1">
        <v>45064</v>
      </c>
      <c r="D1032">
        <v>1490</v>
      </c>
      <c r="E1032">
        <f>IF(
  ISNA(
    _xlfn.XLOOKUP(
      payments_raw[[#This Row],[subscription_id]],
      subscriptions[subscription_id],
      subscriptions[subscription_id]
    )
  ),
  0,
  1
)</f>
        <v>1</v>
      </c>
      <c r="F1032" s="1">
        <f>_xlfn.XLOOKUP(payments_raw[[#This Row],[subscription_id]], subscriptions[subscription_id], subscriptions[start_date])</f>
        <v>44960</v>
      </c>
      <c r="G10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2" s="2">
        <f>IF(payments_raw[[#This Row],[payment_date]] &lt; payments_raw[[#This Row],[sub_start_date]], 1, 0)</f>
        <v>0</v>
      </c>
      <c r="I1032" s="2">
        <f>IF(AND(payments_raw[[#This Row],[sub_end_date]]&lt;&gt;"", payments_raw[[#This Row],[payment_date]] &gt; payments_raw[[#This Row],[sub_end_date]]), 1, 0)</f>
        <v>0</v>
      </c>
      <c r="J1032" s="2">
        <f>IF(payments_raw[[#This Row],[amount]] &lt;= 0, 1, 0)</f>
        <v>0</v>
      </c>
      <c r="K10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3" spans="1:11" x14ac:dyDescent="0.3">
      <c r="A1033">
        <v>77710326</v>
      </c>
      <c r="B1033">
        <v>7192680</v>
      </c>
      <c r="C1033" s="1">
        <v>45159</v>
      </c>
      <c r="D1033">
        <v>790</v>
      </c>
      <c r="E1033">
        <f>IF(
  ISNA(
    _xlfn.XLOOKUP(
      payments_raw[[#This Row],[subscription_id]],
      subscriptions[subscription_id],
      subscriptions[subscription_id]
    )
  ),
  0,
  1
)</f>
        <v>1</v>
      </c>
      <c r="F1033" s="1">
        <f>_xlfn.XLOOKUP(payments_raw[[#This Row],[subscription_id]], subscriptions[subscription_id], subscriptions[start_date])</f>
        <v>45105</v>
      </c>
      <c r="G10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1033" s="2">
        <f>IF(payments_raw[[#This Row],[payment_date]] &lt; payments_raw[[#This Row],[sub_start_date]], 1, 0)</f>
        <v>0</v>
      </c>
      <c r="I1033" s="2">
        <f>IF(AND(payments_raw[[#This Row],[sub_end_date]]&lt;&gt;"", payments_raw[[#This Row],[payment_date]] &gt; payments_raw[[#This Row],[sub_end_date]]), 1, 0)</f>
        <v>0</v>
      </c>
      <c r="J1033" s="2">
        <f>IF(payments_raw[[#This Row],[amount]] &lt;= 0, 1, 0)</f>
        <v>0</v>
      </c>
      <c r="K10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4" spans="1:11" x14ac:dyDescent="0.3">
      <c r="A1034">
        <v>62508567</v>
      </c>
      <c r="B1034">
        <v>5767876</v>
      </c>
      <c r="C1034" s="1">
        <v>45528</v>
      </c>
      <c r="D1034">
        <v>190</v>
      </c>
      <c r="E1034">
        <f>IF(
  ISNA(
    _xlfn.XLOOKUP(
      payments_raw[[#This Row],[subscription_id]],
      subscriptions[subscription_id],
      subscriptions[subscription_id]
    )
  ),
  0,
  1
)</f>
        <v>1</v>
      </c>
      <c r="F1034" s="1">
        <f>_xlfn.XLOOKUP(payments_raw[[#This Row],[subscription_id]], subscriptions[subscription_id], subscriptions[start_date])</f>
        <v>45434</v>
      </c>
      <c r="G10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4" s="2">
        <f>IF(payments_raw[[#This Row],[payment_date]] &lt; payments_raw[[#This Row],[sub_start_date]], 1, 0)</f>
        <v>0</v>
      </c>
      <c r="I1034" s="2">
        <f>IF(AND(payments_raw[[#This Row],[sub_end_date]]&lt;&gt;"", payments_raw[[#This Row],[payment_date]] &gt; payments_raw[[#This Row],[sub_end_date]]), 1, 0)</f>
        <v>0</v>
      </c>
      <c r="J1034" s="2">
        <f>IF(payments_raw[[#This Row],[amount]] &lt;= 0, 1, 0)</f>
        <v>0</v>
      </c>
      <c r="K10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5" spans="1:11" x14ac:dyDescent="0.3">
      <c r="A1035">
        <v>96680604</v>
      </c>
      <c r="B1035">
        <v>4046988</v>
      </c>
      <c r="C1035" s="1">
        <v>45371</v>
      </c>
      <c r="D1035">
        <v>79</v>
      </c>
      <c r="E1035">
        <f>IF(
  ISNA(
    _xlfn.XLOOKUP(
      payments_raw[[#This Row],[subscription_id]],
      subscriptions[subscription_id],
      subscriptions[subscription_id]
    )
  ),
  0,
  1
)</f>
        <v>1</v>
      </c>
      <c r="F1035" s="1">
        <f>_xlfn.XLOOKUP(payments_raw[[#This Row],[subscription_id]], subscriptions[subscription_id], subscriptions[start_date])</f>
        <v>45309</v>
      </c>
      <c r="G10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1035" s="2">
        <f>IF(payments_raw[[#This Row],[payment_date]] &lt; payments_raw[[#This Row],[sub_start_date]], 1, 0)</f>
        <v>0</v>
      </c>
      <c r="I1035" s="2">
        <f>IF(AND(payments_raw[[#This Row],[sub_end_date]]&lt;&gt;"", payments_raw[[#This Row],[payment_date]] &gt; payments_raw[[#This Row],[sub_end_date]]), 1, 0)</f>
        <v>0</v>
      </c>
      <c r="J1035" s="2">
        <f>IF(payments_raw[[#This Row],[amount]] &lt;= 0, 1, 0)</f>
        <v>0</v>
      </c>
      <c r="K10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6" spans="1:11" x14ac:dyDescent="0.3">
      <c r="A1036">
        <v>61845501</v>
      </c>
      <c r="B1036">
        <v>2817044</v>
      </c>
      <c r="C1036" s="1">
        <v>45631</v>
      </c>
      <c r="D1036">
        <v>790</v>
      </c>
      <c r="E1036">
        <f>IF(
  ISNA(
    _xlfn.XLOOKUP(
      payments_raw[[#This Row],[subscription_id]],
      subscriptions[subscription_id],
      subscriptions[subscription_id]
    )
  ),
  0,
  1
)</f>
        <v>1</v>
      </c>
      <c r="F1036" s="1">
        <f>_xlfn.XLOOKUP(payments_raw[[#This Row],[subscription_id]], subscriptions[subscription_id], subscriptions[start_date])</f>
        <v>45488</v>
      </c>
      <c r="G10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6" s="2">
        <f>IF(payments_raw[[#This Row],[payment_date]] &lt; payments_raw[[#This Row],[sub_start_date]], 1, 0)</f>
        <v>0</v>
      </c>
      <c r="I1036" s="2">
        <f>IF(AND(payments_raw[[#This Row],[sub_end_date]]&lt;&gt;"", payments_raw[[#This Row],[payment_date]] &gt; payments_raw[[#This Row],[sub_end_date]]), 1, 0)</f>
        <v>0</v>
      </c>
      <c r="J1036" s="2">
        <f>IF(payments_raw[[#This Row],[amount]] &lt;= 0, 1, 0)</f>
        <v>0</v>
      </c>
      <c r="K10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7" spans="1:11" x14ac:dyDescent="0.3">
      <c r="A1037">
        <v>91857225</v>
      </c>
      <c r="B1037">
        <v>2845328</v>
      </c>
      <c r="C1037" s="1">
        <v>45559</v>
      </c>
      <c r="D1037">
        <v>39</v>
      </c>
      <c r="E1037">
        <f>IF(
  ISNA(
    _xlfn.XLOOKUP(
      payments_raw[[#This Row],[subscription_id]],
      subscriptions[subscription_id],
      subscriptions[subscription_id]
    )
  ),
  0,
  1
)</f>
        <v>1</v>
      </c>
      <c r="F1037" s="1">
        <f>_xlfn.XLOOKUP(payments_raw[[#This Row],[subscription_id]], subscriptions[subscription_id], subscriptions[start_date])</f>
        <v>45395</v>
      </c>
      <c r="G10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7" s="2">
        <f>IF(payments_raw[[#This Row],[payment_date]] &lt; payments_raw[[#This Row],[sub_start_date]], 1, 0)</f>
        <v>0</v>
      </c>
      <c r="I1037" s="2">
        <f>IF(AND(payments_raw[[#This Row],[sub_end_date]]&lt;&gt;"", payments_raw[[#This Row],[payment_date]] &gt; payments_raw[[#This Row],[sub_end_date]]), 1, 0)</f>
        <v>0</v>
      </c>
      <c r="J1037" s="2">
        <f>IF(payments_raw[[#This Row],[amount]] &lt;= 0, 1, 0)</f>
        <v>0</v>
      </c>
      <c r="K10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8" spans="1:11" x14ac:dyDescent="0.3">
      <c r="A1038">
        <v>48561390</v>
      </c>
      <c r="B1038">
        <v>4158231</v>
      </c>
      <c r="C1038" s="1">
        <v>45225</v>
      </c>
      <c r="D1038">
        <v>299</v>
      </c>
      <c r="E1038">
        <f>IF(
  ISNA(
    _xlfn.XLOOKUP(
      payments_raw[[#This Row],[subscription_id]],
      subscriptions[subscription_id],
      subscriptions[subscription_id]
    )
  ),
  0,
  1
)</f>
        <v>1</v>
      </c>
      <c r="F1038" s="1">
        <f>_xlfn.XLOOKUP(payments_raw[[#This Row],[subscription_id]], subscriptions[subscription_id], subscriptions[start_date])</f>
        <v>45120</v>
      </c>
      <c r="G10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45240</v>
      </c>
      <c r="H1038" s="2">
        <f>IF(payments_raw[[#This Row],[payment_date]] &lt; payments_raw[[#This Row],[sub_start_date]], 1, 0)</f>
        <v>0</v>
      </c>
      <c r="I1038" s="2">
        <f>IF(AND(payments_raw[[#This Row],[sub_end_date]]&lt;&gt;"", payments_raw[[#This Row],[payment_date]] &gt; payments_raw[[#This Row],[sub_end_date]]), 1, 0)</f>
        <v>0</v>
      </c>
      <c r="J1038" s="2">
        <f>IF(payments_raw[[#This Row],[amount]] &lt;= 0, 1, 0)</f>
        <v>0</v>
      </c>
      <c r="K10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39" spans="1:11" x14ac:dyDescent="0.3">
      <c r="A1039">
        <v>11020367</v>
      </c>
      <c r="B1039">
        <v>6991611</v>
      </c>
      <c r="C1039" s="1">
        <v>45571</v>
      </c>
      <c r="D1039">
        <v>390</v>
      </c>
      <c r="E1039">
        <f>IF(
  ISNA(
    _xlfn.XLOOKUP(
      payments_raw[[#This Row],[subscription_id]],
      subscriptions[subscription_id],
      subscriptions[subscription_id]
    )
  ),
  0,
  1
)</f>
        <v>1</v>
      </c>
      <c r="F1039" s="1">
        <f>_xlfn.XLOOKUP(payments_raw[[#This Row],[subscription_id]], subscriptions[subscription_id], subscriptions[start_date])</f>
        <v>45547</v>
      </c>
      <c r="G10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39" s="2">
        <f>IF(payments_raw[[#This Row],[payment_date]] &lt; payments_raw[[#This Row],[sub_start_date]], 1, 0)</f>
        <v>0</v>
      </c>
      <c r="I1039" s="2">
        <f>IF(AND(payments_raw[[#This Row],[sub_end_date]]&lt;&gt;"", payments_raw[[#This Row],[payment_date]] &gt; payments_raw[[#This Row],[sub_end_date]]), 1, 0)</f>
        <v>0</v>
      </c>
      <c r="J1039" s="2">
        <f>IF(payments_raw[[#This Row],[amount]] &lt;= 0, 1, 0)</f>
        <v>0</v>
      </c>
      <c r="K10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0" spans="1:11" x14ac:dyDescent="0.3">
      <c r="A1040">
        <v>93641843</v>
      </c>
      <c r="B1040">
        <v>2657259</v>
      </c>
      <c r="C1040" s="1">
        <v>44778</v>
      </c>
      <c r="D1040">
        <v>79</v>
      </c>
      <c r="E1040">
        <f>IF(
  ISNA(
    _xlfn.XLOOKUP(
      payments_raw[[#This Row],[subscription_id]],
      subscriptions[subscription_id],
      subscriptions[subscription_id]
    )
  ),
  0,
  1
)</f>
        <v>1</v>
      </c>
      <c r="F1040" s="1">
        <f>_xlfn.XLOOKUP(payments_raw[[#This Row],[subscription_id]], subscriptions[subscription_id], subscriptions[start_date])</f>
        <v>44748</v>
      </c>
      <c r="G104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44942</v>
      </c>
      <c r="H1040" s="2">
        <f>IF(payments_raw[[#This Row],[payment_date]] &lt; payments_raw[[#This Row],[sub_start_date]], 1, 0)</f>
        <v>0</v>
      </c>
      <c r="I1040" s="2">
        <f>IF(AND(payments_raw[[#This Row],[sub_end_date]]&lt;&gt;"", payments_raw[[#This Row],[payment_date]] &gt; payments_raw[[#This Row],[sub_end_date]]), 1, 0)</f>
        <v>0</v>
      </c>
      <c r="J1040" s="2">
        <f>IF(payments_raw[[#This Row],[amount]] &lt;= 0, 1, 0)</f>
        <v>0</v>
      </c>
      <c r="K10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1" spans="1:11" x14ac:dyDescent="0.3">
      <c r="A1041">
        <v>78761110</v>
      </c>
      <c r="B1041">
        <v>4244232</v>
      </c>
      <c r="C1041" s="1">
        <v>45080</v>
      </c>
      <c r="D1041">
        <v>790</v>
      </c>
      <c r="E1041">
        <f>IF(
  ISNA(
    _xlfn.XLOOKUP(
      payments_raw[[#This Row],[subscription_id]],
      subscriptions[subscription_id],
      subscriptions[subscription_id]
    )
  ),
  0,
  1
)</f>
        <v>1</v>
      </c>
      <c r="F1041" s="1">
        <f>_xlfn.XLOOKUP(payments_raw[[#This Row],[subscription_id]], subscriptions[subscription_id], subscriptions[start_date])</f>
        <v>45071</v>
      </c>
      <c r="G10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45137</v>
      </c>
      <c r="H1041" s="2">
        <f>IF(payments_raw[[#This Row],[payment_date]] &lt; payments_raw[[#This Row],[sub_start_date]], 1, 0)</f>
        <v>0</v>
      </c>
      <c r="I1041" s="2">
        <f>IF(AND(payments_raw[[#This Row],[sub_end_date]]&lt;&gt;"", payments_raw[[#This Row],[payment_date]] &gt; payments_raw[[#This Row],[sub_end_date]]), 1, 0)</f>
        <v>0</v>
      </c>
      <c r="J1041" s="2">
        <f>IF(payments_raw[[#This Row],[amount]] &lt;= 0, 1, 0)</f>
        <v>0</v>
      </c>
      <c r="K10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2" spans="1:11" x14ac:dyDescent="0.3">
      <c r="A1042">
        <v>25193029</v>
      </c>
      <c r="B1042">
        <v>1810137</v>
      </c>
      <c r="C1042" s="1">
        <v>45558</v>
      </c>
      <c r="D1042">
        <v>39</v>
      </c>
      <c r="E1042">
        <f>IF(
  ISNA(
    _xlfn.XLOOKUP(
      payments_raw[[#This Row],[subscription_id]],
      subscriptions[subscription_id],
      subscriptions[subscription_id]
    )
  ),
  0,
  1
)</f>
        <v>1</v>
      </c>
      <c r="F1042" s="1">
        <f>_xlfn.XLOOKUP(payments_raw[[#This Row],[subscription_id]], subscriptions[subscription_id], subscriptions[start_date])</f>
        <v>45435</v>
      </c>
      <c r="G10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2" s="2">
        <f>IF(payments_raw[[#This Row],[payment_date]] &lt; payments_raw[[#This Row],[sub_start_date]], 1, 0)</f>
        <v>0</v>
      </c>
      <c r="I1042" s="2">
        <f>IF(AND(payments_raw[[#This Row],[sub_end_date]]&lt;&gt;"", payments_raw[[#This Row],[payment_date]] &gt; payments_raw[[#This Row],[sub_end_date]]), 1, 0)</f>
        <v>0</v>
      </c>
      <c r="J1042" s="2">
        <f>IF(payments_raw[[#This Row],[amount]] &lt;= 0, 1, 0)</f>
        <v>0</v>
      </c>
      <c r="K10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3" spans="1:11" x14ac:dyDescent="0.3">
      <c r="A1043">
        <v>32121080</v>
      </c>
      <c r="B1043">
        <v>2536556</v>
      </c>
      <c r="C1043" s="1">
        <v>44665</v>
      </c>
      <c r="D1043">
        <v>790</v>
      </c>
      <c r="E1043">
        <f>IF(
  ISNA(
    _xlfn.XLOOKUP(
      payments_raw[[#This Row],[subscription_id]],
      subscriptions[subscription_id],
      subscriptions[subscription_id]
    )
  ),
  0,
  1
)</f>
        <v>1</v>
      </c>
      <c r="F1043" s="1">
        <f>_xlfn.XLOOKUP(payments_raw[[#This Row],[subscription_id]], subscriptions[subscription_id], subscriptions[start_date])</f>
        <v>44569</v>
      </c>
      <c r="G10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3" s="2">
        <f>IF(payments_raw[[#This Row],[payment_date]] &lt; payments_raw[[#This Row],[sub_start_date]], 1, 0)</f>
        <v>0</v>
      </c>
      <c r="I1043" s="2">
        <f>IF(AND(payments_raw[[#This Row],[sub_end_date]]&lt;&gt;"", payments_raw[[#This Row],[payment_date]] &gt; payments_raw[[#This Row],[sub_end_date]]), 1, 0)</f>
        <v>0</v>
      </c>
      <c r="J1043" s="2">
        <f>IF(payments_raw[[#This Row],[amount]] &lt;= 0, 1, 0)</f>
        <v>0</v>
      </c>
      <c r="K10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4" spans="1:11" x14ac:dyDescent="0.3">
      <c r="A1044">
        <v>54777065</v>
      </c>
      <c r="B1044">
        <v>9837877</v>
      </c>
      <c r="C1044" s="1">
        <v>44858</v>
      </c>
      <c r="D1044">
        <v>2990</v>
      </c>
      <c r="E1044">
        <f>IF(
  ISNA(
    _xlfn.XLOOKUP(
      payments_raw[[#This Row],[subscription_id]],
      subscriptions[subscription_id],
      subscriptions[subscription_id]
    )
  ),
  0,
  1
)</f>
        <v>1</v>
      </c>
      <c r="F1044" s="1">
        <f>_xlfn.XLOOKUP(payments_raw[[#This Row],[subscription_id]], subscriptions[subscription_id], subscriptions[start_date])</f>
        <v>44843</v>
      </c>
      <c r="G104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44879</v>
      </c>
      <c r="H1044" s="2">
        <f>IF(payments_raw[[#This Row],[payment_date]] &lt; payments_raw[[#This Row],[sub_start_date]], 1, 0)</f>
        <v>0</v>
      </c>
      <c r="I1044" s="2">
        <f>IF(AND(payments_raw[[#This Row],[sub_end_date]]&lt;&gt;"", payments_raw[[#This Row],[payment_date]] &gt; payments_raw[[#This Row],[sub_end_date]]), 1, 0)</f>
        <v>0</v>
      </c>
      <c r="J1044" s="2">
        <f>IF(payments_raw[[#This Row],[amount]] &lt;= 0, 1, 0)</f>
        <v>0</v>
      </c>
      <c r="K10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5" spans="1:11" x14ac:dyDescent="0.3">
      <c r="A1045">
        <v>15058739</v>
      </c>
      <c r="B1045">
        <v>9945633</v>
      </c>
      <c r="C1045" s="1">
        <v>45389</v>
      </c>
      <c r="D1045">
        <v>19</v>
      </c>
      <c r="E1045">
        <f>IF(
  ISNA(
    _xlfn.XLOOKUP(
      payments_raw[[#This Row],[subscription_id]],
      subscriptions[subscription_id],
      subscriptions[subscription_id]
    )
  ),
  0,
  1
)</f>
        <v>1</v>
      </c>
      <c r="F1045" s="1">
        <f>_xlfn.XLOOKUP(payments_raw[[#This Row],[subscription_id]], subscriptions[subscription_id], subscriptions[start_date])</f>
        <v>45345</v>
      </c>
      <c r="G10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5" s="2">
        <f>IF(payments_raw[[#This Row],[payment_date]] &lt; payments_raw[[#This Row],[sub_start_date]], 1, 0)</f>
        <v>0</v>
      </c>
      <c r="I1045" s="2">
        <f>IF(AND(payments_raw[[#This Row],[sub_end_date]]&lt;&gt;"", payments_raw[[#This Row],[payment_date]] &gt; payments_raw[[#This Row],[sub_end_date]]), 1, 0)</f>
        <v>0</v>
      </c>
      <c r="J1045" s="2">
        <f>IF(payments_raw[[#This Row],[amount]] &lt;= 0, 1, 0)</f>
        <v>0</v>
      </c>
      <c r="K10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6" spans="1:11" x14ac:dyDescent="0.3">
      <c r="A1046">
        <v>38210669</v>
      </c>
      <c r="B1046">
        <v>7158092</v>
      </c>
      <c r="C1046" s="1">
        <v>45238</v>
      </c>
      <c r="D1046">
        <v>190</v>
      </c>
      <c r="E1046">
        <f>IF(
  ISNA(
    _xlfn.XLOOKUP(
      payments_raw[[#This Row],[subscription_id]],
      subscriptions[subscription_id],
      subscriptions[subscription_id]
    )
  ),
  0,
  1
)</f>
        <v>1</v>
      </c>
      <c r="F1046" s="1">
        <f>_xlfn.XLOOKUP(payments_raw[[#This Row],[subscription_id]], subscriptions[subscription_id], subscriptions[start_date])</f>
        <v>44835</v>
      </c>
      <c r="G10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6" s="2">
        <f>IF(payments_raw[[#This Row],[payment_date]] &lt; payments_raw[[#This Row],[sub_start_date]], 1, 0)</f>
        <v>0</v>
      </c>
      <c r="I1046" s="2">
        <f>IF(AND(payments_raw[[#This Row],[sub_end_date]]&lt;&gt;"", payments_raw[[#This Row],[payment_date]] &gt; payments_raw[[#This Row],[sub_end_date]]), 1, 0)</f>
        <v>0</v>
      </c>
      <c r="J1046" s="2">
        <f>IF(payments_raw[[#This Row],[amount]] &lt;= 0, 1, 0)</f>
        <v>0</v>
      </c>
      <c r="K10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7" spans="1:11" x14ac:dyDescent="0.3">
      <c r="A1047">
        <v>53653777</v>
      </c>
      <c r="B1047">
        <v>6086875</v>
      </c>
      <c r="C1047" s="1">
        <v>45079</v>
      </c>
      <c r="D1047">
        <v>190</v>
      </c>
      <c r="E1047">
        <f>IF(
  ISNA(
    _xlfn.XLOOKUP(
      payments_raw[[#This Row],[subscription_id]],
      subscriptions[subscription_id],
      subscriptions[subscription_id]
    )
  ),
  0,
  1
)</f>
        <v>1</v>
      </c>
      <c r="F1047" s="1">
        <f>_xlfn.XLOOKUP(payments_raw[[#This Row],[subscription_id]], subscriptions[subscription_id], subscriptions[start_date])</f>
        <v>45061</v>
      </c>
      <c r="G10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45116</v>
      </c>
      <c r="H1047" s="2">
        <f>IF(payments_raw[[#This Row],[payment_date]] &lt; payments_raw[[#This Row],[sub_start_date]], 1, 0)</f>
        <v>0</v>
      </c>
      <c r="I1047" s="2">
        <f>IF(AND(payments_raw[[#This Row],[sub_end_date]]&lt;&gt;"", payments_raw[[#This Row],[payment_date]] &gt; payments_raw[[#This Row],[sub_end_date]]), 1, 0)</f>
        <v>0</v>
      </c>
      <c r="J1047" s="2">
        <f>IF(payments_raw[[#This Row],[amount]] &lt;= 0, 1, 0)</f>
        <v>0</v>
      </c>
      <c r="K10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8" spans="1:11" x14ac:dyDescent="0.3">
      <c r="A1048">
        <v>53858035</v>
      </c>
      <c r="B1048">
        <v>1666811</v>
      </c>
      <c r="C1048" s="1">
        <v>45296</v>
      </c>
      <c r="D1048">
        <v>19</v>
      </c>
      <c r="E1048">
        <f>IF(
  ISNA(
    _xlfn.XLOOKUP(
      payments_raw[[#This Row],[subscription_id]],
      subscriptions[subscription_id],
      subscriptions[subscription_id]
    )
  ),
  0,
  1
)</f>
        <v>1</v>
      </c>
      <c r="F1048" s="1">
        <f>_xlfn.XLOOKUP(payments_raw[[#This Row],[subscription_id]], subscriptions[subscription_id], subscriptions[start_date])</f>
        <v>44961</v>
      </c>
      <c r="G10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8" s="2">
        <f>IF(payments_raw[[#This Row],[payment_date]] &lt; payments_raw[[#This Row],[sub_start_date]], 1, 0)</f>
        <v>0</v>
      </c>
      <c r="I1048" s="2">
        <f>IF(AND(payments_raw[[#This Row],[sub_end_date]]&lt;&gt;"", payments_raw[[#This Row],[payment_date]] &gt; payments_raw[[#This Row],[sub_end_date]]), 1, 0)</f>
        <v>0</v>
      </c>
      <c r="J1048" s="2">
        <f>IF(payments_raw[[#This Row],[amount]] &lt;= 0, 1, 0)</f>
        <v>0</v>
      </c>
      <c r="K10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49" spans="1:11" x14ac:dyDescent="0.3">
      <c r="A1049">
        <v>39071005</v>
      </c>
      <c r="B1049">
        <v>8166381</v>
      </c>
      <c r="C1049" s="1">
        <v>45616</v>
      </c>
      <c r="D1049">
        <v>39</v>
      </c>
      <c r="E1049">
        <f>IF(
  ISNA(
    _xlfn.XLOOKUP(
      payments_raw[[#This Row],[subscription_id]],
      subscriptions[subscription_id],
      subscriptions[subscription_id]
    )
  ),
  0,
  1
)</f>
        <v>1</v>
      </c>
      <c r="F1049" s="1">
        <f>_xlfn.XLOOKUP(payments_raw[[#This Row],[subscription_id]], subscriptions[subscription_id], subscriptions[start_date])</f>
        <v>44870</v>
      </c>
      <c r="G10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49" s="2">
        <f>IF(payments_raw[[#This Row],[payment_date]] &lt; payments_raw[[#This Row],[sub_start_date]], 1, 0)</f>
        <v>0</v>
      </c>
      <c r="I1049" s="2">
        <f>IF(AND(payments_raw[[#This Row],[sub_end_date]]&lt;&gt;"", payments_raw[[#This Row],[payment_date]] &gt; payments_raw[[#This Row],[sub_end_date]]), 1, 0)</f>
        <v>0</v>
      </c>
      <c r="J1049" s="2">
        <f>IF(payments_raw[[#This Row],[amount]] &lt;= 0, 1, 0)</f>
        <v>0</v>
      </c>
      <c r="K10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0" spans="1:11" x14ac:dyDescent="0.3">
      <c r="A1050">
        <v>93131712</v>
      </c>
      <c r="B1050">
        <v>8731726</v>
      </c>
      <c r="C1050" s="1">
        <v>45164</v>
      </c>
      <c r="D1050">
        <v>39</v>
      </c>
      <c r="E1050">
        <f>IF(
  ISNA(
    _xlfn.XLOOKUP(
      payments_raw[[#This Row],[subscription_id]],
      subscriptions[subscription_id],
      subscriptions[subscription_id]
    )
  ),
  0,
  1
)</f>
        <v>1</v>
      </c>
      <c r="F1050" s="1">
        <f>_xlfn.XLOOKUP(payments_raw[[#This Row],[subscription_id]], subscriptions[subscription_id], subscriptions[start_date])</f>
        <v>44945</v>
      </c>
      <c r="G10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0" s="2">
        <f>IF(payments_raw[[#This Row],[payment_date]] &lt; payments_raw[[#This Row],[sub_start_date]], 1, 0)</f>
        <v>0</v>
      </c>
      <c r="I1050" s="2">
        <f>IF(AND(payments_raw[[#This Row],[sub_end_date]]&lt;&gt;"", payments_raw[[#This Row],[payment_date]] &gt; payments_raw[[#This Row],[sub_end_date]]), 1, 0)</f>
        <v>0</v>
      </c>
      <c r="J1050" s="2">
        <f>IF(payments_raw[[#This Row],[amount]] &lt;= 0, 1, 0)</f>
        <v>0</v>
      </c>
      <c r="K10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1" spans="1:11" x14ac:dyDescent="0.3">
      <c r="A1051">
        <v>73868261</v>
      </c>
      <c r="B1051">
        <v>3209515</v>
      </c>
      <c r="C1051" s="1">
        <v>45430</v>
      </c>
      <c r="D1051">
        <v>299</v>
      </c>
      <c r="E1051">
        <f>IF(
  ISNA(
    _xlfn.XLOOKUP(
      payments_raw[[#This Row],[subscription_id]],
      subscriptions[subscription_id],
      subscriptions[subscription_id]
    )
  ),
  0,
  1
)</f>
        <v>1</v>
      </c>
      <c r="F1051" s="1">
        <f>_xlfn.XLOOKUP(payments_raw[[#This Row],[subscription_id]], subscriptions[subscription_id], subscriptions[start_date])</f>
        <v>45337</v>
      </c>
      <c r="G10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1051" s="2">
        <f>IF(payments_raw[[#This Row],[payment_date]] &lt; payments_raw[[#This Row],[sub_start_date]], 1, 0)</f>
        <v>0</v>
      </c>
      <c r="I1051" s="2">
        <f>IF(AND(payments_raw[[#This Row],[sub_end_date]]&lt;&gt;"", payments_raw[[#This Row],[payment_date]] &gt; payments_raw[[#This Row],[sub_end_date]]), 1, 0)</f>
        <v>0</v>
      </c>
      <c r="J1051" s="2">
        <f>IF(payments_raw[[#This Row],[amount]] &lt;= 0, 1, 0)</f>
        <v>0</v>
      </c>
      <c r="K10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2" spans="1:11" x14ac:dyDescent="0.3">
      <c r="A1052">
        <v>80400524</v>
      </c>
      <c r="B1052">
        <v>3355958</v>
      </c>
      <c r="C1052" s="1">
        <v>45257</v>
      </c>
      <c r="D1052">
        <v>299</v>
      </c>
      <c r="E1052">
        <f>IF(
  ISNA(
    _xlfn.XLOOKUP(
      payments_raw[[#This Row],[subscription_id]],
      subscriptions[subscription_id],
      subscriptions[subscription_id]
    )
  ),
  0,
  1
)</f>
        <v>1</v>
      </c>
      <c r="F1052" s="1">
        <f>_xlfn.XLOOKUP(payments_raw[[#This Row],[subscription_id]], subscriptions[subscription_id], subscriptions[start_date])</f>
        <v>45208</v>
      </c>
      <c r="G10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2" s="2">
        <f>IF(payments_raw[[#This Row],[payment_date]] &lt; payments_raw[[#This Row],[sub_start_date]], 1, 0)</f>
        <v>0</v>
      </c>
      <c r="I1052" s="2">
        <f>IF(AND(payments_raw[[#This Row],[sub_end_date]]&lt;&gt;"", payments_raw[[#This Row],[payment_date]] &gt; payments_raw[[#This Row],[sub_end_date]]), 1, 0)</f>
        <v>0</v>
      </c>
      <c r="J1052" s="2">
        <f>IF(payments_raw[[#This Row],[amount]] &lt;= 0, 1, 0)</f>
        <v>0</v>
      </c>
      <c r="K10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3" spans="1:11" x14ac:dyDescent="0.3">
      <c r="A1053">
        <v>67210317</v>
      </c>
      <c r="B1053">
        <v>8977497</v>
      </c>
      <c r="C1053" s="1">
        <v>45476</v>
      </c>
      <c r="D1053">
        <v>149</v>
      </c>
      <c r="E1053">
        <f>IF(
  ISNA(
    _xlfn.XLOOKUP(
      payments_raw[[#This Row],[subscription_id]],
      subscriptions[subscription_id],
      subscriptions[subscription_id]
    )
  ),
  0,
  1
)</f>
        <v>1</v>
      </c>
      <c r="F1053" s="1">
        <f>_xlfn.XLOOKUP(payments_raw[[#This Row],[subscription_id]], subscriptions[subscription_id], subscriptions[start_date])</f>
        <v>45247</v>
      </c>
      <c r="G10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3" s="2">
        <f>IF(payments_raw[[#This Row],[payment_date]] &lt; payments_raw[[#This Row],[sub_start_date]], 1, 0)</f>
        <v>0</v>
      </c>
      <c r="I1053" s="2">
        <f>IF(AND(payments_raw[[#This Row],[sub_end_date]]&lt;&gt;"", payments_raw[[#This Row],[payment_date]] &gt; payments_raw[[#This Row],[sub_end_date]]), 1, 0)</f>
        <v>0</v>
      </c>
      <c r="J1053" s="2">
        <f>IF(payments_raw[[#This Row],[amount]] &lt;= 0, 1, 0)</f>
        <v>0</v>
      </c>
      <c r="K10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4" spans="1:11" x14ac:dyDescent="0.3">
      <c r="A1054">
        <v>16146121</v>
      </c>
      <c r="B1054">
        <v>8962478</v>
      </c>
      <c r="C1054" s="1">
        <v>45442</v>
      </c>
      <c r="D1054">
        <v>39</v>
      </c>
      <c r="E1054">
        <f>IF(
  ISNA(
    _xlfn.XLOOKUP(
      payments_raw[[#This Row],[subscription_id]],
      subscriptions[subscription_id],
      subscriptions[subscription_id]
    )
  ),
  0,
  1
)</f>
        <v>1</v>
      </c>
      <c r="F1054" s="1">
        <f>_xlfn.XLOOKUP(payments_raw[[#This Row],[subscription_id]], subscriptions[subscription_id], subscriptions[start_date])</f>
        <v>45438</v>
      </c>
      <c r="G10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4" s="2">
        <f>IF(payments_raw[[#This Row],[payment_date]] &lt; payments_raw[[#This Row],[sub_start_date]], 1, 0)</f>
        <v>0</v>
      </c>
      <c r="I1054" s="2">
        <f>IF(AND(payments_raw[[#This Row],[sub_end_date]]&lt;&gt;"", payments_raw[[#This Row],[payment_date]] &gt; payments_raw[[#This Row],[sub_end_date]]), 1, 0)</f>
        <v>0</v>
      </c>
      <c r="J1054" s="2">
        <f>IF(payments_raw[[#This Row],[amount]] &lt;= 0, 1, 0)</f>
        <v>0</v>
      </c>
      <c r="K10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5" spans="1:11" x14ac:dyDescent="0.3">
      <c r="A1055">
        <v>45668954</v>
      </c>
      <c r="B1055">
        <v>9808972</v>
      </c>
      <c r="C1055" s="1">
        <v>45437</v>
      </c>
      <c r="D1055">
        <v>299</v>
      </c>
      <c r="E1055">
        <f>IF(
  ISNA(
    _xlfn.XLOOKUP(
      payments_raw[[#This Row],[subscription_id]],
      subscriptions[subscription_id],
      subscriptions[subscription_id]
    )
  ),
  0,
  1
)</f>
        <v>1</v>
      </c>
      <c r="F1055" s="1">
        <f>_xlfn.XLOOKUP(payments_raw[[#This Row],[subscription_id]], subscriptions[subscription_id], subscriptions[start_date])</f>
        <v>45361</v>
      </c>
      <c r="G10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5" s="2">
        <f>IF(payments_raw[[#This Row],[payment_date]] &lt; payments_raw[[#This Row],[sub_start_date]], 1, 0)</f>
        <v>0</v>
      </c>
      <c r="I1055" s="2">
        <f>IF(AND(payments_raw[[#This Row],[sub_end_date]]&lt;&gt;"", payments_raw[[#This Row],[payment_date]] &gt; payments_raw[[#This Row],[sub_end_date]]), 1, 0)</f>
        <v>0</v>
      </c>
      <c r="J1055" s="2">
        <f>IF(payments_raw[[#This Row],[amount]] &lt;= 0, 1, 0)</f>
        <v>0</v>
      </c>
      <c r="K10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6" spans="1:11" x14ac:dyDescent="0.3">
      <c r="A1056">
        <v>96343880</v>
      </c>
      <c r="B1056">
        <v>9118679</v>
      </c>
      <c r="C1056" s="1">
        <v>44795</v>
      </c>
      <c r="D1056">
        <v>19</v>
      </c>
      <c r="E1056">
        <f>IF(
  ISNA(
    _xlfn.XLOOKUP(
      payments_raw[[#This Row],[subscription_id]],
      subscriptions[subscription_id],
      subscriptions[subscription_id]
    )
  ),
  0,
  1
)</f>
        <v>1</v>
      </c>
      <c r="F1056" s="1">
        <f>_xlfn.XLOOKUP(payments_raw[[#This Row],[subscription_id]], subscriptions[subscription_id], subscriptions[start_date])</f>
        <v>44572</v>
      </c>
      <c r="G10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56" s="2">
        <f>IF(payments_raw[[#This Row],[payment_date]] &lt; payments_raw[[#This Row],[sub_start_date]], 1, 0)</f>
        <v>0</v>
      </c>
      <c r="I1056" s="2">
        <f>IF(AND(payments_raw[[#This Row],[sub_end_date]]&lt;&gt;"", payments_raw[[#This Row],[payment_date]] &gt; payments_raw[[#This Row],[sub_end_date]]), 1, 0)</f>
        <v>0</v>
      </c>
      <c r="J1056" s="2">
        <f>IF(payments_raw[[#This Row],[amount]] &lt;= 0, 1, 0)</f>
        <v>0</v>
      </c>
      <c r="K10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7" spans="1:11" x14ac:dyDescent="0.3">
      <c r="A1057">
        <v>21695334</v>
      </c>
      <c r="B1057">
        <v>5052611</v>
      </c>
      <c r="C1057" s="1">
        <v>44579</v>
      </c>
      <c r="D1057">
        <v>2990</v>
      </c>
      <c r="E1057">
        <f>IF(
  ISNA(
    _xlfn.XLOOKUP(
      payments_raw[[#This Row],[subscription_id]],
      subscriptions[subscription_id],
      subscriptions[subscription_id]
    )
  ),
  0,
  1
)</f>
        <v>1</v>
      </c>
      <c r="F1057" s="1">
        <f>_xlfn.XLOOKUP(payments_raw[[#This Row],[subscription_id]], subscriptions[subscription_id], subscriptions[start_date])</f>
        <v>44570</v>
      </c>
      <c r="G105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44812</v>
      </c>
      <c r="H1057" s="2">
        <f>IF(payments_raw[[#This Row],[payment_date]] &lt; payments_raw[[#This Row],[sub_start_date]], 1, 0)</f>
        <v>0</v>
      </c>
      <c r="I1057" s="2">
        <f>IF(AND(payments_raw[[#This Row],[sub_end_date]]&lt;&gt;"", payments_raw[[#This Row],[payment_date]] &gt; payments_raw[[#This Row],[sub_end_date]]), 1, 0)</f>
        <v>0</v>
      </c>
      <c r="J1057" s="2">
        <f>IF(payments_raw[[#This Row],[amount]] &lt;= 0, 1, 0)</f>
        <v>0</v>
      </c>
      <c r="K10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8" spans="1:11" x14ac:dyDescent="0.3">
      <c r="A1058">
        <v>33800125</v>
      </c>
      <c r="B1058">
        <v>1044808</v>
      </c>
      <c r="C1058" s="1">
        <v>45094</v>
      </c>
      <c r="D1058">
        <v>2990</v>
      </c>
      <c r="E1058">
        <f>IF(
  ISNA(
    _xlfn.XLOOKUP(
      payments_raw[[#This Row],[subscription_id]],
      subscriptions[subscription_id],
      subscriptions[subscription_id]
    )
  ),
  0,
  1
)</f>
        <v>1</v>
      </c>
      <c r="F1058" s="1">
        <f>_xlfn.XLOOKUP(payments_raw[[#This Row],[subscription_id]], subscriptions[subscription_id], subscriptions[start_date])</f>
        <v>45036</v>
      </c>
      <c r="G10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45112</v>
      </c>
      <c r="H1058" s="2">
        <f>IF(payments_raw[[#This Row],[payment_date]] &lt; payments_raw[[#This Row],[sub_start_date]], 1, 0)</f>
        <v>0</v>
      </c>
      <c r="I1058" s="2">
        <f>IF(AND(payments_raw[[#This Row],[sub_end_date]]&lt;&gt;"", payments_raw[[#This Row],[payment_date]] &gt; payments_raw[[#This Row],[sub_end_date]]), 1, 0)</f>
        <v>0</v>
      </c>
      <c r="J1058" s="2">
        <f>IF(payments_raw[[#This Row],[amount]] &lt;= 0, 1, 0)</f>
        <v>0</v>
      </c>
      <c r="K10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59" spans="1:11" x14ac:dyDescent="0.3">
      <c r="A1059">
        <v>81029647</v>
      </c>
      <c r="B1059">
        <v>2120966</v>
      </c>
      <c r="C1059" s="1">
        <v>44698</v>
      </c>
      <c r="D1059">
        <v>1490</v>
      </c>
      <c r="E1059">
        <f>IF(
  ISNA(
    _xlfn.XLOOKUP(
      payments_raw[[#This Row],[subscription_id]],
      subscriptions[subscription_id],
      subscriptions[subscription_id]
    )
  ),
  0,
  1
)</f>
        <v>1</v>
      </c>
      <c r="F1059" s="1">
        <f>_xlfn.XLOOKUP(payments_raw[[#This Row],[subscription_id]], subscriptions[subscription_id], subscriptions[start_date])</f>
        <v>44683</v>
      </c>
      <c r="G10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44784</v>
      </c>
      <c r="H1059" s="2">
        <f>IF(payments_raw[[#This Row],[payment_date]] &lt; payments_raw[[#This Row],[sub_start_date]], 1, 0)</f>
        <v>0</v>
      </c>
      <c r="I1059" s="2">
        <f>IF(AND(payments_raw[[#This Row],[sub_end_date]]&lt;&gt;"", payments_raw[[#This Row],[payment_date]] &gt; payments_raw[[#This Row],[sub_end_date]]), 1, 0)</f>
        <v>0</v>
      </c>
      <c r="J1059" s="2">
        <f>IF(payments_raw[[#This Row],[amount]] &lt;= 0, 1, 0)</f>
        <v>0</v>
      </c>
      <c r="K10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0" spans="1:11" x14ac:dyDescent="0.3">
      <c r="A1060">
        <v>80292642</v>
      </c>
      <c r="B1060">
        <v>5937884</v>
      </c>
      <c r="C1060" s="1">
        <v>45578</v>
      </c>
      <c r="D1060">
        <v>1490</v>
      </c>
      <c r="E1060">
        <f>IF(
  ISNA(
    _xlfn.XLOOKUP(
      payments_raw[[#This Row],[subscription_id]],
      subscriptions[subscription_id],
      subscriptions[subscription_id]
    )
  ),
  0,
  1
)</f>
        <v>1</v>
      </c>
      <c r="F1060" s="1">
        <f>_xlfn.XLOOKUP(payments_raw[[#This Row],[subscription_id]], subscriptions[subscription_id], subscriptions[start_date])</f>
        <v>45518</v>
      </c>
      <c r="G10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1060" s="2">
        <f>IF(payments_raw[[#This Row],[payment_date]] &lt; payments_raw[[#This Row],[sub_start_date]], 1, 0)</f>
        <v>0</v>
      </c>
      <c r="I1060" s="2">
        <f>IF(AND(payments_raw[[#This Row],[sub_end_date]]&lt;&gt;"", payments_raw[[#This Row],[payment_date]] &gt; payments_raw[[#This Row],[sub_end_date]]), 1, 0)</f>
        <v>0</v>
      </c>
      <c r="J1060" s="2">
        <f>IF(payments_raw[[#This Row],[amount]] &lt;= 0, 1, 0)</f>
        <v>0</v>
      </c>
      <c r="K10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1" spans="1:11" x14ac:dyDescent="0.3">
      <c r="A1061">
        <v>91211357</v>
      </c>
      <c r="B1061">
        <v>8755747</v>
      </c>
      <c r="C1061" s="1">
        <v>45503</v>
      </c>
      <c r="D1061">
        <v>1490</v>
      </c>
      <c r="E1061">
        <f>IF(
  ISNA(
    _xlfn.XLOOKUP(
      payments_raw[[#This Row],[subscription_id]],
      subscriptions[subscription_id],
      subscriptions[subscription_id]
    )
  ),
  0,
  1
)</f>
        <v>1</v>
      </c>
      <c r="F1061" s="1">
        <f>_xlfn.XLOOKUP(payments_raw[[#This Row],[subscription_id]], subscriptions[subscription_id], subscriptions[start_date])</f>
        <v>44753</v>
      </c>
      <c r="G10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1" s="2">
        <f>IF(payments_raw[[#This Row],[payment_date]] &lt; payments_raw[[#This Row],[sub_start_date]], 1, 0)</f>
        <v>0</v>
      </c>
      <c r="I1061" s="2">
        <f>IF(AND(payments_raw[[#This Row],[sub_end_date]]&lt;&gt;"", payments_raw[[#This Row],[payment_date]] &gt; payments_raw[[#This Row],[sub_end_date]]), 1, 0)</f>
        <v>0</v>
      </c>
      <c r="J1061" s="2">
        <f>IF(payments_raw[[#This Row],[amount]] &lt;= 0, 1, 0)</f>
        <v>0</v>
      </c>
      <c r="K10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2" spans="1:11" x14ac:dyDescent="0.3">
      <c r="A1062">
        <v>74157929</v>
      </c>
      <c r="B1062">
        <v>2550417</v>
      </c>
      <c r="C1062" s="1">
        <v>45565</v>
      </c>
      <c r="D1062">
        <v>190</v>
      </c>
      <c r="E1062">
        <f>IF(
  ISNA(
    _xlfn.XLOOKUP(
      payments_raw[[#This Row],[subscription_id]],
      subscriptions[subscription_id],
      subscriptions[subscription_id]
    )
  ),
  0,
  1
)</f>
        <v>1</v>
      </c>
      <c r="F1062" s="1">
        <f>_xlfn.XLOOKUP(payments_raw[[#This Row],[subscription_id]], subscriptions[subscription_id], subscriptions[start_date])</f>
        <v>45565</v>
      </c>
      <c r="G10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2" s="2">
        <f>IF(payments_raw[[#This Row],[payment_date]] &lt; payments_raw[[#This Row],[sub_start_date]], 1, 0)</f>
        <v>0</v>
      </c>
      <c r="I1062" s="2">
        <f>IF(AND(payments_raw[[#This Row],[sub_end_date]]&lt;&gt;"", payments_raw[[#This Row],[payment_date]] &gt; payments_raw[[#This Row],[sub_end_date]]), 1, 0)</f>
        <v>0</v>
      </c>
      <c r="J1062" s="2">
        <f>IF(payments_raw[[#This Row],[amount]] &lt;= 0, 1, 0)</f>
        <v>0</v>
      </c>
      <c r="K10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3" spans="1:11" x14ac:dyDescent="0.3">
      <c r="A1063">
        <v>27418225</v>
      </c>
      <c r="B1063">
        <v>8479960</v>
      </c>
      <c r="C1063" s="1">
        <v>45241</v>
      </c>
      <c r="D1063">
        <v>19</v>
      </c>
      <c r="E1063">
        <f>IF(
  ISNA(
    _xlfn.XLOOKUP(
      payments_raw[[#This Row],[subscription_id]],
      subscriptions[subscription_id],
      subscriptions[subscription_id]
    )
  ),
  0,
  1
)</f>
        <v>1</v>
      </c>
      <c r="F1063" s="1">
        <f>_xlfn.XLOOKUP(payments_raw[[#This Row],[subscription_id]], subscriptions[subscription_id], subscriptions[start_date])</f>
        <v>45001</v>
      </c>
      <c r="G10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3" s="2">
        <f>IF(payments_raw[[#This Row],[payment_date]] &lt; payments_raw[[#This Row],[sub_start_date]], 1, 0)</f>
        <v>0</v>
      </c>
      <c r="I1063" s="2">
        <f>IF(AND(payments_raw[[#This Row],[sub_end_date]]&lt;&gt;"", payments_raw[[#This Row],[payment_date]] &gt; payments_raw[[#This Row],[sub_end_date]]), 1, 0)</f>
        <v>0</v>
      </c>
      <c r="J1063" s="2">
        <f>IF(payments_raw[[#This Row],[amount]] &lt;= 0, 1, 0)</f>
        <v>0</v>
      </c>
      <c r="K10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4" spans="1:11" x14ac:dyDescent="0.3">
      <c r="A1064">
        <v>80703629</v>
      </c>
      <c r="B1064">
        <v>1364903</v>
      </c>
      <c r="C1064" s="1">
        <v>45603</v>
      </c>
      <c r="D1064">
        <v>390</v>
      </c>
      <c r="E1064">
        <f>IF(
  ISNA(
    _xlfn.XLOOKUP(
      payments_raw[[#This Row],[subscription_id]],
      subscriptions[subscription_id],
      subscriptions[subscription_id]
    )
  ),
  0,
  1
)</f>
        <v>1</v>
      </c>
      <c r="F1064" s="1">
        <f>_xlfn.XLOOKUP(payments_raw[[#This Row],[subscription_id]], subscriptions[subscription_id], subscriptions[start_date])</f>
        <v>45461</v>
      </c>
      <c r="G10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1064" s="2">
        <f>IF(payments_raw[[#This Row],[payment_date]] &lt; payments_raw[[#This Row],[sub_start_date]], 1, 0)</f>
        <v>0</v>
      </c>
      <c r="I1064" s="2">
        <f>IF(AND(payments_raw[[#This Row],[sub_end_date]]&lt;&gt;"", payments_raw[[#This Row],[payment_date]] &gt; payments_raw[[#This Row],[sub_end_date]]), 1, 0)</f>
        <v>0</v>
      </c>
      <c r="J1064" s="2">
        <f>IF(payments_raw[[#This Row],[amount]] &lt;= 0, 1, 0)</f>
        <v>0</v>
      </c>
      <c r="K10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5" spans="1:11" x14ac:dyDescent="0.3">
      <c r="A1065">
        <v>56750216</v>
      </c>
      <c r="B1065">
        <v>7861979</v>
      </c>
      <c r="C1065" s="1">
        <v>45097</v>
      </c>
      <c r="D1065">
        <v>190</v>
      </c>
      <c r="E1065">
        <f>IF(
  ISNA(
    _xlfn.XLOOKUP(
      payments_raw[[#This Row],[subscription_id]],
      subscriptions[subscription_id],
      subscriptions[subscription_id]
    )
  ),
  0,
  1
)</f>
        <v>1</v>
      </c>
      <c r="F1065" s="1">
        <f>_xlfn.XLOOKUP(payments_raw[[#This Row],[subscription_id]], subscriptions[subscription_id], subscriptions[start_date])</f>
        <v>44686</v>
      </c>
      <c r="G10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5" s="2">
        <f>IF(payments_raw[[#This Row],[payment_date]] &lt; payments_raw[[#This Row],[sub_start_date]], 1, 0)</f>
        <v>0</v>
      </c>
      <c r="I1065" s="2">
        <f>IF(AND(payments_raw[[#This Row],[sub_end_date]]&lt;&gt;"", payments_raw[[#This Row],[payment_date]] &gt; payments_raw[[#This Row],[sub_end_date]]), 1, 0)</f>
        <v>0</v>
      </c>
      <c r="J1065" s="2">
        <f>IF(payments_raw[[#This Row],[amount]] &lt;= 0, 1, 0)</f>
        <v>0</v>
      </c>
      <c r="K10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6" spans="1:11" x14ac:dyDescent="0.3">
      <c r="A1066">
        <v>28367664</v>
      </c>
      <c r="B1066">
        <v>2646494</v>
      </c>
      <c r="C1066" s="1">
        <v>45266</v>
      </c>
      <c r="D1066">
        <v>790</v>
      </c>
      <c r="E1066">
        <f>IF(
  ISNA(
    _xlfn.XLOOKUP(
      payments_raw[[#This Row],[subscription_id]],
      subscriptions[subscription_id],
      subscriptions[subscription_id]
    )
  ),
  0,
  1
)</f>
        <v>1</v>
      </c>
      <c r="F1066" s="1">
        <f>_xlfn.XLOOKUP(payments_raw[[#This Row],[subscription_id]], subscriptions[subscription_id], subscriptions[start_date])</f>
        <v>45097</v>
      </c>
      <c r="G10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1066" s="2">
        <f>IF(payments_raw[[#This Row],[payment_date]] &lt; payments_raw[[#This Row],[sub_start_date]], 1, 0)</f>
        <v>0</v>
      </c>
      <c r="I1066" s="2">
        <f>IF(AND(payments_raw[[#This Row],[sub_end_date]]&lt;&gt;"", payments_raw[[#This Row],[payment_date]] &gt; payments_raw[[#This Row],[sub_end_date]]), 1, 0)</f>
        <v>0</v>
      </c>
      <c r="J1066" s="2">
        <f>IF(payments_raw[[#This Row],[amount]] &lt;= 0, 1, 0)</f>
        <v>0</v>
      </c>
      <c r="K10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7" spans="1:11" x14ac:dyDescent="0.3">
      <c r="A1067">
        <v>67465557</v>
      </c>
      <c r="B1067">
        <v>9852408</v>
      </c>
      <c r="C1067" s="1">
        <v>45309</v>
      </c>
      <c r="D1067">
        <v>59.25</v>
      </c>
      <c r="E1067">
        <f>IF(
  ISNA(
    _xlfn.XLOOKUP(
      payments_raw[[#This Row],[subscription_id]],
      subscriptions[subscription_id],
      subscriptions[subscription_id]
    )
  ),
  0,
  1
)</f>
        <v>1</v>
      </c>
      <c r="F1067" s="1">
        <f>_xlfn.XLOOKUP(payments_raw[[#This Row],[subscription_id]], subscriptions[subscription_id], subscriptions[start_date])</f>
        <v>45203</v>
      </c>
      <c r="G10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1067" s="2">
        <f>IF(payments_raw[[#This Row],[payment_date]] &lt; payments_raw[[#This Row],[sub_start_date]], 1, 0)</f>
        <v>0</v>
      </c>
      <c r="I1067" s="2">
        <f>IF(AND(payments_raw[[#This Row],[sub_end_date]]&lt;&gt;"", payments_raw[[#This Row],[payment_date]] &gt; payments_raw[[#This Row],[sub_end_date]]), 1, 0)</f>
        <v>0</v>
      </c>
      <c r="J1067" s="2">
        <f>IF(payments_raw[[#This Row],[amount]] &lt;= 0, 1, 0)</f>
        <v>0</v>
      </c>
      <c r="K10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8" spans="1:11" x14ac:dyDescent="0.3">
      <c r="A1068">
        <v>88325053</v>
      </c>
      <c r="B1068">
        <v>1802525</v>
      </c>
      <c r="C1068" s="1">
        <v>45620</v>
      </c>
      <c r="D1068">
        <v>299</v>
      </c>
      <c r="E1068">
        <f>IF(
  ISNA(
    _xlfn.XLOOKUP(
      payments_raw[[#This Row],[subscription_id]],
      subscriptions[subscription_id],
      subscriptions[subscription_id]
    )
  ),
  0,
  1
)</f>
        <v>1</v>
      </c>
      <c r="F1068" s="1">
        <f>_xlfn.XLOOKUP(payments_raw[[#This Row],[subscription_id]], subscriptions[subscription_id], subscriptions[start_date])</f>
        <v>44583</v>
      </c>
      <c r="G10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8" s="2">
        <f>IF(payments_raw[[#This Row],[payment_date]] &lt; payments_raw[[#This Row],[sub_start_date]], 1, 0)</f>
        <v>0</v>
      </c>
      <c r="I1068" s="2">
        <f>IF(AND(payments_raw[[#This Row],[sub_end_date]]&lt;&gt;"", payments_raw[[#This Row],[payment_date]] &gt; payments_raw[[#This Row],[sub_end_date]]), 1, 0)</f>
        <v>0</v>
      </c>
      <c r="J1068" s="2">
        <f>IF(payments_raw[[#This Row],[amount]] &lt;= 0, 1, 0)</f>
        <v>0</v>
      </c>
      <c r="K10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69" spans="1:11" x14ac:dyDescent="0.3">
      <c r="A1069">
        <v>70368405</v>
      </c>
      <c r="B1069">
        <v>6415010</v>
      </c>
      <c r="C1069" s="1">
        <v>45499</v>
      </c>
      <c r="D1069">
        <v>79</v>
      </c>
      <c r="E1069">
        <f>IF(
  ISNA(
    _xlfn.XLOOKUP(
      payments_raw[[#This Row],[subscription_id]],
      subscriptions[subscription_id],
      subscriptions[subscription_id]
    )
  ),
  0,
  1
)</f>
        <v>1</v>
      </c>
      <c r="F1069" s="1">
        <f>_xlfn.XLOOKUP(payments_raw[[#This Row],[subscription_id]], subscriptions[subscription_id], subscriptions[start_date])</f>
        <v>44594</v>
      </c>
      <c r="G10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69" s="2">
        <f>IF(payments_raw[[#This Row],[payment_date]] &lt; payments_raw[[#This Row],[sub_start_date]], 1, 0)</f>
        <v>0</v>
      </c>
      <c r="I1069" s="2">
        <f>IF(AND(payments_raw[[#This Row],[sub_end_date]]&lt;&gt;"", payments_raw[[#This Row],[payment_date]] &gt; payments_raw[[#This Row],[sub_end_date]]), 1, 0)</f>
        <v>0</v>
      </c>
      <c r="J1069" s="2">
        <f>IF(payments_raw[[#This Row],[amount]] &lt;= 0, 1, 0)</f>
        <v>0</v>
      </c>
      <c r="K10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0" spans="1:11" x14ac:dyDescent="0.3">
      <c r="A1070">
        <v>32493530</v>
      </c>
      <c r="B1070">
        <v>5921482</v>
      </c>
      <c r="C1070" s="1">
        <v>44706</v>
      </c>
      <c r="D1070">
        <v>299</v>
      </c>
      <c r="E1070">
        <f>IF(
  ISNA(
    _xlfn.XLOOKUP(
      payments_raw[[#This Row],[subscription_id]],
      subscriptions[subscription_id],
      subscriptions[subscription_id]
    )
  ),
  0,
  1
)</f>
        <v>1</v>
      </c>
      <c r="F1070" s="1">
        <f>_xlfn.XLOOKUP(payments_raw[[#This Row],[subscription_id]], subscriptions[subscription_id], subscriptions[start_date])</f>
        <v>44671</v>
      </c>
      <c r="G107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44902</v>
      </c>
      <c r="H1070" s="2">
        <f>IF(payments_raw[[#This Row],[payment_date]] &lt; payments_raw[[#This Row],[sub_start_date]], 1, 0)</f>
        <v>0</v>
      </c>
      <c r="I1070" s="2">
        <f>IF(AND(payments_raw[[#This Row],[sub_end_date]]&lt;&gt;"", payments_raw[[#This Row],[payment_date]] &gt; payments_raw[[#This Row],[sub_end_date]]), 1, 0)</f>
        <v>0</v>
      </c>
      <c r="J1070" s="2">
        <f>IF(payments_raw[[#This Row],[amount]] &lt;= 0, 1, 0)</f>
        <v>0</v>
      </c>
      <c r="K10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1" spans="1:11" x14ac:dyDescent="0.3">
      <c r="A1071">
        <v>55350898</v>
      </c>
      <c r="B1071">
        <v>1722698</v>
      </c>
      <c r="C1071" s="1">
        <v>45310</v>
      </c>
      <c r="D1071">
        <v>1490</v>
      </c>
      <c r="E1071">
        <f>IF(
  ISNA(
    _xlfn.XLOOKUP(
      payments_raw[[#This Row],[subscription_id]],
      subscriptions[subscription_id],
      subscriptions[subscription_id]
    )
  ),
  0,
  1
)</f>
        <v>1</v>
      </c>
      <c r="F1071" s="1">
        <f>_xlfn.XLOOKUP(payments_raw[[#This Row],[subscription_id]], subscriptions[subscription_id], subscriptions[start_date])</f>
        <v>44788</v>
      </c>
      <c r="G10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1" s="2">
        <f>IF(payments_raw[[#This Row],[payment_date]] &lt; payments_raw[[#This Row],[sub_start_date]], 1, 0)</f>
        <v>0</v>
      </c>
      <c r="I1071" s="2">
        <f>IF(AND(payments_raw[[#This Row],[sub_end_date]]&lt;&gt;"", payments_raw[[#This Row],[payment_date]] &gt; payments_raw[[#This Row],[sub_end_date]]), 1, 0)</f>
        <v>0</v>
      </c>
      <c r="J1071" s="2">
        <f>IF(payments_raw[[#This Row],[amount]] &lt;= 0, 1, 0)</f>
        <v>0</v>
      </c>
      <c r="K10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2" spans="1:11" x14ac:dyDescent="0.3">
      <c r="A1072">
        <v>99833906</v>
      </c>
      <c r="B1072">
        <v>7500351</v>
      </c>
      <c r="C1072" s="1">
        <v>45539</v>
      </c>
      <c r="D1072">
        <v>790</v>
      </c>
      <c r="E1072">
        <f>IF(
  ISNA(
    _xlfn.XLOOKUP(
      payments_raw[[#This Row],[subscription_id]],
      subscriptions[subscription_id],
      subscriptions[subscription_id]
    )
  ),
  0,
  1
)</f>
        <v>1</v>
      </c>
      <c r="F1072" s="1">
        <f>_xlfn.XLOOKUP(payments_raw[[#This Row],[subscription_id]], subscriptions[subscription_id], subscriptions[start_date])</f>
        <v>45396</v>
      </c>
      <c r="G10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2" s="2">
        <f>IF(payments_raw[[#This Row],[payment_date]] &lt; payments_raw[[#This Row],[sub_start_date]], 1, 0)</f>
        <v>0</v>
      </c>
      <c r="I1072" s="2">
        <f>IF(AND(payments_raw[[#This Row],[sub_end_date]]&lt;&gt;"", payments_raw[[#This Row],[payment_date]] &gt; payments_raw[[#This Row],[sub_end_date]]), 1, 0)</f>
        <v>0</v>
      </c>
      <c r="J1072" s="2">
        <f>IF(payments_raw[[#This Row],[amount]] &lt;= 0, 1, 0)</f>
        <v>0</v>
      </c>
      <c r="K10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3" spans="1:11" x14ac:dyDescent="0.3">
      <c r="A1073">
        <v>55571777</v>
      </c>
      <c r="B1073">
        <v>3675009</v>
      </c>
      <c r="C1073" s="1">
        <v>45607</v>
      </c>
      <c r="D1073">
        <v>79</v>
      </c>
      <c r="E1073">
        <f>IF(
  ISNA(
    _xlfn.XLOOKUP(
      payments_raw[[#This Row],[subscription_id]],
      subscriptions[subscription_id],
      subscriptions[subscription_id]
    )
  ),
  0,
  1
)</f>
        <v>1</v>
      </c>
      <c r="F1073" s="1">
        <f>_xlfn.XLOOKUP(payments_raw[[#This Row],[subscription_id]], subscriptions[subscription_id], subscriptions[start_date])</f>
        <v>45420</v>
      </c>
      <c r="G10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3" s="2">
        <f>IF(payments_raw[[#This Row],[payment_date]] &lt; payments_raw[[#This Row],[sub_start_date]], 1, 0)</f>
        <v>0</v>
      </c>
      <c r="I1073" s="2">
        <f>IF(AND(payments_raw[[#This Row],[sub_end_date]]&lt;&gt;"", payments_raw[[#This Row],[payment_date]] &gt; payments_raw[[#This Row],[sub_end_date]]), 1, 0)</f>
        <v>0</v>
      </c>
      <c r="J1073" s="2">
        <f>IF(payments_raw[[#This Row],[amount]] &lt;= 0, 1, 0)</f>
        <v>0</v>
      </c>
      <c r="K10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4" spans="1:11" x14ac:dyDescent="0.3">
      <c r="A1074">
        <v>58816297</v>
      </c>
      <c r="B1074">
        <v>2463496</v>
      </c>
      <c r="C1074" s="1">
        <v>45594</v>
      </c>
      <c r="D1074">
        <v>190</v>
      </c>
      <c r="E1074">
        <f>IF(
  ISNA(
    _xlfn.XLOOKUP(
      payments_raw[[#This Row],[subscription_id]],
      subscriptions[subscription_id],
      subscriptions[subscription_id]
    )
  ),
  0,
  1
)</f>
        <v>1</v>
      </c>
      <c r="F1074" s="1">
        <f>_xlfn.XLOOKUP(payments_raw[[#This Row],[subscription_id]], subscriptions[subscription_id], subscriptions[start_date])</f>
        <v>44779</v>
      </c>
      <c r="G10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4" s="2">
        <f>IF(payments_raw[[#This Row],[payment_date]] &lt; payments_raw[[#This Row],[sub_start_date]], 1, 0)</f>
        <v>0</v>
      </c>
      <c r="I1074" s="2">
        <f>IF(AND(payments_raw[[#This Row],[sub_end_date]]&lt;&gt;"", payments_raw[[#This Row],[payment_date]] &gt; payments_raw[[#This Row],[sub_end_date]]), 1, 0)</f>
        <v>0</v>
      </c>
      <c r="J1074" s="2">
        <f>IF(payments_raw[[#This Row],[amount]] &lt;= 0, 1, 0)</f>
        <v>0</v>
      </c>
      <c r="K10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5" spans="1:11" x14ac:dyDescent="0.3">
      <c r="A1075">
        <v>92362416</v>
      </c>
      <c r="B1075">
        <v>1566334</v>
      </c>
      <c r="C1075" s="1">
        <v>45409</v>
      </c>
      <c r="D1075">
        <v>1490</v>
      </c>
      <c r="E1075">
        <f>IF(
  ISNA(
    _xlfn.XLOOKUP(
      payments_raw[[#This Row],[subscription_id]],
      subscriptions[subscription_id],
      subscriptions[subscription_id]
    )
  ),
  0,
  1
)</f>
        <v>1</v>
      </c>
      <c r="F1075" s="1">
        <f>_xlfn.XLOOKUP(payments_raw[[#This Row],[subscription_id]], subscriptions[subscription_id], subscriptions[start_date])</f>
        <v>45115</v>
      </c>
      <c r="G10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5" s="2">
        <f>IF(payments_raw[[#This Row],[payment_date]] &lt; payments_raw[[#This Row],[sub_start_date]], 1, 0)</f>
        <v>0</v>
      </c>
      <c r="I1075" s="2">
        <f>IF(AND(payments_raw[[#This Row],[sub_end_date]]&lt;&gt;"", payments_raw[[#This Row],[payment_date]] &gt; payments_raw[[#This Row],[sub_end_date]]), 1, 0)</f>
        <v>0</v>
      </c>
      <c r="J1075" s="2">
        <f>IF(payments_raw[[#This Row],[amount]] &lt;= 0, 1, 0)</f>
        <v>0</v>
      </c>
      <c r="K10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6" spans="1:11" x14ac:dyDescent="0.3">
      <c r="A1076">
        <v>27300241</v>
      </c>
      <c r="B1076">
        <v>6386706</v>
      </c>
      <c r="C1076" s="1">
        <v>44697</v>
      </c>
      <c r="D1076">
        <v>39</v>
      </c>
      <c r="E1076">
        <f>IF(
  ISNA(
    _xlfn.XLOOKUP(
      payments_raw[[#This Row],[subscription_id]],
      subscriptions[subscription_id],
      subscriptions[subscription_id]
    )
  ),
  0,
  1
)</f>
        <v>1</v>
      </c>
      <c r="F1076" s="1">
        <f>_xlfn.XLOOKUP(payments_raw[[#This Row],[subscription_id]], subscriptions[subscription_id], subscriptions[start_date])</f>
        <v>44620</v>
      </c>
      <c r="G107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44819</v>
      </c>
      <c r="H1076" s="2">
        <f>IF(payments_raw[[#This Row],[payment_date]] &lt; payments_raw[[#This Row],[sub_start_date]], 1, 0)</f>
        <v>0</v>
      </c>
      <c r="I1076" s="2">
        <f>IF(AND(payments_raw[[#This Row],[sub_end_date]]&lt;&gt;"", payments_raw[[#This Row],[payment_date]] &gt; payments_raw[[#This Row],[sub_end_date]]), 1, 0)</f>
        <v>0</v>
      </c>
      <c r="J1076" s="2">
        <f>IF(payments_raw[[#This Row],[amount]] &lt;= 0, 1, 0)</f>
        <v>0</v>
      </c>
      <c r="K10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7" spans="1:11" x14ac:dyDescent="0.3">
      <c r="A1077">
        <v>25925976</v>
      </c>
      <c r="B1077">
        <v>1831808</v>
      </c>
      <c r="C1077" s="1">
        <v>45122</v>
      </c>
      <c r="D1077">
        <v>1490</v>
      </c>
      <c r="E1077">
        <f>IF(
  ISNA(
    _xlfn.XLOOKUP(
      payments_raw[[#This Row],[subscription_id]],
      subscriptions[subscription_id],
      subscriptions[subscription_id]
    )
  ),
  0,
  1
)</f>
        <v>1</v>
      </c>
      <c r="F1077" s="1">
        <f>_xlfn.XLOOKUP(payments_raw[[#This Row],[subscription_id]], subscriptions[subscription_id], subscriptions[start_date])</f>
        <v>45038</v>
      </c>
      <c r="G10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7" s="2">
        <f>IF(payments_raw[[#This Row],[payment_date]] &lt; payments_raw[[#This Row],[sub_start_date]], 1, 0)</f>
        <v>0</v>
      </c>
      <c r="I1077" s="2">
        <f>IF(AND(payments_raw[[#This Row],[sub_end_date]]&lt;&gt;"", payments_raw[[#This Row],[payment_date]] &gt; payments_raw[[#This Row],[sub_end_date]]), 1, 0)</f>
        <v>0</v>
      </c>
      <c r="J1077" s="2">
        <f>IF(payments_raw[[#This Row],[amount]] &lt;= 0, 1, 0)</f>
        <v>0</v>
      </c>
      <c r="K10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8" spans="1:11" x14ac:dyDescent="0.3">
      <c r="A1078">
        <v>67459585</v>
      </c>
      <c r="B1078">
        <v>8763225</v>
      </c>
      <c r="C1078" s="1">
        <v>45277</v>
      </c>
      <c r="D1078">
        <v>1495</v>
      </c>
      <c r="E1078">
        <f>IF(
  ISNA(
    _xlfn.XLOOKUP(
      payments_raw[[#This Row],[subscription_id]],
      subscriptions[subscription_id],
      subscriptions[subscription_id]
    )
  ),
  0,
  1
)</f>
        <v>1</v>
      </c>
      <c r="F1078" s="1">
        <f>_xlfn.XLOOKUP(payments_raw[[#This Row],[subscription_id]], subscriptions[subscription_id], subscriptions[start_date])</f>
        <v>44597</v>
      </c>
      <c r="G10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8" s="2">
        <f>IF(payments_raw[[#This Row],[payment_date]] &lt; payments_raw[[#This Row],[sub_start_date]], 1, 0)</f>
        <v>0</v>
      </c>
      <c r="I1078" s="2">
        <f>IF(AND(payments_raw[[#This Row],[sub_end_date]]&lt;&gt;"", payments_raw[[#This Row],[payment_date]] &gt; payments_raw[[#This Row],[sub_end_date]]), 1, 0)</f>
        <v>0</v>
      </c>
      <c r="J1078" s="2">
        <f>IF(payments_raw[[#This Row],[amount]] &lt;= 0, 1, 0)</f>
        <v>0</v>
      </c>
      <c r="K10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79" spans="1:11" x14ac:dyDescent="0.3">
      <c r="A1079">
        <v>15288472</v>
      </c>
      <c r="B1079">
        <v>3800715</v>
      </c>
      <c r="C1079" s="1">
        <v>44754</v>
      </c>
      <c r="D1079">
        <v>149</v>
      </c>
      <c r="E1079">
        <f>IF(
  ISNA(
    _xlfn.XLOOKUP(
      payments_raw[[#This Row],[subscription_id]],
      subscriptions[subscription_id],
      subscriptions[subscription_id]
    )
  ),
  0,
  1
)</f>
        <v>1</v>
      </c>
      <c r="F1079" s="1">
        <f>_xlfn.XLOOKUP(payments_raw[[#This Row],[subscription_id]], subscriptions[subscription_id], subscriptions[start_date])</f>
        <v>44711</v>
      </c>
      <c r="G10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79" s="2">
        <f>IF(payments_raw[[#This Row],[payment_date]] &lt; payments_raw[[#This Row],[sub_start_date]], 1, 0)</f>
        <v>0</v>
      </c>
      <c r="I1079" s="2">
        <f>IF(AND(payments_raw[[#This Row],[sub_end_date]]&lt;&gt;"", payments_raw[[#This Row],[payment_date]] &gt; payments_raw[[#This Row],[sub_end_date]]), 1, 0)</f>
        <v>0</v>
      </c>
      <c r="J1079" s="2">
        <f>IF(payments_raw[[#This Row],[amount]] &lt;= 0, 1, 0)</f>
        <v>0</v>
      </c>
      <c r="K10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0" spans="1:11" x14ac:dyDescent="0.3">
      <c r="A1080">
        <v>51183538</v>
      </c>
      <c r="B1080">
        <v>6228876</v>
      </c>
      <c r="C1080" s="1">
        <v>45348</v>
      </c>
      <c r="D1080">
        <v>1490</v>
      </c>
      <c r="E1080">
        <f>IF(
  ISNA(
    _xlfn.XLOOKUP(
      payments_raw[[#This Row],[subscription_id]],
      subscriptions[subscription_id],
      subscriptions[subscription_id]
    )
  ),
  0,
  1
)</f>
        <v>1</v>
      </c>
      <c r="F1080" s="1">
        <f>_xlfn.XLOOKUP(payments_raw[[#This Row],[subscription_id]], subscriptions[subscription_id], subscriptions[start_date])</f>
        <v>45158</v>
      </c>
      <c r="G10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0" s="2">
        <f>IF(payments_raw[[#This Row],[payment_date]] &lt; payments_raw[[#This Row],[sub_start_date]], 1, 0)</f>
        <v>0</v>
      </c>
      <c r="I1080" s="2">
        <f>IF(AND(payments_raw[[#This Row],[sub_end_date]]&lt;&gt;"", payments_raw[[#This Row],[payment_date]] &gt; payments_raw[[#This Row],[sub_end_date]]), 1, 0)</f>
        <v>0</v>
      </c>
      <c r="J1080" s="2">
        <f>IF(payments_raw[[#This Row],[amount]] &lt;= 0, 1, 0)</f>
        <v>0</v>
      </c>
      <c r="K10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1" spans="1:11" x14ac:dyDescent="0.3">
      <c r="A1081">
        <v>88696058</v>
      </c>
      <c r="B1081">
        <v>8263690</v>
      </c>
      <c r="C1081" s="1">
        <v>45584</v>
      </c>
      <c r="D1081">
        <v>790</v>
      </c>
      <c r="E1081">
        <f>IF(
  ISNA(
    _xlfn.XLOOKUP(
      payments_raw[[#This Row],[subscription_id]],
      subscriptions[subscription_id],
      subscriptions[subscription_id]
    )
  ),
  0,
  1
)</f>
        <v>1</v>
      </c>
      <c r="F1081" s="1">
        <f>_xlfn.XLOOKUP(payments_raw[[#This Row],[subscription_id]], subscriptions[subscription_id], subscriptions[start_date])</f>
        <v>45253</v>
      </c>
      <c r="G10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1" s="2">
        <f>IF(payments_raw[[#This Row],[payment_date]] &lt; payments_raw[[#This Row],[sub_start_date]], 1, 0)</f>
        <v>0</v>
      </c>
      <c r="I1081" s="2">
        <f>IF(AND(payments_raw[[#This Row],[sub_end_date]]&lt;&gt;"", payments_raw[[#This Row],[payment_date]] &gt; payments_raw[[#This Row],[sub_end_date]]), 1, 0)</f>
        <v>0</v>
      </c>
      <c r="J1081" s="2">
        <f>IF(payments_raw[[#This Row],[amount]] &lt;= 0, 1, 0)</f>
        <v>0</v>
      </c>
      <c r="K10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2" spans="1:11" x14ac:dyDescent="0.3">
      <c r="A1082">
        <v>19764093</v>
      </c>
      <c r="B1082">
        <v>3412052</v>
      </c>
      <c r="C1082" s="1">
        <v>44730</v>
      </c>
      <c r="D1082">
        <v>39</v>
      </c>
      <c r="E1082">
        <f>IF(
  ISNA(
    _xlfn.XLOOKUP(
      payments_raw[[#This Row],[subscription_id]],
      subscriptions[subscription_id],
      subscriptions[subscription_id]
    )
  ),
  0,
  1
)</f>
        <v>1</v>
      </c>
      <c r="F1082" s="1">
        <f>_xlfn.XLOOKUP(payments_raw[[#This Row],[subscription_id]], subscriptions[subscription_id], subscriptions[start_date])</f>
        <v>44609</v>
      </c>
      <c r="G10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44935</v>
      </c>
      <c r="H1082" s="2">
        <f>IF(payments_raw[[#This Row],[payment_date]] &lt; payments_raw[[#This Row],[sub_start_date]], 1, 0)</f>
        <v>0</v>
      </c>
      <c r="I1082" s="2">
        <f>IF(AND(payments_raw[[#This Row],[sub_end_date]]&lt;&gt;"", payments_raw[[#This Row],[payment_date]] &gt; payments_raw[[#This Row],[sub_end_date]]), 1, 0)</f>
        <v>0</v>
      </c>
      <c r="J1082" s="2">
        <f>IF(payments_raw[[#This Row],[amount]] &lt;= 0, 1, 0)</f>
        <v>0</v>
      </c>
      <c r="K10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3" spans="1:11" x14ac:dyDescent="0.3">
      <c r="A1083">
        <v>25533493</v>
      </c>
      <c r="B1083">
        <v>7847411</v>
      </c>
      <c r="C1083" s="1">
        <v>45495</v>
      </c>
      <c r="D1083">
        <v>390</v>
      </c>
      <c r="E1083">
        <f>IF(
  ISNA(
    _xlfn.XLOOKUP(
      payments_raw[[#This Row],[subscription_id]],
      subscriptions[subscription_id],
      subscriptions[subscription_id]
    )
  ),
  0,
  1
)</f>
        <v>1</v>
      </c>
      <c r="F1083" s="1">
        <f>_xlfn.XLOOKUP(payments_raw[[#This Row],[subscription_id]], subscriptions[subscription_id], subscriptions[start_date])</f>
        <v>45329</v>
      </c>
      <c r="G10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3" s="2">
        <f>IF(payments_raw[[#This Row],[payment_date]] &lt; payments_raw[[#This Row],[sub_start_date]], 1, 0)</f>
        <v>0</v>
      </c>
      <c r="I1083" s="2">
        <f>IF(AND(payments_raw[[#This Row],[sub_end_date]]&lt;&gt;"", payments_raw[[#This Row],[payment_date]] &gt; payments_raw[[#This Row],[sub_end_date]]), 1, 0)</f>
        <v>0</v>
      </c>
      <c r="J1083" s="2">
        <f>IF(payments_raw[[#This Row],[amount]] &lt;= 0, 1, 0)</f>
        <v>0</v>
      </c>
      <c r="K10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4" spans="1:11" x14ac:dyDescent="0.3">
      <c r="A1084">
        <v>19293581</v>
      </c>
      <c r="B1084">
        <v>7847411</v>
      </c>
      <c r="C1084" s="1">
        <v>45435</v>
      </c>
      <c r="D1084">
        <v>292.5</v>
      </c>
      <c r="E1084">
        <f>IF(
  ISNA(
    _xlfn.XLOOKUP(
      payments_raw[[#This Row],[subscription_id]],
      subscriptions[subscription_id],
      subscriptions[subscription_id]
    )
  ),
  0,
  1
)</f>
        <v>1</v>
      </c>
      <c r="F1084" s="1">
        <f>_xlfn.XLOOKUP(payments_raw[[#This Row],[subscription_id]], subscriptions[subscription_id], subscriptions[start_date])</f>
        <v>45329</v>
      </c>
      <c r="G10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4" s="2">
        <f>IF(payments_raw[[#This Row],[payment_date]] &lt; payments_raw[[#This Row],[sub_start_date]], 1, 0)</f>
        <v>0</v>
      </c>
      <c r="I1084" s="2">
        <f>IF(AND(payments_raw[[#This Row],[sub_end_date]]&lt;&gt;"", payments_raw[[#This Row],[payment_date]] &gt; payments_raw[[#This Row],[sub_end_date]]), 1, 0)</f>
        <v>0</v>
      </c>
      <c r="J1084" s="2">
        <f>IF(payments_raw[[#This Row],[amount]] &lt;= 0, 1, 0)</f>
        <v>0</v>
      </c>
      <c r="K10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5" spans="1:11" x14ac:dyDescent="0.3">
      <c r="A1085">
        <v>74495536</v>
      </c>
      <c r="B1085">
        <v>8778317</v>
      </c>
      <c r="C1085" s="1">
        <v>45521</v>
      </c>
      <c r="D1085">
        <v>19</v>
      </c>
      <c r="E1085">
        <f>IF(
  ISNA(
    _xlfn.XLOOKUP(
      payments_raw[[#This Row],[subscription_id]],
      subscriptions[subscription_id],
      subscriptions[subscription_id]
    )
  ),
  0,
  1
)</f>
        <v>1</v>
      </c>
      <c r="F1085" s="1">
        <f>_xlfn.XLOOKUP(payments_raw[[#This Row],[subscription_id]], subscriptions[subscription_id], subscriptions[start_date])</f>
        <v>45513</v>
      </c>
      <c r="G10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5" s="2">
        <f>IF(payments_raw[[#This Row],[payment_date]] &lt; payments_raw[[#This Row],[sub_start_date]], 1, 0)</f>
        <v>0</v>
      </c>
      <c r="I1085" s="2">
        <f>IF(AND(payments_raw[[#This Row],[sub_end_date]]&lt;&gt;"", payments_raw[[#This Row],[payment_date]] &gt; payments_raw[[#This Row],[sub_end_date]]), 1, 0)</f>
        <v>0</v>
      </c>
      <c r="J1085" s="2">
        <f>IF(payments_raw[[#This Row],[amount]] &lt;= 0, 1, 0)</f>
        <v>0</v>
      </c>
      <c r="K10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6" spans="1:11" x14ac:dyDescent="0.3">
      <c r="A1086">
        <v>95015904</v>
      </c>
      <c r="B1086">
        <v>6677240</v>
      </c>
      <c r="C1086" s="1">
        <v>45384</v>
      </c>
      <c r="D1086">
        <v>299</v>
      </c>
      <c r="E1086">
        <f>IF(
  ISNA(
    _xlfn.XLOOKUP(
      payments_raw[[#This Row],[subscription_id]],
      subscriptions[subscription_id],
      subscriptions[subscription_id]
    )
  ),
  0,
  1
)</f>
        <v>1</v>
      </c>
      <c r="F1086" s="1">
        <f>_xlfn.XLOOKUP(payments_raw[[#This Row],[subscription_id]], subscriptions[subscription_id], subscriptions[start_date])</f>
        <v>44736</v>
      </c>
      <c r="G10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6" s="2">
        <f>IF(payments_raw[[#This Row],[payment_date]] &lt; payments_raw[[#This Row],[sub_start_date]], 1, 0)</f>
        <v>0</v>
      </c>
      <c r="I1086" s="2">
        <f>IF(AND(payments_raw[[#This Row],[sub_end_date]]&lt;&gt;"", payments_raw[[#This Row],[payment_date]] &gt; payments_raw[[#This Row],[sub_end_date]]), 1, 0)</f>
        <v>0</v>
      </c>
      <c r="J1086" s="2">
        <f>IF(payments_raw[[#This Row],[amount]] &lt;= 0, 1, 0)</f>
        <v>0</v>
      </c>
      <c r="K10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7" spans="1:11" x14ac:dyDescent="0.3">
      <c r="A1087">
        <v>34447629</v>
      </c>
      <c r="B1087">
        <v>5979872</v>
      </c>
      <c r="C1087" s="1">
        <v>45112</v>
      </c>
      <c r="D1087">
        <v>79</v>
      </c>
      <c r="E1087">
        <f>IF(
  ISNA(
    _xlfn.XLOOKUP(
      payments_raw[[#This Row],[subscription_id]],
      subscriptions[subscription_id],
      subscriptions[subscription_id]
    )
  ),
  0,
  1
)</f>
        <v>1</v>
      </c>
      <c r="F1087" s="1">
        <f>_xlfn.XLOOKUP(payments_raw[[#This Row],[subscription_id]], subscriptions[subscription_id], subscriptions[start_date])</f>
        <v>45010</v>
      </c>
      <c r="G10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7" s="2">
        <f>IF(payments_raw[[#This Row],[payment_date]] &lt; payments_raw[[#This Row],[sub_start_date]], 1, 0)</f>
        <v>0</v>
      </c>
      <c r="I1087" s="2">
        <f>IF(AND(payments_raw[[#This Row],[sub_end_date]]&lt;&gt;"", payments_raw[[#This Row],[payment_date]] &gt; payments_raw[[#This Row],[sub_end_date]]), 1, 0)</f>
        <v>0</v>
      </c>
      <c r="J1087" s="2">
        <f>IF(payments_raw[[#This Row],[amount]] &lt;= 0, 1, 0)</f>
        <v>0</v>
      </c>
      <c r="K10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8" spans="1:11" x14ac:dyDescent="0.3">
      <c r="A1088">
        <v>48166551</v>
      </c>
      <c r="B1088">
        <v>5617358</v>
      </c>
      <c r="C1088" s="1">
        <v>45606</v>
      </c>
      <c r="D1088">
        <v>190</v>
      </c>
      <c r="E1088">
        <f>IF(
  ISNA(
    _xlfn.XLOOKUP(
      payments_raw[[#This Row],[subscription_id]],
      subscriptions[subscription_id],
      subscriptions[subscription_id]
    )
  ),
  0,
  1
)</f>
        <v>1</v>
      </c>
      <c r="F1088" s="1">
        <f>_xlfn.XLOOKUP(payments_raw[[#This Row],[subscription_id]], subscriptions[subscription_id], subscriptions[start_date])</f>
        <v>45473</v>
      </c>
      <c r="G10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88" s="2">
        <f>IF(payments_raw[[#This Row],[payment_date]] &lt; payments_raw[[#This Row],[sub_start_date]], 1, 0)</f>
        <v>0</v>
      </c>
      <c r="I1088" s="2">
        <f>IF(AND(payments_raw[[#This Row],[sub_end_date]]&lt;&gt;"", payments_raw[[#This Row],[payment_date]] &gt; payments_raw[[#This Row],[sub_end_date]]), 1, 0)</f>
        <v>0</v>
      </c>
      <c r="J1088" s="2">
        <f>IF(payments_raw[[#This Row],[amount]] &lt;= 0, 1, 0)</f>
        <v>0</v>
      </c>
      <c r="K10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89" spans="1:11" x14ac:dyDescent="0.3">
      <c r="A1089">
        <v>61414457</v>
      </c>
      <c r="B1089">
        <v>4323637</v>
      </c>
      <c r="C1089" s="1">
        <v>44954</v>
      </c>
      <c r="D1089">
        <v>2990</v>
      </c>
      <c r="E1089">
        <f>IF(
  ISNA(
    _xlfn.XLOOKUP(
      payments_raw[[#This Row],[subscription_id]],
      subscriptions[subscription_id],
      subscriptions[subscription_id]
    )
  ),
  0,
  1
)</f>
        <v>1</v>
      </c>
      <c r="F1089" s="1">
        <f>_xlfn.XLOOKUP(payments_raw[[#This Row],[subscription_id]], subscriptions[subscription_id], subscriptions[start_date])</f>
        <v>44930</v>
      </c>
      <c r="G108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1089" s="2">
        <f>IF(payments_raw[[#This Row],[payment_date]] &lt; payments_raw[[#This Row],[sub_start_date]], 1, 0)</f>
        <v>0</v>
      </c>
      <c r="I1089" s="2">
        <f>IF(AND(payments_raw[[#This Row],[sub_end_date]]&lt;&gt;"", payments_raw[[#This Row],[payment_date]] &gt; payments_raw[[#This Row],[sub_end_date]]), 1, 0)</f>
        <v>0</v>
      </c>
      <c r="J1089" s="2">
        <f>IF(payments_raw[[#This Row],[amount]] &lt;= 0, 1, 0)</f>
        <v>0</v>
      </c>
      <c r="K10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0" spans="1:11" x14ac:dyDescent="0.3">
      <c r="A1090">
        <v>75851164</v>
      </c>
      <c r="B1090">
        <v>2579766</v>
      </c>
      <c r="C1090" s="1">
        <v>45461</v>
      </c>
      <c r="D1090">
        <v>790</v>
      </c>
      <c r="E1090">
        <f>IF(
  ISNA(
    _xlfn.XLOOKUP(
      payments_raw[[#This Row],[subscription_id]],
      subscriptions[subscription_id],
      subscriptions[subscription_id]
    )
  ),
  0,
  1
)</f>
        <v>1</v>
      </c>
      <c r="F1090" s="1">
        <f>_xlfn.XLOOKUP(payments_raw[[#This Row],[subscription_id]], subscriptions[subscription_id], subscriptions[start_date])</f>
        <v>45388</v>
      </c>
      <c r="G10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0" s="2">
        <f>IF(payments_raw[[#This Row],[payment_date]] &lt; payments_raw[[#This Row],[sub_start_date]], 1, 0)</f>
        <v>0</v>
      </c>
      <c r="I1090" s="2">
        <f>IF(AND(payments_raw[[#This Row],[sub_end_date]]&lt;&gt;"", payments_raw[[#This Row],[payment_date]] &gt; payments_raw[[#This Row],[sub_end_date]]), 1, 0)</f>
        <v>0</v>
      </c>
      <c r="J1090" s="2">
        <f>IF(payments_raw[[#This Row],[amount]] &lt;= 0, 1, 0)</f>
        <v>0</v>
      </c>
      <c r="K10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1" spans="1:11" x14ac:dyDescent="0.3">
      <c r="A1091">
        <v>39807813</v>
      </c>
      <c r="B1091">
        <v>1334774</v>
      </c>
      <c r="C1091" s="1">
        <v>45520</v>
      </c>
      <c r="D1091">
        <v>299</v>
      </c>
      <c r="E1091">
        <f>IF(
  ISNA(
    _xlfn.XLOOKUP(
      payments_raw[[#This Row],[subscription_id]],
      subscriptions[subscription_id],
      subscriptions[subscription_id]
    )
  ),
  0,
  1
)</f>
        <v>1</v>
      </c>
      <c r="F1091" s="1">
        <f>_xlfn.XLOOKUP(payments_raw[[#This Row],[subscription_id]], subscriptions[subscription_id], subscriptions[start_date])</f>
        <v>45304</v>
      </c>
      <c r="G10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091" s="2">
        <f>IF(payments_raw[[#This Row],[payment_date]] &lt; payments_raw[[#This Row],[sub_start_date]], 1, 0)</f>
        <v>0</v>
      </c>
      <c r="I1091" s="2">
        <f>IF(AND(payments_raw[[#This Row],[sub_end_date]]&lt;&gt;"", payments_raw[[#This Row],[payment_date]] &gt; payments_raw[[#This Row],[sub_end_date]]), 1, 0)</f>
        <v>0</v>
      </c>
      <c r="J1091" s="2">
        <f>IF(payments_raw[[#This Row],[amount]] &lt;= 0, 1, 0)</f>
        <v>0</v>
      </c>
      <c r="K10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2" spans="1:11" x14ac:dyDescent="0.3">
      <c r="A1092">
        <v>95539887</v>
      </c>
      <c r="B1092">
        <v>6478441</v>
      </c>
      <c r="C1092" s="1">
        <v>45524</v>
      </c>
      <c r="D1092">
        <v>19</v>
      </c>
      <c r="E1092">
        <f>IF(
  ISNA(
    _xlfn.XLOOKUP(
      payments_raw[[#This Row],[subscription_id]],
      subscriptions[subscription_id],
      subscriptions[subscription_id]
    )
  ),
  0,
  1
)</f>
        <v>1</v>
      </c>
      <c r="F1092" s="1">
        <f>_xlfn.XLOOKUP(payments_raw[[#This Row],[subscription_id]], subscriptions[subscription_id], subscriptions[start_date])</f>
        <v>45299</v>
      </c>
      <c r="G10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2" s="2">
        <f>IF(payments_raw[[#This Row],[payment_date]] &lt; payments_raw[[#This Row],[sub_start_date]], 1, 0)</f>
        <v>0</v>
      </c>
      <c r="I1092" s="2">
        <f>IF(AND(payments_raw[[#This Row],[sub_end_date]]&lt;&gt;"", payments_raw[[#This Row],[payment_date]] &gt; payments_raw[[#This Row],[sub_end_date]]), 1, 0)</f>
        <v>0</v>
      </c>
      <c r="J1092" s="2">
        <f>IF(payments_raw[[#This Row],[amount]] &lt;= 0, 1, 0)</f>
        <v>0</v>
      </c>
      <c r="K10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3" spans="1:11" x14ac:dyDescent="0.3">
      <c r="A1093">
        <v>49281259</v>
      </c>
      <c r="B1093">
        <v>1527651</v>
      </c>
      <c r="C1093" s="1">
        <v>44966</v>
      </c>
      <c r="D1093">
        <v>299</v>
      </c>
      <c r="E1093">
        <f>IF(
  ISNA(
    _xlfn.XLOOKUP(
      payments_raw[[#This Row],[subscription_id]],
      subscriptions[subscription_id],
      subscriptions[subscription_id]
    )
  ),
  0,
  1
)</f>
        <v>1</v>
      </c>
      <c r="F1093" s="1">
        <f>_xlfn.XLOOKUP(payments_raw[[#This Row],[subscription_id]], subscriptions[subscription_id], subscriptions[start_date])</f>
        <v>44802</v>
      </c>
      <c r="G10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45009</v>
      </c>
      <c r="H1093" s="2">
        <f>IF(payments_raw[[#This Row],[payment_date]] &lt; payments_raw[[#This Row],[sub_start_date]], 1, 0)</f>
        <v>0</v>
      </c>
      <c r="I1093" s="2">
        <f>IF(AND(payments_raw[[#This Row],[sub_end_date]]&lt;&gt;"", payments_raw[[#This Row],[payment_date]] &gt; payments_raw[[#This Row],[sub_end_date]]), 1, 0)</f>
        <v>0</v>
      </c>
      <c r="J1093" s="2">
        <f>IF(payments_raw[[#This Row],[amount]] &lt;= 0, 1, 0)</f>
        <v>0</v>
      </c>
      <c r="K10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4" spans="1:11" x14ac:dyDescent="0.3">
      <c r="A1094">
        <v>10854347</v>
      </c>
      <c r="B1094">
        <v>8989988</v>
      </c>
      <c r="C1094" s="1">
        <v>45522</v>
      </c>
      <c r="D1094">
        <v>39</v>
      </c>
      <c r="E1094">
        <f>IF(
  ISNA(
    _xlfn.XLOOKUP(
      payments_raw[[#This Row],[subscription_id]],
      subscriptions[subscription_id],
      subscriptions[subscription_id]
    )
  ),
  0,
  1
)</f>
        <v>1</v>
      </c>
      <c r="F1094" s="1">
        <f>_xlfn.XLOOKUP(payments_raw[[#This Row],[subscription_id]], subscriptions[subscription_id], subscriptions[start_date])</f>
        <v>45489</v>
      </c>
      <c r="G10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4" s="2">
        <f>IF(payments_raw[[#This Row],[payment_date]] &lt; payments_raw[[#This Row],[sub_start_date]], 1, 0)</f>
        <v>0</v>
      </c>
      <c r="I1094" s="2">
        <f>IF(AND(payments_raw[[#This Row],[sub_end_date]]&lt;&gt;"", payments_raw[[#This Row],[payment_date]] &gt; payments_raw[[#This Row],[sub_end_date]]), 1, 0)</f>
        <v>0</v>
      </c>
      <c r="J1094" s="2">
        <f>IF(payments_raw[[#This Row],[amount]] &lt;= 0, 1, 0)</f>
        <v>0</v>
      </c>
      <c r="K10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5" spans="1:11" x14ac:dyDescent="0.3">
      <c r="A1095">
        <v>79164276</v>
      </c>
      <c r="B1095">
        <v>7581459</v>
      </c>
      <c r="C1095" s="1">
        <v>45631</v>
      </c>
      <c r="D1095">
        <v>1490</v>
      </c>
      <c r="E1095">
        <f>IF(
  ISNA(
    _xlfn.XLOOKUP(
      payments_raw[[#This Row],[subscription_id]],
      subscriptions[subscription_id],
      subscriptions[subscription_id]
    )
  ),
  0,
  1
)</f>
        <v>1</v>
      </c>
      <c r="F1095" s="1">
        <f>_xlfn.XLOOKUP(payments_raw[[#This Row],[subscription_id]], subscriptions[subscription_id], subscriptions[start_date])</f>
        <v>45253</v>
      </c>
      <c r="G10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5" s="2">
        <f>IF(payments_raw[[#This Row],[payment_date]] &lt; payments_raw[[#This Row],[sub_start_date]], 1, 0)</f>
        <v>0</v>
      </c>
      <c r="I1095" s="2">
        <f>IF(AND(payments_raw[[#This Row],[sub_end_date]]&lt;&gt;"", payments_raw[[#This Row],[payment_date]] &gt; payments_raw[[#This Row],[sub_end_date]]), 1, 0)</f>
        <v>0</v>
      </c>
      <c r="J1095" s="2">
        <f>IF(payments_raw[[#This Row],[amount]] &lt;= 0, 1, 0)</f>
        <v>0</v>
      </c>
      <c r="K10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6" spans="1:11" x14ac:dyDescent="0.3">
      <c r="A1096">
        <v>59504107</v>
      </c>
      <c r="B1096">
        <v>9115888</v>
      </c>
      <c r="C1096" s="1">
        <v>45480</v>
      </c>
      <c r="D1096">
        <v>790</v>
      </c>
      <c r="E1096">
        <f>IF(
  ISNA(
    _xlfn.XLOOKUP(
      payments_raw[[#This Row],[subscription_id]],
      subscriptions[subscription_id],
      subscriptions[subscription_id]
    )
  ),
  0,
  1
)</f>
        <v>1</v>
      </c>
      <c r="F1096" s="1">
        <f>_xlfn.XLOOKUP(payments_raw[[#This Row],[subscription_id]], subscriptions[subscription_id], subscriptions[start_date])</f>
        <v>45333</v>
      </c>
      <c r="G10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1096" s="2">
        <f>IF(payments_raw[[#This Row],[payment_date]] &lt; payments_raw[[#This Row],[sub_start_date]], 1, 0)</f>
        <v>0</v>
      </c>
      <c r="I1096" s="2">
        <f>IF(AND(payments_raw[[#This Row],[sub_end_date]]&lt;&gt;"", payments_raw[[#This Row],[payment_date]] &gt; payments_raw[[#This Row],[sub_end_date]]), 1, 0)</f>
        <v>0</v>
      </c>
      <c r="J1096" s="2">
        <f>IF(payments_raw[[#This Row],[amount]] &lt;= 0, 1, 0)</f>
        <v>0</v>
      </c>
      <c r="K10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7" spans="1:11" x14ac:dyDescent="0.3">
      <c r="A1097">
        <v>19340643</v>
      </c>
      <c r="B1097">
        <v>5599450</v>
      </c>
      <c r="C1097" s="1">
        <v>45364</v>
      </c>
      <c r="D1097">
        <v>390</v>
      </c>
      <c r="E1097">
        <f>IF(
  ISNA(
    _xlfn.XLOOKUP(
      payments_raw[[#This Row],[subscription_id]],
      subscriptions[subscription_id],
      subscriptions[subscription_id]
    )
  ),
  0,
  1
)</f>
        <v>1</v>
      </c>
      <c r="F1097" s="1">
        <f>_xlfn.XLOOKUP(payments_raw[[#This Row],[subscription_id]], subscriptions[subscription_id], subscriptions[start_date])</f>
        <v>44826</v>
      </c>
      <c r="G10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7" s="2">
        <f>IF(payments_raw[[#This Row],[payment_date]] &lt; payments_raw[[#This Row],[sub_start_date]], 1, 0)</f>
        <v>0</v>
      </c>
      <c r="I1097" s="2">
        <f>IF(AND(payments_raw[[#This Row],[sub_end_date]]&lt;&gt;"", payments_raw[[#This Row],[payment_date]] &gt; payments_raw[[#This Row],[sub_end_date]]), 1, 0)</f>
        <v>0</v>
      </c>
      <c r="J1097" s="2">
        <f>IF(payments_raw[[#This Row],[amount]] &lt;= 0, 1, 0)</f>
        <v>0</v>
      </c>
      <c r="K10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8" spans="1:11" x14ac:dyDescent="0.3">
      <c r="A1098">
        <v>33202743</v>
      </c>
      <c r="B1098">
        <v>9044647</v>
      </c>
      <c r="C1098" s="1">
        <v>45191</v>
      </c>
      <c r="D1098">
        <v>39</v>
      </c>
      <c r="E1098">
        <f>IF(
  ISNA(
    _xlfn.XLOOKUP(
      payments_raw[[#This Row],[subscription_id]],
      subscriptions[subscription_id],
      subscriptions[subscription_id]
    )
  ),
  0,
  1
)</f>
        <v>1</v>
      </c>
      <c r="F1098" s="1">
        <f>_xlfn.XLOOKUP(payments_raw[[#This Row],[subscription_id]], subscriptions[subscription_id], subscriptions[start_date])</f>
        <v>45122</v>
      </c>
      <c r="G10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45200</v>
      </c>
      <c r="H1098" s="2">
        <f>IF(payments_raw[[#This Row],[payment_date]] &lt; payments_raw[[#This Row],[sub_start_date]], 1, 0)</f>
        <v>0</v>
      </c>
      <c r="I1098" s="2">
        <f>IF(AND(payments_raw[[#This Row],[sub_end_date]]&lt;&gt;"", payments_raw[[#This Row],[payment_date]] &gt; payments_raw[[#This Row],[sub_end_date]]), 1, 0)</f>
        <v>0</v>
      </c>
      <c r="J1098" s="2">
        <f>IF(payments_raw[[#This Row],[amount]] &lt;= 0, 1, 0)</f>
        <v>0</v>
      </c>
      <c r="K10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099" spans="1:11" x14ac:dyDescent="0.3">
      <c r="A1099">
        <v>24208449</v>
      </c>
      <c r="B1099">
        <v>6213281</v>
      </c>
      <c r="C1099" s="1">
        <v>45052</v>
      </c>
      <c r="D1099">
        <v>790</v>
      </c>
      <c r="E1099">
        <f>IF(
  ISNA(
    _xlfn.XLOOKUP(
      payments_raw[[#This Row],[subscription_id]],
      subscriptions[subscription_id],
      subscriptions[subscription_id]
    )
  ),
  0,
  1
)</f>
        <v>1</v>
      </c>
      <c r="F1099" s="1">
        <f>_xlfn.XLOOKUP(payments_raw[[#This Row],[subscription_id]], subscriptions[subscription_id], subscriptions[start_date])</f>
        <v>44916</v>
      </c>
      <c r="G10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099" s="2">
        <f>IF(payments_raw[[#This Row],[payment_date]] &lt; payments_raw[[#This Row],[sub_start_date]], 1, 0)</f>
        <v>0</v>
      </c>
      <c r="I1099" s="2">
        <f>IF(AND(payments_raw[[#This Row],[sub_end_date]]&lt;&gt;"", payments_raw[[#This Row],[payment_date]] &gt; payments_raw[[#This Row],[sub_end_date]]), 1, 0)</f>
        <v>0</v>
      </c>
      <c r="J1099" s="2">
        <f>IF(payments_raw[[#This Row],[amount]] &lt;= 0, 1, 0)</f>
        <v>0</v>
      </c>
      <c r="K10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0" spans="1:11" x14ac:dyDescent="0.3">
      <c r="A1100">
        <v>18444387</v>
      </c>
      <c r="B1100">
        <v>6984371</v>
      </c>
      <c r="C1100" s="1">
        <v>45009</v>
      </c>
      <c r="D1100">
        <v>1490</v>
      </c>
      <c r="E1100">
        <f>IF(
  ISNA(
    _xlfn.XLOOKUP(
      payments_raw[[#This Row],[subscription_id]],
      subscriptions[subscription_id],
      subscriptions[subscription_id]
    )
  ),
  0,
  1
)</f>
        <v>1</v>
      </c>
      <c r="F1100" s="1">
        <f>_xlfn.XLOOKUP(payments_raw[[#This Row],[subscription_id]], subscriptions[subscription_id], subscriptions[start_date])</f>
        <v>44977</v>
      </c>
      <c r="G11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45116</v>
      </c>
      <c r="H1100" s="2">
        <f>IF(payments_raw[[#This Row],[payment_date]] &lt; payments_raw[[#This Row],[sub_start_date]], 1, 0)</f>
        <v>0</v>
      </c>
      <c r="I1100" s="2">
        <f>IF(AND(payments_raw[[#This Row],[sub_end_date]]&lt;&gt;"", payments_raw[[#This Row],[payment_date]] &gt; payments_raw[[#This Row],[sub_end_date]]), 1, 0)</f>
        <v>0</v>
      </c>
      <c r="J1100" s="2">
        <f>IF(payments_raw[[#This Row],[amount]] &lt;= 0, 1, 0)</f>
        <v>0</v>
      </c>
      <c r="K11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1" spans="1:11" x14ac:dyDescent="0.3">
      <c r="A1101">
        <v>29221670</v>
      </c>
      <c r="B1101">
        <v>6662853</v>
      </c>
      <c r="C1101" s="1">
        <v>45373</v>
      </c>
      <c r="D1101">
        <v>390</v>
      </c>
      <c r="E1101">
        <f>IF(
  ISNA(
    _xlfn.XLOOKUP(
      payments_raw[[#This Row],[subscription_id]],
      subscriptions[subscription_id],
      subscriptions[subscription_id]
    )
  ),
  0,
  1
)</f>
        <v>1</v>
      </c>
      <c r="F1101" s="1">
        <f>_xlfn.XLOOKUP(payments_raw[[#This Row],[subscription_id]], subscriptions[subscription_id], subscriptions[start_date])</f>
        <v>45370</v>
      </c>
      <c r="G11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01" s="2">
        <f>IF(payments_raw[[#This Row],[payment_date]] &lt; payments_raw[[#This Row],[sub_start_date]], 1, 0)</f>
        <v>0</v>
      </c>
      <c r="I1101" s="2">
        <f>IF(AND(payments_raw[[#This Row],[sub_end_date]]&lt;&gt;"", payments_raw[[#This Row],[payment_date]] &gt; payments_raw[[#This Row],[sub_end_date]]), 1, 0)</f>
        <v>0</v>
      </c>
      <c r="J1101" s="2">
        <f>IF(payments_raw[[#This Row],[amount]] &lt;= 0, 1, 0)</f>
        <v>0</v>
      </c>
      <c r="K11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2" spans="1:11" x14ac:dyDescent="0.3">
      <c r="A1102">
        <v>93760970</v>
      </c>
      <c r="B1102">
        <v>9834402</v>
      </c>
      <c r="C1102" s="1">
        <v>45490</v>
      </c>
      <c r="D1102">
        <v>171</v>
      </c>
      <c r="E1102">
        <f>IF(
  ISNA(
    _xlfn.XLOOKUP(
      payments_raw[[#This Row],[subscription_id]],
      subscriptions[subscription_id],
      subscriptions[subscription_id]
    )
  ),
  0,
  1
)</f>
        <v>1</v>
      </c>
      <c r="F1102" s="1">
        <f>_xlfn.XLOOKUP(payments_raw[[#This Row],[subscription_id]], subscriptions[subscription_id], subscriptions[start_date])</f>
        <v>45467</v>
      </c>
      <c r="G11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1102" s="2">
        <f>IF(payments_raw[[#This Row],[payment_date]] &lt; payments_raw[[#This Row],[sub_start_date]], 1, 0)</f>
        <v>0</v>
      </c>
      <c r="I1102" s="2">
        <f>IF(AND(payments_raw[[#This Row],[sub_end_date]]&lt;&gt;"", payments_raw[[#This Row],[payment_date]] &gt; payments_raw[[#This Row],[sub_end_date]]), 1, 0)</f>
        <v>0</v>
      </c>
      <c r="J1102" s="2">
        <f>IF(payments_raw[[#This Row],[amount]] &lt;= 0, 1, 0)</f>
        <v>0</v>
      </c>
      <c r="K11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3" spans="1:11" x14ac:dyDescent="0.3">
      <c r="A1103">
        <v>11089156</v>
      </c>
      <c r="B1103">
        <v>7401570</v>
      </c>
      <c r="C1103" s="1">
        <v>45191</v>
      </c>
      <c r="D1103">
        <v>299</v>
      </c>
      <c r="E1103">
        <f>IF(
  ISNA(
    _xlfn.XLOOKUP(
      payments_raw[[#This Row],[subscription_id]],
      subscriptions[subscription_id],
      subscriptions[subscription_id]
    )
  ),
  0,
  1
)</f>
        <v>1</v>
      </c>
      <c r="F1103" s="1">
        <f>_xlfn.XLOOKUP(payments_raw[[#This Row],[subscription_id]], subscriptions[subscription_id], subscriptions[start_date])</f>
        <v>45145</v>
      </c>
      <c r="G11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1103" s="2">
        <f>IF(payments_raw[[#This Row],[payment_date]] &lt; payments_raw[[#This Row],[sub_start_date]], 1, 0)</f>
        <v>0</v>
      </c>
      <c r="I1103" s="2">
        <f>IF(AND(payments_raw[[#This Row],[sub_end_date]]&lt;&gt;"", payments_raw[[#This Row],[payment_date]] &gt; payments_raw[[#This Row],[sub_end_date]]), 1, 0)</f>
        <v>0</v>
      </c>
      <c r="J1103" s="2">
        <f>IF(payments_raw[[#This Row],[amount]] &lt;= 0, 1, 0)</f>
        <v>0</v>
      </c>
      <c r="K11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4" spans="1:11" x14ac:dyDescent="0.3">
      <c r="A1104">
        <v>65749749</v>
      </c>
      <c r="B1104">
        <v>6385308</v>
      </c>
      <c r="C1104" s="1">
        <v>45237</v>
      </c>
      <c r="D1104">
        <v>79</v>
      </c>
      <c r="E1104">
        <f>IF(
  ISNA(
    _xlfn.XLOOKUP(
      payments_raw[[#This Row],[subscription_id]],
      subscriptions[subscription_id],
      subscriptions[subscription_id]
    )
  ),
  0,
  1
)</f>
        <v>1</v>
      </c>
      <c r="F1104" s="1">
        <f>_xlfn.XLOOKUP(payments_raw[[#This Row],[subscription_id]], subscriptions[subscription_id], subscriptions[start_date])</f>
        <v>45103</v>
      </c>
      <c r="G11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1104" s="2">
        <f>IF(payments_raw[[#This Row],[payment_date]] &lt; payments_raw[[#This Row],[sub_start_date]], 1, 0)</f>
        <v>0</v>
      </c>
      <c r="I1104" s="2">
        <f>IF(AND(payments_raw[[#This Row],[sub_end_date]]&lt;&gt;"", payments_raw[[#This Row],[payment_date]] &gt; payments_raw[[#This Row],[sub_end_date]]), 1, 0)</f>
        <v>0</v>
      </c>
      <c r="J1104" s="2">
        <f>IF(payments_raw[[#This Row],[amount]] &lt;= 0, 1, 0)</f>
        <v>0</v>
      </c>
      <c r="K11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5" spans="1:11" x14ac:dyDescent="0.3">
      <c r="A1105">
        <v>37374649</v>
      </c>
      <c r="B1105">
        <v>1218011</v>
      </c>
      <c r="C1105" s="1">
        <v>45595</v>
      </c>
      <c r="D1105">
        <v>149</v>
      </c>
      <c r="E1105">
        <f>IF(
  ISNA(
    _xlfn.XLOOKUP(
      payments_raw[[#This Row],[subscription_id]],
      subscriptions[subscription_id],
      subscriptions[subscription_id]
    )
  ),
  0,
  1
)</f>
        <v>1</v>
      </c>
      <c r="F1105" s="1">
        <f>_xlfn.XLOOKUP(payments_raw[[#This Row],[subscription_id]], subscriptions[subscription_id], subscriptions[start_date])</f>
        <v>45121</v>
      </c>
      <c r="G11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05" s="2">
        <f>IF(payments_raw[[#This Row],[payment_date]] &lt; payments_raw[[#This Row],[sub_start_date]], 1, 0)</f>
        <v>0</v>
      </c>
      <c r="I1105" s="2">
        <f>IF(AND(payments_raw[[#This Row],[sub_end_date]]&lt;&gt;"", payments_raw[[#This Row],[payment_date]] &gt; payments_raw[[#This Row],[sub_end_date]]), 1, 0)</f>
        <v>0</v>
      </c>
      <c r="J1105" s="2">
        <f>IF(payments_raw[[#This Row],[amount]] &lt;= 0, 1, 0)</f>
        <v>0</v>
      </c>
      <c r="K11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6" spans="1:11" x14ac:dyDescent="0.3">
      <c r="A1106">
        <v>81472700</v>
      </c>
      <c r="B1106">
        <v>9594324</v>
      </c>
      <c r="C1106" s="1">
        <v>45410</v>
      </c>
      <c r="D1106">
        <v>2990</v>
      </c>
      <c r="E1106">
        <f>IF(
  ISNA(
    _xlfn.XLOOKUP(
      payments_raw[[#This Row],[subscription_id]],
      subscriptions[subscription_id],
      subscriptions[subscription_id]
    )
  ),
  0,
  1
)</f>
        <v>1</v>
      </c>
      <c r="F1106" s="1">
        <f>_xlfn.XLOOKUP(payments_raw[[#This Row],[subscription_id]], subscriptions[subscription_id], subscriptions[start_date])</f>
        <v>45326</v>
      </c>
      <c r="G11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06" s="2">
        <f>IF(payments_raw[[#This Row],[payment_date]] &lt; payments_raw[[#This Row],[sub_start_date]], 1, 0)</f>
        <v>0</v>
      </c>
      <c r="I1106" s="2">
        <f>IF(AND(payments_raw[[#This Row],[sub_end_date]]&lt;&gt;"", payments_raw[[#This Row],[payment_date]] &gt; payments_raw[[#This Row],[sub_end_date]]), 1, 0)</f>
        <v>0</v>
      </c>
      <c r="J1106" s="2">
        <f>IF(payments_raw[[#This Row],[amount]] &lt;= 0, 1, 0)</f>
        <v>0</v>
      </c>
      <c r="K11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7" spans="1:11" x14ac:dyDescent="0.3">
      <c r="A1107">
        <v>64227365</v>
      </c>
      <c r="B1107">
        <v>6992727</v>
      </c>
      <c r="C1107" s="1">
        <v>45647</v>
      </c>
      <c r="D1107">
        <v>190</v>
      </c>
      <c r="E1107">
        <f>IF(
  ISNA(
    _xlfn.XLOOKUP(
      payments_raw[[#This Row],[subscription_id]],
      subscriptions[subscription_id],
      subscriptions[subscription_id]
    )
  ),
  0,
  1
)</f>
        <v>1</v>
      </c>
      <c r="F1107" s="1">
        <f>_xlfn.XLOOKUP(payments_raw[[#This Row],[subscription_id]], subscriptions[subscription_id], subscriptions[start_date])</f>
        <v>45581</v>
      </c>
      <c r="G11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07" s="2">
        <f>IF(payments_raw[[#This Row],[payment_date]] &lt; payments_raw[[#This Row],[sub_start_date]], 1, 0)</f>
        <v>0</v>
      </c>
      <c r="I1107" s="2">
        <f>IF(AND(payments_raw[[#This Row],[sub_end_date]]&lt;&gt;"", payments_raw[[#This Row],[payment_date]] &gt; payments_raw[[#This Row],[sub_end_date]]), 1, 0)</f>
        <v>0</v>
      </c>
      <c r="J1107" s="2">
        <f>IF(payments_raw[[#This Row],[amount]] &lt;= 0, 1, 0)</f>
        <v>0</v>
      </c>
      <c r="K11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8" spans="1:11" x14ac:dyDescent="0.3">
      <c r="A1108">
        <v>99275902</v>
      </c>
      <c r="B1108">
        <v>8883139</v>
      </c>
      <c r="C1108" s="1">
        <v>44772</v>
      </c>
      <c r="D1108">
        <v>39</v>
      </c>
      <c r="E1108">
        <f>IF(
  ISNA(
    _xlfn.XLOOKUP(
      payments_raw[[#This Row],[subscription_id]],
      subscriptions[subscription_id],
      subscriptions[subscription_id]
    )
  ),
  0,
  1
)</f>
        <v>1</v>
      </c>
      <c r="F1108" s="1">
        <f>_xlfn.XLOOKUP(payments_raw[[#This Row],[subscription_id]], subscriptions[subscription_id], subscriptions[start_date])</f>
        <v>44656</v>
      </c>
      <c r="G110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1108" s="2">
        <f>IF(payments_raw[[#This Row],[payment_date]] &lt; payments_raw[[#This Row],[sub_start_date]], 1, 0)</f>
        <v>0</v>
      </c>
      <c r="I1108" s="2">
        <f>IF(AND(payments_raw[[#This Row],[sub_end_date]]&lt;&gt;"", payments_raw[[#This Row],[payment_date]] &gt; payments_raw[[#This Row],[sub_end_date]]), 1, 0)</f>
        <v>0</v>
      </c>
      <c r="J1108" s="2">
        <f>IF(payments_raw[[#This Row],[amount]] &lt;= 0, 1, 0)</f>
        <v>0</v>
      </c>
      <c r="K11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09" spans="1:11" x14ac:dyDescent="0.3">
      <c r="A1109">
        <v>34248472</v>
      </c>
      <c r="B1109">
        <v>8908785</v>
      </c>
      <c r="C1109" s="1">
        <v>45512</v>
      </c>
      <c r="D1109">
        <v>19</v>
      </c>
      <c r="E1109">
        <f>IF(
  ISNA(
    _xlfn.XLOOKUP(
      payments_raw[[#This Row],[subscription_id]],
      subscriptions[subscription_id],
      subscriptions[subscription_id]
    )
  ),
  0,
  1
)</f>
        <v>1</v>
      </c>
      <c r="F1109" s="1">
        <f>_xlfn.XLOOKUP(payments_raw[[#This Row],[subscription_id]], subscriptions[subscription_id], subscriptions[start_date])</f>
        <v>45333</v>
      </c>
      <c r="G11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09" s="2">
        <f>IF(payments_raw[[#This Row],[payment_date]] &lt; payments_raw[[#This Row],[sub_start_date]], 1, 0)</f>
        <v>0</v>
      </c>
      <c r="I1109" s="2">
        <f>IF(AND(payments_raw[[#This Row],[sub_end_date]]&lt;&gt;"", payments_raw[[#This Row],[payment_date]] &gt; payments_raw[[#This Row],[sub_end_date]]), 1, 0)</f>
        <v>0</v>
      </c>
      <c r="J1109" s="2">
        <f>IF(payments_raw[[#This Row],[amount]] &lt;= 0, 1, 0)</f>
        <v>0</v>
      </c>
      <c r="K11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0" spans="1:11" x14ac:dyDescent="0.3">
      <c r="A1110">
        <v>53063605</v>
      </c>
      <c r="B1110">
        <v>5856444</v>
      </c>
      <c r="C1110" s="1">
        <v>45405</v>
      </c>
      <c r="D1110">
        <v>190</v>
      </c>
      <c r="E1110">
        <f>IF(
  ISNA(
    _xlfn.XLOOKUP(
      payments_raw[[#This Row],[subscription_id]],
      subscriptions[subscription_id],
      subscriptions[subscription_id]
    )
  ),
  0,
  1
)</f>
        <v>1</v>
      </c>
      <c r="F1110" s="1">
        <f>_xlfn.XLOOKUP(payments_raw[[#This Row],[subscription_id]], subscriptions[subscription_id], subscriptions[start_date])</f>
        <v>45139</v>
      </c>
      <c r="G11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0" s="2">
        <f>IF(payments_raw[[#This Row],[payment_date]] &lt; payments_raw[[#This Row],[sub_start_date]], 1, 0)</f>
        <v>0</v>
      </c>
      <c r="I1110" s="2">
        <f>IF(AND(payments_raw[[#This Row],[sub_end_date]]&lt;&gt;"", payments_raw[[#This Row],[payment_date]] &gt; payments_raw[[#This Row],[sub_end_date]]), 1, 0)</f>
        <v>0</v>
      </c>
      <c r="J1110" s="2">
        <f>IF(payments_raw[[#This Row],[amount]] &lt;= 0, 1, 0)</f>
        <v>0</v>
      </c>
      <c r="K11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1" spans="1:11" x14ac:dyDescent="0.3">
      <c r="A1111">
        <v>58746187</v>
      </c>
      <c r="B1111">
        <v>9964482</v>
      </c>
      <c r="C1111" s="1">
        <v>45555</v>
      </c>
      <c r="D1111">
        <v>39</v>
      </c>
      <c r="E1111">
        <f>IF(
  ISNA(
    _xlfn.XLOOKUP(
      payments_raw[[#This Row],[subscription_id]],
      subscriptions[subscription_id],
      subscriptions[subscription_id]
    )
  ),
  0,
  1
)</f>
        <v>1</v>
      </c>
      <c r="F1111" s="1">
        <f>_xlfn.XLOOKUP(payments_raw[[#This Row],[subscription_id]], subscriptions[subscription_id], subscriptions[start_date])</f>
        <v>45268</v>
      </c>
      <c r="G11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1" s="2">
        <f>IF(payments_raw[[#This Row],[payment_date]] &lt; payments_raw[[#This Row],[sub_start_date]], 1, 0)</f>
        <v>0</v>
      </c>
      <c r="I1111" s="2">
        <f>IF(AND(payments_raw[[#This Row],[sub_end_date]]&lt;&gt;"", payments_raw[[#This Row],[payment_date]] &gt; payments_raw[[#This Row],[sub_end_date]]), 1, 0)</f>
        <v>0</v>
      </c>
      <c r="J1111" s="2">
        <f>IF(payments_raw[[#This Row],[amount]] &lt;= 0, 1, 0)</f>
        <v>0</v>
      </c>
      <c r="K11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2" spans="1:11" x14ac:dyDescent="0.3">
      <c r="A1112">
        <v>74939013</v>
      </c>
      <c r="B1112">
        <v>8413578</v>
      </c>
      <c r="C1112" s="1">
        <v>45567</v>
      </c>
      <c r="D1112">
        <v>79</v>
      </c>
      <c r="E1112">
        <f>IF(
  ISNA(
    _xlfn.XLOOKUP(
      payments_raw[[#This Row],[subscription_id]],
      subscriptions[subscription_id],
      subscriptions[subscription_id]
    )
  ),
  0,
  1
)</f>
        <v>1</v>
      </c>
      <c r="F1112" s="1">
        <f>_xlfn.XLOOKUP(payments_raw[[#This Row],[subscription_id]], subscriptions[subscription_id], subscriptions[start_date])</f>
        <v>45550</v>
      </c>
      <c r="G11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2" s="2">
        <f>IF(payments_raw[[#This Row],[payment_date]] &lt; payments_raw[[#This Row],[sub_start_date]], 1, 0)</f>
        <v>0</v>
      </c>
      <c r="I1112" s="2">
        <f>IF(AND(payments_raw[[#This Row],[sub_end_date]]&lt;&gt;"", payments_raw[[#This Row],[payment_date]] &gt; payments_raw[[#This Row],[sub_end_date]]), 1, 0)</f>
        <v>0</v>
      </c>
      <c r="J1112" s="2">
        <f>IF(payments_raw[[#This Row],[amount]] &lt;= 0, 1, 0)</f>
        <v>0</v>
      </c>
      <c r="K11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3" spans="1:11" x14ac:dyDescent="0.3">
      <c r="A1113">
        <v>86667691</v>
      </c>
      <c r="B1113">
        <v>2542997</v>
      </c>
      <c r="C1113" s="1">
        <v>45291</v>
      </c>
      <c r="D1113">
        <v>39</v>
      </c>
      <c r="E1113">
        <f>IF(
  ISNA(
    _xlfn.XLOOKUP(
      payments_raw[[#This Row],[subscription_id]],
      subscriptions[subscription_id],
      subscriptions[subscription_id]
    )
  ),
  0,
  1
)</f>
        <v>1</v>
      </c>
      <c r="F1113" s="1">
        <f>_xlfn.XLOOKUP(payments_raw[[#This Row],[subscription_id]], subscriptions[subscription_id], subscriptions[start_date])</f>
        <v>45275</v>
      </c>
      <c r="G11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113" s="2">
        <f>IF(payments_raw[[#This Row],[payment_date]] &lt; payments_raw[[#This Row],[sub_start_date]], 1, 0)</f>
        <v>0</v>
      </c>
      <c r="I1113" s="2">
        <f>IF(AND(payments_raw[[#This Row],[sub_end_date]]&lt;&gt;"", payments_raw[[#This Row],[payment_date]] &gt; payments_raw[[#This Row],[sub_end_date]]), 1, 0)</f>
        <v>0</v>
      </c>
      <c r="J1113" s="2">
        <f>IF(payments_raw[[#This Row],[amount]] &lt;= 0, 1, 0)</f>
        <v>0</v>
      </c>
      <c r="K11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4" spans="1:11" x14ac:dyDescent="0.3">
      <c r="A1114">
        <v>93028632</v>
      </c>
      <c r="B1114">
        <v>8612879</v>
      </c>
      <c r="C1114" s="1">
        <v>44887</v>
      </c>
      <c r="D1114">
        <v>390</v>
      </c>
      <c r="E1114">
        <f>IF(
  ISNA(
    _xlfn.XLOOKUP(
      payments_raw[[#This Row],[subscription_id]],
      subscriptions[subscription_id],
      subscriptions[subscription_id]
    )
  ),
  0,
  1
)</f>
        <v>1</v>
      </c>
      <c r="F1114" s="1">
        <f>_xlfn.XLOOKUP(payments_raw[[#This Row],[subscription_id]], subscriptions[subscription_id], subscriptions[start_date])</f>
        <v>44795</v>
      </c>
      <c r="G11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4" s="2">
        <f>IF(payments_raw[[#This Row],[payment_date]] &lt; payments_raw[[#This Row],[sub_start_date]], 1, 0)</f>
        <v>0</v>
      </c>
      <c r="I1114" s="2">
        <f>IF(AND(payments_raw[[#This Row],[sub_end_date]]&lt;&gt;"", payments_raw[[#This Row],[payment_date]] &gt; payments_raw[[#This Row],[sub_end_date]]), 1, 0)</f>
        <v>0</v>
      </c>
      <c r="J1114" s="2">
        <f>IF(payments_raw[[#This Row],[amount]] &lt;= 0, 1, 0)</f>
        <v>0</v>
      </c>
      <c r="K11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5" spans="1:11" x14ac:dyDescent="0.3">
      <c r="A1115">
        <v>99896917</v>
      </c>
      <c r="B1115">
        <v>9232431</v>
      </c>
      <c r="C1115" s="1">
        <v>45036</v>
      </c>
      <c r="D1115">
        <v>790</v>
      </c>
      <c r="E1115">
        <f>IF(
  ISNA(
    _xlfn.XLOOKUP(
      payments_raw[[#This Row],[subscription_id]],
      subscriptions[subscription_id],
      subscriptions[subscription_id]
    )
  ),
  0,
  1
)</f>
        <v>1</v>
      </c>
      <c r="F1115" s="1">
        <f>_xlfn.XLOOKUP(payments_raw[[#This Row],[subscription_id]], subscriptions[subscription_id], subscriptions[start_date])</f>
        <v>44989</v>
      </c>
      <c r="G11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45038</v>
      </c>
      <c r="H1115" s="2">
        <f>IF(payments_raw[[#This Row],[payment_date]] &lt; payments_raw[[#This Row],[sub_start_date]], 1, 0)</f>
        <v>0</v>
      </c>
      <c r="I1115" s="2">
        <f>IF(AND(payments_raw[[#This Row],[sub_end_date]]&lt;&gt;"", payments_raw[[#This Row],[payment_date]] &gt; payments_raw[[#This Row],[sub_end_date]]), 1, 0)</f>
        <v>0</v>
      </c>
      <c r="J1115" s="2">
        <f>IF(payments_raw[[#This Row],[amount]] &lt;= 0, 1, 0)</f>
        <v>0</v>
      </c>
      <c r="K11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6" spans="1:11" x14ac:dyDescent="0.3">
      <c r="A1116">
        <v>98272028</v>
      </c>
      <c r="B1116">
        <v>2951710</v>
      </c>
      <c r="C1116" s="1">
        <v>45439</v>
      </c>
      <c r="D1116">
        <v>79</v>
      </c>
      <c r="E1116">
        <f>IF(
  ISNA(
    _xlfn.XLOOKUP(
      payments_raw[[#This Row],[subscription_id]],
      subscriptions[subscription_id],
      subscriptions[subscription_id]
    )
  ),
  0,
  1
)</f>
        <v>1</v>
      </c>
      <c r="F1116" s="1">
        <f>_xlfn.XLOOKUP(payments_raw[[#This Row],[subscription_id]], subscriptions[subscription_id], subscriptions[start_date])</f>
        <v>45156</v>
      </c>
      <c r="G11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6" s="2">
        <f>IF(payments_raw[[#This Row],[payment_date]] &lt; payments_raw[[#This Row],[sub_start_date]], 1, 0)</f>
        <v>0</v>
      </c>
      <c r="I1116" s="2">
        <f>IF(AND(payments_raw[[#This Row],[sub_end_date]]&lt;&gt;"", payments_raw[[#This Row],[payment_date]] &gt; payments_raw[[#This Row],[sub_end_date]]), 1, 0)</f>
        <v>0</v>
      </c>
      <c r="J1116" s="2">
        <f>IF(payments_raw[[#This Row],[amount]] &lt;= 0, 1, 0)</f>
        <v>0</v>
      </c>
      <c r="K11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7" spans="1:11" x14ac:dyDescent="0.3">
      <c r="A1117">
        <v>23723755</v>
      </c>
      <c r="B1117">
        <v>8544263</v>
      </c>
      <c r="C1117" s="1">
        <v>45312</v>
      </c>
      <c r="D1117">
        <v>19.5</v>
      </c>
      <c r="E1117">
        <f>IF(
  ISNA(
    _xlfn.XLOOKUP(
      payments_raw[[#This Row],[subscription_id]],
      subscriptions[subscription_id],
      subscriptions[subscription_id]
    )
  ),
  0,
  1
)</f>
        <v>1</v>
      </c>
      <c r="F1117" s="1">
        <f>_xlfn.XLOOKUP(payments_raw[[#This Row],[subscription_id]], subscriptions[subscription_id], subscriptions[start_date])</f>
        <v>44911</v>
      </c>
      <c r="G11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7" s="2">
        <f>IF(payments_raw[[#This Row],[payment_date]] &lt; payments_raw[[#This Row],[sub_start_date]], 1, 0)</f>
        <v>0</v>
      </c>
      <c r="I1117" s="2">
        <f>IF(AND(payments_raw[[#This Row],[sub_end_date]]&lt;&gt;"", payments_raw[[#This Row],[payment_date]] &gt; payments_raw[[#This Row],[sub_end_date]]), 1, 0)</f>
        <v>0</v>
      </c>
      <c r="J1117" s="2">
        <f>IF(payments_raw[[#This Row],[amount]] &lt;= 0, 1, 0)</f>
        <v>0</v>
      </c>
      <c r="K11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8" spans="1:11" x14ac:dyDescent="0.3">
      <c r="A1118">
        <v>68993592</v>
      </c>
      <c r="B1118">
        <v>8155068</v>
      </c>
      <c r="C1118" s="1">
        <v>45264</v>
      </c>
      <c r="D1118">
        <v>790</v>
      </c>
      <c r="E1118">
        <f>IF(
  ISNA(
    _xlfn.XLOOKUP(
      payments_raw[[#This Row],[subscription_id]],
      subscriptions[subscription_id],
      subscriptions[subscription_id]
    )
  ),
  0,
  1
)</f>
        <v>1</v>
      </c>
      <c r="F1118" s="1">
        <f>_xlfn.XLOOKUP(payments_raw[[#This Row],[subscription_id]], subscriptions[subscription_id], subscriptions[start_date])</f>
        <v>45141</v>
      </c>
      <c r="G11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8" s="2">
        <f>IF(payments_raw[[#This Row],[payment_date]] &lt; payments_raw[[#This Row],[sub_start_date]], 1, 0)</f>
        <v>0</v>
      </c>
      <c r="I1118" s="2">
        <f>IF(AND(payments_raw[[#This Row],[sub_end_date]]&lt;&gt;"", payments_raw[[#This Row],[payment_date]] &gt; payments_raw[[#This Row],[sub_end_date]]), 1, 0)</f>
        <v>0</v>
      </c>
      <c r="J1118" s="2">
        <f>IF(payments_raw[[#This Row],[amount]] &lt;= 0, 1, 0)</f>
        <v>0</v>
      </c>
      <c r="K11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19" spans="1:11" x14ac:dyDescent="0.3">
      <c r="A1119">
        <v>33561787</v>
      </c>
      <c r="B1119">
        <v>5328638</v>
      </c>
      <c r="C1119" s="1">
        <v>45191</v>
      </c>
      <c r="D1119">
        <v>79</v>
      </c>
      <c r="E1119">
        <f>IF(
  ISNA(
    _xlfn.XLOOKUP(
      payments_raw[[#This Row],[subscription_id]],
      subscriptions[subscription_id],
      subscriptions[subscription_id]
    )
  ),
  0,
  1
)</f>
        <v>1</v>
      </c>
      <c r="F1119" s="1">
        <f>_xlfn.XLOOKUP(payments_raw[[#This Row],[subscription_id]], subscriptions[subscription_id], subscriptions[start_date])</f>
        <v>45127</v>
      </c>
      <c r="G11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19" s="2">
        <f>IF(payments_raw[[#This Row],[payment_date]] &lt; payments_raw[[#This Row],[sub_start_date]], 1, 0)</f>
        <v>0</v>
      </c>
      <c r="I1119" s="2">
        <f>IF(AND(payments_raw[[#This Row],[sub_end_date]]&lt;&gt;"", payments_raw[[#This Row],[payment_date]] &gt; payments_raw[[#This Row],[sub_end_date]]), 1, 0)</f>
        <v>0</v>
      </c>
      <c r="J1119" s="2">
        <f>IF(payments_raw[[#This Row],[amount]] &lt;= 0, 1, 0)</f>
        <v>0</v>
      </c>
      <c r="K11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0" spans="1:11" x14ac:dyDescent="0.3">
      <c r="A1120">
        <v>38866008</v>
      </c>
      <c r="B1120">
        <v>7581459</v>
      </c>
      <c r="C1120" s="1">
        <v>45354</v>
      </c>
      <c r="D1120">
        <v>1490</v>
      </c>
      <c r="E1120">
        <f>IF(
  ISNA(
    _xlfn.XLOOKUP(
      payments_raw[[#This Row],[subscription_id]],
      subscriptions[subscription_id],
      subscriptions[subscription_id]
    )
  ),
  0,
  1
)</f>
        <v>1</v>
      </c>
      <c r="F1120" s="1">
        <f>_xlfn.XLOOKUP(payments_raw[[#This Row],[subscription_id]], subscriptions[subscription_id], subscriptions[start_date])</f>
        <v>45253</v>
      </c>
      <c r="G11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0" s="2">
        <f>IF(payments_raw[[#This Row],[payment_date]] &lt; payments_raw[[#This Row],[sub_start_date]], 1, 0)</f>
        <v>0</v>
      </c>
      <c r="I1120" s="2">
        <f>IF(AND(payments_raw[[#This Row],[sub_end_date]]&lt;&gt;"", payments_raw[[#This Row],[payment_date]] &gt; payments_raw[[#This Row],[sub_end_date]]), 1, 0)</f>
        <v>0</v>
      </c>
      <c r="J1120" s="2">
        <f>IF(payments_raw[[#This Row],[amount]] &lt;= 0, 1, 0)</f>
        <v>0</v>
      </c>
      <c r="K11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1" spans="1:11" x14ac:dyDescent="0.3">
      <c r="A1121">
        <v>39161475</v>
      </c>
      <c r="B1121">
        <v>7862438</v>
      </c>
      <c r="C1121" s="1">
        <v>45404</v>
      </c>
      <c r="D1121">
        <v>190</v>
      </c>
      <c r="E1121">
        <f>IF(
  ISNA(
    _xlfn.XLOOKUP(
      payments_raw[[#This Row],[subscription_id]],
      subscriptions[subscription_id],
      subscriptions[subscription_id]
    )
  ),
  0,
  1
)</f>
        <v>1</v>
      </c>
      <c r="F1121" s="1">
        <f>_xlfn.XLOOKUP(payments_raw[[#This Row],[subscription_id]], subscriptions[subscription_id], subscriptions[start_date])</f>
        <v>44826</v>
      </c>
      <c r="G11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1" s="2">
        <f>IF(payments_raw[[#This Row],[payment_date]] &lt; payments_raw[[#This Row],[sub_start_date]], 1, 0)</f>
        <v>0</v>
      </c>
      <c r="I1121" s="2">
        <f>IF(AND(payments_raw[[#This Row],[sub_end_date]]&lt;&gt;"", payments_raw[[#This Row],[payment_date]] &gt; payments_raw[[#This Row],[sub_end_date]]), 1, 0)</f>
        <v>0</v>
      </c>
      <c r="J1121" s="2">
        <f>IF(payments_raw[[#This Row],[amount]] &lt;= 0, 1, 0)</f>
        <v>0</v>
      </c>
      <c r="K11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2" spans="1:11" x14ac:dyDescent="0.3">
      <c r="A1122">
        <v>34984420</v>
      </c>
      <c r="B1122">
        <v>6565947</v>
      </c>
      <c r="C1122" s="1">
        <v>45649</v>
      </c>
      <c r="D1122">
        <v>390</v>
      </c>
      <c r="E1122">
        <f>IF(
  ISNA(
    _xlfn.XLOOKUP(
      payments_raw[[#This Row],[subscription_id]],
      subscriptions[subscription_id],
      subscriptions[subscription_id]
    )
  ),
  0,
  1
)</f>
        <v>1</v>
      </c>
      <c r="F1122" s="1">
        <f>_xlfn.XLOOKUP(payments_raw[[#This Row],[subscription_id]], subscriptions[subscription_id], subscriptions[start_date])</f>
        <v>45542</v>
      </c>
      <c r="G11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2" s="2">
        <f>IF(payments_raw[[#This Row],[payment_date]] &lt; payments_raw[[#This Row],[sub_start_date]], 1, 0)</f>
        <v>0</v>
      </c>
      <c r="I1122" s="2">
        <f>IF(AND(payments_raw[[#This Row],[sub_end_date]]&lt;&gt;"", payments_raw[[#This Row],[payment_date]] &gt; payments_raw[[#This Row],[sub_end_date]]), 1, 0)</f>
        <v>0</v>
      </c>
      <c r="J1122" s="2">
        <f>IF(payments_raw[[#This Row],[amount]] &lt;= 0, 1, 0)</f>
        <v>0</v>
      </c>
      <c r="K11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3" spans="1:11" x14ac:dyDescent="0.3">
      <c r="A1123">
        <v>53731170</v>
      </c>
      <c r="B1123">
        <v>8113264</v>
      </c>
      <c r="C1123" s="1">
        <v>45027</v>
      </c>
      <c r="D1123">
        <v>39</v>
      </c>
      <c r="E1123">
        <f>IF(
  ISNA(
    _xlfn.XLOOKUP(
      payments_raw[[#This Row],[subscription_id]],
      subscriptions[subscription_id],
      subscriptions[subscription_id]
    )
  ),
  0,
  1
)</f>
        <v>1</v>
      </c>
      <c r="F1123" s="1">
        <f>_xlfn.XLOOKUP(payments_raw[[#This Row],[subscription_id]], subscriptions[subscription_id], subscriptions[start_date])</f>
        <v>44841</v>
      </c>
      <c r="G11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3" s="2">
        <f>IF(payments_raw[[#This Row],[payment_date]] &lt; payments_raw[[#This Row],[sub_start_date]], 1, 0)</f>
        <v>0</v>
      </c>
      <c r="I1123" s="2">
        <f>IF(AND(payments_raw[[#This Row],[sub_end_date]]&lt;&gt;"", payments_raw[[#This Row],[payment_date]] &gt; payments_raw[[#This Row],[sub_end_date]]), 1, 0)</f>
        <v>0</v>
      </c>
      <c r="J1123" s="2">
        <f>IF(payments_raw[[#This Row],[amount]] &lt;= 0, 1, 0)</f>
        <v>0</v>
      </c>
      <c r="K11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4" spans="1:11" x14ac:dyDescent="0.3">
      <c r="A1124">
        <v>87396393</v>
      </c>
      <c r="B1124">
        <v>2180827</v>
      </c>
      <c r="C1124" s="1">
        <v>45461</v>
      </c>
      <c r="D1124">
        <v>1490</v>
      </c>
      <c r="E1124">
        <f>IF(
  ISNA(
    _xlfn.XLOOKUP(
      payments_raw[[#This Row],[subscription_id]],
      subscriptions[subscription_id],
      subscriptions[subscription_id]
    )
  ),
  0,
  1
)</f>
        <v>1</v>
      </c>
      <c r="F1124" s="1">
        <f>_xlfn.XLOOKUP(payments_raw[[#This Row],[subscription_id]], subscriptions[subscription_id], subscriptions[start_date])</f>
        <v>44881</v>
      </c>
      <c r="G11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4" s="2">
        <f>IF(payments_raw[[#This Row],[payment_date]] &lt; payments_raw[[#This Row],[sub_start_date]], 1, 0)</f>
        <v>0</v>
      </c>
      <c r="I1124" s="2">
        <f>IF(AND(payments_raw[[#This Row],[sub_end_date]]&lt;&gt;"", payments_raw[[#This Row],[payment_date]] &gt; payments_raw[[#This Row],[sub_end_date]]), 1, 0)</f>
        <v>0</v>
      </c>
      <c r="J1124" s="2">
        <f>IF(payments_raw[[#This Row],[amount]] &lt;= 0, 1, 0)</f>
        <v>0</v>
      </c>
      <c r="K11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5" spans="1:11" x14ac:dyDescent="0.3">
      <c r="A1125">
        <v>38735813</v>
      </c>
      <c r="B1125">
        <v>1939470</v>
      </c>
      <c r="C1125" s="1">
        <v>45431</v>
      </c>
      <c r="D1125">
        <v>39</v>
      </c>
      <c r="E1125">
        <f>IF(
  ISNA(
    _xlfn.XLOOKUP(
      payments_raw[[#This Row],[subscription_id]],
      subscriptions[subscription_id],
      subscriptions[subscription_id]
    )
  ),
  0,
  1
)</f>
        <v>1</v>
      </c>
      <c r="F1125" s="1">
        <f>_xlfn.XLOOKUP(payments_raw[[#This Row],[subscription_id]], subscriptions[subscription_id], subscriptions[start_date])</f>
        <v>45010</v>
      </c>
      <c r="G11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5" s="2">
        <f>IF(payments_raw[[#This Row],[payment_date]] &lt; payments_raw[[#This Row],[sub_start_date]], 1, 0)</f>
        <v>0</v>
      </c>
      <c r="I1125" s="2">
        <f>IF(AND(payments_raw[[#This Row],[sub_end_date]]&lt;&gt;"", payments_raw[[#This Row],[payment_date]] &gt; payments_raw[[#This Row],[sub_end_date]]), 1, 0)</f>
        <v>0</v>
      </c>
      <c r="J1125" s="2">
        <f>IF(payments_raw[[#This Row],[amount]] &lt;= 0, 1, 0)</f>
        <v>0</v>
      </c>
      <c r="K11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6" spans="1:11" x14ac:dyDescent="0.3">
      <c r="A1126">
        <v>23530495</v>
      </c>
      <c r="B1126">
        <v>3560283</v>
      </c>
      <c r="C1126" s="1">
        <v>45057</v>
      </c>
      <c r="D1126">
        <v>390</v>
      </c>
      <c r="E1126">
        <f>IF(
  ISNA(
    _xlfn.XLOOKUP(
      payments_raw[[#This Row],[subscription_id]],
      subscriptions[subscription_id],
      subscriptions[subscription_id]
    )
  ),
  0,
  1
)</f>
        <v>1</v>
      </c>
      <c r="F1126" s="1">
        <f>_xlfn.XLOOKUP(payments_raw[[#This Row],[subscription_id]], subscriptions[subscription_id], subscriptions[start_date])</f>
        <v>44948</v>
      </c>
      <c r="G11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45083</v>
      </c>
      <c r="H1126" s="2">
        <f>IF(payments_raw[[#This Row],[payment_date]] &lt; payments_raw[[#This Row],[sub_start_date]], 1, 0)</f>
        <v>0</v>
      </c>
      <c r="I1126" s="2">
        <f>IF(AND(payments_raw[[#This Row],[sub_end_date]]&lt;&gt;"", payments_raw[[#This Row],[payment_date]] &gt; payments_raw[[#This Row],[sub_end_date]]), 1, 0)</f>
        <v>0</v>
      </c>
      <c r="J1126" s="2">
        <f>IF(payments_raw[[#This Row],[amount]] &lt;= 0, 1, 0)</f>
        <v>0</v>
      </c>
      <c r="K11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7" spans="1:11" x14ac:dyDescent="0.3">
      <c r="A1127">
        <v>98214212</v>
      </c>
      <c r="B1127">
        <v>1121243</v>
      </c>
      <c r="C1127" s="1">
        <v>45521</v>
      </c>
      <c r="D1127">
        <v>79</v>
      </c>
      <c r="E1127">
        <f>IF(
  ISNA(
    _xlfn.XLOOKUP(
      payments_raw[[#This Row],[subscription_id]],
      subscriptions[subscription_id],
      subscriptions[subscription_id]
    )
  ),
  0,
  1
)</f>
        <v>1</v>
      </c>
      <c r="F1127" s="1">
        <f>_xlfn.XLOOKUP(payments_raw[[#This Row],[subscription_id]], subscriptions[subscription_id], subscriptions[start_date])</f>
        <v>44647</v>
      </c>
      <c r="G11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7" s="2">
        <f>IF(payments_raw[[#This Row],[payment_date]] &lt; payments_raw[[#This Row],[sub_start_date]], 1, 0)</f>
        <v>0</v>
      </c>
      <c r="I1127" s="2">
        <f>IF(AND(payments_raw[[#This Row],[sub_end_date]]&lt;&gt;"", payments_raw[[#This Row],[payment_date]] &gt; payments_raw[[#This Row],[sub_end_date]]), 1, 0)</f>
        <v>0</v>
      </c>
      <c r="J1127" s="2">
        <f>IF(payments_raw[[#This Row],[amount]] &lt;= 0, 1, 0)</f>
        <v>0</v>
      </c>
      <c r="K11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8" spans="1:11" x14ac:dyDescent="0.3">
      <c r="A1128">
        <v>95947330</v>
      </c>
      <c r="B1128">
        <v>7417663</v>
      </c>
      <c r="C1128" s="1">
        <v>45504</v>
      </c>
      <c r="D1128">
        <v>39</v>
      </c>
      <c r="E1128">
        <f>IF(
  ISNA(
    _xlfn.XLOOKUP(
      payments_raw[[#This Row],[subscription_id]],
      subscriptions[subscription_id],
      subscriptions[subscription_id]
    )
  ),
  0,
  1
)</f>
        <v>1</v>
      </c>
      <c r="F1128" s="1">
        <f>_xlfn.XLOOKUP(payments_raw[[#This Row],[subscription_id]], subscriptions[subscription_id], subscriptions[start_date])</f>
        <v>45427</v>
      </c>
      <c r="G11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28" s="2">
        <f>IF(payments_raw[[#This Row],[payment_date]] &lt; payments_raw[[#This Row],[sub_start_date]], 1, 0)</f>
        <v>0</v>
      </c>
      <c r="I1128" s="2">
        <f>IF(AND(payments_raw[[#This Row],[sub_end_date]]&lt;&gt;"", payments_raw[[#This Row],[payment_date]] &gt; payments_raw[[#This Row],[sub_end_date]]), 1, 0)</f>
        <v>0</v>
      </c>
      <c r="J1128" s="2">
        <f>IF(payments_raw[[#This Row],[amount]] &lt;= 0, 1, 0)</f>
        <v>0</v>
      </c>
      <c r="K11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29" spans="1:11" x14ac:dyDescent="0.3">
      <c r="A1129">
        <v>83908190</v>
      </c>
      <c r="B1129">
        <v>4967894</v>
      </c>
      <c r="C1129" s="1">
        <v>44704</v>
      </c>
      <c r="D1129">
        <v>19</v>
      </c>
      <c r="E1129">
        <f>IF(
  ISNA(
    _xlfn.XLOOKUP(
      payments_raw[[#This Row],[subscription_id]],
      subscriptions[subscription_id],
      subscriptions[subscription_id]
    )
  ),
  0,
  1
)</f>
        <v>1</v>
      </c>
      <c r="F1129" s="1">
        <f>_xlfn.XLOOKUP(payments_raw[[#This Row],[subscription_id]], subscriptions[subscription_id], subscriptions[start_date])</f>
        <v>44668</v>
      </c>
      <c r="G112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1129" s="2">
        <f>IF(payments_raw[[#This Row],[payment_date]] &lt; payments_raw[[#This Row],[sub_start_date]], 1, 0)</f>
        <v>0</v>
      </c>
      <c r="I1129" s="2">
        <f>IF(AND(payments_raw[[#This Row],[sub_end_date]]&lt;&gt;"", payments_raw[[#This Row],[payment_date]] &gt; payments_raw[[#This Row],[sub_end_date]]), 1, 0)</f>
        <v>0</v>
      </c>
      <c r="J1129" s="2">
        <f>IF(payments_raw[[#This Row],[amount]] &lt;= 0, 1, 0)</f>
        <v>0</v>
      </c>
      <c r="K11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0" spans="1:11" x14ac:dyDescent="0.3">
      <c r="A1130">
        <v>32355818</v>
      </c>
      <c r="B1130">
        <v>5945871</v>
      </c>
      <c r="C1130" s="1">
        <v>45492</v>
      </c>
      <c r="D1130">
        <v>390</v>
      </c>
      <c r="E1130">
        <f>IF(
  ISNA(
    _xlfn.XLOOKUP(
      payments_raw[[#This Row],[subscription_id]],
      subscriptions[subscription_id],
      subscriptions[subscription_id]
    )
  ),
  0,
  1
)</f>
        <v>1</v>
      </c>
      <c r="F1130" s="1">
        <f>_xlfn.XLOOKUP(payments_raw[[#This Row],[subscription_id]], subscriptions[subscription_id], subscriptions[start_date])</f>
        <v>45326</v>
      </c>
      <c r="G11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0" s="2">
        <f>IF(payments_raw[[#This Row],[payment_date]] &lt; payments_raw[[#This Row],[sub_start_date]], 1, 0)</f>
        <v>0</v>
      </c>
      <c r="I1130" s="2">
        <f>IF(AND(payments_raw[[#This Row],[sub_end_date]]&lt;&gt;"", payments_raw[[#This Row],[payment_date]] &gt; payments_raw[[#This Row],[sub_end_date]]), 1, 0)</f>
        <v>0</v>
      </c>
      <c r="J1130" s="2">
        <f>IF(payments_raw[[#This Row],[amount]] &lt;= 0, 1, 0)</f>
        <v>0</v>
      </c>
      <c r="K11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1" spans="1:11" x14ac:dyDescent="0.3">
      <c r="A1131">
        <v>42819076</v>
      </c>
      <c r="B1131">
        <v>5832903</v>
      </c>
      <c r="C1131" s="1">
        <v>45495</v>
      </c>
      <c r="D1131">
        <v>1490</v>
      </c>
      <c r="E1131">
        <f>IF(
  ISNA(
    _xlfn.XLOOKUP(
      payments_raw[[#This Row],[subscription_id]],
      subscriptions[subscription_id],
      subscriptions[subscription_id]
    )
  ),
  0,
  1
)</f>
        <v>1</v>
      </c>
      <c r="F1131" s="1">
        <f>_xlfn.XLOOKUP(payments_raw[[#This Row],[subscription_id]], subscriptions[subscription_id], subscriptions[start_date])</f>
        <v>44687</v>
      </c>
      <c r="G11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1" s="2">
        <f>IF(payments_raw[[#This Row],[payment_date]] &lt; payments_raw[[#This Row],[sub_start_date]], 1, 0)</f>
        <v>0</v>
      </c>
      <c r="I1131" s="2">
        <f>IF(AND(payments_raw[[#This Row],[sub_end_date]]&lt;&gt;"", payments_raw[[#This Row],[payment_date]] &gt; payments_raw[[#This Row],[sub_end_date]]), 1, 0)</f>
        <v>0</v>
      </c>
      <c r="J1131" s="2">
        <f>IF(payments_raw[[#This Row],[amount]] &lt;= 0, 1, 0)</f>
        <v>0</v>
      </c>
      <c r="K11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2" spans="1:11" x14ac:dyDescent="0.3">
      <c r="A1132">
        <v>82499525</v>
      </c>
      <c r="B1132">
        <v>3999685</v>
      </c>
      <c r="C1132" s="1">
        <v>44800</v>
      </c>
      <c r="D1132">
        <v>1490</v>
      </c>
      <c r="E1132">
        <f>IF(
  ISNA(
    _xlfn.XLOOKUP(
      payments_raw[[#This Row],[subscription_id]],
      subscriptions[subscription_id],
      subscriptions[subscription_id]
    )
  ),
  0,
  1
)</f>
        <v>1</v>
      </c>
      <c r="F1132" s="1">
        <f>_xlfn.XLOOKUP(payments_raw[[#This Row],[subscription_id]], subscriptions[subscription_id], subscriptions[start_date])</f>
        <v>44696</v>
      </c>
      <c r="G11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1132" s="2">
        <f>IF(payments_raw[[#This Row],[payment_date]] &lt; payments_raw[[#This Row],[sub_start_date]], 1, 0)</f>
        <v>0</v>
      </c>
      <c r="I1132" s="2">
        <f>IF(AND(payments_raw[[#This Row],[sub_end_date]]&lt;&gt;"", payments_raw[[#This Row],[payment_date]] &gt; payments_raw[[#This Row],[sub_end_date]]), 1, 0)</f>
        <v>0</v>
      </c>
      <c r="J1132" s="2">
        <f>IF(payments_raw[[#This Row],[amount]] &lt;= 0, 1, 0)</f>
        <v>0</v>
      </c>
      <c r="K11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3" spans="1:11" x14ac:dyDescent="0.3">
      <c r="A1133">
        <v>51347303</v>
      </c>
      <c r="B1133">
        <v>1359758</v>
      </c>
      <c r="C1133" s="1">
        <v>44948</v>
      </c>
      <c r="D1133">
        <v>790</v>
      </c>
      <c r="E1133">
        <f>IF(
  ISNA(
    _xlfn.XLOOKUP(
      payments_raw[[#This Row],[subscription_id]],
      subscriptions[subscription_id],
      subscriptions[subscription_id]
    )
  ),
  0,
  1
)</f>
        <v>1</v>
      </c>
      <c r="F1133" s="1">
        <f>_xlfn.XLOOKUP(payments_raw[[#This Row],[subscription_id]], subscriptions[subscription_id], subscriptions[start_date])</f>
        <v>44675</v>
      </c>
      <c r="G11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3" s="2">
        <f>IF(payments_raw[[#This Row],[payment_date]] &lt; payments_raw[[#This Row],[sub_start_date]], 1, 0)</f>
        <v>0</v>
      </c>
      <c r="I1133" s="2">
        <f>IF(AND(payments_raw[[#This Row],[sub_end_date]]&lt;&gt;"", payments_raw[[#This Row],[payment_date]] &gt; payments_raw[[#This Row],[sub_end_date]]), 1, 0)</f>
        <v>0</v>
      </c>
      <c r="J1133" s="2">
        <f>IF(payments_raw[[#This Row],[amount]] &lt;= 0, 1, 0)</f>
        <v>0</v>
      </c>
      <c r="K11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4" spans="1:11" x14ac:dyDescent="0.3">
      <c r="A1134">
        <v>75646323</v>
      </c>
      <c r="B1134">
        <v>2614070</v>
      </c>
      <c r="C1134" s="1">
        <v>45638</v>
      </c>
      <c r="D1134">
        <v>299</v>
      </c>
      <c r="E1134">
        <f>IF(
  ISNA(
    _xlfn.XLOOKUP(
      payments_raw[[#This Row],[subscription_id]],
      subscriptions[subscription_id],
      subscriptions[subscription_id]
    )
  ),
  0,
  1
)</f>
        <v>1</v>
      </c>
      <c r="F1134" s="1">
        <f>_xlfn.XLOOKUP(payments_raw[[#This Row],[subscription_id]], subscriptions[subscription_id], subscriptions[start_date])</f>
        <v>44978</v>
      </c>
      <c r="G11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4" s="2">
        <f>IF(payments_raw[[#This Row],[payment_date]] &lt; payments_raw[[#This Row],[sub_start_date]], 1, 0)</f>
        <v>0</v>
      </c>
      <c r="I1134" s="2">
        <f>IF(AND(payments_raw[[#This Row],[sub_end_date]]&lt;&gt;"", payments_raw[[#This Row],[payment_date]] &gt; payments_raw[[#This Row],[sub_end_date]]), 1, 0)</f>
        <v>0</v>
      </c>
      <c r="J1134" s="2">
        <f>IF(payments_raw[[#This Row],[amount]] &lt;= 0, 1, 0)</f>
        <v>0</v>
      </c>
      <c r="K11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5" spans="1:11" x14ac:dyDescent="0.3">
      <c r="A1135">
        <v>76183001</v>
      </c>
      <c r="B1135">
        <v>4534335</v>
      </c>
      <c r="C1135" s="1">
        <v>45506</v>
      </c>
      <c r="D1135">
        <v>1490</v>
      </c>
      <c r="E1135">
        <f>IF(
  ISNA(
    _xlfn.XLOOKUP(
      payments_raw[[#This Row],[subscription_id]],
      subscriptions[subscription_id],
      subscriptions[subscription_id]
    )
  ),
  0,
  1
)</f>
        <v>1</v>
      </c>
      <c r="F1135" s="1">
        <f>_xlfn.XLOOKUP(payments_raw[[#This Row],[subscription_id]], subscriptions[subscription_id], subscriptions[start_date])</f>
        <v>45450</v>
      </c>
      <c r="G11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5" s="2">
        <f>IF(payments_raw[[#This Row],[payment_date]] &lt; payments_raw[[#This Row],[sub_start_date]], 1, 0)</f>
        <v>0</v>
      </c>
      <c r="I1135" s="2">
        <f>IF(AND(payments_raw[[#This Row],[sub_end_date]]&lt;&gt;"", payments_raw[[#This Row],[payment_date]] &gt; payments_raw[[#This Row],[sub_end_date]]), 1, 0)</f>
        <v>0</v>
      </c>
      <c r="J1135" s="2">
        <f>IF(payments_raw[[#This Row],[amount]] &lt;= 0, 1, 0)</f>
        <v>0</v>
      </c>
      <c r="K11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6" spans="1:11" x14ac:dyDescent="0.3">
      <c r="A1136">
        <v>62758546</v>
      </c>
      <c r="B1136">
        <v>6114027</v>
      </c>
      <c r="C1136" s="1">
        <v>44782</v>
      </c>
      <c r="D1136">
        <v>39</v>
      </c>
      <c r="E1136">
        <f>IF(
  ISNA(
    _xlfn.XLOOKUP(
      payments_raw[[#This Row],[subscription_id]],
      subscriptions[subscription_id],
      subscriptions[subscription_id]
    )
  ),
  0,
  1
)</f>
        <v>1</v>
      </c>
      <c r="F1136" s="1">
        <f>_xlfn.XLOOKUP(payments_raw[[#This Row],[subscription_id]], subscriptions[subscription_id], subscriptions[start_date])</f>
        <v>44634</v>
      </c>
      <c r="G113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44980</v>
      </c>
      <c r="H1136" s="2">
        <f>IF(payments_raw[[#This Row],[payment_date]] &lt; payments_raw[[#This Row],[sub_start_date]], 1, 0)</f>
        <v>0</v>
      </c>
      <c r="I1136" s="2">
        <f>IF(AND(payments_raw[[#This Row],[sub_end_date]]&lt;&gt;"", payments_raw[[#This Row],[payment_date]] &gt; payments_raw[[#This Row],[sub_end_date]]), 1, 0)</f>
        <v>0</v>
      </c>
      <c r="J1136" s="2">
        <f>IF(payments_raw[[#This Row],[amount]] &lt;= 0, 1, 0)</f>
        <v>0</v>
      </c>
      <c r="K11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7" spans="1:11" x14ac:dyDescent="0.3">
      <c r="A1137">
        <v>12625340</v>
      </c>
      <c r="B1137">
        <v>3059370</v>
      </c>
      <c r="C1137" s="1">
        <v>45397</v>
      </c>
      <c r="D1137">
        <v>39</v>
      </c>
      <c r="E1137">
        <f>IF(
  ISNA(
    _xlfn.XLOOKUP(
      payments_raw[[#This Row],[subscription_id]],
      subscriptions[subscription_id],
      subscriptions[subscription_id]
    )
  ),
  0,
  1
)</f>
        <v>1</v>
      </c>
      <c r="F1137" s="1">
        <f>_xlfn.XLOOKUP(payments_raw[[#This Row],[subscription_id]], subscriptions[subscription_id], subscriptions[start_date])</f>
        <v>45324</v>
      </c>
      <c r="G11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1137" s="2">
        <f>IF(payments_raw[[#This Row],[payment_date]] &lt; payments_raw[[#This Row],[sub_start_date]], 1, 0)</f>
        <v>0</v>
      </c>
      <c r="I1137" s="2">
        <f>IF(AND(payments_raw[[#This Row],[sub_end_date]]&lt;&gt;"", payments_raw[[#This Row],[payment_date]] &gt; payments_raw[[#This Row],[sub_end_date]]), 1, 0)</f>
        <v>0</v>
      </c>
      <c r="J1137" s="2">
        <f>IF(payments_raw[[#This Row],[amount]] &lt;= 0, 1, 0)</f>
        <v>0</v>
      </c>
      <c r="K11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8" spans="1:11" x14ac:dyDescent="0.3">
      <c r="A1138">
        <v>44077377</v>
      </c>
      <c r="B1138">
        <v>7325627</v>
      </c>
      <c r="C1138" s="1">
        <v>45500</v>
      </c>
      <c r="D1138">
        <v>39</v>
      </c>
      <c r="E1138">
        <f>IF(
  ISNA(
    _xlfn.XLOOKUP(
      payments_raw[[#This Row],[subscription_id]],
      subscriptions[subscription_id],
      subscriptions[subscription_id]
    )
  ),
  0,
  1
)</f>
        <v>1</v>
      </c>
      <c r="F1138" s="1">
        <f>_xlfn.XLOOKUP(payments_raw[[#This Row],[subscription_id]], subscriptions[subscription_id], subscriptions[start_date])</f>
        <v>44909</v>
      </c>
      <c r="G11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8" s="2">
        <f>IF(payments_raw[[#This Row],[payment_date]] &lt; payments_raw[[#This Row],[sub_start_date]], 1, 0)</f>
        <v>0</v>
      </c>
      <c r="I1138" s="2">
        <f>IF(AND(payments_raw[[#This Row],[sub_end_date]]&lt;&gt;"", payments_raw[[#This Row],[payment_date]] &gt; payments_raw[[#This Row],[sub_end_date]]), 1, 0)</f>
        <v>0</v>
      </c>
      <c r="J1138" s="2">
        <f>IF(payments_raw[[#This Row],[amount]] &lt;= 0, 1, 0)</f>
        <v>0</v>
      </c>
      <c r="K11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39" spans="1:11" x14ac:dyDescent="0.3">
      <c r="A1139">
        <v>76856183</v>
      </c>
      <c r="B1139">
        <v>1863674</v>
      </c>
      <c r="C1139" s="1">
        <v>45551</v>
      </c>
      <c r="D1139">
        <v>1490</v>
      </c>
      <c r="E1139">
        <f>IF(
  ISNA(
    _xlfn.XLOOKUP(
      payments_raw[[#This Row],[subscription_id]],
      subscriptions[subscription_id],
      subscriptions[subscription_id]
    )
  ),
  0,
  1
)</f>
        <v>1</v>
      </c>
      <c r="F1139" s="1">
        <f>_xlfn.XLOOKUP(payments_raw[[#This Row],[subscription_id]], subscriptions[subscription_id], subscriptions[start_date])</f>
        <v>45239</v>
      </c>
      <c r="G11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39" s="2">
        <f>IF(payments_raw[[#This Row],[payment_date]] &lt; payments_raw[[#This Row],[sub_start_date]], 1, 0)</f>
        <v>0</v>
      </c>
      <c r="I1139" s="2">
        <f>IF(AND(payments_raw[[#This Row],[sub_end_date]]&lt;&gt;"", payments_raw[[#This Row],[payment_date]] &gt; payments_raw[[#This Row],[sub_end_date]]), 1, 0)</f>
        <v>0</v>
      </c>
      <c r="J1139" s="2">
        <f>IF(payments_raw[[#This Row],[amount]] &lt;= 0, 1, 0)</f>
        <v>0</v>
      </c>
      <c r="K11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0" spans="1:11" x14ac:dyDescent="0.3">
      <c r="A1140">
        <v>25633534</v>
      </c>
      <c r="B1140">
        <v>5596336</v>
      </c>
      <c r="C1140" s="1">
        <v>44964</v>
      </c>
      <c r="D1140">
        <v>390</v>
      </c>
      <c r="E1140">
        <f>IF(
  ISNA(
    _xlfn.XLOOKUP(
      payments_raw[[#This Row],[subscription_id]],
      subscriptions[subscription_id],
      subscriptions[subscription_id]
    )
  ),
  0,
  1
)</f>
        <v>1</v>
      </c>
      <c r="F1140" s="1">
        <f>_xlfn.XLOOKUP(payments_raw[[#This Row],[subscription_id]], subscriptions[subscription_id], subscriptions[start_date])</f>
        <v>44780</v>
      </c>
      <c r="G11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0" s="2">
        <f>IF(payments_raw[[#This Row],[payment_date]] &lt; payments_raw[[#This Row],[sub_start_date]], 1, 0)</f>
        <v>0</v>
      </c>
      <c r="I1140" s="2">
        <f>IF(AND(payments_raw[[#This Row],[sub_end_date]]&lt;&gt;"", payments_raw[[#This Row],[payment_date]] &gt; payments_raw[[#This Row],[sub_end_date]]), 1, 0)</f>
        <v>0</v>
      </c>
      <c r="J1140" s="2">
        <f>IF(payments_raw[[#This Row],[amount]] &lt;= 0, 1, 0)</f>
        <v>0</v>
      </c>
      <c r="K11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1" spans="1:11" x14ac:dyDescent="0.3">
      <c r="A1141">
        <v>91014816</v>
      </c>
      <c r="B1141">
        <v>2029277</v>
      </c>
      <c r="C1141" s="1">
        <v>45585</v>
      </c>
      <c r="D1141">
        <v>190</v>
      </c>
      <c r="E1141">
        <f>IF(
  ISNA(
    _xlfn.XLOOKUP(
      payments_raw[[#This Row],[subscription_id]],
      subscriptions[subscription_id],
      subscriptions[subscription_id]
    )
  ),
  0,
  1
)</f>
        <v>1</v>
      </c>
      <c r="F1141" s="1">
        <f>_xlfn.XLOOKUP(payments_raw[[#This Row],[subscription_id]], subscriptions[subscription_id], subscriptions[start_date])</f>
        <v>45436</v>
      </c>
      <c r="G11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1141" s="2">
        <f>IF(payments_raw[[#This Row],[payment_date]] &lt; payments_raw[[#This Row],[sub_start_date]], 1, 0)</f>
        <v>0</v>
      </c>
      <c r="I1141" s="2">
        <f>IF(AND(payments_raw[[#This Row],[sub_end_date]]&lt;&gt;"", payments_raw[[#This Row],[payment_date]] &gt; payments_raw[[#This Row],[sub_end_date]]), 1, 0)</f>
        <v>0</v>
      </c>
      <c r="J1141" s="2">
        <f>IF(payments_raw[[#This Row],[amount]] &lt;= 0, 1, 0)</f>
        <v>0</v>
      </c>
      <c r="K11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2" spans="1:11" x14ac:dyDescent="0.3">
      <c r="A1142">
        <v>35071163</v>
      </c>
      <c r="B1142">
        <v>4101936</v>
      </c>
      <c r="C1142" s="1">
        <v>45428</v>
      </c>
      <c r="D1142">
        <v>19</v>
      </c>
      <c r="E1142">
        <f>IF(
  ISNA(
    _xlfn.XLOOKUP(
      payments_raw[[#This Row],[subscription_id]],
      subscriptions[subscription_id],
      subscriptions[subscription_id]
    )
  ),
  0,
  1
)</f>
        <v>1</v>
      </c>
      <c r="F1142" s="1">
        <f>_xlfn.XLOOKUP(payments_raw[[#This Row],[subscription_id]], subscriptions[subscription_id], subscriptions[start_date])</f>
        <v>45392</v>
      </c>
      <c r="G11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1142" s="2">
        <f>IF(payments_raw[[#This Row],[payment_date]] &lt; payments_raw[[#This Row],[sub_start_date]], 1, 0)</f>
        <v>0</v>
      </c>
      <c r="I1142" s="2">
        <f>IF(AND(payments_raw[[#This Row],[sub_end_date]]&lt;&gt;"", payments_raw[[#This Row],[payment_date]] &gt; payments_raw[[#This Row],[sub_end_date]]), 1, 0)</f>
        <v>0</v>
      </c>
      <c r="J1142" s="2">
        <f>IF(payments_raw[[#This Row],[amount]] &lt;= 0, 1, 0)</f>
        <v>0</v>
      </c>
      <c r="K11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3" spans="1:11" x14ac:dyDescent="0.3">
      <c r="A1143">
        <v>19379467</v>
      </c>
      <c r="B1143">
        <v>8883502</v>
      </c>
      <c r="C1143" s="1">
        <v>44797</v>
      </c>
      <c r="D1143">
        <v>745</v>
      </c>
      <c r="E1143">
        <f>IF(
  ISNA(
    _xlfn.XLOOKUP(
      payments_raw[[#This Row],[subscription_id]],
      subscriptions[subscription_id],
      subscriptions[subscription_id]
    )
  ),
  0,
  1
)</f>
        <v>1</v>
      </c>
      <c r="F1143" s="1">
        <f>_xlfn.XLOOKUP(payments_raw[[#This Row],[subscription_id]], subscriptions[subscription_id], subscriptions[start_date])</f>
        <v>44756</v>
      </c>
      <c r="G114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44998</v>
      </c>
      <c r="H1143" s="2">
        <f>IF(payments_raw[[#This Row],[payment_date]] &lt; payments_raw[[#This Row],[sub_start_date]], 1, 0)</f>
        <v>0</v>
      </c>
      <c r="I1143" s="2">
        <f>IF(AND(payments_raw[[#This Row],[sub_end_date]]&lt;&gt;"", payments_raw[[#This Row],[payment_date]] &gt; payments_raw[[#This Row],[sub_end_date]]), 1, 0)</f>
        <v>0</v>
      </c>
      <c r="J1143" s="2">
        <f>IF(payments_raw[[#This Row],[amount]] &lt;= 0, 1, 0)</f>
        <v>0</v>
      </c>
      <c r="K11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4" spans="1:11" x14ac:dyDescent="0.3">
      <c r="A1144">
        <v>99485713</v>
      </c>
      <c r="B1144">
        <v>7711798</v>
      </c>
      <c r="C1144" s="1">
        <v>45613</v>
      </c>
      <c r="D1144">
        <v>299</v>
      </c>
      <c r="E1144">
        <f>IF(
  ISNA(
    _xlfn.XLOOKUP(
      payments_raw[[#This Row],[subscription_id]],
      subscriptions[subscription_id],
      subscriptions[subscription_id]
    )
  ),
  0,
  1
)</f>
        <v>1</v>
      </c>
      <c r="F1144" s="1">
        <f>_xlfn.XLOOKUP(payments_raw[[#This Row],[subscription_id]], subscriptions[subscription_id], subscriptions[start_date])</f>
        <v>45152</v>
      </c>
      <c r="G11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4" s="2">
        <f>IF(payments_raw[[#This Row],[payment_date]] &lt; payments_raw[[#This Row],[sub_start_date]], 1, 0)</f>
        <v>0</v>
      </c>
      <c r="I1144" s="2">
        <f>IF(AND(payments_raw[[#This Row],[sub_end_date]]&lt;&gt;"", payments_raw[[#This Row],[payment_date]] &gt; payments_raw[[#This Row],[sub_end_date]]), 1, 0)</f>
        <v>0</v>
      </c>
      <c r="J1144" s="2">
        <f>IF(payments_raw[[#This Row],[amount]] &lt;= 0, 1, 0)</f>
        <v>0</v>
      </c>
      <c r="K11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5" spans="1:11" x14ac:dyDescent="0.3">
      <c r="A1145">
        <v>80732751</v>
      </c>
      <c r="B1145">
        <v>1262370</v>
      </c>
      <c r="C1145" s="1">
        <v>45033</v>
      </c>
      <c r="D1145">
        <v>19</v>
      </c>
      <c r="E1145">
        <f>IF(
  ISNA(
    _xlfn.XLOOKUP(
      payments_raw[[#This Row],[subscription_id]],
      subscriptions[subscription_id],
      subscriptions[subscription_id]
    )
  ),
  0,
  1
)</f>
        <v>1</v>
      </c>
      <c r="F1145" s="1">
        <f>_xlfn.XLOOKUP(payments_raw[[#This Row],[subscription_id]], subscriptions[subscription_id], subscriptions[start_date])</f>
        <v>44779</v>
      </c>
      <c r="G11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1145" s="2">
        <f>IF(payments_raw[[#This Row],[payment_date]] &lt; payments_raw[[#This Row],[sub_start_date]], 1, 0)</f>
        <v>0</v>
      </c>
      <c r="I1145" s="2">
        <f>IF(AND(payments_raw[[#This Row],[sub_end_date]]&lt;&gt;"", payments_raw[[#This Row],[payment_date]] &gt; payments_raw[[#This Row],[sub_end_date]]), 1, 0)</f>
        <v>0</v>
      </c>
      <c r="J1145" s="2">
        <f>IF(payments_raw[[#This Row],[amount]] &lt;= 0, 1, 0)</f>
        <v>0</v>
      </c>
      <c r="K11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6" spans="1:11" x14ac:dyDescent="0.3">
      <c r="A1146">
        <v>38754429</v>
      </c>
      <c r="B1146">
        <v>6749416</v>
      </c>
      <c r="C1146" s="1">
        <v>45629</v>
      </c>
      <c r="D1146">
        <v>299</v>
      </c>
      <c r="E1146">
        <f>IF(
  ISNA(
    _xlfn.XLOOKUP(
      payments_raw[[#This Row],[subscription_id]],
      subscriptions[subscription_id],
      subscriptions[subscription_id]
    )
  ),
  0,
  1
)</f>
        <v>1</v>
      </c>
      <c r="F1146" s="1">
        <f>_xlfn.XLOOKUP(payments_raw[[#This Row],[subscription_id]], subscriptions[subscription_id], subscriptions[start_date])</f>
        <v>45127</v>
      </c>
      <c r="G11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6" s="2">
        <f>IF(payments_raw[[#This Row],[payment_date]] &lt; payments_raw[[#This Row],[sub_start_date]], 1, 0)</f>
        <v>0</v>
      </c>
      <c r="I1146" s="2">
        <f>IF(AND(payments_raw[[#This Row],[sub_end_date]]&lt;&gt;"", payments_raw[[#This Row],[payment_date]] &gt; payments_raw[[#This Row],[sub_end_date]]), 1, 0)</f>
        <v>0</v>
      </c>
      <c r="J1146" s="2">
        <f>IF(payments_raw[[#This Row],[amount]] &lt;= 0, 1, 0)</f>
        <v>0</v>
      </c>
      <c r="K11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7" spans="1:11" x14ac:dyDescent="0.3">
      <c r="A1147">
        <v>53872657</v>
      </c>
      <c r="B1147">
        <v>6665383</v>
      </c>
      <c r="C1147" s="1">
        <v>44952</v>
      </c>
      <c r="D1147">
        <v>190</v>
      </c>
      <c r="E1147">
        <f>IF(
  ISNA(
    _xlfn.XLOOKUP(
      payments_raw[[#This Row],[subscription_id]],
      subscriptions[subscription_id],
      subscriptions[subscription_id]
    )
  ),
  0,
  1
)</f>
        <v>1</v>
      </c>
      <c r="F1147" s="1">
        <f>_xlfn.XLOOKUP(payments_raw[[#This Row],[subscription_id]], subscriptions[subscription_id], subscriptions[start_date])</f>
        <v>44882</v>
      </c>
      <c r="G11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45176</v>
      </c>
      <c r="H1147" s="2">
        <f>IF(payments_raw[[#This Row],[payment_date]] &lt; payments_raw[[#This Row],[sub_start_date]], 1, 0)</f>
        <v>0</v>
      </c>
      <c r="I1147" s="2">
        <f>IF(AND(payments_raw[[#This Row],[sub_end_date]]&lt;&gt;"", payments_raw[[#This Row],[payment_date]] &gt; payments_raw[[#This Row],[sub_end_date]]), 1, 0)</f>
        <v>0</v>
      </c>
      <c r="J1147" s="2">
        <f>IF(payments_raw[[#This Row],[amount]] &lt;= 0, 1, 0)</f>
        <v>0</v>
      </c>
      <c r="K11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8" spans="1:11" x14ac:dyDescent="0.3">
      <c r="A1148">
        <v>84935401</v>
      </c>
      <c r="B1148">
        <v>5692416</v>
      </c>
      <c r="C1148" s="1">
        <v>45454</v>
      </c>
      <c r="D1148">
        <v>790</v>
      </c>
      <c r="E1148">
        <f>IF(
  ISNA(
    _xlfn.XLOOKUP(
      payments_raw[[#This Row],[subscription_id]],
      subscriptions[subscription_id],
      subscriptions[subscription_id]
    )
  ),
  0,
  1
)</f>
        <v>1</v>
      </c>
      <c r="F1148" s="1">
        <f>_xlfn.XLOOKUP(payments_raw[[#This Row],[subscription_id]], subscriptions[subscription_id], subscriptions[start_date])</f>
        <v>44923</v>
      </c>
      <c r="G11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8" s="2">
        <f>IF(payments_raw[[#This Row],[payment_date]] &lt; payments_raw[[#This Row],[sub_start_date]], 1, 0)</f>
        <v>0</v>
      </c>
      <c r="I1148" s="2">
        <f>IF(AND(payments_raw[[#This Row],[sub_end_date]]&lt;&gt;"", payments_raw[[#This Row],[payment_date]] &gt; payments_raw[[#This Row],[sub_end_date]]), 1, 0)</f>
        <v>0</v>
      </c>
      <c r="J1148" s="2">
        <f>IF(payments_raw[[#This Row],[amount]] &lt;= 0, 1, 0)</f>
        <v>0</v>
      </c>
      <c r="K11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49" spans="1:11" x14ac:dyDescent="0.3">
      <c r="A1149">
        <v>30030597</v>
      </c>
      <c r="B1149">
        <v>7510631</v>
      </c>
      <c r="C1149" s="1">
        <v>44967</v>
      </c>
      <c r="D1149">
        <v>390</v>
      </c>
      <c r="E1149">
        <f>IF(
  ISNA(
    _xlfn.XLOOKUP(
      payments_raw[[#This Row],[subscription_id]],
      subscriptions[subscription_id],
      subscriptions[subscription_id]
    )
  ),
  0,
  1
)</f>
        <v>1</v>
      </c>
      <c r="F1149" s="1">
        <f>_xlfn.XLOOKUP(payments_raw[[#This Row],[subscription_id]], subscriptions[subscription_id], subscriptions[start_date])</f>
        <v>44939</v>
      </c>
      <c r="G11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49" s="2">
        <f>IF(payments_raw[[#This Row],[payment_date]] &lt; payments_raw[[#This Row],[sub_start_date]], 1, 0)</f>
        <v>0</v>
      </c>
      <c r="I1149" s="2">
        <f>IF(AND(payments_raw[[#This Row],[sub_end_date]]&lt;&gt;"", payments_raw[[#This Row],[payment_date]] &gt; payments_raw[[#This Row],[sub_end_date]]), 1, 0)</f>
        <v>0</v>
      </c>
      <c r="J1149" s="2">
        <f>IF(payments_raw[[#This Row],[amount]] &lt;= 0, 1, 0)</f>
        <v>0</v>
      </c>
      <c r="K11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0" spans="1:11" x14ac:dyDescent="0.3">
      <c r="A1150">
        <v>23228017</v>
      </c>
      <c r="B1150">
        <v>7987624</v>
      </c>
      <c r="C1150" s="1">
        <v>44936</v>
      </c>
      <c r="D1150">
        <v>2990</v>
      </c>
      <c r="E1150">
        <f>IF(
  ISNA(
    _xlfn.XLOOKUP(
      payments_raw[[#This Row],[subscription_id]],
      subscriptions[subscription_id],
      subscriptions[subscription_id]
    )
  ),
  0,
  1
)</f>
        <v>1</v>
      </c>
      <c r="F1150" s="1">
        <f>_xlfn.XLOOKUP(payments_raw[[#This Row],[subscription_id]], subscriptions[subscription_id], subscriptions[start_date])</f>
        <v>44868</v>
      </c>
      <c r="G11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1150" s="2">
        <f>IF(payments_raw[[#This Row],[payment_date]] &lt; payments_raw[[#This Row],[sub_start_date]], 1, 0)</f>
        <v>0</v>
      </c>
      <c r="I1150" s="2">
        <f>IF(AND(payments_raw[[#This Row],[sub_end_date]]&lt;&gt;"", payments_raw[[#This Row],[payment_date]] &gt; payments_raw[[#This Row],[sub_end_date]]), 1, 0)</f>
        <v>0</v>
      </c>
      <c r="J1150" s="2">
        <f>IF(payments_raw[[#This Row],[amount]] &lt;= 0, 1, 0)</f>
        <v>0</v>
      </c>
      <c r="K11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1" spans="1:11" x14ac:dyDescent="0.3">
      <c r="A1151">
        <v>63302112</v>
      </c>
      <c r="B1151">
        <v>7213813</v>
      </c>
      <c r="C1151" s="1">
        <v>45386</v>
      </c>
      <c r="D1151">
        <v>79</v>
      </c>
      <c r="E1151">
        <f>IF(
  ISNA(
    _xlfn.XLOOKUP(
      payments_raw[[#This Row],[subscription_id]],
      subscriptions[subscription_id],
      subscriptions[subscription_id]
    )
  ),
  0,
  1
)</f>
        <v>1</v>
      </c>
      <c r="F1151" s="1">
        <f>_xlfn.XLOOKUP(payments_raw[[#This Row],[subscription_id]], subscriptions[subscription_id], subscriptions[start_date])</f>
        <v>44640</v>
      </c>
      <c r="G11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51" s="2">
        <f>IF(payments_raw[[#This Row],[payment_date]] &lt; payments_raw[[#This Row],[sub_start_date]], 1, 0)</f>
        <v>0</v>
      </c>
      <c r="I1151" s="2">
        <f>IF(AND(payments_raw[[#This Row],[sub_end_date]]&lt;&gt;"", payments_raw[[#This Row],[payment_date]] &gt; payments_raw[[#This Row],[sub_end_date]]), 1, 0)</f>
        <v>0</v>
      </c>
      <c r="J1151" s="2">
        <f>IF(payments_raw[[#This Row],[amount]] &lt;= 0, 1, 0)</f>
        <v>0</v>
      </c>
      <c r="K11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2" spans="1:11" x14ac:dyDescent="0.3">
      <c r="A1152">
        <v>17286763</v>
      </c>
      <c r="B1152">
        <v>4818263</v>
      </c>
      <c r="C1152" s="1">
        <v>45622</v>
      </c>
      <c r="D1152">
        <v>149</v>
      </c>
      <c r="E1152">
        <f>IF(
  ISNA(
    _xlfn.XLOOKUP(
      payments_raw[[#This Row],[subscription_id]],
      subscriptions[subscription_id],
      subscriptions[subscription_id]
    )
  ),
  0,
  1
)</f>
        <v>1</v>
      </c>
      <c r="F1152" s="1">
        <f>_xlfn.XLOOKUP(payments_raw[[#This Row],[subscription_id]], subscriptions[subscription_id], subscriptions[start_date])</f>
        <v>45061</v>
      </c>
      <c r="G11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52" s="2">
        <f>IF(payments_raw[[#This Row],[payment_date]] &lt; payments_raw[[#This Row],[sub_start_date]], 1, 0)</f>
        <v>0</v>
      </c>
      <c r="I1152" s="2">
        <f>IF(AND(payments_raw[[#This Row],[sub_end_date]]&lt;&gt;"", payments_raw[[#This Row],[payment_date]] &gt; payments_raw[[#This Row],[sub_end_date]]), 1, 0)</f>
        <v>0</v>
      </c>
      <c r="J1152" s="2">
        <f>IF(payments_raw[[#This Row],[amount]] &lt;= 0, 1, 0)</f>
        <v>0</v>
      </c>
      <c r="K11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3" spans="1:11" x14ac:dyDescent="0.3">
      <c r="A1153">
        <v>15054251</v>
      </c>
      <c r="B1153">
        <v>7848595</v>
      </c>
      <c r="C1153" s="1">
        <v>45340</v>
      </c>
      <c r="D1153">
        <v>149</v>
      </c>
      <c r="E1153">
        <f>IF(
  ISNA(
    _xlfn.XLOOKUP(
      payments_raw[[#This Row],[subscription_id]],
      subscriptions[subscription_id],
      subscriptions[subscription_id]
    )
  ),
  0,
  1
)</f>
        <v>1</v>
      </c>
      <c r="F1153" s="1">
        <f>_xlfn.XLOOKUP(payments_raw[[#This Row],[subscription_id]], subscriptions[subscription_id], subscriptions[start_date])</f>
        <v>45329</v>
      </c>
      <c r="G11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1153" s="2">
        <f>IF(payments_raw[[#This Row],[payment_date]] &lt; payments_raw[[#This Row],[sub_start_date]], 1, 0)</f>
        <v>0</v>
      </c>
      <c r="I1153" s="2">
        <f>IF(AND(payments_raw[[#This Row],[sub_end_date]]&lt;&gt;"", payments_raw[[#This Row],[payment_date]] &gt; payments_raw[[#This Row],[sub_end_date]]), 1, 0)</f>
        <v>0</v>
      </c>
      <c r="J1153" s="2">
        <f>IF(payments_raw[[#This Row],[amount]] &lt;= 0, 1, 0)</f>
        <v>0</v>
      </c>
      <c r="K11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4" spans="1:11" x14ac:dyDescent="0.3">
      <c r="A1154">
        <v>84384809</v>
      </c>
      <c r="B1154">
        <v>8980743</v>
      </c>
      <c r="C1154" s="1">
        <v>45638</v>
      </c>
      <c r="D1154">
        <v>149</v>
      </c>
      <c r="E1154">
        <f>IF(
  ISNA(
    _xlfn.XLOOKUP(
      payments_raw[[#This Row],[subscription_id]],
      subscriptions[subscription_id],
      subscriptions[subscription_id]
    )
  ),
  0,
  1
)</f>
        <v>1</v>
      </c>
      <c r="F1154" s="1">
        <f>_xlfn.XLOOKUP(payments_raw[[#This Row],[subscription_id]], subscriptions[subscription_id], subscriptions[start_date])</f>
        <v>45513</v>
      </c>
      <c r="G11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154" s="2">
        <f>IF(payments_raw[[#This Row],[payment_date]] &lt; payments_raw[[#This Row],[sub_start_date]], 1, 0)</f>
        <v>0</v>
      </c>
      <c r="I1154" s="2">
        <f>IF(AND(payments_raw[[#This Row],[sub_end_date]]&lt;&gt;"", payments_raw[[#This Row],[payment_date]] &gt; payments_raw[[#This Row],[sub_end_date]]), 1, 0)</f>
        <v>0</v>
      </c>
      <c r="J1154" s="2">
        <f>IF(payments_raw[[#This Row],[amount]] &lt;= 0, 1, 0)</f>
        <v>0</v>
      </c>
      <c r="K11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5" spans="1:11" x14ac:dyDescent="0.3">
      <c r="A1155">
        <v>72492044</v>
      </c>
      <c r="B1155">
        <v>6209788</v>
      </c>
      <c r="C1155" s="1">
        <v>45631</v>
      </c>
      <c r="D1155">
        <v>19</v>
      </c>
      <c r="E1155">
        <f>IF(
  ISNA(
    _xlfn.XLOOKUP(
      payments_raw[[#This Row],[subscription_id]],
      subscriptions[subscription_id],
      subscriptions[subscription_id]
    )
  ),
  0,
  1
)</f>
        <v>1</v>
      </c>
      <c r="F1155" s="1">
        <f>_xlfn.XLOOKUP(payments_raw[[#This Row],[subscription_id]], subscriptions[subscription_id], subscriptions[start_date])</f>
        <v>45598</v>
      </c>
      <c r="G11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1155" s="2">
        <f>IF(payments_raw[[#This Row],[payment_date]] &lt; payments_raw[[#This Row],[sub_start_date]], 1, 0)</f>
        <v>0</v>
      </c>
      <c r="I1155" s="2">
        <f>IF(AND(payments_raw[[#This Row],[sub_end_date]]&lt;&gt;"", payments_raw[[#This Row],[payment_date]] &gt; payments_raw[[#This Row],[sub_end_date]]), 1, 0)</f>
        <v>0</v>
      </c>
      <c r="J1155" s="2">
        <f>IF(payments_raw[[#This Row],[amount]] &lt;= 0, 1, 0)</f>
        <v>0</v>
      </c>
      <c r="K11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6" spans="1:11" x14ac:dyDescent="0.3">
      <c r="A1156">
        <v>86359325</v>
      </c>
      <c r="B1156">
        <v>1261602</v>
      </c>
      <c r="C1156" s="1">
        <v>44766</v>
      </c>
      <c r="D1156">
        <v>39</v>
      </c>
      <c r="E1156">
        <f>IF(
  ISNA(
    _xlfn.XLOOKUP(
      payments_raw[[#This Row],[subscription_id]],
      subscriptions[subscription_id],
      subscriptions[subscription_id]
    )
  ),
  0,
  1
)</f>
        <v>1</v>
      </c>
      <c r="F1156" s="1">
        <f>_xlfn.XLOOKUP(payments_raw[[#This Row],[subscription_id]], subscriptions[subscription_id], subscriptions[start_date])</f>
        <v>44654</v>
      </c>
      <c r="G1156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1156" s="2">
        <f>IF(payments_raw[[#This Row],[payment_date]] &lt; payments_raw[[#This Row],[sub_start_date]], 1, 0)</f>
        <v>0</v>
      </c>
      <c r="I1156" s="2">
        <f>IF(AND(payments_raw[[#This Row],[sub_end_date]]&lt;&gt;"", payments_raw[[#This Row],[payment_date]] &gt; payments_raw[[#This Row],[sub_end_date]]), 1, 0)</f>
        <v>0</v>
      </c>
      <c r="J1156" s="2">
        <f>IF(payments_raw[[#This Row],[amount]] &lt;= 0, 1, 0)</f>
        <v>0</v>
      </c>
      <c r="K11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7" spans="1:11" x14ac:dyDescent="0.3">
      <c r="A1157">
        <v>38264338</v>
      </c>
      <c r="B1157">
        <v>7400536</v>
      </c>
      <c r="C1157" s="1">
        <v>45466</v>
      </c>
      <c r="D1157">
        <v>190</v>
      </c>
      <c r="E1157">
        <f>IF(
  ISNA(
    _xlfn.XLOOKUP(
      payments_raw[[#This Row],[subscription_id]],
      subscriptions[subscription_id],
      subscriptions[subscription_id]
    )
  ),
  0,
  1
)</f>
        <v>1</v>
      </c>
      <c r="F1157" s="1">
        <f>_xlfn.XLOOKUP(payments_raw[[#This Row],[subscription_id]], subscriptions[subscription_id], subscriptions[start_date])</f>
        <v>45085</v>
      </c>
      <c r="G11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57" s="2">
        <f>IF(payments_raw[[#This Row],[payment_date]] &lt; payments_raw[[#This Row],[sub_start_date]], 1, 0)</f>
        <v>0</v>
      </c>
      <c r="I1157" s="2">
        <f>IF(AND(payments_raw[[#This Row],[sub_end_date]]&lt;&gt;"", payments_raw[[#This Row],[payment_date]] &gt; payments_raw[[#This Row],[sub_end_date]]), 1, 0)</f>
        <v>0</v>
      </c>
      <c r="J1157" s="2">
        <f>IF(payments_raw[[#This Row],[amount]] &lt;= 0, 1, 0)</f>
        <v>0</v>
      </c>
      <c r="K11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8" spans="1:11" x14ac:dyDescent="0.3">
      <c r="A1158">
        <v>57964620</v>
      </c>
      <c r="B1158">
        <v>6961695</v>
      </c>
      <c r="C1158" s="1">
        <v>44995</v>
      </c>
      <c r="D1158">
        <v>1490</v>
      </c>
      <c r="E1158">
        <f>IF(
  ISNA(
    _xlfn.XLOOKUP(
      payments_raw[[#This Row],[subscription_id]],
      subscriptions[subscription_id],
      subscriptions[subscription_id]
    )
  ),
  0,
  1
)</f>
        <v>1</v>
      </c>
      <c r="F1158" s="1">
        <f>_xlfn.XLOOKUP(payments_raw[[#This Row],[subscription_id]], subscriptions[subscription_id], subscriptions[start_date])</f>
        <v>44617</v>
      </c>
      <c r="G11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58" s="2">
        <f>IF(payments_raw[[#This Row],[payment_date]] &lt; payments_raw[[#This Row],[sub_start_date]], 1, 0)</f>
        <v>0</v>
      </c>
      <c r="I1158" s="2">
        <f>IF(AND(payments_raw[[#This Row],[sub_end_date]]&lt;&gt;"", payments_raw[[#This Row],[payment_date]] &gt; payments_raw[[#This Row],[sub_end_date]]), 1, 0)</f>
        <v>0</v>
      </c>
      <c r="J1158" s="2">
        <f>IF(payments_raw[[#This Row],[amount]] &lt;= 0, 1, 0)</f>
        <v>0</v>
      </c>
      <c r="K11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59" spans="1:11" x14ac:dyDescent="0.3">
      <c r="A1159">
        <v>81805084</v>
      </c>
      <c r="B1159">
        <v>6875686</v>
      </c>
      <c r="C1159" s="1">
        <v>45343</v>
      </c>
      <c r="D1159">
        <v>299</v>
      </c>
      <c r="E1159">
        <f>IF(
  ISNA(
    _xlfn.XLOOKUP(
      payments_raw[[#This Row],[subscription_id]],
      subscriptions[subscription_id],
      subscriptions[subscription_id]
    )
  ),
  0,
  1
)</f>
        <v>1</v>
      </c>
      <c r="F1159" s="1">
        <f>_xlfn.XLOOKUP(payments_raw[[#This Row],[subscription_id]], subscriptions[subscription_id], subscriptions[start_date])</f>
        <v>45142</v>
      </c>
      <c r="G11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1159" s="2">
        <f>IF(payments_raw[[#This Row],[payment_date]] &lt; payments_raw[[#This Row],[sub_start_date]], 1, 0)</f>
        <v>0</v>
      </c>
      <c r="I1159" s="2">
        <f>IF(AND(payments_raw[[#This Row],[sub_end_date]]&lt;&gt;"", payments_raw[[#This Row],[payment_date]] &gt; payments_raw[[#This Row],[sub_end_date]]), 1, 0)</f>
        <v>0</v>
      </c>
      <c r="J1159" s="2">
        <f>IF(payments_raw[[#This Row],[amount]] &lt;= 0, 1, 0)</f>
        <v>0</v>
      </c>
      <c r="K11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0" spans="1:11" x14ac:dyDescent="0.3">
      <c r="A1160">
        <v>15427468</v>
      </c>
      <c r="B1160">
        <v>5922299</v>
      </c>
      <c r="C1160" s="1">
        <v>45011</v>
      </c>
      <c r="D1160">
        <v>14.25</v>
      </c>
      <c r="E1160">
        <f>IF(
  ISNA(
    _xlfn.XLOOKUP(
      payments_raw[[#This Row],[subscription_id]],
      subscriptions[subscription_id],
      subscriptions[subscription_id]
    )
  ),
  0,
  1
)</f>
        <v>1</v>
      </c>
      <c r="F1160" s="1">
        <f>_xlfn.XLOOKUP(payments_raw[[#This Row],[subscription_id]], subscriptions[subscription_id], subscriptions[start_date])</f>
        <v>44805</v>
      </c>
      <c r="G11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0" s="2">
        <f>IF(payments_raw[[#This Row],[payment_date]] &lt; payments_raw[[#This Row],[sub_start_date]], 1, 0)</f>
        <v>0</v>
      </c>
      <c r="I1160" s="2">
        <f>IF(AND(payments_raw[[#This Row],[sub_end_date]]&lt;&gt;"", payments_raw[[#This Row],[payment_date]] &gt; payments_raw[[#This Row],[sub_end_date]]), 1, 0)</f>
        <v>0</v>
      </c>
      <c r="J1160" s="2">
        <f>IF(payments_raw[[#This Row],[amount]] &lt;= 0, 1, 0)</f>
        <v>0</v>
      </c>
      <c r="K11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1" spans="1:11" x14ac:dyDescent="0.3">
      <c r="A1161">
        <v>41713949</v>
      </c>
      <c r="B1161">
        <v>8753576</v>
      </c>
      <c r="C1161" s="1">
        <v>45157</v>
      </c>
      <c r="D1161">
        <v>79</v>
      </c>
      <c r="E1161">
        <f>IF(
  ISNA(
    _xlfn.XLOOKUP(
      payments_raw[[#This Row],[subscription_id]],
      subscriptions[subscription_id],
      subscriptions[subscription_id]
    )
  ),
  0,
  1
)</f>
        <v>1</v>
      </c>
      <c r="F1161" s="1">
        <f>_xlfn.XLOOKUP(payments_raw[[#This Row],[subscription_id]], subscriptions[subscription_id], subscriptions[start_date])</f>
        <v>45108</v>
      </c>
      <c r="G11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45205</v>
      </c>
      <c r="H1161" s="2">
        <f>IF(payments_raw[[#This Row],[payment_date]] &lt; payments_raw[[#This Row],[sub_start_date]], 1, 0)</f>
        <v>0</v>
      </c>
      <c r="I1161" s="2">
        <f>IF(AND(payments_raw[[#This Row],[sub_end_date]]&lt;&gt;"", payments_raw[[#This Row],[payment_date]] &gt; payments_raw[[#This Row],[sub_end_date]]), 1, 0)</f>
        <v>0</v>
      </c>
      <c r="J1161" s="2">
        <f>IF(payments_raw[[#This Row],[amount]] &lt;= 0, 1, 0)</f>
        <v>0</v>
      </c>
      <c r="K11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2" spans="1:11" x14ac:dyDescent="0.3">
      <c r="A1162">
        <v>86861917</v>
      </c>
      <c r="B1162">
        <v>5767876</v>
      </c>
      <c r="C1162" s="1">
        <v>45652</v>
      </c>
      <c r="D1162">
        <v>190</v>
      </c>
      <c r="E1162">
        <f>IF(
  ISNA(
    _xlfn.XLOOKUP(
      payments_raw[[#This Row],[subscription_id]],
      subscriptions[subscription_id],
      subscriptions[subscription_id]
    )
  ),
  0,
  1
)</f>
        <v>1</v>
      </c>
      <c r="F1162" s="1">
        <f>_xlfn.XLOOKUP(payments_raw[[#This Row],[subscription_id]], subscriptions[subscription_id], subscriptions[start_date])</f>
        <v>45434</v>
      </c>
      <c r="G11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2" s="2">
        <f>IF(payments_raw[[#This Row],[payment_date]] &lt; payments_raw[[#This Row],[sub_start_date]], 1, 0)</f>
        <v>0</v>
      </c>
      <c r="I1162" s="2">
        <f>IF(AND(payments_raw[[#This Row],[sub_end_date]]&lt;&gt;"", payments_raw[[#This Row],[payment_date]] &gt; payments_raw[[#This Row],[sub_end_date]]), 1, 0)</f>
        <v>0</v>
      </c>
      <c r="J1162" s="2">
        <f>IF(payments_raw[[#This Row],[amount]] &lt;= 0, 1, 0)</f>
        <v>0</v>
      </c>
      <c r="K11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3" spans="1:11" x14ac:dyDescent="0.3">
      <c r="A1163">
        <v>53048207</v>
      </c>
      <c r="B1163">
        <v>9126125</v>
      </c>
      <c r="C1163" s="1">
        <v>44904</v>
      </c>
      <c r="D1163">
        <v>19</v>
      </c>
      <c r="E1163">
        <f>IF(
  ISNA(
    _xlfn.XLOOKUP(
      payments_raw[[#This Row],[subscription_id]],
      subscriptions[subscription_id],
      subscriptions[subscription_id]
    )
  ),
  0,
  1
)</f>
        <v>1</v>
      </c>
      <c r="F1163" s="1">
        <f>_xlfn.XLOOKUP(payments_raw[[#This Row],[subscription_id]], subscriptions[subscription_id], subscriptions[start_date])</f>
        <v>44792</v>
      </c>
      <c r="G11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3" s="2">
        <f>IF(payments_raw[[#This Row],[payment_date]] &lt; payments_raw[[#This Row],[sub_start_date]], 1, 0)</f>
        <v>0</v>
      </c>
      <c r="I1163" s="2">
        <f>IF(AND(payments_raw[[#This Row],[sub_end_date]]&lt;&gt;"", payments_raw[[#This Row],[payment_date]] &gt; payments_raw[[#This Row],[sub_end_date]]), 1, 0)</f>
        <v>0</v>
      </c>
      <c r="J1163" s="2">
        <f>IF(payments_raw[[#This Row],[amount]] &lt;= 0, 1, 0)</f>
        <v>0</v>
      </c>
      <c r="K11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4" spans="1:11" x14ac:dyDescent="0.3">
      <c r="A1164">
        <v>56558447</v>
      </c>
      <c r="B1164">
        <v>8481497</v>
      </c>
      <c r="C1164" s="1">
        <v>44669</v>
      </c>
      <c r="D1164">
        <v>19</v>
      </c>
      <c r="E1164">
        <f>IF(
  ISNA(
    _xlfn.XLOOKUP(
      payments_raw[[#This Row],[subscription_id]],
      subscriptions[subscription_id],
      subscriptions[subscription_id]
    )
  ),
  0,
  1
)</f>
        <v>1</v>
      </c>
      <c r="F1164" s="1">
        <f>_xlfn.XLOOKUP(payments_raw[[#This Row],[subscription_id]], subscriptions[subscription_id], subscriptions[start_date])</f>
        <v>44586</v>
      </c>
      <c r="G116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1164" s="2">
        <f>IF(payments_raw[[#This Row],[payment_date]] &lt; payments_raw[[#This Row],[sub_start_date]], 1, 0)</f>
        <v>0</v>
      </c>
      <c r="I1164" s="2">
        <f>IF(AND(payments_raw[[#This Row],[sub_end_date]]&lt;&gt;"", payments_raw[[#This Row],[payment_date]] &gt; payments_raw[[#This Row],[sub_end_date]]), 1, 0)</f>
        <v>0</v>
      </c>
      <c r="J1164" s="2">
        <f>IF(payments_raw[[#This Row],[amount]] &lt;= 0, 1, 0)</f>
        <v>0</v>
      </c>
      <c r="K11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5" spans="1:11" x14ac:dyDescent="0.3">
      <c r="A1165">
        <v>86573377</v>
      </c>
      <c r="B1165">
        <v>5629621</v>
      </c>
      <c r="C1165" s="1">
        <v>45087</v>
      </c>
      <c r="D1165">
        <v>1495</v>
      </c>
      <c r="E1165">
        <f>IF(
  ISNA(
    _xlfn.XLOOKUP(
      payments_raw[[#This Row],[subscription_id]],
      subscriptions[subscription_id],
      subscriptions[subscription_id]
    )
  ),
  0,
  1
)</f>
        <v>1</v>
      </c>
      <c r="F1165" s="1">
        <f>_xlfn.XLOOKUP(payments_raw[[#This Row],[subscription_id]], subscriptions[subscription_id], subscriptions[start_date])</f>
        <v>44992</v>
      </c>
      <c r="G11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5" s="2">
        <f>IF(payments_raw[[#This Row],[payment_date]] &lt; payments_raw[[#This Row],[sub_start_date]], 1, 0)</f>
        <v>0</v>
      </c>
      <c r="I1165" s="2">
        <f>IF(AND(payments_raw[[#This Row],[sub_end_date]]&lt;&gt;"", payments_raw[[#This Row],[payment_date]] &gt; payments_raw[[#This Row],[sub_end_date]]), 1, 0)</f>
        <v>0</v>
      </c>
      <c r="J1165" s="2">
        <f>IF(payments_raw[[#This Row],[amount]] &lt;= 0, 1, 0)</f>
        <v>0</v>
      </c>
      <c r="K11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6" spans="1:11" x14ac:dyDescent="0.3">
      <c r="A1166">
        <v>96290143</v>
      </c>
      <c r="B1166">
        <v>2316088</v>
      </c>
      <c r="C1166" s="1">
        <v>44762</v>
      </c>
      <c r="D1166">
        <v>299</v>
      </c>
      <c r="E1166">
        <f>IF(
  ISNA(
    _xlfn.XLOOKUP(
      payments_raw[[#This Row],[subscription_id]],
      subscriptions[subscription_id],
      subscriptions[subscription_id]
    )
  ),
  0,
  1
)</f>
        <v>1</v>
      </c>
      <c r="F1166" s="1">
        <f>_xlfn.XLOOKUP(payments_raw[[#This Row],[subscription_id]], subscriptions[subscription_id], subscriptions[start_date])</f>
        <v>44720</v>
      </c>
      <c r="G116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1166" s="2">
        <f>IF(payments_raw[[#This Row],[payment_date]] &lt; payments_raw[[#This Row],[sub_start_date]], 1, 0)</f>
        <v>0</v>
      </c>
      <c r="I1166" s="2">
        <f>IF(AND(payments_raw[[#This Row],[sub_end_date]]&lt;&gt;"", payments_raw[[#This Row],[payment_date]] &gt; payments_raw[[#This Row],[sub_end_date]]), 1, 0)</f>
        <v>0</v>
      </c>
      <c r="J1166" s="2">
        <f>IF(payments_raw[[#This Row],[amount]] &lt;= 0, 1, 0)</f>
        <v>0</v>
      </c>
      <c r="K11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7" spans="1:11" x14ac:dyDescent="0.3">
      <c r="A1167">
        <v>88769634</v>
      </c>
      <c r="B1167">
        <v>4530452</v>
      </c>
      <c r="C1167" s="1">
        <v>45596</v>
      </c>
      <c r="D1167">
        <v>19</v>
      </c>
      <c r="E1167">
        <f>IF(
  ISNA(
    _xlfn.XLOOKUP(
      payments_raw[[#This Row],[subscription_id]],
      subscriptions[subscription_id],
      subscriptions[subscription_id]
    )
  ),
  0,
  1
)</f>
        <v>1</v>
      </c>
      <c r="F1167" s="1">
        <f>_xlfn.XLOOKUP(payments_raw[[#This Row],[subscription_id]], subscriptions[subscription_id], subscriptions[start_date])</f>
        <v>45213</v>
      </c>
      <c r="G11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7" s="2">
        <f>IF(payments_raw[[#This Row],[payment_date]] &lt; payments_raw[[#This Row],[sub_start_date]], 1, 0)</f>
        <v>0</v>
      </c>
      <c r="I1167" s="2">
        <f>IF(AND(payments_raw[[#This Row],[sub_end_date]]&lt;&gt;"", payments_raw[[#This Row],[payment_date]] &gt; payments_raw[[#This Row],[sub_end_date]]), 1, 0)</f>
        <v>0</v>
      </c>
      <c r="J1167" s="2">
        <f>IF(payments_raw[[#This Row],[amount]] &lt;= 0, 1, 0)</f>
        <v>0</v>
      </c>
      <c r="K11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8" spans="1:11" x14ac:dyDescent="0.3">
      <c r="A1168">
        <v>13225245</v>
      </c>
      <c r="B1168">
        <v>8208583</v>
      </c>
      <c r="C1168" s="1">
        <v>44767</v>
      </c>
      <c r="D1168">
        <v>190</v>
      </c>
      <c r="E1168">
        <f>IF(
  ISNA(
    _xlfn.XLOOKUP(
      payments_raw[[#This Row],[subscription_id]],
      subscriptions[subscription_id],
      subscriptions[subscription_id]
    )
  ),
  0,
  1
)</f>
        <v>1</v>
      </c>
      <c r="F1168" s="1">
        <f>_xlfn.XLOOKUP(payments_raw[[#This Row],[subscription_id]], subscriptions[subscription_id], subscriptions[start_date])</f>
        <v>44578</v>
      </c>
      <c r="G11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8" s="2">
        <f>IF(payments_raw[[#This Row],[payment_date]] &lt; payments_raw[[#This Row],[sub_start_date]], 1, 0)</f>
        <v>0</v>
      </c>
      <c r="I1168" s="2">
        <f>IF(AND(payments_raw[[#This Row],[sub_end_date]]&lt;&gt;"", payments_raw[[#This Row],[payment_date]] &gt; payments_raw[[#This Row],[sub_end_date]]), 1, 0)</f>
        <v>0</v>
      </c>
      <c r="J1168" s="2">
        <f>IF(payments_raw[[#This Row],[amount]] &lt;= 0, 1, 0)</f>
        <v>0</v>
      </c>
      <c r="K11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69" spans="1:11" x14ac:dyDescent="0.3">
      <c r="A1169">
        <v>74151878</v>
      </c>
      <c r="B1169">
        <v>4896735</v>
      </c>
      <c r="C1169" s="1">
        <v>45311</v>
      </c>
      <c r="D1169">
        <v>2990</v>
      </c>
      <c r="E1169">
        <f>IF(
  ISNA(
    _xlfn.XLOOKUP(
      payments_raw[[#This Row],[subscription_id]],
      subscriptions[subscription_id],
      subscriptions[subscription_id]
    )
  ),
  0,
  1
)</f>
        <v>1</v>
      </c>
      <c r="F1169" s="1">
        <f>_xlfn.XLOOKUP(payments_raw[[#This Row],[subscription_id]], subscriptions[subscription_id], subscriptions[start_date])</f>
        <v>45170</v>
      </c>
      <c r="G11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69" s="2">
        <f>IF(payments_raw[[#This Row],[payment_date]] &lt; payments_raw[[#This Row],[sub_start_date]], 1, 0)</f>
        <v>0</v>
      </c>
      <c r="I1169" s="2">
        <f>IF(AND(payments_raw[[#This Row],[sub_end_date]]&lt;&gt;"", payments_raw[[#This Row],[payment_date]] &gt; payments_raw[[#This Row],[sub_end_date]]), 1, 0)</f>
        <v>0</v>
      </c>
      <c r="J1169" s="2">
        <f>IF(payments_raw[[#This Row],[amount]] &lt;= 0, 1, 0)</f>
        <v>0</v>
      </c>
      <c r="K11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0" spans="1:11" x14ac:dyDescent="0.3">
      <c r="A1170">
        <v>78636393</v>
      </c>
      <c r="B1170">
        <v>4224201</v>
      </c>
      <c r="C1170" s="1">
        <v>45058</v>
      </c>
      <c r="D1170">
        <v>74.5</v>
      </c>
      <c r="E1170">
        <f>IF(
  ISNA(
    _xlfn.XLOOKUP(
      payments_raw[[#This Row],[subscription_id]],
      subscriptions[subscription_id],
      subscriptions[subscription_id]
    )
  ),
  0,
  1
)</f>
        <v>1</v>
      </c>
      <c r="F1170" s="1">
        <f>_xlfn.XLOOKUP(payments_raw[[#This Row],[subscription_id]], subscriptions[subscription_id], subscriptions[start_date])</f>
        <v>44861</v>
      </c>
      <c r="G11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70" s="2">
        <f>IF(payments_raw[[#This Row],[payment_date]] &lt; payments_raw[[#This Row],[sub_start_date]], 1, 0)</f>
        <v>0</v>
      </c>
      <c r="I1170" s="2">
        <f>IF(AND(payments_raw[[#This Row],[sub_end_date]]&lt;&gt;"", payments_raw[[#This Row],[payment_date]] &gt; payments_raw[[#This Row],[sub_end_date]]), 1, 0)</f>
        <v>0</v>
      </c>
      <c r="J1170" s="2">
        <f>IF(payments_raw[[#This Row],[amount]] &lt;= 0, 1, 0)</f>
        <v>0</v>
      </c>
      <c r="K11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1" spans="1:11" x14ac:dyDescent="0.3">
      <c r="A1171">
        <v>10659341</v>
      </c>
      <c r="B1171">
        <v>5307726</v>
      </c>
      <c r="C1171" s="1">
        <v>45484</v>
      </c>
      <c r="D1171">
        <v>790</v>
      </c>
      <c r="E1171">
        <f>IF(
  ISNA(
    _xlfn.XLOOKUP(
      payments_raw[[#This Row],[subscription_id]],
      subscriptions[subscription_id],
      subscriptions[subscription_id]
    )
  ),
  0,
  1
)</f>
        <v>1</v>
      </c>
      <c r="F1171" s="1">
        <f>_xlfn.XLOOKUP(payments_raw[[#This Row],[subscription_id]], subscriptions[subscription_id], subscriptions[start_date])</f>
        <v>44633</v>
      </c>
      <c r="G11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71" s="2">
        <f>IF(payments_raw[[#This Row],[payment_date]] &lt; payments_raw[[#This Row],[sub_start_date]], 1, 0)</f>
        <v>0</v>
      </c>
      <c r="I1171" s="2">
        <f>IF(AND(payments_raw[[#This Row],[sub_end_date]]&lt;&gt;"", payments_raw[[#This Row],[payment_date]] &gt; payments_raw[[#This Row],[sub_end_date]]), 1, 0)</f>
        <v>0</v>
      </c>
      <c r="J1171" s="2">
        <f>IF(payments_raw[[#This Row],[amount]] &lt;= 0, 1, 0)</f>
        <v>0</v>
      </c>
      <c r="K11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2" spans="1:11" x14ac:dyDescent="0.3">
      <c r="A1172">
        <v>21092802</v>
      </c>
      <c r="B1172">
        <v>9122764</v>
      </c>
      <c r="C1172" s="1">
        <v>45248</v>
      </c>
      <c r="D1172">
        <v>790</v>
      </c>
      <c r="E1172">
        <f>IF(
  ISNA(
    _xlfn.XLOOKUP(
      payments_raw[[#This Row],[subscription_id]],
      subscriptions[subscription_id],
      subscriptions[subscription_id]
    )
  ),
  0,
  1
)</f>
        <v>1</v>
      </c>
      <c r="F1172" s="1">
        <f>_xlfn.XLOOKUP(payments_raw[[#This Row],[subscription_id]], subscriptions[subscription_id], subscriptions[start_date])</f>
        <v>45033</v>
      </c>
      <c r="G11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72" s="2">
        <f>IF(payments_raw[[#This Row],[payment_date]] &lt; payments_raw[[#This Row],[sub_start_date]], 1, 0)</f>
        <v>0</v>
      </c>
      <c r="I1172" s="2">
        <f>IF(AND(payments_raw[[#This Row],[sub_end_date]]&lt;&gt;"", payments_raw[[#This Row],[payment_date]] &gt; payments_raw[[#This Row],[sub_end_date]]), 1, 0)</f>
        <v>0</v>
      </c>
      <c r="J1172" s="2">
        <f>IF(payments_raw[[#This Row],[amount]] &lt;= 0, 1, 0)</f>
        <v>0</v>
      </c>
      <c r="K11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3" spans="1:11" x14ac:dyDescent="0.3">
      <c r="A1173">
        <v>77090777</v>
      </c>
      <c r="B1173">
        <v>4818263</v>
      </c>
      <c r="C1173" s="1">
        <v>45156</v>
      </c>
      <c r="D1173">
        <v>149</v>
      </c>
      <c r="E1173">
        <f>IF(
  ISNA(
    _xlfn.XLOOKUP(
      payments_raw[[#This Row],[subscription_id]],
      subscriptions[subscription_id],
      subscriptions[subscription_id]
    )
  ),
  0,
  1
)</f>
        <v>1</v>
      </c>
      <c r="F1173" s="1">
        <f>_xlfn.XLOOKUP(payments_raw[[#This Row],[subscription_id]], subscriptions[subscription_id], subscriptions[start_date])</f>
        <v>45061</v>
      </c>
      <c r="G11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73" s="2">
        <f>IF(payments_raw[[#This Row],[payment_date]] &lt; payments_raw[[#This Row],[sub_start_date]], 1, 0)</f>
        <v>0</v>
      </c>
      <c r="I1173" s="2">
        <f>IF(AND(payments_raw[[#This Row],[sub_end_date]]&lt;&gt;"", payments_raw[[#This Row],[payment_date]] &gt; payments_raw[[#This Row],[sub_end_date]]), 1, 0)</f>
        <v>0</v>
      </c>
      <c r="J1173" s="2">
        <f>IF(payments_raw[[#This Row],[amount]] &lt;= 0, 1, 0)</f>
        <v>0</v>
      </c>
      <c r="K11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4" spans="1:11" x14ac:dyDescent="0.3">
      <c r="A1174">
        <v>25457874</v>
      </c>
      <c r="B1174">
        <v>7416570</v>
      </c>
      <c r="C1174" s="1">
        <v>45402</v>
      </c>
      <c r="D1174">
        <v>1490</v>
      </c>
      <c r="E1174">
        <f>IF(
  ISNA(
    _xlfn.XLOOKUP(
      payments_raw[[#This Row],[subscription_id]],
      subscriptions[subscription_id],
      subscriptions[subscription_id]
    )
  ),
  0,
  1
)</f>
        <v>1</v>
      </c>
      <c r="F1174" s="1">
        <f>_xlfn.XLOOKUP(payments_raw[[#This Row],[subscription_id]], subscriptions[subscription_id], subscriptions[start_date])</f>
        <v>45328</v>
      </c>
      <c r="G11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74" s="2">
        <f>IF(payments_raw[[#This Row],[payment_date]] &lt; payments_raw[[#This Row],[sub_start_date]], 1, 0)</f>
        <v>0</v>
      </c>
      <c r="I1174" s="2">
        <f>IF(AND(payments_raw[[#This Row],[sub_end_date]]&lt;&gt;"", payments_raw[[#This Row],[payment_date]] &gt; payments_raw[[#This Row],[sub_end_date]]), 1, 0)</f>
        <v>0</v>
      </c>
      <c r="J1174" s="2">
        <f>IF(payments_raw[[#This Row],[amount]] &lt;= 0, 1, 0)</f>
        <v>0</v>
      </c>
      <c r="K11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5" spans="1:11" x14ac:dyDescent="0.3">
      <c r="A1175">
        <v>94998837</v>
      </c>
      <c r="B1175">
        <v>1917592</v>
      </c>
      <c r="C1175" s="1">
        <v>45192</v>
      </c>
      <c r="D1175">
        <v>2990</v>
      </c>
      <c r="E1175">
        <f>IF(
  ISNA(
    _xlfn.XLOOKUP(
      payments_raw[[#This Row],[subscription_id]],
      subscriptions[subscription_id],
      subscriptions[subscription_id]
    )
  ),
  0,
  1
)</f>
        <v>1</v>
      </c>
      <c r="F1175" s="1">
        <f>_xlfn.XLOOKUP(payments_raw[[#This Row],[subscription_id]], subscriptions[subscription_id], subscriptions[start_date])</f>
        <v>45115</v>
      </c>
      <c r="G11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1175" s="2">
        <f>IF(payments_raw[[#This Row],[payment_date]] &lt; payments_raw[[#This Row],[sub_start_date]], 1, 0)</f>
        <v>0</v>
      </c>
      <c r="I1175" s="2">
        <f>IF(AND(payments_raw[[#This Row],[sub_end_date]]&lt;&gt;"", payments_raw[[#This Row],[payment_date]] &gt; payments_raw[[#This Row],[sub_end_date]]), 1, 0)</f>
        <v>0</v>
      </c>
      <c r="J1175" s="2">
        <f>IF(payments_raw[[#This Row],[amount]] &lt;= 0, 1, 0)</f>
        <v>0</v>
      </c>
      <c r="K11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6" spans="1:11" x14ac:dyDescent="0.3">
      <c r="A1176">
        <v>25510146</v>
      </c>
      <c r="B1176">
        <v>2120966</v>
      </c>
      <c r="C1176" s="1">
        <v>44709</v>
      </c>
      <c r="D1176">
        <v>1490</v>
      </c>
      <c r="E1176">
        <f>IF(
  ISNA(
    _xlfn.XLOOKUP(
      payments_raw[[#This Row],[subscription_id]],
      subscriptions[subscription_id],
      subscriptions[subscription_id]
    )
  ),
  0,
  1
)</f>
        <v>1</v>
      </c>
      <c r="F1176" s="1">
        <f>_xlfn.XLOOKUP(payments_raw[[#This Row],[subscription_id]], subscriptions[subscription_id], subscriptions[start_date])</f>
        <v>44683</v>
      </c>
      <c r="G1176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44784</v>
      </c>
      <c r="H1176" s="2">
        <f>IF(payments_raw[[#This Row],[payment_date]] &lt; payments_raw[[#This Row],[sub_start_date]], 1, 0)</f>
        <v>0</v>
      </c>
      <c r="I1176" s="2">
        <f>IF(AND(payments_raw[[#This Row],[sub_end_date]]&lt;&gt;"", payments_raw[[#This Row],[payment_date]] &gt; payments_raw[[#This Row],[sub_end_date]]), 1, 0)</f>
        <v>0</v>
      </c>
      <c r="J1176" s="2">
        <f>IF(payments_raw[[#This Row],[amount]] &lt;= 0, 1, 0)</f>
        <v>0</v>
      </c>
      <c r="K11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7" spans="1:11" x14ac:dyDescent="0.3">
      <c r="A1177">
        <v>71786427</v>
      </c>
      <c r="B1177">
        <v>6835191</v>
      </c>
      <c r="C1177" s="1">
        <v>44719</v>
      </c>
      <c r="D1177">
        <v>79</v>
      </c>
      <c r="E1177">
        <f>IF(
  ISNA(
    _xlfn.XLOOKUP(
      payments_raw[[#This Row],[subscription_id]],
      subscriptions[subscription_id],
      subscriptions[subscription_id]
    )
  ),
  0,
  1
)</f>
        <v>1</v>
      </c>
      <c r="F1177" s="1">
        <f>_xlfn.XLOOKUP(payments_raw[[#This Row],[subscription_id]], subscriptions[subscription_id], subscriptions[start_date])</f>
        <v>44615</v>
      </c>
      <c r="G117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44817</v>
      </c>
      <c r="H1177" s="2">
        <f>IF(payments_raw[[#This Row],[payment_date]] &lt; payments_raw[[#This Row],[sub_start_date]], 1, 0)</f>
        <v>0</v>
      </c>
      <c r="I1177" s="2">
        <f>IF(AND(payments_raw[[#This Row],[sub_end_date]]&lt;&gt;"", payments_raw[[#This Row],[payment_date]] &gt; payments_raw[[#This Row],[sub_end_date]]), 1, 0)</f>
        <v>0</v>
      </c>
      <c r="J1177" s="2">
        <f>IF(payments_raw[[#This Row],[amount]] &lt;= 0, 1, 0)</f>
        <v>0</v>
      </c>
      <c r="K11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8" spans="1:11" x14ac:dyDescent="0.3">
      <c r="A1178">
        <v>98608237</v>
      </c>
      <c r="B1178">
        <v>4626151</v>
      </c>
      <c r="C1178" s="1">
        <v>45537</v>
      </c>
      <c r="D1178">
        <v>35.1</v>
      </c>
      <c r="E1178">
        <f>IF(
  ISNA(
    _xlfn.XLOOKUP(
      payments_raw[[#This Row],[subscription_id]],
      subscriptions[subscription_id],
      subscriptions[subscription_id]
    )
  ),
  0,
  1
)</f>
        <v>1</v>
      </c>
      <c r="F1178" s="1">
        <f>_xlfn.XLOOKUP(payments_raw[[#This Row],[subscription_id]], subscriptions[subscription_id], subscriptions[start_date])</f>
        <v>45520</v>
      </c>
      <c r="G11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1178" s="2">
        <f>IF(payments_raw[[#This Row],[payment_date]] &lt; payments_raw[[#This Row],[sub_start_date]], 1, 0)</f>
        <v>0</v>
      </c>
      <c r="I1178" s="2">
        <f>IF(AND(payments_raw[[#This Row],[sub_end_date]]&lt;&gt;"", payments_raw[[#This Row],[payment_date]] &gt; payments_raw[[#This Row],[sub_end_date]]), 1, 0)</f>
        <v>0</v>
      </c>
      <c r="J1178" s="2">
        <f>IF(payments_raw[[#This Row],[amount]] &lt;= 0, 1, 0)</f>
        <v>0</v>
      </c>
      <c r="K11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79" spans="1:11" x14ac:dyDescent="0.3">
      <c r="A1179">
        <v>21977132</v>
      </c>
      <c r="B1179">
        <v>6826801</v>
      </c>
      <c r="C1179" s="1">
        <v>45492</v>
      </c>
      <c r="D1179">
        <v>19</v>
      </c>
      <c r="E1179">
        <f>IF(
  ISNA(
    _xlfn.XLOOKUP(
      payments_raw[[#This Row],[subscription_id]],
      subscriptions[subscription_id],
      subscriptions[subscription_id]
    )
  ),
  0,
  1
)</f>
        <v>1</v>
      </c>
      <c r="F1179" s="1">
        <f>_xlfn.XLOOKUP(payments_raw[[#This Row],[subscription_id]], subscriptions[subscription_id], subscriptions[start_date])</f>
        <v>45463</v>
      </c>
      <c r="G11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1179" s="2">
        <f>IF(payments_raw[[#This Row],[payment_date]] &lt; payments_raw[[#This Row],[sub_start_date]], 1, 0)</f>
        <v>0</v>
      </c>
      <c r="I1179" s="2">
        <f>IF(AND(payments_raw[[#This Row],[sub_end_date]]&lt;&gt;"", payments_raw[[#This Row],[payment_date]] &gt; payments_raw[[#This Row],[sub_end_date]]), 1, 0)</f>
        <v>0</v>
      </c>
      <c r="J1179" s="2">
        <f>IF(payments_raw[[#This Row],[amount]] &lt;= 0, 1, 0)</f>
        <v>0</v>
      </c>
      <c r="K11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0" spans="1:11" x14ac:dyDescent="0.3">
      <c r="A1180">
        <v>64048981</v>
      </c>
      <c r="B1180">
        <v>5856148</v>
      </c>
      <c r="C1180" s="1">
        <v>44819</v>
      </c>
      <c r="D1180">
        <v>149</v>
      </c>
      <c r="E1180">
        <f>IF(
  ISNA(
    _xlfn.XLOOKUP(
      payments_raw[[#This Row],[subscription_id]],
      subscriptions[subscription_id],
      subscriptions[subscription_id]
    )
  ),
  0,
  1
)</f>
        <v>1</v>
      </c>
      <c r="F1180" s="1">
        <f>_xlfn.XLOOKUP(payments_raw[[#This Row],[subscription_id]], subscriptions[subscription_id], subscriptions[start_date])</f>
        <v>44766</v>
      </c>
      <c r="G11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45048</v>
      </c>
      <c r="H1180" s="2">
        <f>IF(payments_raw[[#This Row],[payment_date]] &lt; payments_raw[[#This Row],[sub_start_date]], 1, 0)</f>
        <v>0</v>
      </c>
      <c r="I1180" s="2">
        <f>IF(AND(payments_raw[[#This Row],[sub_end_date]]&lt;&gt;"", payments_raw[[#This Row],[payment_date]] &gt; payments_raw[[#This Row],[sub_end_date]]), 1, 0)</f>
        <v>0</v>
      </c>
      <c r="J1180" s="2">
        <f>IF(payments_raw[[#This Row],[amount]] &lt;= 0, 1, 0)</f>
        <v>0</v>
      </c>
      <c r="K11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1" spans="1:11" x14ac:dyDescent="0.3">
      <c r="A1181">
        <v>34254080</v>
      </c>
      <c r="B1181">
        <v>3043656</v>
      </c>
      <c r="C1181" s="1">
        <v>45197</v>
      </c>
      <c r="D1181">
        <v>790</v>
      </c>
      <c r="E1181">
        <f>IF(
  ISNA(
    _xlfn.XLOOKUP(
      payments_raw[[#This Row],[subscription_id]],
      subscriptions[subscription_id],
      subscriptions[subscription_id]
    )
  ),
  0,
  1
)</f>
        <v>1</v>
      </c>
      <c r="F1181" s="1">
        <f>_xlfn.XLOOKUP(payments_raw[[#This Row],[subscription_id]], subscriptions[subscription_id], subscriptions[start_date])</f>
        <v>45176</v>
      </c>
      <c r="G11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81" s="2">
        <f>IF(payments_raw[[#This Row],[payment_date]] &lt; payments_raw[[#This Row],[sub_start_date]], 1, 0)</f>
        <v>0</v>
      </c>
      <c r="I1181" s="2">
        <f>IF(AND(payments_raw[[#This Row],[sub_end_date]]&lt;&gt;"", payments_raw[[#This Row],[payment_date]] &gt; payments_raw[[#This Row],[sub_end_date]]), 1, 0)</f>
        <v>0</v>
      </c>
      <c r="J1181" s="2">
        <f>IF(payments_raw[[#This Row],[amount]] &lt;= 0, 1, 0)</f>
        <v>0</v>
      </c>
      <c r="K11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2" spans="1:11" x14ac:dyDescent="0.3">
      <c r="A1182">
        <v>14283875</v>
      </c>
      <c r="B1182">
        <v>5345732</v>
      </c>
      <c r="C1182" s="1">
        <v>45112</v>
      </c>
      <c r="D1182">
        <v>299</v>
      </c>
      <c r="E1182">
        <f>IF(
  ISNA(
    _xlfn.XLOOKUP(
      payments_raw[[#This Row],[subscription_id]],
      subscriptions[subscription_id],
      subscriptions[subscription_id]
    )
  ),
  0,
  1
)</f>
        <v>1</v>
      </c>
      <c r="F1182" s="1">
        <f>_xlfn.XLOOKUP(payments_raw[[#This Row],[subscription_id]], subscriptions[subscription_id], subscriptions[start_date])</f>
        <v>45084</v>
      </c>
      <c r="G11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45125</v>
      </c>
      <c r="H1182" s="2">
        <f>IF(payments_raw[[#This Row],[payment_date]] &lt; payments_raw[[#This Row],[sub_start_date]], 1, 0)</f>
        <v>0</v>
      </c>
      <c r="I1182" s="2">
        <f>IF(AND(payments_raw[[#This Row],[sub_end_date]]&lt;&gt;"", payments_raw[[#This Row],[payment_date]] &gt; payments_raw[[#This Row],[sub_end_date]]), 1, 0)</f>
        <v>0</v>
      </c>
      <c r="J1182" s="2">
        <f>IF(payments_raw[[#This Row],[amount]] &lt;= 0, 1, 0)</f>
        <v>0</v>
      </c>
      <c r="K11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3" spans="1:11" x14ac:dyDescent="0.3">
      <c r="A1183">
        <v>56028484</v>
      </c>
      <c r="B1183">
        <v>3252923</v>
      </c>
      <c r="C1183" s="1">
        <v>45390</v>
      </c>
      <c r="D1183">
        <v>1490</v>
      </c>
      <c r="E1183">
        <f>IF(
  ISNA(
    _xlfn.XLOOKUP(
      payments_raw[[#This Row],[subscription_id]],
      subscriptions[subscription_id],
      subscriptions[subscription_id]
    )
  ),
  0,
  1
)</f>
        <v>1</v>
      </c>
      <c r="F1183" s="1">
        <f>_xlfn.XLOOKUP(payments_raw[[#This Row],[subscription_id]], subscriptions[subscription_id], subscriptions[start_date])</f>
        <v>44713</v>
      </c>
      <c r="G11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83" s="2">
        <f>IF(payments_raw[[#This Row],[payment_date]] &lt; payments_raw[[#This Row],[sub_start_date]], 1, 0)</f>
        <v>0</v>
      </c>
      <c r="I1183" s="2">
        <f>IF(AND(payments_raw[[#This Row],[sub_end_date]]&lt;&gt;"", payments_raw[[#This Row],[payment_date]] &gt; payments_raw[[#This Row],[sub_end_date]]), 1, 0)</f>
        <v>0</v>
      </c>
      <c r="J1183" s="2">
        <f>IF(payments_raw[[#This Row],[amount]] &lt;= 0, 1, 0)</f>
        <v>0</v>
      </c>
      <c r="K11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4" spans="1:11" x14ac:dyDescent="0.3">
      <c r="A1184">
        <v>81022010</v>
      </c>
      <c r="B1184">
        <v>5316874</v>
      </c>
      <c r="C1184" s="1">
        <v>45476</v>
      </c>
      <c r="D1184">
        <v>299</v>
      </c>
      <c r="E1184">
        <f>IF(
  ISNA(
    _xlfn.XLOOKUP(
      payments_raw[[#This Row],[subscription_id]],
      subscriptions[subscription_id],
      subscriptions[subscription_id]
    )
  ),
  0,
  1
)</f>
        <v>1</v>
      </c>
      <c r="F1184" s="1">
        <f>_xlfn.XLOOKUP(payments_raw[[#This Row],[subscription_id]], subscriptions[subscription_id], subscriptions[start_date])</f>
        <v>45028</v>
      </c>
      <c r="G11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84" s="2">
        <f>IF(payments_raw[[#This Row],[payment_date]] &lt; payments_raw[[#This Row],[sub_start_date]], 1, 0)</f>
        <v>0</v>
      </c>
      <c r="I1184" s="2">
        <f>IF(AND(payments_raw[[#This Row],[sub_end_date]]&lt;&gt;"", payments_raw[[#This Row],[payment_date]] &gt; payments_raw[[#This Row],[sub_end_date]]), 1, 0)</f>
        <v>0</v>
      </c>
      <c r="J1184" s="2">
        <f>IF(payments_raw[[#This Row],[amount]] &lt;= 0, 1, 0)</f>
        <v>0</v>
      </c>
      <c r="K11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5" spans="1:11" x14ac:dyDescent="0.3">
      <c r="A1185">
        <v>36568577</v>
      </c>
      <c r="B1185">
        <v>2758380</v>
      </c>
      <c r="C1185" s="1">
        <v>45346</v>
      </c>
      <c r="D1185">
        <v>299</v>
      </c>
      <c r="E1185">
        <f>IF(
  ISNA(
    _xlfn.XLOOKUP(
      payments_raw[[#This Row],[subscription_id]],
      subscriptions[subscription_id],
      subscriptions[subscription_id]
    )
  ),
  0,
  1
)</f>
        <v>1</v>
      </c>
      <c r="F1185" s="1">
        <f>_xlfn.XLOOKUP(payments_raw[[#This Row],[subscription_id]], subscriptions[subscription_id], subscriptions[start_date])</f>
        <v>45028</v>
      </c>
      <c r="G11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1185" s="2">
        <f>IF(payments_raw[[#This Row],[payment_date]] &lt; payments_raw[[#This Row],[sub_start_date]], 1, 0)</f>
        <v>0</v>
      </c>
      <c r="I1185" s="2">
        <f>IF(AND(payments_raw[[#This Row],[sub_end_date]]&lt;&gt;"", payments_raw[[#This Row],[payment_date]] &gt; payments_raw[[#This Row],[sub_end_date]]), 1, 0)</f>
        <v>0</v>
      </c>
      <c r="J1185" s="2">
        <f>IF(payments_raw[[#This Row],[amount]] &lt;= 0, 1, 0)</f>
        <v>0</v>
      </c>
      <c r="K11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6" spans="1:11" x14ac:dyDescent="0.3">
      <c r="A1186">
        <v>38734569</v>
      </c>
      <c r="B1186">
        <v>5409982</v>
      </c>
      <c r="C1186" s="1">
        <v>45532</v>
      </c>
      <c r="D1186">
        <v>149</v>
      </c>
      <c r="E1186">
        <f>IF(
  ISNA(
    _xlfn.XLOOKUP(
      payments_raw[[#This Row],[subscription_id]],
      subscriptions[subscription_id],
      subscriptions[subscription_id]
    )
  ),
  0,
  1
)</f>
        <v>1</v>
      </c>
      <c r="F1186" s="1">
        <f>_xlfn.XLOOKUP(payments_raw[[#This Row],[subscription_id]], subscriptions[subscription_id], subscriptions[start_date])</f>
        <v>45528</v>
      </c>
      <c r="G11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1186" s="2">
        <f>IF(payments_raw[[#This Row],[payment_date]] &lt; payments_raw[[#This Row],[sub_start_date]], 1, 0)</f>
        <v>0</v>
      </c>
      <c r="I1186" s="2">
        <f>IF(AND(payments_raw[[#This Row],[sub_end_date]]&lt;&gt;"", payments_raw[[#This Row],[payment_date]] &gt; payments_raw[[#This Row],[sub_end_date]]), 1, 0)</f>
        <v>0</v>
      </c>
      <c r="J1186" s="2">
        <f>IF(payments_raw[[#This Row],[amount]] &lt;= 0, 1, 0)</f>
        <v>0</v>
      </c>
      <c r="K11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7" spans="1:11" x14ac:dyDescent="0.3">
      <c r="A1187">
        <v>35829473</v>
      </c>
      <c r="B1187">
        <v>8031349</v>
      </c>
      <c r="C1187" s="1">
        <v>45603</v>
      </c>
      <c r="D1187">
        <v>1490</v>
      </c>
      <c r="E1187">
        <f>IF(
  ISNA(
    _xlfn.XLOOKUP(
      payments_raw[[#This Row],[subscription_id]],
      subscriptions[subscription_id],
      subscriptions[subscription_id]
    )
  ),
  0,
  1
)</f>
        <v>1</v>
      </c>
      <c r="F1187" s="1">
        <f>_xlfn.XLOOKUP(payments_raw[[#This Row],[subscription_id]], subscriptions[subscription_id], subscriptions[start_date])</f>
        <v>45548</v>
      </c>
      <c r="G11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87" s="2">
        <f>IF(payments_raw[[#This Row],[payment_date]] &lt; payments_raw[[#This Row],[sub_start_date]], 1, 0)</f>
        <v>0</v>
      </c>
      <c r="I1187" s="2">
        <f>IF(AND(payments_raw[[#This Row],[sub_end_date]]&lt;&gt;"", payments_raw[[#This Row],[payment_date]] &gt; payments_raw[[#This Row],[sub_end_date]]), 1, 0)</f>
        <v>0</v>
      </c>
      <c r="J1187" s="2">
        <f>IF(payments_raw[[#This Row],[amount]] &lt;= 0, 1, 0)</f>
        <v>0</v>
      </c>
      <c r="K11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8" spans="1:11" x14ac:dyDescent="0.3">
      <c r="A1188">
        <v>37971230</v>
      </c>
      <c r="B1188">
        <v>8707287</v>
      </c>
      <c r="C1188" s="1">
        <v>45008</v>
      </c>
      <c r="D1188">
        <v>9.5</v>
      </c>
      <c r="E1188">
        <f>IF(
  ISNA(
    _xlfn.XLOOKUP(
      payments_raw[[#This Row],[subscription_id]],
      subscriptions[subscription_id],
      subscriptions[subscription_id]
    )
  ),
  0,
  1
)</f>
        <v>1</v>
      </c>
      <c r="F1188" s="1">
        <f>_xlfn.XLOOKUP(payments_raw[[#This Row],[subscription_id]], subscriptions[subscription_id], subscriptions[start_date])</f>
        <v>44940</v>
      </c>
      <c r="G11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45060</v>
      </c>
      <c r="H1188" s="2">
        <f>IF(payments_raw[[#This Row],[payment_date]] &lt; payments_raw[[#This Row],[sub_start_date]], 1, 0)</f>
        <v>0</v>
      </c>
      <c r="I1188" s="2">
        <f>IF(AND(payments_raw[[#This Row],[sub_end_date]]&lt;&gt;"", payments_raw[[#This Row],[payment_date]] &gt; payments_raw[[#This Row],[sub_end_date]]), 1, 0)</f>
        <v>0</v>
      </c>
      <c r="J1188" s="2">
        <f>IF(payments_raw[[#This Row],[amount]] &lt;= 0, 1, 0)</f>
        <v>0</v>
      </c>
      <c r="K11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89" spans="1:11" x14ac:dyDescent="0.3">
      <c r="A1189">
        <v>71115136</v>
      </c>
      <c r="B1189">
        <v>2810792</v>
      </c>
      <c r="C1189" s="1">
        <v>45455</v>
      </c>
      <c r="D1189">
        <v>1490</v>
      </c>
      <c r="E1189">
        <f>IF(
  ISNA(
    _xlfn.XLOOKUP(
      payments_raw[[#This Row],[subscription_id]],
      subscriptions[subscription_id],
      subscriptions[subscription_id]
    )
  ),
  0,
  1
)</f>
        <v>1</v>
      </c>
      <c r="F1189" s="1">
        <f>_xlfn.XLOOKUP(payments_raw[[#This Row],[subscription_id]], subscriptions[subscription_id], subscriptions[start_date])</f>
        <v>45122</v>
      </c>
      <c r="G11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1189" s="2">
        <f>IF(payments_raw[[#This Row],[payment_date]] &lt; payments_raw[[#This Row],[sub_start_date]], 1, 0)</f>
        <v>0</v>
      </c>
      <c r="I1189" s="2">
        <f>IF(AND(payments_raw[[#This Row],[sub_end_date]]&lt;&gt;"", payments_raw[[#This Row],[payment_date]] &gt; payments_raw[[#This Row],[sub_end_date]]), 1, 0)</f>
        <v>0</v>
      </c>
      <c r="J1189" s="2">
        <f>IF(payments_raw[[#This Row],[amount]] &lt;= 0, 1, 0)</f>
        <v>0</v>
      </c>
      <c r="K11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0" spans="1:11" x14ac:dyDescent="0.3">
      <c r="A1190">
        <v>50461969</v>
      </c>
      <c r="B1190">
        <v>7364849</v>
      </c>
      <c r="C1190" s="1">
        <v>45615</v>
      </c>
      <c r="D1190">
        <v>39</v>
      </c>
      <c r="E1190">
        <f>IF(
  ISNA(
    _xlfn.XLOOKUP(
      payments_raw[[#This Row],[subscription_id]],
      subscriptions[subscription_id],
      subscriptions[subscription_id]
    )
  ),
  0,
  1
)</f>
        <v>1</v>
      </c>
      <c r="F1190" s="1">
        <f>_xlfn.XLOOKUP(payments_raw[[#This Row],[subscription_id]], subscriptions[subscription_id], subscriptions[start_date])</f>
        <v>45218</v>
      </c>
      <c r="G11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90" s="2">
        <f>IF(payments_raw[[#This Row],[payment_date]] &lt; payments_raw[[#This Row],[sub_start_date]], 1, 0)</f>
        <v>0</v>
      </c>
      <c r="I1190" s="2">
        <f>IF(AND(payments_raw[[#This Row],[sub_end_date]]&lt;&gt;"", payments_raw[[#This Row],[payment_date]] &gt; payments_raw[[#This Row],[sub_end_date]]), 1, 0)</f>
        <v>0</v>
      </c>
      <c r="J1190" s="2">
        <f>IF(payments_raw[[#This Row],[amount]] &lt;= 0, 1, 0)</f>
        <v>0</v>
      </c>
      <c r="K11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1" spans="1:11" x14ac:dyDescent="0.3">
      <c r="A1191">
        <v>30083236</v>
      </c>
      <c r="B1191">
        <v>1428411</v>
      </c>
      <c r="C1191" s="1">
        <v>44851</v>
      </c>
      <c r="D1191">
        <v>390</v>
      </c>
      <c r="E1191">
        <f>IF(
  ISNA(
    _xlfn.XLOOKUP(
      payments_raw[[#This Row],[subscription_id]],
      subscriptions[subscription_id],
      subscriptions[subscription_id]
    )
  ),
  0,
  1
)</f>
        <v>1</v>
      </c>
      <c r="F1191" s="1">
        <f>_xlfn.XLOOKUP(payments_raw[[#This Row],[subscription_id]], subscriptions[subscription_id], subscriptions[start_date])</f>
        <v>44779</v>
      </c>
      <c r="G119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1191" s="2">
        <f>IF(payments_raw[[#This Row],[payment_date]] &lt; payments_raw[[#This Row],[sub_start_date]], 1, 0)</f>
        <v>0</v>
      </c>
      <c r="I1191" s="2">
        <f>IF(AND(payments_raw[[#This Row],[sub_end_date]]&lt;&gt;"", payments_raw[[#This Row],[payment_date]] &gt; payments_raw[[#This Row],[sub_end_date]]), 1, 0)</f>
        <v>0</v>
      </c>
      <c r="J1191" s="2">
        <f>IF(payments_raw[[#This Row],[amount]] &lt;= 0, 1, 0)</f>
        <v>0</v>
      </c>
      <c r="K11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2" spans="1:11" x14ac:dyDescent="0.3">
      <c r="A1192">
        <v>22093079</v>
      </c>
      <c r="B1192">
        <v>6270157</v>
      </c>
      <c r="C1192" s="1">
        <v>45350</v>
      </c>
      <c r="D1192">
        <v>17.100000000000001</v>
      </c>
      <c r="E1192">
        <f>IF(
  ISNA(
    _xlfn.XLOOKUP(
      payments_raw[[#This Row],[subscription_id]],
      subscriptions[subscription_id],
      subscriptions[subscription_id]
    )
  ),
  0,
  1
)</f>
        <v>1</v>
      </c>
      <c r="F1192" s="1">
        <f>_xlfn.XLOOKUP(payments_raw[[#This Row],[subscription_id]], subscriptions[subscription_id], subscriptions[start_date])</f>
        <v>45278</v>
      </c>
      <c r="G11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45433</v>
      </c>
      <c r="H1192" s="2">
        <f>IF(payments_raw[[#This Row],[payment_date]] &lt; payments_raw[[#This Row],[sub_start_date]], 1, 0)</f>
        <v>0</v>
      </c>
      <c r="I1192" s="2">
        <f>IF(AND(payments_raw[[#This Row],[sub_end_date]]&lt;&gt;"", payments_raw[[#This Row],[payment_date]] &gt; payments_raw[[#This Row],[sub_end_date]]), 1, 0)</f>
        <v>0</v>
      </c>
      <c r="J1192" s="2">
        <f>IF(payments_raw[[#This Row],[amount]] &lt;= 0, 1, 0)</f>
        <v>0</v>
      </c>
      <c r="K11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3" spans="1:11" x14ac:dyDescent="0.3">
      <c r="A1193">
        <v>62986971</v>
      </c>
      <c r="B1193">
        <v>6426063</v>
      </c>
      <c r="C1193" s="1">
        <v>44992</v>
      </c>
      <c r="D1193">
        <v>390</v>
      </c>
      <c r="E1193">
        <f>IF(
  ISNA(
    _xlfn.XLOOKUP(
      payments_raw[[#This Row],[subscription_id]],
      subscriptions[subscription_id],
      subscriptions[subscription_id]
    )
  ),
  0,
  1
)</f>
        <v>1</v>
      </c>
      <c r="F1193" s="1">
        <f>_xlfn.XLOOKUP(payments_raw[[#This Row],[subscription_id]], subscriptions[subscription_id], subscriptions[start_date])</f>
        <v>44672</v>
      </c>
      <c r="G11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45065</v>
      </c>
      <c r="H1193" s="2">
        <f>IF(payments_raw[[#This Row],[payment_date]] &lt; payments_raw[[#This Row],[sub_start_date]], 1, 0)</f>
        <v>0</v>
      </c>
      <c r="I1193" s="2">
        <f>IF(AND(payments_raw[[#This Row],[sub_end_date]]&lt;&gt;"", payments_raw[[#This Row],[payment_date]] &gt; payments_raw[[#This Row],[sub_end_date]]), 1, 0)</f>
        <v>0</v>
      </c>
      <c r="J1193" s="2">
        <f>IF(payments_raw[[#This Row],[amount]] &lt;= 0, 1, 0)</f>
        <v>0</v>
      </c>
      <c r="K11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4" spans="1:11" x14ac:dyDescent="0.3">
      <c r="A1194">
        <v>55252261</v>
      </c>
      <c r="B1194">
        <v>6272014</v>
      </c>
      <c r="C1194" s="1">
        <v>44763</v>
      </c>
      <c r="D1194">
        <v>190</v>
      </c>
      <c r="E1194">
        <f>IF(
  ISNA(
    _xlfn.XLOOKUP(
      payments_raw[[#This Row],[subscription_id]],
      subscriptions[subscription_id],
      subscriptions[subscription_id]
    )
  ),
  0,
  1
)</f>
        <v>1</v>
      </c>
      <c r="F1194" s="1">
        <f>_xlfn.XLOOKUP(payments_raw[[#This Row],[subscription_id]], subscriptions[subscription_id], subscriptions[start_date])</f>
        <v>44761</v>
      </c>
      <c r="G119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44933</v>
      </c>
      <c r="H1194" s="2">
        <f>IF(payments_raw[[#This Row],[payment_date]] &lt; payments_raw[[#This Row],[sub_start_date]], 1, 0)</f>
        <v>0</v>
      </c>
      <c r="I1194" s="2">
        <f>IF(AND(payments_raw[[#This Row],[sub_end_date]]&lt;&gt;"", payments_raw[[#This Row],[payment_date]] &gt; payments_raw[[#This Row],[sub_end_date]]), 1, 0)</f>
        <v>0</v>
      </c>
      <c r="J1194" s="2">
        <f>IF(payments_raw[[#This Row],[amount]] &lt;= 0, 1, 0)</f>
        <v>0</v>
      </c>
      <c r="K11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5" spans="1:11" x14ac:dyDescent="0.3">
      <c r="A1195">
        <v>53840780</v>
      </c>
      <c r="B1195">
        <v>7279004</v>
      </c>
      <c r="C1195" s="1">
        <v>44847</v>
      </c>
      <c r="D1195">
        <v>149</v>
      </c>
      <c r="E1195">
        <f>IF(
  ISNA(
    _xlfn.XLOOKUP(
      payments_raw[[#This Row],[subscription_id]],
      subscriptions[subscription_id],
      subscriptions[subscription_id]
    )
  ),
  0,
  1
)</f>
        <v>1</v>
      </c>
      <c r="F1195" s="1">
        <f>_xlfn.XLOOKUP(payments_raw[[#This Row],[subscription_id]], subscriptions[subscription_id], subscriptions[start_date])</f>
        <v>44572</v>
      </c>
      <c r="G11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95" s="2">
        <f>IF(payments_raw[[#This Row],[payment_date]] &lt; payments_raw[[#This Row],[sub_start_date]], 1, 0)</f>
        <v>0</v>
      </c>
      <c r="I1195" s="2">
        <f>IF(AND(payments_raw[[#This Row],[sub_end_date]]&lt;&gt;"", payments_raw[[#This Row],[payment_date]] &gt; payments_raw[[#This Row],[sub_end_date]]), 1, 0)</f>
        <v>0</v>
      </c>
      <c r="J1195" s="2">
        <f>IF(payments_raw[[#This Row],[amount]] &lt;= 0, 1, 0)</f>
        <v>0</v>
      </c>
      <c r="K11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6" spans="1:11" x14ac:dyDescent="0.3">
      <c r="A1196">
        <v>48481962</v>
      </c>
      <c r="B1196">
        <v>2165255</v>
      </c>
      <c r="C1196" s="1">
        <v>45287</v>
      </c>
      <c r="D1196">
        <v>2990</v>
      </c>
      <c r="E1196">
        <f>IF(
  ISNA(
    _xlfn.XLOOKUP(
      payments_raw[[#This Row],[subscription_id]],
      subscriptions[subscription_id],
      subscriptions[subscription_id]
    )
  ),
  0,
  1
)</f>
        <v>1</v>
      </c>
      <c r="F1196" s="1">
        <f>_xlfn.XLOOKUP(payments_raw[[#This Row],[subscription_id]], subscriptions[subscription_id], subscriptions[start_date])</f>
        <v>44903</v>
      </c>
      <c r="G11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96" s="2">
        <f>IF(payments_raw[[#This Row],[payment_date]] &lt; payments_raw[[#This Row],[sub_start_date]], 1, 0)</f>
        <v>0</v>
      </c>
      <c r="I1196" s="2">
        <f>IF(AND(payments_raw[[#This Row],[sub_end_date]]&lt;&gt;"", payments_raw[[#This Row],[payment_date]] &gt; payments_raw[[#This Row],[sub_end_date]]), 1, 0)</f>
        <v>0</v>
      </c>
      <c r="J1196" s="2">
        <f>IF(payments_raw[[#This Row],[amount]] &lt;= 0, 1, 0)</f>
        <v>0</v>
      </c>
      <c r="K11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7" spans="1:11" x14ac:dyDescent="0.3">
      <c r="A1197">
        <v>89376527</v>
      </c>
      <c r="B1197">
        <v>1810137</v>
      </c>
      <c r="C1197" s="1">
        <v>45484</v>
      </c>
      <c r="D1197">
        <v>39</v>
      </c>
      <c r="E1197">
        <f>IF(
  ISNA(
    _xlfn.XLOOKUP(
      payments_raw[[#This Row],[subscription_id]],
      subscriptions[subscription_id],
      subscriptions[subscription_id]
    )
  ),
  0,
  1
)</f>
        <v>1</v>
      </c>
      <c r="F1197" s="1">
        <f>_xlfn.XLOOKUP(payments_raw[[#This Row],[subscription_id]], subscriptions[subscription_id], subscriptions[start_date])</f>
        <v>45435</v>
      </c>
      <c r="G11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97" s="2">
        <f>IF(payments_raw[[#This Row],[payment_date]] &lt; payments_raw[[#This Row],[sub_start_date]], 1, 0)</f>
        <v>0</v>
      </c>
      <c r="I1197" s="2">
        <f>IF(AND(payments_raw[[#This Row],[sub_end_date]]&lt;&gt;"", payments_raw[[#This Row],[payment_date]] &gt; payments_raw[[#This Row],[sub_end_date]]), 1, 0)</f>
        <v>0</v>
      </c>
      <c r="J1197" s="2">
        <f>IF(payments_raw[[#This Row],[amount]] &lt;= 0, 1, 0)</f>
        <v>0</v>
      </c>
      <c r="K11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8" spans="1:11" x14ac:dyDescent="0.3">
      <c r="A1198">
        <v>59221290</v>
      </c>
      <c r="B1198">
        <v>9126125</v>
      </c>
      <c r="C1198" s="1">
        <v>45150</v>
      </c>
      <c r="D1198">
        <v>19</v>
      </c>
      <c r="E1198">
        <f>IF(
  ISNA(
    _xlfn.XLOOKUP(
      payments_raw[[#This Row],[subscription_id]],
      subscriptions[subscription_id],
      subscriptions[subscription_id]
    )
  ),
  0,
  1
)</f>
        <v>1</v>
      </c>
      <c r="F1198" s="1">
        <f>_xlfn.XLOOKUP(payments_raw[[#This Row],[subscription_id]], subscriptions[subscription_id], subscriptions[start_date])</f>
        <v>44792</v>
      </c>
      <c r="G11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198" s="2">
        <f>IF(payments_raw[[#This Row],[payment_date]] &lt; payments_raw[[#This Row],[sub_start_date]], 1, 0)</f>
        <v>0</v>
      </c>
      <c r="I1198" s="2">
        <f>IF(AND(payments_raw[[#This Row],[sub_end_date]]&lt;&gt;"", payments_raw[[#This Row],[payment_date]] &gt; payments_raw[[#This Row],[sub_end_date]]), 1, 0)</f>
        <v>0</v>
      </c>
      <c r="J1198" s="2">
        <f>IF(payments_raw[[#This Row],[amount]] &lt;= 0, 1, 0)</f>
        <v>0</v>
      </c>
      <c r="K11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199" spans="1:11" x14ac:dyDescent="0.3">
      <c r="A1199">
        <v>18860728</v>
      </c>
      <c r="B1199">
        <v>7858398</v>
      </c>
      <c r="C1199" s="1">
        <v>45653</v>
      </c>
      <c r="D1199">
        <v>149</v>
      </c>
      <c r="E1199">
        <f>IF(
  ISNA(
    _xlfn.XLOOKUP(
      payments_raw[[#This Row],[subscription_id]],
      subscriptions[subscription_id],
      subscriptions[subscription_id]
    )
  ),
  0,
  1
)</f>
        <v>1</v>
      </c>
      <c r="F1199" s="1">
        <f>_xlfn.XLOOKUP(payments_raw[[#This Row],[subscription_id]], subscriptions[subscription_id], subscriptions[start_date])</f>
        <v>45464</v>
      </c>
      <c r="G11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199" s="2">
        <f>IF(payments_raw[[#This Row],[payment_date]] &lt; payments_raw[[#This Row],[sub_start_date]], 1, 0)</f>
        <v>0</v>
      </c>
      <c r="I1199" s="2">
        <f>IF(AND(payments_raw[[#This Row],[sub_end_date]]&lt;&gt;"", payments_raw[[#This Row],[payment_date]] &gt; payments_raw[[#This Row],[sub_end_date]]), 1, 0)</f>
        <v>0</v>
      </c>
      <c r="J1199" s="2">
        <f>IF(payments_raw[[#This Row],[amount]] &lt;= 0, 1, 0)</f>
        <v>0</v>
      </c>
      <c r="K11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0" spans="1:11" x14ac:dyDescent="0.3">
      <c r="A1200">
        <v>10165903</v>
      </c>
      <c r="B1200">
        <v>8596473</v>
      </c>
      <c r="C1200" s="1">
        <v>45021</v>
      </c>
      <c r="D1200">
        <v>149</v>
      </c>
      <c r="E1200">
        <f>IF(
  ISNA(
    _xlfn.XLOOKUP(
      payments_raw[[#This Row],[subscription_id]],
      subscriptions[subscription_id],
      subscriptions[subscription_id]
    )
  ),
  0,
  1
)</f>
        <v>1</v>
      </c>
      <c r="F1200" s="1">
        <f>_xlfn.XLOOKUP(payments_raw[[#This Row],[subscription_id]], subscriptions[subscription_id], subscriptions[start_date])</f>
        <v>44912</v>
      </c>
      <c r="G12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1200" s="2">
        <f>IF(payments_raw[[#This Row],[payment_date]] &lt; payments_raw[[#This Row],[sub_start_date]], 1, 0)</f>
        <v>0</v>
      </c>
      <c r="I1200" s="2">
        <f>IF(AND(payments_raw[[#This Row],[sub_end_date]]&lt;&gt;"", payments_raw[[#This Row],[payment_date]] &gt; payments_raw[[#This Row],[sub_end_date]]), 1, 0)</f>
        <v>0</v>
      </c>
      <c r="J1200" s="2">
        <f>IF(payments_raw[[#This Row],[amount]] &lt;= 0, 1, 0)</f>
        <v>0</v>
      </c>
      <c r="K12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1" spans="1:11" x14ac:dyDescent="0.3">
      <c r="A1201">
        <v>86352450</v>
      </c>
      <c r="B1201">
        <v>7357590</v>
      </c>
      <c r="C1201" s="1">
        <v>44767</v>
      </c>
      <c r="D1201">
        <v>79</v>
      </c>
      <c r="E1201">
        <f>IF(
  ISNA(
    _xlfn.XLOOKUP(
      payments_raw[[#This Row],[subscription_id]],
      subscriptions[subscription_id],
      subscriptions[subscription_id]
    )
  ),
  0,
  1
)</f>
        <v>1</v>
      </c>
      <c r="F1201" s="1">
        <f>_xlfn.XLOOKUP(payments_raw[[#This Row],[subscription_id]], subscriptions[subscription_id], subscriptions[start_date])</f>
        <v>44615</v>
      </c>
      <c r="G1201" s="1">
        <f>IF(_xlfn.XLOOKUP(payments_raw[[#This Row],[subscription_id]], subscriptions[subscription_id], subscriptions[end_date])=0,"",_xlfn.XLOOKUP(payments_raw[[#This Row],[subscription_id]], subscriptions[subscription_id], subscriptions[end_date]))</f>
        <v>44771</v>
      </c>
      <c r="H1201" s="2">
        <f>IF(payments_raw[[#This Row],[payment_date]] &lt; payments_raw[[#This Row],[sub_start_date]], 1, 0)</f>
        <v>0</v>
      </c>
      <c r="I1201" s="2">
        <f>IF(AND(payments_raw[[#This Row],[sub_end_date]]&lt;&gt;"", payments_raw[[#This Row],[payment_date]] &gt; payments_raw[[#This Row],[sub_end_date]]), 1, 0)</f>
        <v>0</v>
      </c>
      <c r="J1201" s="2">
        <f>IF(payments_raw[[#This Row],[amount]] &lt;= 0, 1, 0)</f>
        <v>0</v>
      </c>
      <c r="K12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2" spans="1:11" x14ac:dyDescent="0.3">
      <c r="A1202">
        <v>88310524</v>
      </c>
      <c r="B1202">
        <v>9007468</v>
      </c>
      <c r="C1202" s="1">
        <v>45639</v>
      </c>
      <c r="D1202">
        <v>1490</v>
      </c>
      <c r="E1202">
        <f>IF(
  ISNA(
    _xlfn.XLOOKUP(
      payments_raw[[#This Row],[subscription_id]],
      subscriptions[subscription_id],
      subscriptions[subscription_id]
    )
  ),
  0,
  1
)</f>
        <v>1</v>
      </c>
      <c r="F1202" s="1">
        <f>_xlfn.XLOOKUP(payments_raw[[#This Row],[subscription_id]], subscriptions[subscription_id], subscriptions[start_date])</f>
        <v>45512</v>
      </c>
      <c r="G12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2" s="2">
        <f>IF(payments_raw[[#This Row],[payment_date]] &lt; payments_raw[[#This Row],[sub_start_date]], 1, 0)</f>
        <v>0</v>
      </c>
      <c r="I1202" s="2">
        <f>IF(AND(payments_raw[[#This Row],[sub_end_date]]&lt;&gt;"", payments_raw[[#This Row],[payment_date]] &gt; payments_raw[[#This Row],[sub_end_date]]), 1, 0)</f>
        <v>0</v>
      </c>
      <c r="J1202" s="2">
        <f>IF(payments_raw[[#This Row],[amount]] &lt;= 0, 1, 0)</f>
        <v>0</v>
      </c>
      <c r="K12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3" spans="1:11" x14ac:dyDescent="0.3">
      <c r="A1203">
        <v>23041676</v>
      </c>
      <c r="B1203">
        <v>3578194</v>
      </c>
      <c r="C1203" s="1">
        <v>44885</v>
      </c>
      <c r="D1203">
        <v>2990</v>
      </c>
      <c r="E1203">
        <f>IF(
  ISNA(
    _xlfn.XLOOKUP(
      payments_raw[[#This Row],[subscription_id]],
      subscriptions[subscription_id],
      subscriptions[subscription_id]
    )
  ),
  0,
  1
)</f>
        <v>1</v>
      </c>
      <c r="F1203" s="1">
        <f>_xlfn.XLOOKUP(payments_raw[[#This Row],[subscription_id]], subscriptions[subscription_id], subscriptions[start_date])</f>
        <v>44651</v>
      </c>
      <c r="G12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3" s="2">
        <f>IF(payments_raw[[#This Row],[payment_date]] &lt; payments_raw[[#This Row],[sub_start_date]], 1, 0)</f>
        <v>0</v>
      </c>
      <c r="I1203" s="2">
        <f>IF(AND(payments_raw[[#This Row],[sub_end_date]]&lt;&gt;"", payments_raw[[#This Row],[payment_date]] &gt; payments_raw[[#This Row],[sub_end_date]]), 1, 0)</f>
        <v>0</v>
      </c>
      <c r="J1203" s="2">
        <f>IF(payments_raw[[#This Row],[amount]] &lt;= 0, 1, 0)</f>
        <v>0</v>
      </c>
      <c r="K12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4" spans="1:11" x14ac:dyDescent="0.3">
      <c r="A1204">
        <v>25924978</v>
      </c>
      <c r="B1204">
        <v>2563819</v>
      </c>
      <c r="C1204" s="1">
        <v>45266</v>
      </c>
      <c r="D1204">
        <v>2990</v>
      </c>
      <c r="E1204">
        <f>IF(
  ISNA(
    _xlfn.XLOOKUP(
      payments_raw[[#This Row],[subscription_id]],
      subscriptions[subscription_id],
      subscriptions[subscription_id]
    )
  ),
  0,
  1
)</f>
        <v>1</v>
      </c>
      <c r="F1204" s="1">
        <f>_xlfn.XLOOKUP(payments_raw[[#This Row],[subscription_id]], subscriptions[subscription_id], subscriptions[start_date])</f>
        <v>45194</v>
      </c>
      <c r="G12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4" s="2">
        <f>IF(payments_raw[[#This Row],[payment_date]] &lt; payments_raw[[#This Row],[sub_start_date]], 1, 0)</f>
        <v>0</v>
      </c>
      <c r="I1204" s="2">
        <f>IF(AND(payments_raw[[#This Row],[sub_end_date]]&lt;&gt;"", payments_raw[[#This Row],[payment_date]] &gt; payments_raw[[#This Row],[sub_end_date]]), 1, 0)</f>
        <v>0</v>
      </c>
      <c r="J1204" s="2">
        <f>IF(payments_raw[[#This Row],[amount]] &lt;= 0, 1, 0)</f>
        <v>0</v>
      </c>
      <c r="K12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5" spans="1:11" x14ac:dyDescent="0.3">
      <c r="A1205">
        <v>66889810</v>
      </c>
      <c r="B1205">
        <v>3358248</v>
      </c>
      <c r="C1205" s="1">
        <v>45307</v>
      </c>
      <c r="D1205">
        <v>39</v>
      </c>
      <c r="E1205">
        <f>IF(
  ISNA(
    _xlfn.XLOOKUP(
      payments_raw[[#This Row],[subscription_id]],
      subscriptions[subscription_id],
      subscriptions[subscription_id]
    )
  ),
  0,
  1
)</f>
        <v>1</v>
      </c>
      <c r="F1205" s="1">
        <f>_xlfn.XLOOKUP(payments_raw[[#This Row],[subscription_id]], subscriptions[subscription_id], subscriptions[start_date])</f>
        <v>44572</v>
      </c>
      <c r="G12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5" s="2">
        <f>IF(payments_raw[[#This Row],[payment_date]] &lt; payments_raw[[#This Row],[sub_start_date]], 1, 0)</f>
        <v>0</v>
      </c>
      <c r="I1205" s="2">
        <f>IF(AND(payments_raw[[#This Row],[sub_end_date]]&lt;&gt;"", payments_raw[[#This Row],[payment_date]] &gt; payments_raw[[#This Row],[sub_end_date]]), 1, 0)</f>
        <v>0</v>
      </c>
      <c r="J1205" s="2">
        <f>IF(payments_raw[[#This Row],[amount]] &lt;= 0, 1, 0)</f>
        <v>0</v>
      </c>
      <c r="K12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6" spans="1:11" x14ac:dyDescent="0.3">
      <c r="A1206">
        <v>82429164</v>
      </c>
      <c r="B1206">
        <v>3017289</v>
      </c>
      <c r="C1206" s="1">
        <v>45499</v>
      </c>
      <c r="D1206">
        <v>299</v>
      </c>
      <c r="E1206">
        <f>IF(
  ISNA(
    _xlfn.XLOOKUP(
      payments_raw[[#This Row],[subscription_id]],
      subscriptions[subscription_id],
      subscriptions[subscription_id]
    )
  ),
  0,
  1
)</f>
        <v>1</v>
      </c>
      <c r="F1206" s="1">
        <f>_xlfn.XLOOKUP(payments_raw[[#This Row],[subscription_id]], subscriptions[subscription_id], subscriptions[start_date])</f>
        <v>45453</v>
      </c>
      <c r="G12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1206" s="2">
        <f>IF(payments_raw[[#This Row],[payment_date]] &lt; payments_raw[[#This Row],[sub_start_date]], 1, 0)</f>
        <v>0</v>
      </c>
      <c r="I1206" s="2">
        <f>IF(AND(payments_raw[[#This Row],[sub_end_date]]&lt;&gt;"", payments_raw[[#This Row],[payment_date]] &gt; payments_raw[[#This Row],[sub_end_date]]), 1, 0)</f>
        <v>0</v>
      </c>
      <c r="J1206" s="2">
        <f>IF(payments_raw[[#This Row],[amount]] &lt;= 0, 1, 0)</f>
        <v>0</v>
      </c>
      <c r="K12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7" spans="1:11" x14ac:dyDescent="0.3">
      <c r="A1207">
        <v>27493080</v>
      </c>
      <c r="B1207">
        <v>2247548</v>
      </c>
      <c r="C1207" s="1">
        <v>45301</v>
      </c>
      <c r="D1207">
        <v>390</v>
      </c>
      <c r="E1207">
        <f>IF(
  ISNA(
    _xlfn.XLOOKUP(
      payments_raw[[#This Row],[subscription_id]],
      subscriptions[subscription_id],
      subscriptions[subscription_id]
    )
  ),
  0,
  1
)</f>
        <v>1</v>
      </c>
      <c r="F1207" s="1">
        <f>_xlfn.XLOOKUP(payments_raw[[#This Row],[subscription_id]], subscriptions[subscription_id], subscriptions[start_date])</f>
        <v>45084</v>
      </c>
      <c r="G12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07" s="2">
        <f>IF(payments_raw[[#This Row],[payment_date]] &lt; payments_raw[[#This Row],[sub_start_date]], 1, 0)</f>
        <v>0</v>
      </c>
      <c r="I1207" s="2">
        <f>IF(AND(payments_raw[[#This Row],[sub_end_date]]&lt;&gt;"", payments_raw[[#This Row],[payment_date]] &gt; payments_raw[[#This Row],[sub_end_date]]), 1, 0)</f>
        <v>0</v>
      </c>
      <c r="J1207" s="2">
        <f>IF(payments_raw[[#This Row],[amount]] &lt;= 0, 1, 0)</f>
        <v>0</v>
      </c>
      <c r="K12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8" spans="1:11" x14ac:dyDescent="0.3">
      <c r="A1208">
        <v>44810342</v>
      </c>
      <c r="B1208">
        <v>2386477</v>
      </c>
      <c r="C1208" s="1">
        <v>45280</v>
      </c>
      <c r="D1208">
        <v>79</v>
      </c>
      <c r="E1208">
        <f>IF(
  ISNA(
    _xlfn.XLOOKUP(
      payments_raw[[#This Row],[subscription_id]],
      subscriptions[subscription_id],
      subscriptions[subscription_id]
    )
  ),
  0,
  1
)</f>
        <v>1</v>
      </c>
      <c r="F1208" s="1">
        <f>_xlfn.XLOOKUP(payments_raw[[#This Row],[subscription_id]], subscriptions[subscription_id], subscriptions[start_date])</f>
        <v>45271</v>
      </c>
      <c r="G12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45352</v>
      </c>
      <c r="H1208" s="2">
        <f>IF(payments_raw[[#This Row],[payment_date]] &lt; payments_raw[[#This Row],[sub_start_date]], 1, 0)</f>
        <v>0</v>
      </c>
      <c r="I1208" s="2">
        <f>IF(AND(payments_raw[[#This Row],[sub_end_date]]&lt;&gt;"", payments_raw[[#This Row],[payment_date]] &gt; payments_raw[[#This Row],[sub_end_date]]), 1, 0)</f>
        <v>0</v>
      </c>
      <c r="J1208" s="2">
        <f>IF(payments_raw[[#This Row],[amount]] &lt;= 0, 1, 0)</f>
        <v>0</v>
      </c>
      <c r="K12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09" spans="1:11" x14ac:dyDescent="0.3">
      <c r="A1209">
        <v>30960858</v>
      </c>
      <c r="B1209">
        <v>9483289</v>
      </c>
      <c r="C1209" s="1">
        <v>44731</v>
      </c>
      <c r="D1209">
        <v>2990</v>
      </c>
      <c r="E1209">
        <f>IF(
  ISNA(
    _xlfn.XLOOKUP(
      payments_raw[[#This Row],[subscription_id]],
      subscriptions[subscription_id],
      subscriptions[subscription_id]
    )
  ),
  0,
  1
)</f>
        <v>1</v>
      </c>
      <c r="F1209" s="1">
        <f>_xlfn.XLOOKUP(payments_raw[[#This Row],[subscription_id]], subscriptions[subscription_id], subscriptions[start_date])</f>
        <v>44718</v>
      </c>
      <c r="G12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45082</v>
      </c>
      <c r="H1209" s="2">
        <f>IF(payments_raw[[#This Row],[payment_date]] &lt; payments_raw[[#This Row],[sub_start_date]], 1, 0)</f>
        <v>0</v>
      </c>
      <c r="I1209" s="2">
        <f>IF(AND(payments_raw[[#This Row],[sub_end_date]]&lt;&gt;"", payments_raw[[#This Row],[payment_date]] &gt; payments_raw[[#This Row],[sub_end_date]]), 1, 0)</f>
        <v>0</v>
      </c>
      <c r="J1209" s="2">
        <f>IF(payments_raw[[#This Row],[amount]] &lt;= 0, 1, 0)</f>
        <v>0</v>
      </c>
      <c r="K12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0" spans="1:11" x14ac:dyDescent="0.3">
      <c r="A1210">
        <v>74673141</v>
      </c>
      <c r="B1210">
        <v>8878038</v>
      </c>
      <c r="C1210" s="1">
        <v>45150</v>
      </c>
      <c r="D1210">
        <v>19</v>
      </c>
      <c r="E1210">
        <f>IF(
  ISNA(
    _xlfn.XLOOKUP(
      payments_raw[[#This Row],[subscription_id]],
      subscriptions[subscription_id],
      subscriptions[subscription_id]
    )
  ),
  0,
  1
)</f>
        <v>1</v>
      </c>
      <c r="F1210" s="1">
        <f>_xlfn.XLOOKUP(payments_raw[[#This Row],[subscription_id]], subscriptions[subscription_id], subscriptions[start_date])</f>
        <v>45137</v>
      </c>
      <c r="G12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45294</v>
      </c>
      <c r="H1210" s="2">
        <f>IF(payments_raw[[#This Row],[payment_date]] &lt; payments_raw[[#This Row],[sub_start_date]], 1, 0)</f>
        <v>0</v>
      </c>
      <c r="I1210" s="2">
        <f>IF(AND(payments_raw[[#This Row],[sub_end_date]]&lt;&gt;"", payments_raw[[#This Row],[payment_date]] &gt; payments_raw[[#This Row],[sub_end_date]]), 1, 0)</f>
        <v>0</v>
      </c>
      <c r="J1210" s="2">
        <f>IF(payments_raw[[#This Row],[amount]] &lt;= 0, 1, 0)</f>
        <v>0</v>
      </c>
      <c r="K12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1" spans="1:11" x14ac:dyDescent="0.3">
      <c r="A1211">
        <v>58563004</v>
      </c>
      <c r="B1211">
        <v>5387112</v>
      </c>
      <c r="C1211" s="1">
        <v>45464</v>
      </c>
      <c r="D1211">
        <v>790</v>
      </c>
      <c r="E1211">
        <f>IF(
  ISNA(
    _xlfn.XLOOKUP(
      payments_raw[[#This Row],[subscription_id]],
      subscriptions[subscription_id],
      subscriptions[subscription_id]
    )
  ),
  0,
  1
)</f>
        <v>1</v>
      </c>
      <c r="F1211" s="1">
        <f>_xlfn.XLOOKUP(payments_raw[[#This Row],[subscription_id]], subscriptions[subscription_id], subscriptions[start_date])</f>
        <v>45307</v>
      </c>
      <c r="G12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45471</v>
      </c>
      <c r="H1211" s="2">
        <f>IF(payments_raw[[#This Row],[payment_date]] &lt; payments_raw[[#This Row],[sub_start_date]], 1, 0)</f>
        <v>0</v>
      </c>
      <c r="I1211" s="2">
        <f>IF(AND(payments_raw[[#This Row],[sub_end_date]]&lt;&gt;"", payments_raw[[#This Row],[payment_date]] &gt; payments_raw[[#This Row],[sub_end_date]]), 1, 0)</f>
        <v>0</v>
      </c>
      <c r="J1211" s="2">
        <f>IF(payments_raw[[#This Row],[amount]] &lt;= 0, 1, 0)</f>
        <v>0</v>
      </c>
      <c r="K12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2" spans="1:11" x14ac:dyDescent="0.3">
      <c r="A1212">
        <v>40978363</v>
      </c>
      <c r="B1212">
        <v>2089834</v>
      </c>
      <c r="C1212" s="1">
        <v>45447</v>
      </c>
      <c r="D1212">
        <v>1490</v>
      </c>
      <c r="E1212">
        <f>IF(
  ISNA(
    _xlfn.XLOOKUP(
      payments_raw[[#This Row],[subscription_id]],
      subscriptions[subscription_id],
      subscriptions[subscription_id]
    )
  ),
  0,
  1
)</f>
        <v>1</v>
      </c>
      <c r="F1212" s="1">
        <f>_xlfn.XLOOKUP(payments_raw[[#This Row],[subscription_id]], subscriptions[subscription_id], subscriptions[start_date])</f>
        <v>44877</v>
      </c>
      <c r="G12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12" s="2">
        <f>IF(payments_raw[[#This Row],[payment_date]] &lt; payments_raw[[#This Row],[sub_start_date]], 1, 0)</f>
        <v>0</v>
      </c>
      <c r="I1212" s="2">
        <f>IF(AND(payments_raw[[#This Row],[sub_end_date]]&lt;&gt;"", payments_raw[[#This Row],[payment_date]] &gt; payments_raw[[#This Row],[sub_end_date]]), 1, 0)</f>
        <v>0</v>
      </c>
      <c r="J1212" s="2">
        <f>IF(payments_raw[[#This Row],[amount]] &lt;= 0, 1, 0)</f>
        <v>0</v>
      </c>
      <c r="K12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3" spans="1:11" x14ac:dyDescent="0.3">
      <c r="A1213">
        <v>18094532</v>
      </c>
      <c r="B1213">
        <v>9206984</v>
      </c>
      <c r="C1213" s="1">
        <v>45415</v>
      </c>
      <c r="D1213">
        <v>19</v>
      </c>
      <c r="E1213">
        <f>IF(
  ISNA(
    _xlfn.XLOOKUP(
      payments_raw[[#This Row],[subscription_id]],
      subscriptions[subscription_id],
      subscriptions[subscription_id]
    )
  ),
  0,
  1
)</f>
        <v>1</v>
      </c>
      <c r="F1213" s="1">
        <f>_xlfn.XLOOKUP(payments_raw[[#This Row],[subscription_id]], subscriptions[subscription_id], subscriptions[start_date])</f>
        <v>45405</v>
      </c>
      <c r="G12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45449</v>
      </c>
      <c r="H1213" s="2">
        <f>IF(payments_raw[[#This Row],[payment_date]] &lt; payments_raw[[#This Row],[sub_start_date]], 1, 0)</f>
        <v>0</v>
      </c>
      <c r="I1213" s="2">
        <f>IF(AND(payments_raw[[#This Row],[sub_end_date]]&lt;&gt;"", payments_raw[[#This Row],[payment_date]] &gt; payments_raw[[#This Row],[sub_end_date]]), 1, 0)</f>
        <v>0</v>
      </c>
      <c r="J1213" s="2">
        <f>IF(payments_raw[[#This Row],[amount]] &lt;= 0, 1, 0)</f>
        <v>0</v>
      </c>
      <c r="K12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4" spans="1:11" x14ac:dyDescent="0.3">
      <c r="A1214">
        <v>18256881</v>
      </c>
      <c r="B1214">
        <v>7364050</v>
      </c>
      <c r="C1214" s="1">
        <v>45165</v>
      </c>
      <c r="D1214">
        <v>390</v>
      </c>
      <c r="E1214">
        <f>IF(
  ISNA(
    _xlfn.XLOOKUP(
      payments_raw[[#This Row],[subscription_id]],
      subscriptions[subscription_id],
      subscriptions[subscription_id]
    )
  ),
  0,
  1
)</f>
        <v>1</v>
      </c>
      <c r="F1214" s="1">
        <f>_xlfn.XLOOKUP(payments_raw[[#This Row],[subscription_id]], subscriptions[subscription_id], subscriptions[start_date])</f>
        <v>44939</v>
      </c>
      <c r="G12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45241</v>
      </c>
      <c r="H1214" s="2">
        <f>IF(payments_raw[[#This Row],[payment_date]] &lt; payments_raw[[#This Row],[sub_start_date]], 1, 0)</f>
        <v>0</v>
      </c>
      <c r="I1214" s="2">
        <f>IF(AND(payments_raw[[#This Row],[sub_end_date]]&lt;&gt;"", payments_raw[[#This Row],[payment_date]] &gt; payments_raw[[#This Row],[sub_end_date]]), 1, 0)</f>
        <v>0</v>
      </c>
      <c r="J1214" s="2">
        <f>IF(payments_raw[[#This Row],[amount]] &lt;= 0, 1, 0)</f>
        <v>0</v>
      </c>
      <c r="K12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5" spans="1:11" x14ac:dyDescent="0.3">
      <c r="A1215">
        <v>21458649</v>
      </c>
      <c r="B1215">
        <v>7779356</v>
      </c>
      <c r="C1215" s="1">
        <v>44785</v>
      </c>
      <c r="D1215">
        <v>1490</v>
      </c>
      <c r="E1215">
        <f>IF(
  ISNA(
    _xlfn.XLOOKUP(
      payments_raw[[#This Row],[subscription_id]],
      subscriptions[subscription_id],
      subscriptions[subscription_id]
    )
  ),
  0,
  1
)</f>
        <v>1</v>
      </c>
      <c r="F1215" s="1">
        <f>_xlfn.XLOOKUP(payments_raw[[#This Row],[subscription_id]], subscriptions[subscription_id], subscriptions[start_date])</f>
        <v>44675</v>
      </c>
      <c r="G121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44886</v>
      </c>
      <c r="H1215" s="2">
        <f>IF(payments_raw[[#This Row],[payment_date]] &lt; payments_raw[[#This Row],[sub_start_date]], 1, 0)</f>
        <v>0</v>
      </c>
      <c r="I1215" s="2">
        <f>IF(AND(payments_raw[[#This Row],[sub_end_date]]&lt;&gt;"", payments_raw[[#This Row],[payment_date]] &gt; payments_raw[[#This Row],[sub_end_date]]), 1, 0)</f>
        <v>0</v>
      </c>
      <c r="J1215" s="2">
        <f>IF(payments_raw[[#This Row],[amount]] &lt;= 0, 1, 0)</f>
        <v>0</v>
      </c>
      <c r="K12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6" spans="1:11" x14ac:dyDescent="0.3">
      <c r="A1216">
        <v>89297534</v>
      </c>
      <c r="B1216">
        <v>6678849</v>
      </c>
      <c r="C1216" s="1">
        <v>45455</v>
      </c>
      <c r="D1216">
        <v>299</v>
      </c>
      <c r="E1216">
        <f>IF(
  ISNA(
    _xlfn.XLOOKUP(
      payments_raw[[#This Row],[subscription_id]],
      subscriptions[subscription_id],
      subscriptions[subscription_id]
    )
  ),
  0,
  1
)</f>
        <v>1</v>
      </c>
      <c r="F1216" s="1">
        <f>_xlfn.XLOOKUP(payments_raw[[#This Row],[subscription_id]], subscriptions[subscription_id], subscriptions[start_date])</f>
        <v>45450</v>
      </c>
      <c r="G12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1216" s="2">
        <f>IF(payments_raw[[#This Row],[payment_date]] &lt; payments_raw[[#This Row],[sub_start_date]], 1, 0)</f>
        <v>0</v>
      </c>
      <c r="I1216" s="2">
        <f>IF(AND(payments_raw[[#This Row],[sub_end_date]]&lt;&gt;"", payments_raw[[#This Row],[payment_date]] &gt; payments_raw[[#This Row],[sub_end_date]]), 1, 0)</f>
        <v>0</v>
      </c>
      <c r="J1216" s="2">
        <f>IF(payments_raw[[#This Row],[amount]] &lt;= 0, 1, 0)</f>
        <v>0</v>
      </c>
      <c r="K12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7" spans="1:11" x14ac:dyDescent="0.3">
      <c r="A1217">
        <v>27446641</v>
      </c>
      <c r="B1217">
        <v>7341430</v>
      </c>
      <c r="C1217" s="1">
        <v>45571</v>
      </c>
      <c r="D1217">
        <v>390</v>
      </c>
      <c r="E1217">
        <f>IF(
  ISNA(
    _xlfn.XLOOKUP(
      payments_raw[[#This Row],[subscription_id]],
      subscriptions[subscription_id],
      subscriptions[subscription_id]
    )
  ),
  0,
  1
)</f>
        <v>1</v>
      </c>
      <c r="F1217" s="1">
        <f>_xlfn.XLOOKUP(payments_raw[[#This Row],[subscription_id]], subscriptions[subscription_id], subscriptions[start_date])</f>
        <v>45555</v>
      </c>
      <c r="G12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1217" s="2">
        <f>IF(payments_raw[[#This Row],[payment_date]] &lt; payments_raw[[#This Row],[sub_start_date]], 1, 0)</f>
        <v>0</v>
      </c>
      <c r="I1217" s="2">
        <f>IF(AND(payments_raw[[#This Row],[sub_end_date]]&lt;&gt;"", payments_raw[[#This Row],[payment_date]] &gt; payments_raw[[#This Row],[sub_end_date]]), 1, 0)</f>
        <v>0</v>
      </c>
      <c r="J1217" s="2">
        <f>IF(payments_raw[[#This Row],[amount]] &lt;= 0, 1, 0)</f>
        <v>0</v>
      </c>
      <c r="K12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8" spans="1:11" x14ac:dyDescent="0.3">
      <c r="A1218">
        <v>81275948</v>
      </c>
      <c r="B1218">
        <v>7547256</v>
      </c>
      <c r="C1218" s="1">
        <v>45409</v>
      </c>
      <c r="D1218">
        <v>1490</v>
      </c>
      <c r="E1218">
        <f>IF(
  ISNA(
    _xlfn.XLOOKUP(
      payments_raw[[#This Row],[subscription_id]],
      subscriptions[subscription_id],
      subscriptions[subscription_id]
    )
  ),
  0,
  1
)</f>
        <v>1</v>
      </c>
      <c r="F1218" s="1">
        <f>_xlfn.XLOOKUP(payments_raw[[#This Row],[subscription_id]], subscriptions[subscription_id], subscriptions[start_date])</f>
        <v>45382</v>
      </c>
      <c r="G12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45517</v>
      </c>
      <c r="H1218" s="2">
        <f>IF(payments_raw[[#This Row],[payment_date]] &lt; payments_raw[[#This Row],[sub_start_date]], 1, 0)</f>
        <v>0</v>
      </c>
      <c r="I1218" s="2">
        <f>IF(AND(payments_raw[[#This Row],[sub_end_date]]&lt;&gt;"", payments_raw[[#This Row],[payment_date]] &gt; payments_raw[[#This Row],[sub_end_date]]), 1, 0)</f>
        <v>0</v>
      </c>
      <c r="J1218" s="2">
        <f>IF(payments_raw[[#This Row],[amount]] &lt;= 0, 1, 0)</f>
        <v>0</v>
      </c>
      <c r="K12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19" spans="1:11" x14ac:dyDescent="0.3">
      <c r="A1219">
        <v>45039128</v>
      </c>
      <c r="B1219">
        <v>2311035</v>
      </c>
      <c r="C1219" s="1">
        <v>44862</v>
      </c>
      <c r="D1219">
        <v>149</v>
      </c>
      <c r="E1219">
        <f>IF(
  ISNA(
    _xlfn.XLOOKUP(
      payments_raw[[#This Row],[subscription_id]],
      subscriptions[subscription_id],
      subscriptions[subscription_id]
    )
  ),
  0,
  1
)</f>
        <v>1</v>
      </c>
      <c r="F1219" s="1">
        <f>_xlfn.XLOOKUP(payments_raw[[#This Row],[subscription_id]], subscriptions[subscription_id], subscriptions[start_date])</f>
        <v>44822</v>
      </c>
      <c r="G12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1219" s="2">
        <f>IF(payments_raw[[#This Row],[payment_date]] &lt; payments_raw[[#This Row],[sub_start_date]], 1, 0)</f>
        <v>0</v>
      </c>
      <c r="I1219" s="2">
        <f>IF(AND(payments_raw[[#This Row],[sub_end_date]]&lt;&gt;"", payments_raw[[#This Row],[payment_date]] &gt; payments_raw[[#This Row],[sub_end_date]]), 1, 0)</f>
        <v>0</v>
      </c>
      <c r="J1219" s="2">
        <f>IF(payments_raw[[#This Row],[amount]] &lt;= 0, 1, 0)</f>
        <v>0</v>
      </c>
      <c r="K12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0" spans="1:11" x14ac:dyDescent="0.3">
      <c r="A1220">
        <v>94790000</v>
      </c>
      <c r="B1220">
        <v>9971807</v>
      </c>
      <c r="C1220" s="1">
        <v>45512</v>
      </c>
      <c r="D1220">
        <v>790</v>
      </c>
      <c r="E1220">
        <f>IF(
  ISNA(
    _xlfn.XLOOKUP(
      payments_raw[[#This Row],[subscription_id]],
      subscriptions[subscription_id],
      subscriptions[subscription_id]
    )
  ),
  0,
  1
)</f>
        <v>1</v>
      </c>
      <c r="F1220" s="1">
        <f>_xlfn.XLOOKUP(payments_raw[[#This Row],[subscription_id]], subscriptions[subscription_id], subscriptions[start_date])</f>
        <v>45511</v>
      </c>
      <c r="G12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0" s="2">
        <f>IF(payments_raw[[#This Row],[payment_date]] &lt; payments_raw[[#This Row],[sub_start_date]], 1, 0)</f>
        <v>0</v>
      </c>
      <c r="I1220" s="2">
        <f>IF(AND(payments_raw[[#This Row],[sub_end_date]]&lt;&gt;"", payments_raw[[#This Row],[payment_date]] &gt; payments_raw[[#This Row],[sub_end_date]]), 1, 0)</f>
        <v>0</v>
      </c>
      <c r="J1220" s="2">
        <f>IF(payments_raw[[#This Row],[amount]] &lt;= 0, 1, 0)</f>
        <v>0</v>
      </c>
      <c r="K12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1" spans="1:11" x14ac:dyDescent="0.3">
      <c r="A1221">
        <v>48313228</v>
      </c>
      <c r="B1221">
        <v>9406983</v>
      </c>
      <c r="C1221" s="1">
        <v>45221</v>
      </c>
      <c r="D1221">
        <v>2990</v>
      </c>
      <c r="E1221">
        <f>IF(
  ISNA(
    _xlfn.XLOOKUP(
      payments_raw[[#This Row],[subscription_id]],
      subscriptions[subscription_id],
      subscriptions[subscription_id]
    )
  ),
  0,
  1
)</f>
        <v>1</v>
      </c>
      <c r="F1221" s="1">
        <f>_xlfn.XLOOKUP(payments_raw[[#This Row],[subscription_id]], subscriptions[subscription_id], subscriptions[start_date])</f>
        <v>45205</v>
      </c>
      <c r="G12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1" s="2">
        <f>IF(payments_raw[[#This Row],[payment_date]] &lt; payments_raw[[#This Row],[sub_start_date]], 1, 0)</f>
        <v>0</v>
      </c>
      <c r="I1221" s="2">
        <f>IF(AND(payments_raw[[#This Row],[sub_end_date]]&lt;&gt;"", payments_raw[[#This Row],[payment_date]] &gt; payments_raw[[#This Row],[sub_end_date]]), 1, 0)</f>
        <v>0</v>
      </c>
      <c r="J1221" s="2">
        <f>IF(payments_raw[[#This Row],[amount]] &lt;= 0, 1, 0)</f>
        <v>0</v>
      </c>
      <c r="K12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2" spans="1:11" x14ac:dyDescent="0.3">
      <c r="A1222">
        <v>26736237</v>
      </c>
      <c r="B1222">
        <v>3681207</v>
      </c>
      <c r="C1222" s="1">
        <v>44890</v>
      </c>
      <c r="D1222">
        <v>790</v>
      </c>
      <c r="E1222">
        <f>IF(
  ISNA(
    _xlfn.XLOOKUP(
      payments_raw[[#This Row],[subscription_id]],
      subscriptions[subscription_id],
      subscriptions[subscription_id]
    )
  ),
  0,
  1
)</f>
        <v>1</v>
      </c>
      <c r="F1222" s="1">
        <f>_xlfn.XLOOKUP(payments_raw[[#This Row],[subscription_id]], subscriptions[subscription_id], subscriptions[start_date])</f>
        <v>44873</v>
      </c>
      <c r="G12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2" s="2">
        <f>IF(payments_raw[[#This Row],[payment_date]] &lt; payments_raw[[#This Row],[sub_start_date]], 1, 0)</f>
        <v>0</v>
      </c>
      <c r="I1222" s="2">
        <f>IF(AND(payments_raw[[#This Row],[sub_end_date]]&lt;&gt;"", payments_raw[[#This Row],[payment_date]] &gt; payments_raw[[#This Row],[sub_end_date]]), 1, 0)</f>
        <v>0</v>
      </c>
      <c r="J1222" s="2">
        <f>IF(payments_raw[[#This Row],[amount]] &lt;= 0, 1, 0)</f>
        <v>0</v>
      </c>
      <c r="K12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3" spans="1:11" x14ac:dyDescent="0.3">
      <c r="A1223">
        <v>64430657</v>
      </c>
      <c r="B1223">
        <v>9196287</v>
      </c>
      <c r="C1223" s="1">
        <v>45206</v>
      </c>
      <c r="D1223">
        <v>1490</v>
      </c>
      <c r="E1223">
        <f>IF(
  ISNA(
    _xlfn.XLOOKUP(
      payments_raw[[#This Row],[subscription_id]],
      subscriptions[subscription_id],
      subscriptions[subscription_id]
    )
  ),
  0,
  1
)</f>
        <v>1</v>
      </c>
      <c r="F1223" s="1">
        <f>_xlfn.XLOOKUP(payments_raw[[#This Row],[subscription_id]], subscriptions[subscription_id], subscriptions[start_date])</f>
        <v>44698</v>
      </c>
      <c r="G12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3" s="2">
        <f>IF(payments_raw[[#This Row],[payment_date]] &lt; payments_raw[[#This Row],[sub_start_date]], 1, 0)</f>
        <v>0</v>
      </c>
      <c r="I1223" s="2">
        <f>IF(AND(payments_raw[[#This Row],[sub_end_date]]&lt;&gt;"", payments_raw[[#This Row],[payment_date]] &gt; payments_raw[[#This Row],[sub_end_date]]), 1, 0)</f>
        <v>0</v>
      </c>
      <c r="J1223" s="2">
        <f>IF(payments_raw[[#This Row],[amount]] &lt;= 0, 1, 0)</f>
        <v>0</v>
      </c>
      <c r="K12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4" spans="1:11" x14ac:dyDescent="0.3">
      <c r="A1224">
        <v>95877694</v>
      </c>
      <c r="B1224">
        <v>2079947</v>
      </c>
      <c r="C1224" s="1">
        <v>44745</v>
      </c>
      <c r="D1224">
        <v>19</v>
      </c>
      <c r="E1224">
        <f>IF(
  ISNA(
    _xlfn.XLOOKUP(
      payments_raw[[#This Row],[subscription_id]],
      subscriptions[subscription_id],
      subscriptions[subscription_id]
    )
  ),
  0,
  1
)</f>
        <v>1</v>
      </c>
      <c r="F1224" s="1">
        <f>_xlfn.XLOOKUP(payments_raw[[#This Row],[subscription_id]], subscriptions[subscription_id], subscriptions[start_date])</f>
        <v>44688</v>
      </c>
      <c r="G122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44776</v>
      </c>
      <c r="H1224" s="2">
        <f>IF(payments_raw[[#This Row],[payment_date]] &lt; payments_raw[[#This Row],[sub_start_date]], 1, 0)</f>
        <v>0</v>
      </c>
      <c r="I1224" s="2">
        <f>IF(AND(payments_raw[[#This Row],[sub_end_date]]&lt;&gt;"", payments_raw[[#This Row],[payment_date]] &gt; payments_raw[[#This Row],[sub_end_date]]), 1, 0)</f>
        <v>0</v>
      </c>
      <c r="J1224" s="2">
        <f>IF(payments_raw[[#This Row],[amount]] &lt;= 0, 1, 0)</f>
        <v>0</v>
      </c>
      <c r="K12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5" spans="1:11" x14ac:dyDescent="0.3">
      <c r="A1225">
        <v>51373866</v>
      </c>
      <c r="B1225">
        <v>6227531</v>
      </c>
      <c r="C1225" s="1">
        <v>45219</v>
      </c>
      <c r="D1225">
        <v>2242.5</v>
      </c>
      <c r="E1225">
        <f>IF(
  ISNA(
    _xlfn.XLOOKUP(
      payments_raw[[#This Row],[subscription_id]],
      subscriptions[subscription_id],
      subscriptions[subscription_id]
    )
  ),
  0,
  1
)</f>
        <v>1</v>
      </c>
      <c r="F1225" s="1">
        <f>_xlfn.XLOOKUP(payments_raw[[#This Row],[subscription_id]], subscriptions[subscription_id], subscriptions[start_date])</f>
        <v>44901</v>
      </c>
      <c r="G12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45300</v>
      </c>
      <c r="H1225" s="2">
        <f>IF(payments_raw[[#This Row],[payment_date]] &lt; payments_raw[[#This Row],[sub_start_date]], 1, 0)</f>
        <v>0</v>
      </c>
      <c r="I1225" s="2">
        <f>IF(AND(payments_raw[[#This Row],[sub_end_date]]&lt;&gt;"", payments_raw[[#This Row],[payment_date]] &gt; payments_raw[[#This Row],[sub_end_date]]), 1, 0)</f>
        <v>0</v>
      </c>
      <c r="J1225" s="2">
        <f>IF(payments_raw[[#This Row],[amount]] &lt;= 0, 1, 0)</f>
        <v>0</v>
      </c>
      <c r="K12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6" spans="1:11" x14ac:dyDescent="0.3">
      <c r="A1226">
        <v>89204954</v>
      </c>
      <c r="B1226">
        <v>8200092</v>
      </c>
      <c r="C1226" s="1">
        <v>45324</v>
      </c>
      <c r="D1226">
        <v>2990</v>
      </c>
      <c r="E1226">
        <f>IF(
  ISNA(
    _xlfn.XLOOKUP(
      payments_raw[[#This Row],[subscription_id]],
      subscriptions[subscription_id],
      subscriptions[subscription_id]
    )
  ),
  0,
  1
)</f>
        <v>1</v>
      </c>
      <c r="F1226" s="1">
        <f>_xlfn.XLOOKUP(payments_raw[[#This Row],[subscription_id]], subscriptions[subscription_id], subscriptions[start_date])</f>
        <v>44968</v>
      </c>
      <c r="G12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6" s="2">
        <f>IF(payments_raw[[#This Row],[payment_date]] &lt; payments_raw[[#This Row],[sub_start_date]], 1, 0)</f>
        <v>0</v>
      </c>
      <c r="I1226" s="2">
        <f>IF(AND(payments_raw[[#This Row],[sub_end_date]]&lt;&gt;"", payments_raw[[#This Row],[payment_date]] &gt; payments_raw[[#This Row],[sub_end_date]]), 1, 0)</f>
        <v>0</v>
      </c>
      <c r="J1226" s="2">
        <f>IF(payments_raw[[#This Row],[amount]] &lt;= 0, 1, 0)</f>
        <v>0</v>
      </c>
      <c r="K12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7" spans="1:11" x14ac:dyDescent="0.3">
      <c r="A1227">
        <v>67065365</v>
      </c>
      <c r="B1227">
        <v>4719408</v>
      </c>
      <c r="C1227" s="1">
        <v>45141</v>
      </c>
      <c r="D1227">
        <v>2990</v>
      </c>
      <c r="E1227">
        <f>IF(
  ISNA(
    _xlfn.XLOOKUP(
      payments_raw[[#This Row],[subscription_id]],
      subscriptions[subscription_id],
      subscriptions[subscription_id]
    )
  ),
  0,
  1
)</f>
        <v>1</v>
      </c>
      <c r="F1227" s="1">
        <f>_xlfn.XLOOKUP(payments_raw[[#This Row],[subscription_id]], subscriptions[subscription_id], subscriptions[start_date])</f>
        <v>44926</v>
      </c>
      <c r="G12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45144</v>
      </c>
      <c r="H1227" s="2">
        <f>IF(payments_raw[[#This Row],[payment_date]] &lt; payments_raw[[#This Row],[sub_start_date]], 1, 0)</f>
        <v>0</v>
      </c>
      <c r="I1227" s="2">
        <f>IF(AND(payments_raw[[#This Row],[sub_end_date]]&lt;&gt;"", payments_raw[[#This Row],[payment_date]] &gt; payments_raw[[#This Row],[sub_end_date]]), 1, 0)</f>
        <v>0</v>
      </c>
      <c r="J1227" s="2">
        <f>IF(payments_raw[[#This Row],[amount]] &lt;= 0, 1, 0)</f>
        <v>0</v>
      </c>
      <c r="K12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8" spans="1:11" x14ac:dyDescent="0.3">
      <c r="A1228">
        <v>43030652</v>
      </c>
      <c r="B1228">
        <v>8449415</v>
      </c>
      <c r="C1228" s="1">
        <v>44909</v>
      </c>
      <c r="D1228">
        <v>790</v>
      </c>
      <c r="E1228">
        <f>IF(
  ISNA(
    _xlfn.XLOOKUP(
      payments_raw[[#This Row],[subscription_id]],
      subscriptions[subscription_id],
      subscriptions[subscription_id]
    )
  ),
  0,
  1
)</f>
        <v>1</v>
      </c>
      <c r="F1228" s="1">
        <f>_xlfn.XLOOKUP(payments_raw[[#This Row],[subscription_id]], subscriptions[subscription_id], subscriptions[start_date])</f>
        <v>44652</v>
      </c>
      <c r="G12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8" s="2">
        <f>IF(payments_raw[[#This Row],[payment_date]] &lt; payments_raw[[#This Row],[sub_start_date]], 1, 0)</f>
        <v>0</v>
      </c>
      <c r="I1228" s="2">
        <f>IF(AND(payments_raw[[#This Row],[sub_end_date]]&lt;&gt;"", payments_raw[[#This Row],[payment_date]] &gt; payments_raw[[#This Row],[sub_end_date]]), 1, 0)</f>
        <v>0</v>
      </c>
      <c r="J1228" s="2">
        <f>IF(payments_raw[[#This Row],[amount]] &lt;= 0, 1, 0)</f>
        <v>0</v>
      </c>
      <c r="K12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29" spans="1:11" x14ac:dyDescent="0.3">
      <c r="A1229">
        <v>24284125</v>
      </c>
      <c r="B1229">
        <v>9515457</v>
      </c>
      <c r="C1229" s="1">
        <v>45282</v>
      </c>
      <c r="D1229">
        <v>2990</v>
      </c>
      <c r="E1229">
        <f>IF(
  ISNA(
    _xlfn.XLOOKUP(
      payments_raw[[#This Row],[subscription_id]],
      subscriptions[subscription_id],
      subscriptions[subscription_id]
    )
  ),
  0,
  1
)</f>
        <v>1</v>
      </c>
      <c r="F1229" s="1">
        <f>_xlfn.XLOOKUP(payments_raw[[#This Row],[subscription_id]], subscriptions[subscription_id], subscriptions[start_date])</f>
        <v>45142</v>
      </c>
      <c r="G12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29" s="2">
        <f>IF(payments_raw[[#This Row],[payment_date]] &lt; payments_raw[[#This Row],[sub_start_date]], 1, 0)</f>
        <v>0</v>
      </c>
      <c r="I1229" s="2">
        <f>IF(AND(payments_raw[[#This Row],[sub_end_date]]&lt;&gt;"", payments_raw[[#This Row],[payment_date]] &gt; payments_raw[[#This Row],[sub_end_date]]), 1, 0)</f>
        <v>0</v>
      </c>
      <c r="J1229" s="2">
        <f>IF(payments_raw[[#This Row],[amount]] &lt;= 0, 1, 0)</f>
        <v>0</v>
      </c>
      <c r="K12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0" spans="1:11" x14ac:dyDescent="0.3">
      <c r="A1230">
        <v>43702011</v>
      </c>
      <c r="B1230">
        <v>3864241</v>
      </c>
      <c r="C1230" s="1">
        <v>45618</v>
      </c>
      <c r="D1230">
        <v>2990</v>
      </c>
      <c r="E1230">
        <f>IF(
  ISNA(
    _xlfn.XLOOKUP(
      payments_raw[[#This Row],[subscription_id]],
      subscriptions[subscription_id],
      subscriptions[subscription_id]
    )
  ),
  0,
  1
)</f>
        <v>1</v>
      </c>
      <c r="F1230" s="1">
        <f>_xlfn.XLOOKUP(payments_raw[[#This Row],[subscription_id]], subscriptions[subscription_id], subscriptions[start_date])</f>
        <v>45559</v>
      </c>
      <c r="G12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0" s="2">
        <f>IF(payments_raw[[#This Row],[payment_date]] &lt; payments_raw[[#This Row],[sub_start_date]], 1, 0)</f>
        <v>0</v>
      </c>
      <c r="I1230" s="2">
        <f>IF(AND(payments_raw[[#This Row],[sub_end_date]]&lt;&gt;"", payments_raw[[#This Row],[payment_date]] &gt; payments_raw[[#This Row],[sub_end_date]]), 1, 0)</f>
        <v>0</v>
      </c>
      <c r="J1230" s="2">
        <f>IF(payments_raw[[#This Row],[amount]] &lt;= 0, 1, 0)</f>
        <v>0</v>
      </c>
      <c r="K12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1" spans="1:11" x14ac:dyDescent="0.3">
      <c r="A1231">
        <v>24839143</v>
      </c>
      <c r="B1231">
        <v>3161173</v>
      </c>
      <c r="C1231" s="1">
        <v>44989</v>
      </c>
      <c r="D1231">
        <v>2990</v>
      </c>
      <c r="E1231">
        <f>IF(
  ISNA(
    _xlfn.XLOOKUP(
      payments_raw[[#This Row],[subscription_id]],
      subscriptions[subscription_id],
      subscriptions[subscription_id]
    )
  ),
  0,
  1
)</f>
        <v>1</v>
      </c>
      <c r="F1231" s="1">
        <f>_xlfn.XLOOKUP(payments_raw[[#This Row],[subscription_id]], subscriptions[subscription_id], subscriptions[start_date])</f>
        <v>44984</v>
      </c>
      <c r="G12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45058</v>
      </c>
      <c r="H1231" s="2">
        <f>IF(payments_raw[[#This Row],[payment_date]] &lt; payments_raw[[#This Row],[sub_start_date]], 1, 0)</f>
        <v>0</v>
      </c>
      <c r="I1231" s="2">
        <f>IF(AND(payments_raw[[#This Row],[sub_end_date]]&lt;&gt;"", payments_raw[[#This Row],[payment_date]] &gt; payments_raw[[#This Row],[sub_end_date]]), 1, 0)</f>
        <v>0</v>
      </c>
      <c r="J1231" s="2">
        <f>IF(payments_raw[[#This Row],[amount]] &lt;= 0, 1, 0)</f>
        <v>0</v>
      </c>
      <c r="K12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2" spans="1:11" x14ac:dyDescent="0.3">
      <c r="A1232">
        <v>25906087</v>
      </c>
      <c r="B1232">
        <v>7951217</v>
      </c>
      <c r="C1232" s="1">
        <v>45643</v>
      </c>
      <c r="D1232">
        <v>390</v>
      </c>
      <c r="E1232">
        <f>IF(
  ISNA(
    _xlfn.XLOOKUP(
      payments_raw[[#This Row],[subscription_id]],
      subscriptions[subscription_id],
      subscriptions[subscription_id]
    )
  ),
  0,
  1
)</f>
        <v>1</v>
      </c>
      <c r="F1232" s="1">
        <f>_xlfn.XLOOKUP(payments_raw[[#This Row],[subscription_id]], subscriptions[subscription_id], subscriptions[start_date])</f>
        <v>44827</v>
      </c>
      <c r="G12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2" s="2">
        <f>IF(payments_raw[[#This Row],[payment_date]] &lt; payments_raw[[#This Row],[sub_start_date]], 1, 0)</f>
        <v>0</v>
      </c>
      <c r="I1232" s="2">
        <f>IF(AND(payments_raw[[#This Row],[sub_end_date]]&lt;&gt;"", payments_raw[[#This Row],[payment_date]] &gt; payments_raw[[#This Row],[sub_end_date]]), 1, 0)</f>
        <v>0</v>
      </c>
      <c r="J1232" s="2">
        <f>IF(payments_raw[[#This Row],[amount]] &lt;= 0, 1, 0)</f>
        <v>0</v>
      </c>
      <c r="K12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3" spans="1:11" x14ac:dyDescent="0.3">
      <c r="A1233">
        <v>26460035</v>
      </c>
      <c r="B1233">
        <v>3252923</v>
      </c>
      <c r="C1233" s="1">
        <v>44752</v>
      </c>
      <c r="D1233">
        <v>1490</v>
      </c>
      <c r="E1233">
        <f>IF(
  ISNA(
    _xlfn.XLOOKUP(
      payments_raw[[#This Row],[subscription_id]],
      subscriptions[subscription_id],
      subscriptions[subscription_id]
    )
  ),
  0,
  1
)</f>
        <v>1</v>
      </c>
      <c r="F1233" s="1">
        <f>_xlfn.XLOOKUP(payments_raw[[#This Row],[subscription_id]], subscriptions[subscription_id], subscriptions[start_date])</f>
        <v>44713</v>
      </c>
      <c r="G12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3" s="2">
        <f>IF(payments_raw[[#This Row],[payment_date]] &lt; payments_raw[[#This Row],[sub_start_date]], 1, 0)</f>
        <v>0</v>
      </c>
      <c r="I1233" s="2">
        <f>IF(AND(payments_raw[[#This Row],[sub_end_date]]&lt;&gt;"", payments_raw[[#This Row],[payment_date]] &gt; payments_raw[[#This Row],[sub_end_date]]), 1, 0)</f>
        <v>0</v>
      </c>
      <c r="J1233" s="2">
        <f>IF(payments_raw[[#This Row],[amount]] &lt;= 0, 1, 0)</f>
        <v>0</v>
      </c>
      <c r="K12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4" spans="1:11" x14ac:dyDescent="0.3">
      <c r="A1234">
        <v>65374574</v>
      </c>
      <c r="B1234">
        <v>1139836</v>
      </c>
      <c r="C1234" s="1">
        <v>45618</v>
      </c>
      <c r="D1234">
        <v>2990</v>
      </c>
      <c r="E1234">
        <f>IF(
  ISNA(
    _xlfn.XLOOKUP(
      payments_raw[[#This Row],[subscription_id]],
      subscriptions[subscription_id],
      subscriptions[subscription_id]
    )
  ),
  0,
  1
)</f>
        <v>1</v>
      </c>
      <c r="F1234" s="1">
        <f>_xlfn.XLOOKUP(payments_raw[[#This Row],[subscription_id]], subscriptions[subscription_id], subscriptions[start_date])</f>
        <v>45583</v>
      </c>
      <c r="G12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234" s="2">
        <f>IF(payments_raw[[#This Row],[payment_date]] &lt; payments_raw[[#This Row],[sub_start_date]], 1, 0)</f>
        <v>0</v>
      </c>
      <c r="I1234" s="2">
        <f>IF(AND(payments_raw[[#This Row],[sub_end_date]]&lt;&gt;"", payments_raw[[#This Row],[payment_date]] &gt; payments_raw[[#This Row],[sub_end_date]]), 1, 0)</f>
        <v>0</v>
      </c>
      <c r="J1234" s="2">
        <f>IF(payments_raw[[#This Row],[amount]] &lt;= 0, 1, 0)</f>
        <v>0</v>
      </c>
      <c r="K12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5" spans="1:11" x14ac:dyDescent="0.3">
      <c r="A1235">
        <v>70307484</v>
      </c>
      <c r="B1235">
        <v>2985184</v>
      </c>
      <c r="C1235" s="1">
        <v>45142</v>
      </c>
      <c r="D1235">
        <v>1490</v>
      </c>
      <c r="E1235">
        <f>IF(
  ISNA(
    _xlfn.XLOOKUP(
      payments_raw[[#This Row],[subscription_id]],
      subscriptions[subscription_id],
      subscriptions[subscription_id]
    )
  ),
  0,
  1
)</f>
        <v>1</v>
      </c>
      <c r="F1235" s="1">
        <f>_xlfn.XLOOKUP(payments_raw[[#This Row],[subscription_id]], subscriptions[subscription_id], subscriptions[start_date])</f>
        <v>44734</v>
      </c>
      <c r="G12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5" s="2">
        <f>IF(payments_raw[[#This Row],[payment_date]] &lt; payments_raw[[#This Row],[sub_start_date]], 1, 0)</f>
        <v>0</v>
      </c>
      <c r="I1235" s="2">
        <f>IF(AND(payments_raw[[#This Row],[sub_end_date]]&lt;&gt;"", payments_raw[[#This Row],[payment_date]] &gt; payments_raw[[#This Row],[sub_end_date]]), 1, 0)</f>
        <v>0</v>
      </c>
      <c r="J1235" s="2">
        <f>IF(payments_raw[[#This Row],[amount]] &lt;= 0, 1, 0)</f>
        <v>0</v>
      </c>
      <c r="K12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6" spans="1:11" x14ac:dyDescent="0.3">
      <c r="A1236">
        <v>22077003</v>
      </c>
      <c r="B1236">
        <v>9064003</v>
      </c>
      <c r="C1236" s="1">
        <v>45634</v>
      </c>
      <c r="D1236">
        <v>19</v>
      </c>
      <c r="E1236">
        <f>IF(
  ISNA(
    _xlfn.XLOOKUP(
      payments_raw[[#This Row],[subscription_id]],
      subscriptions[subscription_id],
      subscriptions[subscription_id]
    )
  ),
  0,
  1
)</f>
        <v>1</v>
      </c>
      <c r="F1236" s="1">
        <f>_xlfn.XLOOKUP(payments_raw[[#This Row],[subscription_id]], subscriptions[subscription_id], subscriptions[start_date])</f>
        <v>44633</v>
      </c>
      <c r="G12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6" s="2">
        <f>IF(payments_raw[[#This Row],[payment_date]] &lt; payments_raw[[#This Row],[sub_start_date]], 1, 0)</f>
        <v>0</v>
      </c>
      <c r="I1236" s="2">
        <f>IF(AND(payments_raw[[#This Row],[sub_end_date]]&lt;&gt;"", payments_raw[[#This Row],[payment_date]] &gt; payments_raw[[#This Row],[sub_end_date]]), 1, 0)</f>
        <v>0</v>
      </c>
      <c r="J1236" s="2">
        <f>IF(payments_raw[[#This Row],[amount]] &lt;= 0, 1, 0)</f>
        <v>0</v>
      </c>
      <c r="K12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7" spans="1:11" x14ac:dyDescent="0.3">
      <c r="A1237">
        <v>79293917</v>
      </c>
      <c r="B1237">
        <v>7566239</v>
      </c>
      <c r="C1237" s="1">
        <v>45477</v>
      </c>
      <c r="D1237">
        <v>149</v>
      </c>
      <c r="E1237">
        <f>IF(
  ISNA(
    _xlfn.XLOOKUP(
      payments_raw[[#This Row],[subscription_id]],
      subscriptions[subscription_id],
      subscriptions[subscription_id]
    )
  ),
  0,
  1
)</f>
        <v>1</v>
      </c>
      <c r="F1237" s="1">
        <f>_xlfn.XLOOKUP(payments_raw[[#This Row],[subscription_id]], subscriptions[subscription_id], subscriptions[start_date])</f>
        <v>45467</v>
      </c>
      <c r="G12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7" s="2">
        <f>IF(payments_raw[[#This Row],[payment_date]] &lt; payments_raw[[#This Row],[sub_start_date]], 1, 0)</f>
        <v>0</v>
      </c>
      <c r="I1237" s="2">
        <f>IF(AND(payments_raw[[#This Row],[sub_end_date]]&lt;&gt;"", payments_raw[[#This Row],[payment_date]] &gt; payments_raw[[#This Row],[sub_end_date]]), 1, 0)</f>
        <v>0</v>
      </c>
      <c r="J1237" s="2">
        <f>IF(payments_raw[[#This Row],[amount]] &lt;= 0, 1, 0)</f>
        <v>0</v>
      </c>
      <c r="K12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8" spans="1:11" x14ac:dyDescent="0.3">
      <c r="A1238">
        <v>79370691</v>
      </c>
      <c r="B1238">
        <v>4350987</v>
      </c>
      <c r="C1238" s="1">
        <v>45061</v>
      </c>
      <c r="D1238">
        <v>190</v>
      </c>
      <c r="E1238">
        <f>IF(
  ISNA(
    _xlfn.XLOOKUP(
      payments_raw[[#This Row],[subscription_id]],
      subscriptions[subscription_id],
      subscriptions[subscription_id]
    )
  ),
  0,
  1
)</f>
        <v>1</v>
      </c>
      <c r="F1238" s="1">
        <f>_xlfn.XLOOKUP(payments_raw[[#This Row],[subscription_id]], subscriptions[subscription_id], subscriptions[start_date])</f>
        <v>44962</v>
      </c>
      <c r="G12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8" s="2">
        <f>IF(payments_raw[[#This Row],[payment_date]] &lt; payments_raw[[#This Row],[sub_start_date]], 1, 0)</f>
        <v>0</v>
      </c>
      <c r="I1238" s="2">
        <f>IF(AND(payments_raw[[#This Row],[sub_end_date]]&lt;&gt;"", payments_raw[[#This Row],[payment_date]] &gt; payments_raw[[#This Row],[sub_end_date]]), 1, 0)</f>
        <v>0</v>
      </c>
      <c r="J1238" s="2">
        <f>IF(payments_raw[[#This Row],[amount]] &lt;= 0, 1, 0)</f>
        <v>0</v>
      </c>
      <c r="K12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39" spans="1:11" x14ac:dyDescent="0.3">
      <c r="A1239">
        <v>99951979</v>
      </c>
      <c r="B1239">
        <v>2868688</v>
      </c>
      <c r="C1239" s="1">
        <v>45119</v>
      </c>
      <c r="D1239">
        <v>390</v>
      </c>
      <c r="E1239">
        <f>IF(
  ISNA(
    _xlfn.XLOOKUP(
      payments_raw[[#This Row],[subscription_id]],
      subscriptions[subscription_id],
      subscriptions[subscription_id]
    )
  ),
  0,
  1
)</f>
        <v>1</v>
      </c>
      <c r="F1239" s="1">
        <f>_xlfn.XLOOKUP(payments_raw[[#This Row],[subscription_id]], subscriptions[subscription_id], subscriptions[start_date])</f>
        <v>44744</v>
      </c>
      <c r="G12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39" s="2">
        <f>IF(payments_raw[[#This Row],[payment_date]] &lt; payments_raw[[#This Row],[sub_start_date]], 1, 0)</f>
        <v>0</v>
      </c>
      <c r="I1239" s="2">
        <f>IF(AND(payments_raw[[#This Row],[sub_end_date]]&lt;&gt;"", payments_raw[[#This Row],[payment_date]] &gt; payments_raw[[#This Row],[sub_end_date]]), 1, 0)</f>
        <v>0</v>
      </c>
      <c r="J1239" s="2">
        <f>IF(payments_raw[[#This Row],[amount]] &lt;= 0, 1, 0)</f>
        <v>0</v>
      </c>
      <c r="K12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0" spans="1:11" x14ac:dyDescent="0.3">
      <c r="A1240">
        <v>29881959</v>
      </c>
      <c r="B1240">
        <v>4046988</v>
      </c>
      <c r="C1240" s="1">
        <v>45384</v>
      </c>
      <c r="D1240">
        <v>71.099999999999994</v>
      </c>
      <c r="E1240">
        <f>IF(
  ISNA(
    _xlfn.XLOOKUP(
      payments_raw[[#This Row],[subscription_id]],
      subscriptions[subscription_id],
      subscriptions[subscription_id]
    )
  ),
  0,
  1
)</f>
        <v>1</v>
      </c>
      <c r="F1240" s="1">
        <f>_xlfn.XLOOKUP(payments_raw[[#This Row],[subscription_id]], subscriptions[subscription_id], subscriptions[start_date])</f>
        <v>45309</v>
      </c>
      <c r="G12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1240" s="2">
        <f>IF(payments_raw[[#This Row],[payment_date]] &lt; payments_raw[[#This Row],[sub_start_date]], 1, 0)</f>
        <v>0</v>
      </c>
      <c r="I1240" s="2">
        <f>IF(AND(payments_raw[[#This Row],[sub_end_date]]&lt;&gt;"", payments_raw[[#This Row],[payment_date]] &gt; payments_raw[[#This Row],[sub_end_date]]), 1, 0)</f>
        <v>0</v>
      </c>
      <c r="J1240" s="2">
        <f>IF(payments_raw[[#This Row],[amount]] &lt;= 0, 1, 0)</f>
        <v>0</v>
      </c>
      <c r="K12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1" spans="1:11" x14ac:dyDescent="0.3">
      <c r="A1241">
        <v>24519890</v>
      </c>
      <c r="B1241">
        <v>9513662</v>
      </c>
      <c r="C1241" s="1">
        <v>45579</v>
      </c>
      <c r="D1241">
        <v>39</v>
      </c>
      <c r="E1241">
        <f>IF(
  ISNA(
    _xlfn.XLOOKUP(
      payments_raw[[#This Row],[subscription_id]],
      subscriptions[subscription_id],
      subscriptions[subscription_id]
    )
  ),
  0,
  1
)</f>
        <v>1</v>
      </c>
      <c r="F1241" s="1">
        <f>_xlfn.XLOOKUP(payments_raw[[#This Row],[subscription_id]], subscriptions[subscription_id], subscriptions[start_date])</f>
        <v>45536</v>
      </c>
      <c r="G12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1" s="2">
        <f>IF(payments_raw[[#This Row],[payment_date]] &lt; payments_raw[[#This Row],[sub_start_date]], 1, 0)</f>
        <v>0</v>
      </c>
      <c r="I1241" s="2">
        <f>IF(AND(payments_raw[[#This Row],[sub_end_date]]&lt;&gt;"", payments_raw[[#This Row],[payment_date]] &gt; payments_raw[[#This Row],[sub_end_date]]), 1, 0)</f>
        <v>0</v>
      </c>
      <c r="J1241" s="2">
        <f>IF(payments_raw[[#This Row],[amount]] &lt;= 0, 1, 0)</f>
        <v>0</v>
      </c>
      <c r="K12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2" spans="1:11" x14ac:dyDescent="0.3">
      <c r="A1242">
        <v>72203922</v>
      </c>
      <c r="B1242">
        <v>9304303</v>
      </c>
      <c r="C1242" s="1">
        <v>44892</v>
      </c>
      <c r="D1242">
        <v>790</v>
      </c>
      <c r="E1242">
        <f>IF(
  ISNA(
    _xlfn.XLOOKUP(
      payments_raw[[#This Row],[subscription_id]],
      subscriptions[subscription_id],
      subscriptions[subscription_id]
    )
  ),
  0,
  1
)</f>
        <v>1</v>
      </c>
      <c r="F1242" s="1">
        <f>_xlfn.XLOOKUP(payments_raw[[#This Row],[subscription_id]], subscriptions[subscription_id], subscriptions[start_date])</f>
        <v>44806</v>
      </c>
      <c r="G12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2" s="2">
        <f>IF(payments_raw[[#This Row],[payment_date]] &lt; payments_raw[[#This Row],[sub_start_date]], 1, 0)</f>
        <v>0</v>
      </c>
      <c r="I1242" s="2">
        <f>IF(AND(payments_raw[[#This Row],[sub_end_date]]&lt;&gt;"", payments_raw[[#This Row],[payment_date]] &gt; payments_raw[[#This Row],[sub_end_date]]), 1, 0)</f>
        <v>0</v>
      </c>
      <c r="J1242" s="2">
        <f>IF(payments_raw[[#This Row],[amount]] &lt;= 0, 1, 0)</f>
        <v>0</v>
      </c>
      <c r="K12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3" spans="1:11" x14ac:dyDescent="0.3">
      <c r="A1243">
        <v>15697626</v>
      </c>
      <c r="B1243">
        <v>3827180</v>
      </c>
      <c r="C1243" s="1">
        <v>44774</v>
      </c>
      <c r="D1243">
        <v>1490</v>
      </c>
      <c r="E1243">
        <f>IF(
  ISNA(
    _xlfn.XLOOKUP(
      payments_raw[[#This Row],[subscription_id]],
      subscriptions[subscription_id],
      subscriptions[subscription_id]
    )
  ),
  0,
  1
)</f>
        <v>1</v>
      </c>
      <c r="F1243" s="1">
        <f>_xlfn.XLOOKUP(payments_raw[[#This Row],[subscription_id]], subscriptions[subscription_id], subscriptions[start_date])</f>
        <v>44565</v>
      </c>
      <c r="G124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44865</v>
      </c>
      <c r="H1243" s="2">
        <f>IF(payments_raw[[#This Row],[payment_date]] &lt; payments_raw[[#This Row],[sub_start_date]], 1, 0)</f>
        <v>0</v>
      </c>
      <c r="I1243" s="2">
        <f>IF(AND(payments_raw[[#This Row],[sub_end_date]]&lt;&gt;"", payments_raw[[#This Row],[payment_date]] &gt; payments_raw[[#This Row],[sub_end_date]]), 1, 0)</f>
        <v>0</v>
      </c>
      <c r="J1243" s="2">
        <f>IF(payments_raw[[#This Row],[amount]] &lt;= 0, 1, 0)</f>
        <v>0</v>
      </c>
      <c r="K12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4" spans="1:11" x14ac:dyDescent="0.3">
      <c r="A1244">
        <v>43085073</v>
      </c>
      <c r="B1244">
        <v>3455003</v>
      </c>
      <c r="C1244" s="1">
        <v>45079</v>
      </c>
      <c r="D1244">
        <v>79</v>
      </c>
      <c r="E1244">
        <f>IF(
  ISNA(
    _xlfn.XLOOKUP(
      payments_raw[[#This Row],[subscription_id]],
      subscriptions[subscription_id],
      subscriptions[subscription_id]
    )
  ),
  0,
  1
)</f>
        <v>1</v>
      </c>
      <c r="F1244" s="1">
        <f>_xlfn.XLOOKUP(payments_raw[[#This Row],[subscription_id]], subscriptions[subscription_id], subscriptions[start_date])</f>
        <v>45024</v>
      </c>
      <c r="G12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4" s="2">
        <f>IF(payments_raw[[#This Row],[payment_date]] &lt; payments_raw[[#This Row],[sub_start_date]], 1, 0)</f>
        <v>0</v>
      </c>
      <c r="I1244" s="2">
        <f>IF(AND(payments_raw[[#This Row],[sub_end_date]]&lt;&gt;"", payments_raw[[#This Row],[payment_date]] &gt; payments_raw[[#This Row],[sub_end_date]]), 1, 0)</f>
        <v>0</v>
      </c>
      <c r="J1244" s="2">
        <f>IF(payments_raw[[#This Row],[amount]] &lt;= 0, 1, 0)</f>
        <v>0</v>
      </c>
      <c r="K12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5" spans="1:11" x14ac:dyDescent="0.3">
      <c r="A1245">
        <v>40761227</v>
      </c>
      <c r="B1245">
        <v>3426274</v>
      </c>
      <c r="C1245" s="1">
        <v>45310</v>
      </c>
      <c r="D1245">
        <v>39.5</v>
      </c>
      <c r="E1245">
        <f>IF(
  ISNA(
    _xlfn.XLOOKUP(
      payments_raw[[#This Row],[subscription_id]],
      subscriptions[subscription_id],
      subscriptions[subscription_id]
    )
  ),
  0,
  1
)</f>
        <v>1</v>
      </c>
      <c r="F1245" s="1">
        <f>_xlfn.XLOOKUP(payments_raw[[#This Row],[subscription_id]], subscriptions[subscription_id], subscriptions[start_date])</f>
        <v>45225</v>
      </c>
      <c r="G12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45417</v>
      </c>
      <c r="H1245" s="2">
        <f>IF(payments_raw[[#This Row],[payment_date]] &lt; payments_raw[[#This Row],[sub_start_date]], 1, 0)</f>
        <v>0</v>
      </c>
      <c r="I1245" s="2">
        <f>IF(AND(payments_raw[[#This Row],[sub_end_date]]&lt;&gt;"", payments_raw[[#This Row],[payment_date]] &gt; payments_raw[[#This Row],[sub_end_date]]), 1, 0)</f>
        <v>0</v>
      </c>
      <c r="J1245" s="2">
        <f>IF(payments_raw[[#This Row],[amount]] &lt;= 0, 1, 0)</f>
        <v>0</v>
      </c>
      <c r="K12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6" spans="1:11" x14ac:dyDescent="0.3">
      <c r="A1246">
        <v>48617836</v>
      </c>
      <c r="B1246">
        <v>5269818</v>
      </c>
      <c r="C1246" s="1">
        <v>45180</v>
      </c>
      <c r="D1246">
        <v>79</v>
      </c>
      <c r="E1246">
        <f>IF(
  ISNA(
    _xlfn.XLOOKUP(
      payments_raw[[#This Row],[subscription_id]],
      subscriptions[subscription_id],
      subscriptions[subscription_id]
    )
  ),
  0,
  1
)</f>
        <v>1</v>
      </c>
      <c r="F1246" s="1">
        <f>_xlfn.XLOOKUP(payments_raw[[#This Row],[subscription_id]], subscriptions[subscription_id], subscriptions[start_date])</f>
        <v>44811</v>
      </c>
      <c r="G12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6" s="2">
        <f>IF(payments_raw[[#This Row],[payment_date]] &lt; payments_raw[[#This Row],[sub_start_date]], 1, 0)</f>
        <v>0</v>
      </c>
      <c r="I1246" s="2">
        <f>IF(AND(payments_raw[[#This Row],[sub_end_date]]&lt;&gt;"", payments_raw[[#This Row],[payment_date]] &gt; payments_raw[[#This Row],[sub_end_date]]), 1, 0)</f>
        <v>0</v>
      </c>
      <c r="J1246" s="2">
        <f>IF(payments_raw[[#This Row],[amount]] &lt;= 0, 1, 0)</f>
        <v>0</v>
      </c>
      <c r="K12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7" spans="1:11" x14ac:dyDescent="0.3">
      <c r="A1247">
        <v>46983398</v>
      </c>
      <c r="B1247">
        <v>6920939</v>
      </c>
      <c r="C1247" s="1">
        <v>45358</v>
      </c>
      <c r="D1247">
        <v>19</v>
      </c>
      <c r="E1247">
        <f>IF(
  ISNA(
    _xlfn.XLOOKUP(
      payments_raw[[#This Row],[subscription_id]],
      subscriptions[subscription_id],
      subscriptions[subscription_id]
    )
  ),
  0,
  1
)</f>
        <v>1</v>
      </c>
      <c r="F1247" s="1">
        <f>_xlfn.XLOOKUP(payments_raw[[#This Row],[subscription_id]], subscriptions[subscription_id], subscriptions[start_date])</f>
        <v>45327</v>
      </c>
      <c r="G12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45389</v>
      </c>
      <c r="H1247" s="2">
        <f>IF(payments_raw[[#This Row],[payment_date]] &lt; payments_raw[[#This Row],[sub_start_date]], 1, 0)</f>
        <v>0</v>
      </c>
      <c r="I1247" s="2">
        <f>IF(AND(payments_raw[[#This Row],[sub_end_date]]&lt;&gt;"", payments_raw[[#This Row],[payment_date]] &gt; payments_raw[[#This Row],[sub_end_date]]), 1, 0)</f>
        <v>0</v>
      </c>
      <c r="J1247" s="2">
        <f>IF(payments_raw[[#This Row],[amount]] &lt;= 0, 1, 0)</f>
        <v>0</v>
      </c>
      <c r="K12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8" spans="1:11" x14ac:dyDescent="0.3">
      <c r="A1248">
        <v>63769921</v>
      </c>
      <c r="B1248">
        <v>4796768</v>
      </c>
      <c r="C1248" s="1">
        <v>45306</v>
      </c>
      <c r="D1248">
        <v>2990</v>
      </c>
      <c r="E1248">
        <f>IF(
  ISNA(
    _xlfn.XLOOKUP(
      payments_raw[[#This Row],[subscription_id]],
      subscriptions[subscription_id],
      subscriptions[subscription_id]
    )
  ),
  0,
  1
)</f>
        <v>1</v>
      </c>
      <c r="F1248" s="1">
        <f>_xlfn.XLOOKUP(payments_raw[[#This Row],[subscription_id]], subscriptions[subscription_id], subscriptions[start_date])</f>
        <v>45127</v>
      </c>
      <c r="G12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48" s="2">
        <f>IF(payments_raw[[#This Row],[payment_date]] &lt; payments_raw[[#This Row],[sub_start_date]], 1, 0)</f>
        <v>0</v>
      </c>
      <c r="I1248" s="2">
        <f>IF(AND(payments_raw[[#This Row],[sub_end_date]]&lt;&gt;"", payments_raw[[#This Row],[payment_date]] &gt; payments_raw[[#This Row],[sub_end_date]]), 1, 0)</f>
        <v>0</v>
      </c>
      <c r="J1248" s="2">
        <f>IF(payments_raw[[#This Row],[amount]] &lt;= 0, 1, 0)</f>
        <v>0</v>
      </c>
      <c r="K12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49" spans="1:11" x14ac:dyDescent="0.3">
      <c r="A1249">
        <v>36380976</v>
      </c>
      <c r="B1249">
        <v>7848595</v>
      </c>
      <c r="C1249" s="1">
        <v>45335</v>
      </c>
      <c r="D1249">
        <v>111.75</v>
      </c>
      <c r="E1249">
        <f>IF(
  ISNA(
    _xlfn.XLOOKUP(
      payments_raw[[#This Row],[subscription_id]],
      subscriptions[subscription_id],
      subscriptions[subscription_id]
    )
  ),
  0,
  1
)</f>
        <v>1</v>
      </c>
      <c r="F1249" s="1">
        <f>_xlfn.XLOOKUP(payments_raw[[#This Row],[subscription_id]], subscriptions[subscription_id], subscriptions[start_date])</f>
        <v>45329</v>
      </c>
      <c r="G12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1249" s="2">
        <f>IF(payments_raw[[#This Row],[payment_date]] &lt; payments_raw[[#This Row],[sub_start_date]], 1, 0)</f>
        <v>0</v>
      </c>
      <c r="I1249" s="2">
        <f>IF(AND(payments_raw[[#This Row],[sub_end_date]]&lt;&gt;"", payments_raw[[#This Row],[payment_date]] &gt; payments_raw[[#This Row],[sub_end_date]]), 1, 0)</f>
        <v>0</v>
      </c>
      <c r="J1249" s="2">
        <f>IF(payments_raw[[#This Row],[amount]] &lt;= 0, 1, 0)</f>
        <v>0</v>
      </c>
      <c r="K12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0" spans="1:11" x14ac:dyDescent="0.3">
      <c r="A1250">
        <v>34390832</v>
      </c>
      <c r="B1250">
        <v>4271952</v>
      </c>
      <c r="C1250" s="1">
        <v>45251</v>
      </c>
      <c r="D1250">
        <v>790</v>
      </c>
      <c r="E1250">
        <f>IF(
  ISNA(
    _xlfn.XLOOKUP(
      payments_raw[[#This Row],[subscription_id]],
      subscriptions[subscription_id],
      subscriptions[subscription_id]
    )
  ),
  0,
  1
)</f>
        <v>1</v>
      </c>
      <c r="F1250" s="1">
        <f>_xlfn.XLOOKUP(payments_raw[[#This Row],[subscription_id]], subscriptions[subscription_id], subscriptions[start_date])</f>
        <v>45162</v>
      </c>
      <c r="G12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1250" s="2">
        <f>IF(payments_raw[[#This Row],[payment_date]] &lt; payments_raw[[#This Row],[sub_start_date]], 1, 0)</f>
        <v>0</v>
      </c>
      <c r="I1250" s="2">
        <f>IF(AND(payments_raw[[#This Row],[sub_end_date]]&lt;&gt;"", payments_raw[[#This Row],[payment_date]] &gt; payments_raw[[#This Row],[sub_end_date]]), 1, 0)</f>
        <v>0</v>
      </c>
      <c r="J1250" s="2">
        <f>IF(payments_raw[[#This Row],[amount]] &lt;= 0, 1, 0)</f>
        <v>0</v>
      </c>
      <c r="K12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1" spans="1:11" x14ac:dyDescent="0.3">
      <c r="A1251">
        <v>80883378</v>
      </c>
      <c r="B1251">
        <v>7004652</v>
      </c>
      <c r="C1251" s="1">
        <v>44787</v>
      </c>
      <c r="D1251">
        <v>149</v>
      </c>
      <c r="E1251">
        <f>IF(
  ISNA(
    _xlfn.XLOOKUP(
      payments_raw[[#This Row],[subscription_id]],
      subscriptions[subscription_id],
      subscriptions[subscription_id]
    )
  ),
  0,
  1
)</f>
        <v>1</v>
      </c>
      <c r="F1251" s="1">
        <f>_xlfn.XLOOKUP(payments_raw[[#This Row],[subscription_id]], subscriptions[subscription_id], subscriptions[start_date])</f>
        <v>44701</v>
      </c>
      <c r="G125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44811</v>
      </c>
      <c r="H1251" s="2">
        <f>IF(payments_raw[[#This Row],[payment_date]] &lt; payments_raw[[#This Row],[sub_start_date]], 1, 0)</f>
        <v>0</v>
      </c>
      <c r="I1251" s="2">
        <f>IF(AND(payments_raw[[#This Row],[sub_end_date]]&lt;&gt;"", payments_raw[[#This Row],[payment_date]] &gt; payments_raw[[#This Row],[sub_end_date]]), 1, 0)</f>
        <v>0</v>
      </c>
      <c r="J1251" s="2">
        <f>IF(payments_raw[[#This Row],[amount]] &lt;= 0, 1, 0)</f>
        <v>0</v>
      </c>
      <c r="K12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2" spans="1:11" x14ac:dyDescent="0.3">
      <c r="A1252">
        <v>67164456</v>
      </c>
      <c r="B1252">
        <v>1351266</v>
      </c>
      <c r="C1252" s="1">
        <v>45536</v>
      </c>
      <c r="D1252">
        <v>2990</v>
      </c>
      <c r="E1252">
        <f>IF(
  ISNA(
    _xlfn.XLOOKUP(
      payments_raw[[#This Row],[subscription_id]],
      subscriptions[subscription_id],
      subscriptions[subscription_id]
    )
  ),
  0,
  1
)</f>
        <v>1</v>
      </c>
      <c r="F1252" s="1">
        <f>_xlfn.XLOOKUP(payments_raw[[#This Row],[subscription_id]], subscriptions[subscription_id], subscriptions[start_date])</f>
        <v>45446</v>
      </c>
      <c r="G12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45549</v>
      </c>
      <c r="H1252" s="2">
        <f>IF(payments_raw[[#This Row],[payment_date]] &lt; payments_raw[[#This Row],[sub_start_date]], 1, 0)</f>
        <v>0</v>
      </c>
      <c r="I1252" s="2">
        <f>IF(AND(payments_raw[[#This Row],[sub_end_date]]&lt;&gt;"", payments_raw[[#This Row],[payment_date]] &gt; payments_raw[[#This Row],[sub_end_date]]), 1, 0)</f>
        <v>0</v>
      </c>
      <c r="J1252" s="2">
        <f>IF(payments_raw[[#This Row],[amount]] &lt;= 0, 1, 0)</f>
        <v>0</v>
      </c>
      <c r="K12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3" spans="1:11" x14ac:dyDescent="0.3">
      <c r="A1253">
        <v>44059178</v>
      </c>
      <c r="B1253">
        <v>8335114</v>
      </c>
      <c r="C1253" s="1">
        <v>44754</v>
      </c>
      <c r="D1253">
        <v>149.5</v>
      </c>
      <c r="E1253">
        <f>IF(
  ISNA(
    _xlfn.XLOOKUP(
      payments_raw[[#This Row],[subscription_id]],
      subscriptions[subscription_id],
      subscriptions[subscription_id]
    )
  ),
  0,
  1
)</f>
        <v>1</v>
      </c>
      <c r="F1253" s="1">
        <f>_xlfn.XLOOKUP(payments_raw[[#This Row],[subscription_id]], subscriptions[subscription_id], subscriptions[start_date])</f>
        <v>44627</v>
      </c>
      <c r="G125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44824</v>
      </c>
      <c r="H1253" s="2">
        <f>IF(payments_raw[[#This Row],[payment_date]] &lt; payments_raw[[#This Row],[sub_start_date]], 1, 0)</f>
        <v>0</v>
      </c>
      <c r="I1253" s="2">
        <f>IF(AND(payments_raw[[#This Row],[sub_end_date]]&lt;&gt;"", payments_raw[[#This Row],[payment_date]] &gt; payments_raw[[#This Row],[sub_end_date]]), 1, 0)</f>
        <v>0</v>
      </c>
      <c r="J1253" s="2">
        <f>IF(payments_raw[[#This Row],[amount]] &lt;= 0, 1, 0)</f>
        <v>0</v>
      </c>
      <c r="K12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4" spans="1:11" x14ac:dyDescent="0.3">
      <c r="A1254">
        <v>85330755</v>
      </c>
      <c r="B1254">
        <v>2918079</v>
      </c>
      <c r="C1254" s="1">
        <v>45137</v>
      </c>
      <c r="D1254">
        <v>39</v>
      </c>
      <c r="E1254">
        <f>IF(
  ISNA(
    _xlfn.XLOOKUP(
      payments_raw[[#This Row],[subscription_id]],
      subscriptions[subscription_id],
      subscriptions[subscription_id]
    )
  ),
  0,
  1
)</f>
        <v>1</v>
      </c>
      <c r="F1254" s="1">
        <f>_xlfn.XLOOKUP(payments_raw[[#This Row],[subscription_id]], subscriptions[subscription_id], subscriptions[start_date])</f>
        <v>45132</v>
      </c>
      <c r="G12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54" s="2">
        <f>IF(payments_raw[[#This Row],[payment_date]] &lt; payments_raw[[#This Row],[sub_start_date]], 1, 0)</f>
        <v>0</v>
      </c>
      <c r="I1254" s="2">
        <f>IF(AND(payments_raw[[#This Row],[sub_end_date]]&lt;&gt;"", payments_raw[[#This Row],[payment_date]] &gt; payments_raw[[#This Row],[sub_end_date]]), 1, 0)</f>
        <v>0</v>
      </c>
      <c r="J1254" s="2">
        <f>IF(payments_raw[[#This Row],[amount]] &lt;= 0, 1, 0)</f>
        <v>0</v>
      </c>
      <c r="K12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5" spans="1:11" x14ac:dyDescent="0.3">
      <c r="A1255">
        <v>36892617</v>
      </c>
      <c r="B1255">
        <v>7476923</v>
      </c>
      <c r="C1255" s="1">
        <v>45295</v>
      </c>
      <c r="D1255">
        <v>149</v>
      </c>
      <c r="E1255">
        <f>IF(
  ISNA(
    _xlfn.XLOOKUP(
      payments_raw[[#This Row],[subscription_id]],
      subscriptions[subscription_id],
      subscriptions[subscription_id]
    )
  ),
  0,
  1
)</f>
        <v>1</v>
      </c>
      <c r="F1255" s="1">
        <f>_xlfn.XLOOKUP(payments_raw[[#This Row],[subscription_id]], subscriptions[subscription_id], subscriptions[start_date])</f>
        <v>45140</v>
      </c>
      <c r="G12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45368</v>
      </c>
      <c r="H1255" s="2">
        <f>IF(payments_raw[[#This Row],[payment_date]] &lt; payments_raw[[#This Row],[sub_start_date]], 1, 0)</f>
        <v>0</v>
      </c>
      <c r="I1255" s="2">
        <f>IF(AND(payments_raw[[#This Row],[sub_end_date]]&lt;&gt;"", payments_raw[[#This Row],[payment_date]] &gt; payments_raw[[#This Row],[sub_end_date]]), 1, 0)</f>
        <v>0</v>
      </c>
      <c r="J1255" s="2">
        <f>IF(payments_raw[[#This Row],[amount]] &lt;= 0, 1, 0)</f>
        <v>0</v>
      </c>
      <c r="K12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6" spans="1:11" x14ac:dyDescent="0.3">
      <c r="A1256">
        <v>68985501</v>
      </c>
      <c r="B1256">
        <v>2089834</v>
      </c>
      <c r="C1256" s="1">
        <v>45137</v>
      </c>
      <c r="D1256">
        <v>1490</v>
      </c>
      <c r="E1256">
        <f>IF(
  ISNA(
    _xlfn.XLOOKUP(
      payments_raw[[#This Row],[subscription_id]],
      subscriptions[subscription_id],
      subscriptions[subscription_id]
    )
  ),
  0,
  1
)</f>
        <v>1</v>
      </c>
      <c r="F1256" s="1">
        <f>_xlfn.XLOOKUP(payments_raw[[#This Row],[subscription_id]], subscriptions[subscription_id], subscriptions[start_date])</f>
        <v>44877</v>
      </c>
      <c r="G12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56" s="2">
        <f>IF(payments_raw[[#This Row],[payment_date]] &lt; payments_raw[[#This Row],[sub_start_date]], 1, 0)</f>
        <v>0</v>
      </c>
      <c r="I1256" s="2">
        <f>IF(AND(payments_raw[[#This Row],[sub_end_date]]&lt;&gt;"", payments_raw[[#This Row],[payment_date]] &gt; payments_raw[[#This Row],[sub_end_date]]), 1, 0)</f>
        <v>0</v>
      </c>
      <c r="J1256" s="2">
        <f>IF(payments_raw[[#This Row],[amount]] &lt;= 0, 1, 0)</f>
        <v>0</v>
      </c>
      <c r="K12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7" spans="1:11" x14ac:dyDescent="0.3">
      <c r="A1257">
        <v>62831328</v>
      </c>
      <c r="B1257">
        <v>5832995</v>
      </c>
      <c r="C1257" s="1">
        <v>45162</v>
      </c>
      <c r="D1257">
        <v>39</v>
      </c>
      <c r="E1257">
        <f>IF(
  ISNA(
    _xlfn.XLOOKUP(
      payments_raw[[#This Row],[subscription_id]],
      subscriptions[subscription_id],
      subscriptions[subscription_id]
    )
  ),
  0,
  1
)</f>
        <v>1</v>
      </c>
      <c r="F1257" s="1">
        <f>_xlfn.XLOOKUP(payments_raw[[#This Row],[subscription_id]], subscriptions[subscription_id], subscriptions[start_date])</f>
        <v>44715</v>
      </c>
      <c r="G12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57" s="2">
        <f>IF(payments_raw[[#This Row],[payment_date]] &lt; payments_raw[[#This Row],[sub_start_date]], 1, 0)</f>
        <v>0</v>
      </c>
      <c r="I1257" s="2">
        <f>IF(AND(payments_raw[[#This Row],[sub_end_date]]&lt;&gt;"", payments_raw[[#This Row],[payment_date]] &gt; payments_raw[[#This Row],[sub_end_date]]), 1, 0)</f>
        <v>0</v>
      </c>
      <c r="J1257" s="2">
        <f>IF(payments_raw[[#This Row],[amount]] &lt;= 0, 1, 0)</f>
        <v>0</v>
      </c>
      <c r="K12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8" spans="1:11" x14ac:dyDescent="0.3">
      <c r="A1258">
        <v>20594263</v>
      </c>
      <c r="B1258">
        <v>6756692</v>
      </c>
      <c r="C1258" s="1">
        <v>45546</v>
      </c>
      <c r="D1258">
        <v>1490</v>
      </c>
      <c r="E1258">
        <f>IF(
  ISNA(
    _xlfn.XLOOKUP(
      payments_raw[[#This Row],[subscription_id]],
      subscriptions[subscription_id],
      subscriptions[subscription_id]
    )
  ),
  0,
  1
)</f>
        <v>1</v>
      </c>
      <c r="F1258" s="1">
        <f>_xlfn.XLOOKUP(payments_raw[[#This Row],[subscription_id]], subscriptions[subscription_id], subscriptions[start_date])</f>
        <v>45456</v>
      </c>
      <c r="G12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1258" s="2">
        <f>IF(payments_raw[[#This Row],[payment_date]] &lt; payments_raw[[#This Row],[sub_start_date]], 1, 0)</f>
        <v>0</v>
      </c>
      <c r="I1258" s="2">
        <f>IF(AND(payments_raw[[#This Row],[sub_end_date]]&lt;&gt;"", payments_raw[[#This Row],[payment_date]] &gt; payments_raw[[#This Row],[sub_end_date]]), 1, 0)</f>
        <v>0</v>
      </c>
      <c r="J1258" s="2">
        <f>IF(payments_raw[[#This Row],[amount]] &lt;= 0, 1, 0)</f>
        <v>0</v>
      </c>
      <c r="K12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59" spans="1:11" x14ac:dyDescent="0.3">
      <c r="A1259">
        <v>80412756</v>
      </c>
      <c r="B1259">
        <v>3405239</v>
      </c>
      <c r="C1259" s="1">
        <v>45335</v>
      </c>
      <c r="D1259">
        <v>39</v>
      </c>
      <c r="E1259">
        <f>IF(
  ISNA(
    _xlfn.XLOOKUP(
      payments_raw[[#This Row],[subscription_id]],
      subscriptions[subscription_id],
      subscriptions[subscription_id]
    )
  ),
  0,
  1
)</f>
        <v>1</v>
      </c>
      <c r="F1259" s="1">
        <f>_xlfn.XLOOKUP(payments_raw[[#This Row],[subscription_id]], subscriptions[subscription_id], subscriptions[start_date])</f>
        <v>45212</v>
      </c>
      <c r="G12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59" s="2">
        <f>IF(payments_raw[[#This Row],[payment_date]] &lt; payments_raw[[#This Row],[sub_start_date]], 1, 0)</f>
        <v>0</v>
      </c>
      <c r="I1259" s="2">
        <f>IF(AND(payments_raw[[#This Row],[sub_end_date]]&lt;&gt;"", payments_raw[[#This Row],[payment_date]] &gt; payments_raw[[#This Row],[sub_end_date]]), 1, 0)</f>
        <v>0</v>
      </c>
      <c r="J1259" s="2">
        <f>IF(payments_raw[[#This Row],[amount]] &lt;= 0, 1, 0)</f>
        <v>0</v>
      </c>
      <c r="K12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0" spans="1:11" x14ac:dyDescent="0.3">
      <c r="A1260">
        <v>73753876</v>
      </c>
      <c r="B1260">
        <v>2951710</v>
      </c>
      <c r="C1260" s="1">
        <v>45165</v>
      </c>
      <c r="D1260">
        <v>59.25</v>
      </c>
      <c r="E1260">
        <f>IF(
  ISNA(
    _xlfn.XLOOKUP(
      payments_raw[[#This Row],[subscription_id]],
      subscriptions[subscription_id],
      subscriptions[subscription_id]
    )
  ),
  0,
  1
)</f>
        <v>1</v>
      </c>
      <c r="F1260" s="1">
        <f>_xlfn.XLOOKUP(payments_raw[[#This Row],[subscription_id]], subscriptions[subscription_id], subscriptions[start_date])</f>
        <v>45156</v>
      </c>
      <c r="G12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0" s="2">
        <f>IF(payments_raw[[#This Row],[payment_date]] &lt; payments_raw[[#This Row],[sub_start_date]], 1, 0)</f>
        <v>0</v>
      </c>
      <c r="I1260" s="2">
        <f>IF(AND(payments_raw[[#This Row],[sub_end_date]]&lt;&gt;"", payments_raw[[#This Row],[payment_date]] &gt; payments_raw[[#This Row],[sub_end_date]]), 1, 0)</f>
        <v>0</v>
      </c>
      <c r="J1260" s="2">
        <f>IF(payments_raw[[#This Row],[amount]] &lt;= 0, 1, 0)</f>
        <v>0</v>
      </c>
      <c r="K12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1" spans="1:11" x14ac:dyDescent="0.3">
      <c r="A1261">
        <v>64087642</v>
      </c>
      <c r="B1261">
        <v>3568550</v>
      </c>
      <c r="C1261" s="1">
        <v>45371</v>
      </c>
      <c r="D1261">
        <v>390</v>
      </c>
      <c r="E1261">
        <f>IF(
  ISNA(
    _xlfn.XLOOKUP(
      payments_raw[[#This Row],[subscription_id]],
      subscriptions[subscription_id],
      subscriptions[subscription_id]
    )
  ),
  0,
  1
)</f>
        <v>1</v>
      </c>
      <c r="F1261" s="1">
        <f>_xlfn.XLOOKUP(payments_raw[[#This Row],[subscription_id]], subscriptions[subscription_id], subscriptions[start_date])</f>
        <v>45159</v>
      </c>
      <c r="G12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1" s="2">
        <f>IF(payments_raw[[#This Row],[payment_date]] &lt; payments_raw[[#This Row],[sub_start_date]], 1, 0)</f>
        <v>0</v>
      </c>
      <c r="I1261" s="2">
        <f>IF(AND(payments_raw[[#This Row],[sub_end_date]]&lt;&gt;"", payments_raw[[#This Row],[payment_date]] &gt; payments_raw[[#This Row],[sub_end_date]]), 1, 0)</f>
        <v>0</v>
      </c>
      <c r="J1261" s="2">
        <f>IF(payments_raw[[#This Row],[amount]] &lt;= 0, 1, 0)</f>
        <v>0</v>
      </c>
      <c r="K12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2" spans="1:11" x14ac:dyDescent="0.3">
      <c r="A1262">
        <v>51688198</v>
      </c>
      <c r="B1262">
        <v>4020978</v>
      </c>
      <c r="C1262" s="1">
        <v>45260</v>
      </c>
      <c r="D1262">
        <v>39</v>
      </c>
      <c r="E1262">
        <f>IF(
  ISNA(
    _xlfn.XLOOKUP(
      payments_raw[[#This Row],[subscription_id]],
      subscriptions[subscription_id],
      subscriptions[subscription_id]
    )
  ),
  0,
  1
)</f>
        <v>1</v>
      </c>
      <c r="F1262" s="1">
        <f>_xlfn.XLOOKUP(payments_raw[[#This Row],[subscription_id]], subscriptions[subscription_id], subscriptions[start_date])</f>
        <v>45176</v>
      </c>
      <c r="G12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45355</v>
      </c>
      <c r="H1262" s="2">
        <f>IF(payments_raw[[#This Row],[payment_date]] &lt; payments_raw[[#This Row],[sub_start_date]], 1, 0)</f>
        <v>0</v>
      </c>
      <c r="I1262" s="2">
        <f>IF(AND(payments_raw[[#This Row],[sub_end_date]]&lt;&gt;"", payments_raw[[#This Row],[payment_date]] &gt; payments_raw[[#This Row],[sub_end_date]]), 1, 0)</f>
        <v>0</v>
      </c>
      <c r="J1262" s="2">
        <f>IF(payments_raw[[#This Row],[amount]] &lt;= 0, 1, 0)</f>
        <v>0</v>
      </c>
      <c r="K12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3" spans="1:11" x14ac:dyDescent="0.3">
      <c r="A1263">
        <v>13346501</v>
      </c>
      <c r="B1263">
        <v>8955730</v>
      </c>
      <c r="C1263" s="1">
        <v>45044</v>
      </c>
      <c r="D1263">
        <v>19</v>
      </c>
      <c r="E1263">
        <f>IF(
  ISNA(
    _xlfn.XLOOKUP(
      payments_raw[[#This Row],[subscription_id]],
      subscriptions[subscription_id],
      subscriptions[subscription_id]
    )
  ),
  0,
  1
)</f>
        <v>1</v>
      </c>
      <c r="F1263" s="1">
        <f>_xlfn.XLOOKUP(payments_raw[[#This Row],[subscription_id]], subscriptions[subscription_id], subscriptions[start_date])</f>
        <v>44975</v>
      </c>
      <c r="G12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3" s="2">
        <f>IF(payments_raw[[#This Row],[payment_date]] &lt; payments_raw[[#This Row],[sub_start_date]], 1, 0)</f>
        <v>0</v>
      </c>
      <c r="I1263" s="2">
        <f>IF(AND(payments_raw[[#This Row],[sub_end_date]]&lt;&gt;"", payments_raw[[#This Row],[payment_date]] &gt; payments_raw[[#This Row],[sub_end_date]]), 1, 0)</f>
        <v>0</v>
      </c>
      <c r="J1263" s="2">
        <f>IF(payments_raw[[#This Row],[amount]] &lt;= 0, 1, 0)</f>
        <v>0</v>
      </c>
      <c r="K12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4" spans="1:11" x14ac:dyDescent="0.3">
      <c r="A1264">
        <v>16788404</v>
      </c>
      <c r="B1264">
        <v>1510471</v>
      </c>
      <c r="C1264" s="1">
        <v>45583</v>
      </c>
      <c r="D1264">
        <v>19</v>
      </c>
      <c r="E1264">
        <f>IF(
  ISNA(
    _xlfn.XLOOKUP(
      payments_raw[[#This Row],[subscription_id]],
      subscriptions[subscription_id],
      subscriptions[subscription_id]
    )
  ),
  0,
  1
)</f>
        <v>1</v>
      </c>
      <c r="F1264" s="1">
        <f>_xlfn.XLOOKUP(payments_raw[[#This Row],[subscription_id]], subscriptions[subscription_id], subscriptions[start_date])</f>
        <v>45526</v>
      </c>
      <c r="G12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264" s="2">
        <f>IF(payments_raw[[#This Row],[payment_date]] &lt; payments_raw[[#This Row],[sub_start_date]], 1, 0)</f>
        <v>0</v>
      </c>
      <c r="I1264" s="2">
        <f>IF(AND(payments_raw[[#This Row],[sub_end_date]]&lt;&gt;"", payments_raw[[#This Row],[payment_date]] &gt; payments_raw[[#This Row],[sub_end_date]]), 1, 0)</f>
        <v>0</v>
      </c>
      <c r="J1264" s="2">
        <f>IF(payments_raw[[#This Row],[amount]] &lt;= 0, 1, 0)</f>
        <v>0</v>
      </c>
      <c r="K12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5" spans="1:11" x14ac:dyDescent="0.3">
      <c r="A1265">
        <v>99461018</v>
      </c>
      <c r="B1265">
        <v>7779356</v>
      </c>
      <c r="C1265" s="1">
        <v>44794</v>
      </c>
      <c r="D1265">
        <v>1490</v>
      </c>
      <c r="E1265">
        <f>IF(
  ISNA(
    _xlfn.XLOOKUP(
      payments_raw[[#This Row],[subscription_id]],
      subscriptions[subscription_id],
      subscriptions[subscription_id]
    )
  ),
  0,
  1
)</f>
        <v>1</v>
      </c>
      <c r="F1265" s="1">
        <f>_xlfn.XLOOKUP(payments_raw[[#This Row],[subscription_id]], subscriptions[subscription_id], subscriptions[start_date])</f>
        <v>44675</v>
      </c>
      <c r="G126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44886</v>
      </c>
      <c r="H1265" s="2">
        <f>IF(payments_raw[[#This Row],[payment_date]] &lt; payments_raw[[#This Row],[sub_start_date]], 1, 0)</f>
        <v>0</v>
      </c>
      <c r="I1265" s="2">
        <f>IF(AND(payments_raw[[#This Row],[sub_end_date]]&lt;&gt;"", payments_raw[[#This Row],[payment_date]] &gt; payments_raw[[#This Row],[sub_end_date]]), 1, 0)</f>
        <v>0</v>
      </c>
      <c r="J1265" s="2">
        <f>IF(payments_raw[[#This Row],[amount]] &lt;= 0, 1, 0)</f>
        <v>0</v>
      </c>
      <c r="K12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6" spans="1:11" x14ac:dyDescent="0.3">
      <c r="A1266">
        <v>43865364</v>
      </c>
      <c r="B1266">
        <v>9305156</v>
      </c>
      <c r="C1266" s="1">
        <v>44753</v>
      </c>
      <c r="D1266">
        <v>71.099999999999994</v>
      </c>
      <c r="E1266">
        <f>IF(
  ISNA(
    _xlfn.XLOOKUP(
      payments_raw[[#This Row],[subscription_id]],
      subscriptions[subscription_id],
      subscriptions[subscription_id]
    )
  ),
  0,
  1
)</f>
        <v>1</v>
      </c>
      <c r="F1266" s="1">
        <f>_xlfn.XLOOKUP(payments_raw[[#This Row],[subscription_id]], subscriptions[subscription_id], subscriptions[start_date])</f>
        <v>44715</v>
      </c>
      <c r="G12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6" s="2">
        <f>IF(payments_raw[[#This Row],[payment_date]] &lt; payments_raw[[#This Row],[sub_start_date]], 1, 0)</f>
        <v>0</v>
      </c>
      <c r="I1266" s="2">
        <f>IF(AND(payments_raw[[#This Row],[sub_end_date]]&lt;&gt;"", payments_raw[[#This Row],[payment_date]] &gt; payments_raw[[#This Row],[sub_end_date]]), 1, 0)</f>
        <v>0</v>
      </c>
      <c r="J1266" s="2">
        <f>IF(payments_raw[[#This Row],[amount]] &lt;= 0, 1, 0)</f>
        <v>0</v>
      </c>
      <c r="K12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7" spans="1:11" x14ac:dyDescent="0.3">
      <c r="A1267">
        <v>45258217</v>
      </c>
      <c r="B1267">
        <v>5547933</v>
      </c>
      <c r="C1267" s="1">
        <v>45099</v>
      </c>
      <c r="D1267">
        <v>149</v>
      </c>
      <c r="E1267">
        <f>IF(
  ISNA(
    _xlfn.XLOOKUP(
      payments_raw[[#This Row],[subscription_id]],
      subscriptions[subscription_id],
      subscriptions[subscription_id]
    )
  ),
  0,
  1
)</f>
        <v>1</v>
      </c>
      <c r="F1267" s="1">
        <f>_xlfn.XLOOKUP(payments_raw[[#This Row],[subscription_id]], subscriptions[subscription_id], subscriptions[start_date])</f>
        <v>45039</v>
      </c>
      <c r="G12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45180</v>
      </c>
      <c r="H1267" s="2">
        <f>IF(payments_raw[[#This Row],[payment_date]] &lt; payments_raw[[#This Row],[sub_start_date]], 1, 0)</f>
        <v>0</v>
      </c>
      <c r="I1267" s="2">
        <f>IF(AND(payments_raw[[#This Row],[sub_end_date]]&lt;&gt;"", payments_raw[[#This Row],[payment_date]] &gt; payments_raw[[#This Row],[sub_end_date]]), 1, 0)</f>
        <v>0</v>
      </c>
      <c r="J1267" s="2">
        <f>IF(payments_raw[[#This Row],[amount]] &lt;= 0, 1, 0)</f>
        <v>0</v>
      </c>
      <c r="K12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8" spans="1:11" x14ac:dyDescent="0.3">
      <c r="A1268">
        <v>84092834</v>
      </c>
      <c r="B1268">
        <v>8220257</v>
      </c>
      <c r="C1268" s="1">
        <v>45147</v>
      </c>
      <c r="D1268">
        <v>190</v>
      </c>
      <c r="E1268">
        <f>IF(
  ISNA(
    _xlfn.XLOOKUP(
      payments_raw[[#This Row],[subscription_id]],
      subscriptions[subscription_id],
      subscriptions[subscription_id]
    )
  ),
  0,
  1
)</f>
        <v>1</v>
      </c>
      <c r="F1268" s="1">
        <f>_xlfn.XLOOKUP(payments_raw[[#This Row],[subscription_id]], subscriptions[subscription_id], subscriptions[start_date])</f>
        <v>45078</v>
      </c>
      <c r="G12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8" s="2">
        <f>IF(payments_raw[[#This Row],[payment_date]] &lt; payments_raw[[#This Row],[sub_start_date]], 1, 0)</f>
        <v>0</v>
      </c>
      <c r="I1268" s="2">
        <f>IF(AND(payments_raw[[#This Row],[sub_end_date]]&lt;&gt;"", payments_raw[[#This Row],[payment_date]] &gt; payments_raw[[#This Row],[sub_end_date]]), 1, 0)</f>
        <v>0</v>
      </c>
      <c r="J1268" s="2">
        <f>IF(payments_raw[[#This Row],[amount]] &lt;= 0, 1, 0)</f>
        <v>0</v>
      </c>
      <c r="K12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69" spans="1:11" x14ac:dyDescent="0.3">
      <c r="A1269">
        <v>85553948</v>
      </c>
      <c r="B1269">
        <v>1368376</v>
      </c>
      <c r="C1269" s="1">
        <v>45602</v>
      </c>
      <c r="D1269">
        <v>39</v>
      </c>
      <c r="E1269">
        <f>IF(
  ISNA(
    _xlfn.XLOOKUP(
      payments_raw[[#This Row],[subscription_id]],
      subscriptions[subscription_id],
      subscriptions[subscription_id]
    )
  ),
  0,
  1
)</f>
        <v>1</v>
      </c>
      <c r="F1269" s="1">
        <f>_xlfn.XLOOKUP(payments_raw[[#This Row],[subscription_id]], subscriptions[subscription_id], subscriptions[start_date])</f>
        <v>45409</v>
      </c>
      <c r="G12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69" s="2">
        <f>IF(payments_raw[[#This Row],[payment_date]] &lt; payments_raw[[#This Row],[sub_start_date]], 1, 0)</f>
        <v>0</v>
      </c>
      <c r="I1269" s="2">
        <f>IF(AND(payments_raw[[#This Row],[sub_end_date]]&lt;&gt;"", payments_raw[[#This Row],[payment_date]] &gt; payments_raw[[#This Row],[sub_end_date]]), 1, 0)</f>
        <v>0</v>
      </c>
      <c r="J1269" s="2">
        <f>IF(payments_raw[[#This Row],[amount]] &lt;= 0, 1, 0)</f>
        <v>0</v>
      </c>
      <c r="K12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0" spans="1:11" x14ac:dyDescent="0.3">
      <c r="A1270">
        <v>94701395</v>
      </c>
      <c r="B1270">
        <v>1179053</v>
      </c>
      <c r="C1270" s="1">
        <v>45239</v>
      </c>
      <c r="D1270">
        <v>79</v>
      </c>
      <c r="E1270">
        <f>IF(
  ISNA(
    _xlfn.XLOOKUP(
      payments_raw[[#This Row],[subscription_id]],
      subscriptions[subscription_id],
      subscriptions[subscription_id]
    )
  ),
  0,
  1
)</f>
        <v>1</v>
      </c>
      <c r="F1270" s="1">
        <f>_xlfn.XLOOKUP(payments_raw[[#This Row],[subscription_id]], subscriptions[subscription_id], subscriptions[start_date])</f>
        <v>44963</v>
      </c>
      <c r="G12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0" s="2">
        <f>IF(payments_raw[[#This Row],[payment_date]] &lt; payments_raw[[#This Row],[sub_start_date]], 1, 0)</f>
        <v>0</v>
      </c>
      <c r="I1270" s="2">
        <f>IF(AND(payments_raw[[#This Row],[sub_end_date]]&lt;&gt;"", payments_raw[[#This Row],[payment_date]] &gt; payments_raw[[#This Row],[sub_end_date]]), 1, 0)</f>
        <v>0</v>
      </c>
      <c r="J1270" s="2">
        <f>IF(payments_raw[[#This Row],[amount]] &lt;= 0, 1, 0)</f>
        <v>0</v>
      </c>
      <c r="K12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1" spans="1:11" x14ac:dyDescent="0.3">
      <c r="A1271">
        <v>52284889</v>
      </c>
      <c r="B1271">
        <v>4896735</v>
      </c>
      <c r="C1271" s="1">
        <v>45297</v>
      </c>
      <c r="D1271">
        <v>2990</v>
      </c>
      <c r="E1271">
        <f>IF(
  ISNA(
    _xlfn.XLOOKUP(
      payments_raw[[#This Row],[subscription_id]],
      subscriptions[subscription_id],
      subscriptions[subscription_id]
    )
  ),
  0,
  1
)</f>
        <v>1</v>
      </c>
      <c r="F1271" s="1">
        <f>_xlfn.XLOOKUP(payments_raw[[#This Row],[subscription_id]], subscriptions[subscription_id], subscriptions[start_date])</f>
        <v>45170</v>
      </c>
      <c r="G12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1" s="2">
        <f>IF(payments_raw[[#This Row],[payment_date]] &lt; payments_raw[[#This Row],[sub_start_date]], 1, 0)</f>
        <v>0</v>
      </c>
      <c r="I1271" s="2">
        <f>IF(AND(payments_raw[[#This Row],[sub_end_date]]&lt;&gt;"", payments_raw[[#This Row],[payment_date]] &gt; payments_raw[[#This Row],[sub_end_date]]), 1, 0)</f>
        <v>0</v>
      </c>
      <c r="J1271" s="2">
        <f>IF(payments_raw[[#This Row],[amount]] &lt;= 0, 1, 0)</f>
        <v>0</v>
      </c>
      <c r="K12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2" spans="1:11" x14ac:dyDescent="0.3">
      <c r="A1272">
        <v>18828684</v>
      </c>
      <c r="B1272">
        <v>8070014</v>
      </c>
      <c r="C1272" s="1">
        <v>45420</v>
      </c>
      <c r="D1272">
        <v>190</v>
      </c>
      <c r="E1272">
        <f>IF(
  ISNA(
    _xlfn.XLOOKUP(
      payments_raw[[#This Row],[subscription_id]],
      subscriptions[subscription_id],
      subscriptions[subscription_id]
    )
  ),
  0,
  1
)</f>
        <v>1</v>
      </c>
      <c r="F1272" s="1">
        <f>_xlfn.XLOOKUP(payments_raw[[#This Row],[subscription_id]], subscriptions[subscription_id], subscriptions[start_date])</f>
        <v>45096</v>
      </c>
      <c r="G12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2" s="2">
        <f>IF(payments_raw[[#This Row],[payment_date]] &lt; payments_raw[[#This Row],[sub_start_date]], 1, 0)</f>
        <v>0</v>
      </c>
      <c r="I1272" s="2">
        <f>IF(AND(payments_raw[[#This Row],[sub_end_date]]&lt;&gt;"", payments_raw[[#This Row],[payment_date]] &gt; payments_raw[[#This Row],[sub_end_date]]), 1, 0)</f>
        <v>0</v>
      </c>
      <c r="J1272" s="2">
        <f>IF(payments_raw[[#This Row],[amount]] &lt;= 0, 1, 0)</f>
        <v>0</v>
      </c>
      <c r="K12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3" spans="1:11" x14ac:dyDescent="0.3">
      <c r="A1273">
        <v>15676997</v>
      </c>
      <c r="B1273">
        <v>9089526</v>
      </c>
      <c r="C1273" s="1">
        <v>44929</v>
      </c>
      <c r="D1273">
        <v>149</v>
      </c>
      <c r="E1273">
        <f>IF(
  ISNA(
    _xlfn.XLOOKUP(
      payments_raw[[#This Row],[subscription_id]],
      subscriptions[subscription_id],
      subscriptions[subscription_id]
    )
  ),
  0,
  1
)</f>
        <v>1</v>
      </c>
      <c r="F1273" s="1">
        <f>_xlfn.XLOOKUP(payments_raw[[#This Row],[subscription_id]], subscriptions[subscription_id], subscriptions[start_date])</f>
        <v>44668</v>
      </c>
      <c r="G12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3" s="2">
        <f>IF(payments_raw[[#This Row],[payment_date]] &lt; payments_raw[[#This Row],[sub_start_date]], 1, 0)</f>
        <v>0</v>
      </c>
      <c r="I1273" s="2">
        <f>IF(AND(payments_raw[[#This Row],[sub_end_date]]&lt;&gt;"", payments_raw[[#This Row],[payment_date]] &gt; payments_raw[[#This Row],[sub_end_date]]), 1, 0)</f>
        <v>0</v>
      </c>
      <c r="J1273" s="2">
        <f>IF(payments_raw[[#This Row],[amount]] &lt;= 0, 1, 0)</f>
        <v>0</v>
      </c>
      <c r="K12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4" spans="1:11" x14ac:dyDescent="0.3">
      <c r="A1274">
        <v>77355292</v>
      </c>
      <c r="B1274">
        <v>8620600</v>
      </c>
      <c r="C1274" s="1">
        <v>45318</v>
      </c>
      <c r="D1274">
        <v>79</v>
      </c>
      <c r="E1274">
        <f>IF(
  ISNA(
    _xlfn.XLOOKUP(
      payments_raw[[#This Row],[subscription_id]],
      subscriptions[subscription_id],
      subscriptions[subscription_id]
    )
  ),
  0,
  1
)</f>
        <v>1</v>
      </c>
      <c r="F1274" s="1">
        <f>_xlfn.XLOOKUP(payments_raw[[#This Row],[subscription_id]], subscriptions[subscription_id], subscriptions[start_date])</f>
        <v>45299</v>
      </c>
      <c r="G12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4" s="2">
        <f>IF(payments_raw[[#This Row],[payment_date]] &lt; payments_raw[[#This Row],[sub_start_date]], 1, 0)</f>
        <v>0</v>
      </c>
      <c r="I1274" s="2">
        <f>IF(AND(payments_raw[[#This Row],[sub_end_date]]&lt;&gt;"", payments_raw[[#This Row],[payment_date]] &gt; payments_raw[[#This Row],[sub_end_date]]), 1, 0)</f>
        <v>0</v>
      </c>
      <c r="J1274" s="2">
        <f>IF(payments_raw[[#This Row],[amount]] &lt;= 0, 1, 0)</f>
        <v>0</v>
      </c>
      <c r="K12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5" spans="1:11" x14ac:dyDescent="0.3">
      <c r="A1275">
        <v>49947069</v>
      </c>
      <c r="B1275">
        <v>1548189</v>
      </c>
      <c r="C1275" s="1">
        <v>45610</v>
      </c>
      <c r="D1275">
        <v>79</v>
      </c>
      <c r="E1275">
        <f>IF(
  ISNA(
    _xlfn.XLOOKUP(
      payments_raw[[#This Row],[subscription_id]],
      subscriptions[subscription_id],
      subscriptions[subscription_id]
    )
  ),
  0,
  1
)</f>
        <v>1</v>
      </c>
      <c r="F1275" s="1">
        <f>_xlfn.XLOOKUP(payments_raw[[#This Row],[subscription_id]], subscriptions[subscription_id], subscriptions[start_date])</f>
        <v>44593</v>
      </c>
      <c r="G12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75" s="2">
        <f>IF(payments_raw[[#This Row],[payment_date]] &lt; payments_raw[[#This Row],[sub_start_date]], 1, 0)</f>
        <v>0</v>
      </c>
      <c r="I1275" s="2">
        <f>IF(AND(payments_raw[[#This Row],[sub_end_date]]&lt;&gt;"", payments_raw[[#This Row],[payment_date]] &gt; payments_raw[[#This Row],[sub_end_date]]), 1, 0)</f>
        <v>0</v>
      </c>
      <c r="J1275" s="2">
        <f>IF(payments_raw[[#This Row],[amount]] &lt;= 0, 1, 0)</f>
        <v>0</v>
      </c>
      <c r="K12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6" spans="1:11" x14ac:dyDescent="0.3">
      <c r="A1276">
        <v>63016030</v>
      </c>
      <c r="B1276">
        <v>1130589</v>
      </c>
      <c r="C1276" s="1">
        <v>45571</v>
      </c>
      <c r="D1276">
        <v>19</v>
      </c>
      <c r="E1276">
        <f>IF(
  ISNA(
    _xlfn.XLOOKUP(
      payments_raw[[#This Row],[subscription_id]],
      subscriptions[subscription_id],
      subscriptions[subscription_id]
    )
  ),
  0,
  1
)</f>
        <v>1</v>
      </c>
      <c r="F1276" s="1">
        <f>_xlfn.XLOOKUP(payments_raw[[#This Row],[subscription_id]], subscriptions[subscription_id], subscriptions[start_date])</f>
        <v>45319</v>
      </c>
      <c r="G12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45581</v>
      </c>
      <c r="H1276" s="2">
        <f>IF(payments_raw[[#This Row],[payment_date]] &lt; payments_raw[[#This Row],[sub_start_date]], 1, 0)</f>
        <v>0</v>
      </c>
      <c r="I1276" s="2">
        <f>IF(AND(payments_raw[[#This Row],[sub_end_date]]&lt;&gt;"", payments_raw[[#This Row],[payment_date]] &gt; payments_raw[[#This Row],[sub_end_date]]), 1, 0)</f>
        <v>0</v>
      </c>
      <c r="J1276" s="2">
        <f>IF(payments_raw[[#This Row],[amount]] &lt;= 0, 1, 0)</f>
        <v>0</v>
      </c>
      <c r="K12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7" spans="1:11" x14ac:dyDescent="0.3">
      <c r="A1277">
        <v>96976700</v>
      </c>
      <c r="B1277">
        <v>2379281</v>
      </c>
      <c r="C1277" s="1">
        <v>45258</v>
      </c>
      <c r="D1277">
        <v>79</v>
      </c>
      <c r="E1277">
        <f>IF(
  ISNA(
    _xlfn.XLOOKUP(
      payments_raw[[#This Row],[subscription_id]],
      subscriptions[subscription_id],
      subscriptions[subscription_id]
    )
  ),
  0,
  1
)</f>
        <v>1</v>
      </c>
      <c r="F1277" s="1">
        <f>_xlfn.XLOOKUP(payments_raw[[#This Row],[subscription_id]], subscriptions[subscription_id], subscriptions[start_date])</f>
        <v>45225</v>
      </c>
      <c r="G12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45481</v>
      </c>
      <c r="H1277" s="2">
        <f>IF(payments_raw[[#This Row],[payment_date]] &lt; payments_raw[[#This Row],[sub_start_date]], 1, 0)</f>
        <v>0</v>
      </c>
      <c r="I1277" s="2">
        <f>IF(AND(payments_raw[[#This Row],[sub_end_date]]&lt;&gt;"", payments_raw[[#This Row],[payment_date]] &gt; payments_raw[[#This Row],[sub_end_date]]), 1, 0)</f>
        <v>0</v>
      </c>
      <c r="J1277" s="2">
        <f>IF(payments_raw[[#This Row],[amount]] &lt;= 0, 1, 0)</f>
        <v>0</v>
      </c>
      <c r="K12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8" spans="1:11" x14ac:dyDescent="0.3">
      <c r="A1278">
        <v>89231027</v>
      </c>
      <c r="B1278">
        <v>7367900</v>
      </c>
      <c r="C1278" s="1">
        <v>45170</v>
      </c>
      <c r="D1278">
        <v>390</v>
      </c>
      <c r="E1278">
        <f>IF(
  ISNA(
    _xlfn.XLOOKUP(
      payments_raw[[#This Row],[subscription_id]],
      subscriptions[subscription_id],
      subscriptions[subscription_id]
    )
  ),
  0,
  1
)</f>
        <v>1</v>
      </c>
      <c r="F1278" s="1">
        <f>_xlfn.XLOOKUP(payments_raw[[#This Row],[subscription_id]], subscriptions[subscription_id], subscriptions[start_date])</f>
        <v>45114</v>
      </c>
      <c r="G12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1278" s="2">
        <f>IF(payments_raw[[#This Row],[payment_date]] &lt; payments_raw[[#This Row],[sub_start_date]], 1, 0)</f>
        <v>0</v>
      </c>
      <c r="I1278" s="2">
        <f>IF(AND(payments_raw[[#This Row],[sub_end_date]]&lt;&gt;"", payments_raw[[#This Row],[payment_date]] &gt; payments_raw[[#This Row],[sub_end_date]]), 1, 0)</f>
        <v>0</v>
      </c>
      <c r="J1278" s="2">
        <f>IF(payments_raw[[#This Row],[amount]] &lt;= 0, 1, 0)</f>
        <v>0</v>
      </c>
      <c r="K12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79" spans="1:11" x14ac:dyDescent="0.3">
      <c r="A1279">
        <v>65643484</v>
      </c>
      <c r="B1279">
        <v>2242680</v>
      </c>
      <c r="C1279" s="1">
        <v>45597</v>
      </c>
      <c r="D1279">
        <v>19</v>
      </c>
      <c r="E1279">
        <f>IF(
  ISNA(
    _xlfn.XLOOKUP(
      payments_raw[[#This Row],[subscription_id]],
      subscriptions[subscription_id],
      subscriptions[subscription_id]
    )
  ),
  0,
  1
)</f>
        <v>1</v>
      </c>
      <c r="F1279" s="1">
        <f>_xlfn.XLOOKUP(payments_raw[[#This Row],[subscription_id]], subscriptions[subscription_id], subscriptions[start_date])</f>
        <v>45500</v>
      </c>
      <c r="G12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279" s="2">
        <f>IF(payments_raw[[#This Row],[payment_date]] &lt; payments_raw[[#This Row],[sub_start_date]], 1, 0)</f>
        <v>0</v>
      </c>
      <c r="I1279" s="2">
        <f>IF(AND(payments_raw[[#This Row],[sub_end_date]]&lt;&gt;"", payments_raw[[#This Row],[payment_date]] &gt; payments_raw[[#This Row],[sub_end_date]]), 1, 0)</f>
        <v>0</v>
      </c>
      <c r="J1279" s="2">
        <f>IF(payments_raw[[#This Row],[amount]] &lt;= 0, 1, 0)</f>
        <v>0</v>
      </c>
      <c r="K12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0" spans="1:11" x14ac:dyDescent="0.3">
      <c r="A1280">
        <v>49274257</v>
      </c>
      <c r="B1280">
        <v>2003047</v>
      </c>
      <c r="C1280" s="1">
        <v>45167</v>
      </c>
      <c r="D1280">
        <v>390</v>
      </c>
      <c r="E1280">
        <f>IF(
  ISNA(
    _xlfn.XLOOKUP(
      payments_raw[[#This Row],[subscription_id]],
      subscriptions[subscription_id],
      subscriptions[subscription_id]
    )
  ),
  0,
  1
)</f>
        <v>1</v>
      </c>
      <c r="F1280" s="1">
        <f>_xlfn.XLOOKUP(payments_raw[[#This Row],[subscription_id]], subscriptions[subscription_id], subscriptions[start_date])</f>
        <v>45161</v>
      </c>
      <c r="G12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1280" s="2">
        <f>IF(payments_raw[[#This Row],[payment_date]] &lt; payments_raw[[#This Row],[sub_start_date]], 1, 0)</f>
        <v>0</v>
      </c>
      <c r="I1280" s="2">
        <f>IF(AND(payments_raw[[#This Row],[sub_end_date]]&lt;&gt;"", payments_raw[[#This Row],[payment_date]] &gt; payments_raw[[#This Row],[sub_end_date]]), 1, 0)</f>
        <v>0</v>
      </c>
      <c r="J1280" s="2">
        <f>IF(payments_raw[[#This Row],[amount]] &lt;= 0, 1, 0)</f>
        <v>0</v>
      </c>
      <c r="K12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1" spans="1:11" x14ac:dyDescent="0.3">
      <c r="A1281">
        <v>61271711</v>
      </c>
      <c r="B1281">
        <v>2003047</v>
      </c>
      <c r="C1281" s="1">
        <v>45167</v>
      </c>
      <c r="D1281">
        <v>390</v>
      </c>
      <c r="E1281">
        <f>IF(
  ISNA(
    _xlfn.XLOOKUP(
      payments_raw[[#This Row],[subscription_id]],
      subscriptions[subscription_id],
      subscriptions[subscription_id]
    )
  ),
  0,
  1
)</f>
        <v>1</v>
      </c>
      <c r="F1281" s="1">
        <f>_xlfn.XLOOKUP(payments_raw[[#This Row],[subscription_id]], subscriptions[subscription_id], subscriptions[start_date])</f>
        <v>45161</v>
      </c>
      <c r="G12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1281" s="2">
        <f>IF(payments_raw[[#This Row],[payment_date]] &lt; payments_raw[[#This Row],[sub_start_date]], 1, 0)</f>
        <v>0</v>
      </c>
      <c r="I1281" s="2">
        <f>IF(AND(payments_raw[[#This Row],[sub_end_date]]&lt;&gt;"", payments_raw[[#This Row],[payment_date]] &gt; payments_raw[[#This Row],[sub_end_date]]), 1, 0)</f>
        <v>0</v>
      </c>
      <c r="J1281" s="2">
        <f>IF(payments_raw[[#This Row],[amount]] &lt;= 0, 1, 0)</f>
        <v>0</v>
      </c>
      <c r="K12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2" spans="1:11" x14ac:dyDescent="0.3">
      <c r="A1282">
        <v>75089615</v>
      </c>
      <c r="B1282">
        <v>7758043</v>
      </c>
      <c r="C1282" s="1">
        <v>44783</v>
      </c>
      <c r="D1282">
        <v>299</v>
      </c>
      <c r="E1282">
        <f>IF(
  ISNA(
    _xlfn.XLOOKUP(
      payments_raw[[#This Row],[subscription_id]],
      subscriptions[subscription_id],
      subscriptions[subscription_id]
    )
  ),
  0,
  1
)</f>
        <v>1</v>
      </c>
      <c r="F1282" s="1">
        <f>_xlfn.XLOOKUP(payments_raw[[#This Row],[subscription_id]], subscriptions[subscription_id], subscriptions[start_date])</f>
        <v>44637</v>
      </c>
      <c r="G12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44937</v>
      </c>
      <c r="H1282" s="2">
        <f>IF(payments_raw[[#This Row],[payment_date]] &lt; payments_raw[[#This Row],[sub_start_date]], 1, 0)</f>
        <v>0</v>
      </c>
      <c r="I1282" s="2">
        <f>IF(AND(payments_raw[[#This Row],[sub_end_date]]&lt;&gt;"", payments_raw[[#This Row],[payment_date]] &gt; payments_raw[[#This Row],[sub_end_date]]), 1, 0)</f>
        <v>0</v>
      </c>
      <c r="J1282" s="2">
        <f>IF(payments_raw[[#This Row],[amount]] &lt;= 0, 1, 0)</f>
        <v>0</v>
      </c>
      <c r="K12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3" spans="1:11" x14ac:dyDescent="0.3">
      <c r="A1283">
        <v>75098469</v>
      </c>
      <c r="B1283">
        <v>6697318</v>
      </c>
      <c r="C1283" s="1">
        <v>45470</v>
      </c>
      <c r="D1283">
        <v>149</v>
      </c>
      <c r="E1283">
        <f>IF(
  ISNA(
    _xlfn.XLOOKUP(
      payments_raw[[#This Row],[subscription_id]],
      subscriptions[subscription_id],
      subscriptions[subscription_id]
    )
  ),
  0,
  1
)</f>
        <v>1</v>
      </c>
      <c r="F1283" s="1">
        <f>_xlfn.XLOOKUP(payments_raw[[#This Row],[subscription_id]], subscriptions[subscription_id], subscriptions[start_date])</f>
        <v>45348</v>
      </c>
      <c r="G12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45595</v>
      </c>
      <c r="H1283" s="2">
        <f>IF(payments_raw[[#This Row],[payment_date]] &lt; payments_raw[[#This Row],[sub_start_date]], 1, 0)</f>
        <v>0</v>
      </c>
      <c r="I1283" s="2">
        <f>IF(AND(payments_raw[[#This Row],[sub_end_date]]&lt;&gt;"", payments_raw[[#This Row],[payment_date]] &gt; payments_raw[[#This Row],[sub_end_date]]), 1, 0)</f>
        <v>0</v>
      </c>
      <c r="J1283" s="2">
        <f>IF(payments_raw[[#This Row],[amount]] &lt;= 0, 1, 0)</f>
        <v>0</v>
      </c>
      <c r="K12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4" spans="1:11" x14ac:dyDescent="0.3">
      <c r="A1284">
        <v>43318451</v>
      </c>
      <c r="B1284">
        <v>3784106</v>
      </c>
      <c r="C1284" s="1">
        <v>45089</v>
      </c>
      <c r="D1284">
        <v>2990</v>
      </c>
      <c r="E1284">
        <f>IF(
  ISNA(
    _xlfn.XLOOKUP(
      payments_raw[[#This Row],[subscription_id]],
      subscriptions[subscription_id],
      subscriptions[subscription_id]
    )
  ),
  0,
  1
)</f>
        <v>1</v>
      </c>
      <c r="F1284" s="1">
        <f>_xlfn.XLOOKUP(payments_raw[[#This Row],[subscription_id]], subscriptions[subscription_id], subscriptions[start_date])</f>
        <v>44851</v>
      </c>
      <c r="G12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84" s="2">
        <f>IF(payments_raw[[#This Row],[payment_date]] &lt; payments_raw[[#This Row],[sub_start_date]], 1, 0)</f>
        <v>0</v>
      </c>
      <c r="I1284" s="2">
        <f>IF(AND(payments_raw[[#This Row],[sub_end_date]]&lt;&gt;"", payments_raw[[#This Row],[payment_date]] &gt; payments_raw[[#This Row],[sub_end_date]]), 1, 0)</f>
        <v>0</v>
      </c>
      <c r="J1284" s="2">
        <f>IF(payments_raw[[#This Row],[amount]] &lt;= 0, 1, 0)</f>
        <v>0</v>
      </c>
      <c r="K12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5" spans="1:11" x14ac:dyDescent="0.3">
      <c r="A1285">
        <v>53260996</v>
      </c>
      <c r="B1285">
        <v>4515255</v>
      </c>
      <c r="C1285" s="1">
        <v>45404</v>
      </c>
      <c r="D1285">
        <v>19</v>
      </c>
      <c r="E1285">
        <f>IF(
  ISNA(
    _xlfn.XLOOKUP(
      payments_raw[[#This Row],[subscription_id]],
      subscriptions[subscription_id],
      subscriptions[subscription_id]
    )
  ),
  0,
  1
)</f>
        <v>1</v>
      </c>
      <c r="F1285" s="1">
        <f>_xlfn.XLOOKUP(payments_raw[[#This Row],[subscription_id]], subscriptions[subscription_id], subscriptions[start_date])</f>
        <v>45377</v>
      </c>
      <c r="G12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45410</v>
      </c>
      <c r="H1285" s="2">
        <f>IF(payments_raw[[#This Row],[payment_date]] &lt; payments_raw[[#This Row],[sub_start_date]], 1, 0)</f>
        <v>0</v>
      </c>
      <c r="I1285" s="2">
        <f>IF(AND(payments_raw[[#This Row],[sub_end_date]]&lt;&gt;"", payments_raw[[#This Row],[payment_date]] &gt; payments_raw[[#This Row],[sub_end_date]]), 1, 0)</f>
        <v>0</v>
      </c>
      <c r="J1285" s="2">
        <f>IF(payments_raw[[#This Row],[amount]] &lt;= 0, 1, 0)</f>
        <v>0</v>
      </c>
      <c r="K12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6" spans="1:11" x14ac:dyDescent="0.3">
      <c r="A1286">
        <v>79174221</v>
      </c>
      <c r="B1286">
        <v>3978208</v>
      </c>
      <c r="C1286" s="1">
        <v>45187</v>
      </c>
      <c r="D1286">
        <v>39</v>
      </c>
      <c r="E1286">
        <f>IF(
  ISNA(
    _xlfn.XLOOKUP(
      payments_raw[[#This Row],[subscription_id]],
      subscriptions[subscription_id],
      subscriptions[subscription_id]
    )
  ),
  0,
  1
)</f>
        <v>1</v>
      </c>
      <c r="F1286" s="1">
        <f>_xlfn.XLOOKUP(payments_raw[[#This Row],[subscription_id]], subscriptions[subscription_id], subscriptions[start_date])</f>
        <v>45102</v>
      </c>
      <c r="G12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45219</v>
      </c>
      <c r="H1286" s="2">
        <f>IF(payments_raw[[#This Row],[payment_date]] &lt; payments_raw[[#This Row],[sub_start_date]], 1, 0)</f>
        <v>0</v>
      </c>
      <c r="I1286" s="2">
        <f>IF(AND(payments_raw[[#This Row],[sub_end_date]]&lt;&gt;"", payments_raw[[#This Row],[payment_date]] &gt; payments_raw[[#This Row],[sub_end_date]]), 1, 0)</f>
        <v>0</v>
      </c>
      <c r="J1286" s="2">
        <f>IF(payments_raw[[#This Row],[amount]] &lt;= 0, 1, 0)</f>
        <v>0</v>
      </c>
      <c r="K12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7" spans="1:11" x14ac:dyDescent="0.3">
      <c r="A1287">
        <v>48803134</v>
      </c>
      <c r="B1287">
        <v>5415321</v>
      </c>
      <c r="C1287" s="1">
        <v>45486</v>
      </c>
      <c r="D1287">
        <v>190</v>
      </c>
      <c r="E1287">
        <f>IF(
  ISNA(
    _xlfn.XLOOKUP(
      payments_raw[[#This Row],[subscription_id]],
      subscriptions[subscription_id],
      subscriptions[subscription_id]
    )
  ),
  0,
  1
)</f>
        <v>1</v>
      </c>
      <c r="F1287" s="1">
        <f>_xlfn.XLOOKUP(payments_raw[[#This Row],[subscription_id]], subscriptions[subscription_id], subscriptions[start_date])</f>
        <v>44890</v>
      </c>
      <c r="G12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87" s="2">
        <f>IF(payments_raw[[#This Row],[payment_date]] &lt; payments_raw[[#This Row],[sub_start_date]], 1, 0)</f>
        <v>0</v>
      </c>
      <c r="I1287" s="2">
        <f>IF(AND(payments_raw[[#This Row],[sub_end_date]]&lt;&gt;"", payments_raw[[#This Row],[payment_date]] &gt; payments_raw[[#This Row],[sub_end_date]]), 1, 0)</f>
        <v>0</v>
      </c>
      <c r="J1287" s="2">
        <f>IF(payments_raw[[#This Row],[amount]] &lt;= 0, 1, 0)</f>
        <v>0</v>
      </c>
      <c r="K12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8" spans="1:11" x14ac:dyDescent="0.3">
      <c r="A1288">
        <v>25292558</v>
      </c>
      <c r="B1288">
        <v>7380120</v>
      </c>
      <c r="C1288" s="1">
        <v>44845</v>
      </c>
      <c r="D1288">
        <v>1490</v>
      </c>
      <c r="E1288">
        <f>IF(
  ISNA(
    _xlfn.XLOOKUP(
      payments_raw[[#This Row],[subscription_id]],
      subscriptions[subscription_id],
      subscriptions[subscription_id]
    )
  ),
  0,
  1
)</f>
        <v>1</v>
      </c>
      <c r="F1288" s="1">
        <f>_xlfn.XLOOKUP(payments_raw[[#This Row],[subscription_id]], subscriptions[subscription_id], subscriptions[start_date])</f>
        <v>44689</v>
      </c>
      <c r="G128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44904</v>
      </c>
      <c r="H1288" s="2">
        <f>IF(payments_raw[[#This Row],[payment_date]] &lt; payments_raw[[#This Row],[sub_start_date]], 1, 0)</f>
        <v>0</v>
      </c>
      <c r="I1288" s="2">
        <f>IF(AND(payments_raw[[#This Row],[sub_end_date]]&lt;&gt;"", payments_raw[[#This Row],[payment_date]] &gt; payments_raw[[#This Row],[sub_end_date]]), 1, 0)</f>
        <v>0</v>
      </c>
      <c r="J1288" s="2">
        <f>IF(payments_raw[[#This Row],[amount]] &lt;= 0, 1, 0)</f>
        <v>0</v>
      </c>
      <c r="K12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89" spans="1:11" x14ac:dyDescent="0.3">
      <c r="A1289">
        <v>11967696</v>
      </c>
      <c r="B1289">
        <v>2765436</v>
      </c>
      <c r="C1289" s="1">
        <v>45141</v>
      </c>
      <c r="D1289">
        <v>1490</v>
      </c>
      <c r="E1289">
        <f>IF(
  ISNA(
    _xlfn.XLOOKUP(
      payments_raw[[#This Row],[subscription_id]],
      subscriptions[subscription_id],
      subscriptions[subscription_id]
    )
  ),
  0,
  1
)</f>
        <v>1</v>
      </c>
      <c r="F1289" s="1">
        <f>_xlfn.XLOOKUP(payments_raw[[#This Row],[subscription_id]], subscriptions[subscription_id], subscriptions[start_date])</f>
        <v>45073</v>
      </c>
      <c r="G12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89" s="2">
        <f>IF(payments_raw[[#This Row],[payment_date]] &lt; payments_raw[[#This Row],[sub_start_date]], 1, 0)</f>
        <v>0</v>
      </c>
      <c r="I1289" s="2">
        <f>IF(AND(payments_raw[[#This Row],[sub_end_date]]&lt;&gt;"", payments_raw[[#This Row],[payment_date]] &gt; payments_raw[[#This Row],[sub_end_date]]), 1, 0)</f>
        <v>0</v>
      </c>
      <c r="J1289" s="2">
        <f>IF(payments_raw[[#This Row],[amount]] &lt;= 0, 1, 0)</f>
        <v>0</v>
      </c>
      <c r="K12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0" spans="1:11" x14ac:dyDescent="0.3">
      <c r="A1290">
        <v>45448743</v>
      </c>
      <c r="B1290">
        <v>5509606</v>
      </c>
      <c r="C1290" s="1">
        <v>45148</v>
      </c>
      <c r="D1290">
        <v>2990</v>
      </c>
      <c r="E1290">
        <f>IF(
  ISNA(
    _xlfn.XLOOKUP(
      payments_raw[[#This Row],[subscription_id]],
      subscriptions[subscription_id],
      subscriptions[subscription_id]
    )
  ),
  0,
  1
)</f>
        <v>1</v>
      </c>
      <c r="F1290" s="1">
        <f>_xlfn.XLOOKUP(payments_raw[[#This Row],[subscription_id]], subscriptions[subscription_id], subscriptions[start_date])</f>
        <v>44979</v>
      </c>
      <c r="G12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0" s="2">
        <f>IF(payments_raw[[#This Row],[payment_date]] &lt; payments_raw[[#This Row],[sub_start_date]], 1, 0)</f>
        <v>0</v>
      </c>
      <c r="I1290" s="2">
        <f>IF(AND(payments_raw[[#This Row],[sub_end_date]]&lt;&gt;"", payments_raw[[#This Row],[payment_date]] &gt; payments_raw[[#This Row],[sub_end_date]]), 1, 0)</f>
        <v>0</v>
      </c>
      <c r="J1290" s="2">
        <f>IF(payments_raw[[#This Row],[amount]] &lt;= 0, 1, 0)</f>
        <v>0</v>
      </c>
      <c r="K12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1" spans="1:11" x14ac:dyDescent="0.3">
      <c r="A1291">
        <v>98626958</v>
      </c>
      <c r="B1291">
        <v>3137987</v>
      </c>
      <c r="C1291" s="1">
        <v>45262</v>
      </c>
      <c r="D1291">
        <v>14.25</v>
      </c>
      <c r="E1291">
        <f>IF(
  ISNA(
    _xlfn.XLOOKUP(
      payments_raw[[#This Row],[subscription_id]],
      subscriptions[subscription_id],
      subscriptions[subscription_id]
    )
  ),
  0,
  1
)</f>
        <v>1</v>
      </c>
      <c r="F1291" s="1">
        <f>_xlfn.XLOOKUP(payments_raw[[#This Row],[subscription_id]], subscriptions[subscription_id], subscriptions[start_date])</f>
        <v>45227</v>
      </c>
      <c r="G12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45461</v>
      </c>
      <c r="H1291" s="2">
        <f>IF(payments_raw[[#This Row],[payment_date]] &lt; payments_raw[[#This Row],[sub_start_date]], 1, 0)</f>
        <v>0</v>
      </c>
      <c r="I1291" s="2">
        <f>IF(AND(payments_raw[[#This Row],[sub_end_date]]&lt;&gt;"", payments_raw[[#This Row],[payment_date]] &gt; payments_raw[[#This Row],[sub_end_date]]), 1, 0)</f>
        <v>0</v>
      </c>
      <c r="J1291" s="2">
        <f>IF(payments_raw[[#This Row],[amount]] &lt;= 0, 1, 0)</f>
        <v>0</v>
      </c>
      <c r="K12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2" spans="1:11" x14ac:dyDescent="0.3">
      <c r="A1292">
        <v>16842526</v>
      </c>
      <c r="B1292">
        <v>2391959</v>
      </c>
      <c r="C1292" s="1">
        <v>45653</v>
      </c>
      <c r="D1292">
        <v>2990</v>
      </c>
      <c r="E1292">
        <f>IF(
  ISNA(
    _xlfn.XLOOKUP(
      payments_raw[[#This Row],[subscription_id]],
      subscriptions[subscription_id],
      subscriptions[subscription_id]
    )
  ),
  0,
  1
)</f>
        <v>1</v>
      </c>
      <c r="F1292" s="1">
        <f>_xlfn.XLOOKUP(payments_raw[[#This Row],[subscription_id]], subscriptions[subscription_id], subscriptions[start_date])</f>
        <v>45595</v>
      </c>
      <c r="G12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2" s="2">
        <f>IF(payments_raw[[#This Row],[payment_date]] &lt; payments_raw[[#This Row],[sub_start_date]], 1, 0)</f>
        <v>0</v>
      </c>
      <c r="I1292" s="2">
        <f>IF(AND(payments_raw[[#This Row],[sub_end_date]]&lt;&gt;"", payments_raw[[#This Row],[payment_date]] &gt; payments_raw[[#This Row],[sub_end_date]]), 1, 0)</f>
        <v>0</v>
      </c>
      <c r="J1292" s="2">
        <f>IF(payments_raw[[#This Row],[amount]] &lt;= 0, 1, 0)</f>
        <v>0</v>
      </c>
      <c r="K12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3" spans="1:11" x14ac:dyDescent="0.3">
      <c r="A1293">
        <v>82551437</v>
      </c>
      <c r="B1293">
        <v>9466397</v>
      </c>
      <c r="C1293" s="1">
        <v>44978</v>
      </c>
      <c r="D1293">
        <v>299</v>
      </c>
      <c r="E1293">
        <f>IF(
  ISNA(
    _xlfn.XLOOKUP(
      payments_raw[[#This Row],[subscription_id]],
      subscriptions[subscription_id],
      subscriptions[subscription_id]
    )
  ),
  0,
  1
)</f>
        <v>1</v>
      </c>
      <c r="F1293" s="1">
        <f>_xlfn.XLOOKUP(payments_raw[[#This Row],[subscription_id]], subscriptions[subscription_id], subscriptions[start_date])</f>
        <v>44627</v>
      </c>
      <c r="G12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3" s="2">
        <f>IF(payments_raw[[#This Row],[payment_date]] &lt; payments_raw[[#This Row],[sub_start_date]], 1, 0)</f>
        <v>0</v>
      </c>
      <c r="I1293" s="2">
        <f>IF(AND(payments_raw[[#This Row],[sub_end_date]]&lt;&gt;"", payments_raw[[#This Row],[payment_date]] &gt; payments_raw[[#This Row],[sub_end_date]]), 1, 0)</f>
        <v>0</v>
      </c>
      <c r="J1293" s="2">
        <f>IF(payments_raw[[#This Row],[amount]] &lt;= 0, 1, 0)</f>
        <v>0</v>
      </c>
      <c r="K12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4" spans="1:11" x14ac:dyDescent="0.3">
      <c r="A1294">
        <v>65128847</v>
      </c>
      <c r="B1294">
        <v>3705563</v>
      </c>
      <c r="C1294" s="1">
        <v>44750</v>
      </c>
      <c r="D1294">
        <v>190</v>
      </c>
      <c r="E1294">
        <f>IF(
  ISNA(
    _xlfn.XLOOKUP(
      payments_raw[[#This Row],[subscription_id]],
      subscriptions[subscription_id],
      subscriptions[subscription_id]
    )
  ),
  0,
  1
)</f>
        <v>1</v>
      </c>
      <c r="F1294" s="1">
        <f>_xlfn.XLOOKUP(payments_raw[[#This Row],[subscription_id]], subscriptions[subscription_id], subscriptions[start_date])</f>
        <v>44694</v>
      </c>
      <c r="G12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4" s="2">
        <f>IF(payments_raw[[#This Row],[payment_date]] &lt; payments_raw[[#This Row],[sub_start_date]], 1, 0)</f>
        <v>0</v>
      </c>
      <c r="I1294" s="2">
        <f>IF(AND(payments_raw[[#This Row],[sub_end_date]]&lt;&gt;"", payments_raw[[#This Row],[payment_date]] &gt; payments_raw[[#This Row],[sub_end_date]]), 1, 0)</f>
        <v>0</v>
      </c>
      <c r="J1294" s="2">
        <f>IF(payments_raw[[#This Row],[amount]] &lt;= 0, 1, 0)</f>
        <v>0</v>
      </c>
      <c r="K12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5" spans="1:11" x14ac:dyDescent="0.3">
      <c r="A1295">
        <v>98685162</v>
      </c>
      <c r="B1295">
        <v>5245703</v>
      </c>
      <c r="C1295" s="1">
        <v>45415</v>
      </c>
      <c r="D1295">
        <v>79</v>
      </c>
      <c r="E1295">
        <f>IF(
  ISNA(
    _xlfn.XLOOKUP(
      payments_raw[[#This Row],[subscription_id]],
      subscriptions[subscription_id],
      subscriptions[subscription_id]
    )
  ),
  0,
  1
)</f>
        <v>1</v>
      </c>
      <c r="F1295" s="1">
        <f>_xlfn.XLOOKUP(payments_raw[[#This Row],[subscription_id]], subscriptions[subscription_id], subscriptions[start_date])</f>
        <v>45401</v>
      </c>
      <c r="G12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5" s="2">
        <f>IF(payments_raw[[#This Row],[payment_date]] &lt; payments_raw[[#This Row],[sub_start_date]], 1, 0)</f>
        <v>0</v>
      </c>
      <c r="I1295" s="2">
        <f>IF(AND(payments_raw[[#This Row],[sub_end_date]]&lt;&gt;"", payments_raw[[#This Row],[payment_date]] &gt; payments_raw[[#This Row],[sub_end_date]]), 1, 0)</f>
        <v>0</v>
      </c>
      <c r="J1295" s="2">
        <f>IF(payments_raw[[#This Row],[amount]] &lt;= 0, 1, 0)</f>
        <v>0</v>
      </c>
      <c r="K12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6" spans="1:11" x14ac:dyDescent="0.3">
      <c r="A1296">
        <v>98642773</v>
      </c>
      <c r="B1296">
        <v>6827390</v>
      </c>
      <c r="C1296" s="1">
        <v>45632</v>
      </c>
      <c r="D1296">
        <v>299</v>
      </c>
      <c r="E1296">
        <f>IF(
  ISNA(
    _xlfn.XLOOKUP(
      payments_raw[[#This Row],[subscription_id]],
      subscriptions[subscription_id],
      subscriptions[subscription_id]
    )
  ),
  0,
  1
)</f>
        <v>1</v>
      </c>
      <c r="F1296" s="1">
        <f>_xlfn.XLOOKUP(payments_raw[[#This Row],[subscription_id]], subscriptions[subscription_id], subscriptions[start_date])</f>
        <v>45311</v>
      </c>
      <c r="G12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6" s="2">
        <f>IF(payments_raw[[#This Row],[payment_date]] &lt; payments_raw[[#This Row],[sub_start_date]], 1, 0)</f>
        <v>0</v>
      </c>
      <c r="I1296" s="2">
        <f>IF(AND(payments_raw[[#This Row],[sub_end_date]]&lt;&gt;"", payments_raw[[#This Row],[payment_date]] &gt; payments_raw[[#This Row],[sub_end_date]]), 1, 0)</f>
        <v>0</v>
      </c>
      <c r="J1296" s="2">
        <f>IF(payments_raw[[#This Row],[amount]] &lt;= 0, 1, 0)</f>
        <v>0</v>
      </c>
      <c r="K12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7" spans="1:11" x14ac:dyDescent="0.3">
      <c r="A1297">
        <v>83249011</v>
      </c>
      <c r="B1297">
        <v>2627051</v>
      </c>
      <c r="C1297" s="1">
        <v>45414</v>
      </c>
      <c r="D1297">
        <v>390</v>
      </c>
      <c r="E1297">
        <f>IF(
  ISNA(
    _xlfn.XLOOKUP(
      payments_raw[[#This Row],[subscription_id]],
      subscriptions[subscription_id],
      subscriptions[subscription_id]
    )
  ),
  0,
  1
)</f>
        <v>1</v>
      </c>
      <c r="F1297" s="1">
        <f>_xlfn.XLOOKUP(payments_raw[[#This Row],[subscription_id]], subscriptions[subscription_id], subscriptions[start_date])</f>
        <v>45372</v>
      </c>
      <c r="G12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7" s="2">
        <f>IF(payments_raw[[#This Row],[payment_date]] &lt; payments_raw[[#This Row],[sub_start_date]], 1, 0)</f>
        <v>0</v>
      </c>
      <c r="I1297" s="2">
        <f>IF(AND(payments_raw[[#This Row],[sub_end_date]]&lt;&gt;"", payments_raw[[#This Row],[payment_date]] &gt; payments_raw[[#This Row],[sub_end_date]]), 1, 0)</f>
        <v>0</v>
      </c>
      <c r="J1297" s="2">
        <f>IF(payments_raw[[#This Row],[amount]] &lt;= 0, 1, 0)</f>
        <v>0</v>
      </c>
      <c r="K12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8" spans="1:11" x14ac:dyDescent="0.3">
      <c r="A1298">
        <v>92572018</v>
      </c>
      <c r="B1298">
        <v>7635829</v>
      </c>
      <c r="C1298" s="1">
        <v>45616</v>
      </c>
      <c r="D1298">
        <v>190</v>
      </c>
      <c r="E1298">
        <f>IF(
  ISNA(
    _xlfn.XLOOKUP(
      payments_raw[[#This Row],[subscription_id]],
      subscriptions[subscription_id],
      subscriptions[subscription_id]
    )
  ),
  0,
  1
)</f>
        <v>1</v>
      </c>
      <c r="F1298" s="1">
        <f>_xlfn.XLOOKUP(payments_raw[[#This Row],[subscription_id]], subscriptions[subscription_id], subscriptions[start_date])</f>
        <v>45031</v>
      </c>
      <c r="G12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298" s="2">
        <f>IF(payments_raw[[#This Row],[payment_date]] &lt; payments_raw[[#This Row],[sub_start_date]], 1, 0)</f>
        <v>0</v>
      </c>
      <c r="I1298" s="2">
        <f>IF(AND(payments_raw[[#This Row],[sub_end_date]]&lt;&gt;"", payments_raw[[#This Row],[payment_date]] &gt; payments_raw[[#This Row],[sub_end_date]]), 1, 0)</f>
        <v>0</v>
      </c>
      <c r="J1298" s="2">
        <f>IF(payments_raw[[#This Row],[amount]] &lt;= 0, 1, 0)</f>
        <v>0</v>
      </c>
      <c r="K12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299" spans="1:11" x14ac:dyDescent="0.3">
      <c r="A1299">
        <v>77707040</v>
      </c>
      <c r="B1299">
        <v>6756692</v>
      </c>
      <c r="C1299" s="1">
        <v>45605</v>
      </c>
      <c r="D1299">
        <v>1490</v>
      </c>
      <c r="E1299">
        <f>IF(
  ISNA(
    _xlfn.XLOOKUP(
      payments_raw[[#This Row],[subscription_id]],
      subscriptions[subscription_id],
      subscriptions[subscription_id]
    )
  ),
  0,
  1
)</f>
        <v>1</v>
      </c>
      <c r="F1299" s="1">
        <f>_xlfn.XLOOKUP(payments_raw[[#This Row],[subscription_id]], subscriptions[subscription_id], subscriptions[start_date])</f>
        <v>45456</v>
      </c>
      <c r="G12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1299" s="2">
        <f>IF(payments_raw[[#This Row],[payment_date]] &lt; payments_raw[[#This Row],[sub_start_date]], 1, 0)</f>
        <v>0</v>
      </c>
      <c r="I1299" s="2">
        <f>IF(AND(payments_raw[[#This Row],[sub_end_date]]&lt;&gt;"", payments_raw[[#This Row],[payment_date]] &gt; payments_raw[[#This Row],[sub_end_date]]), 1, 0)</f>
        <v>0</v>
      </c>
      <c r="J1299" s="2">
        <f>IF(payments_raw[[#This Row],[amount]] &lt;= 0, 1, 0)</f>
        <v>0</v>
      </c>
      <c r="K12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0" spans="1:11" x14ac:dyDescent="0.3">
      <c r="A1300">
        <v>29677109</v>
      </c>
      <c r="B1300">
        <v>6678849</v>
      </c>
      <c r="C1300" s="1">
        <v>45478</v>
      </c>
      <c r="D1300">
        <v>224.25</v>
      </c>
      <c r="E1300">
        <f>IF(
  ISNA(
    _xlfn.XLOOKUP(
      payments_raw[[#This Row],[subscription_id]],
      subscriptions[subscription_id],
      subscriptions[subscription_id]
    )
  ),
  0,
  1
)</f>
        <v>1</v>
      </c>
      <c r="F1300" s="1">
        <f>_xlfn.XLOOKUP(payments_raw[[#This Row],[subscription_id]], subscriptions[subscription_id], subscriptions[start_date])</f>
        <v>45450</v>
      </c>
      <c r="G13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1300" s="2">
        <f>IF(payments_raw[[#This Row],[payment_date]] &lt; payments_raw[[#This Row],[sub_start_date]], 1, 0)</f>
        <v>0</v>
      </c>
      <c r="I1300" s="2">
        <f>IF(AND(payments_raw[[#This Row],[sub_end_date]]&lt;&gt;"", payments_raw[[#This Row],[payment_date]] &gt; payments_raw[[#This Row],[sub_end_date]]), 1, 0)</f>
        <v>0</v>
      </c>
      <c r="J1300" s="2">
        <f>IF(payments_raw[[#This Row],[amount]] &lt;= 0, 1, 0)</f>
        <v>0</v>
      </c>
      <c r="K13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1" spans="1:11" x14ac:dyDescent="0.3">
      <c r="A1301">
        <v>13008243</v>
      </c>
      <c r="B1301">
        <v>3675009</v>
      </c>
      <c r="C1301" s="1">
        <v>45607</v>
      </c>
      <c r="D1301">
        <v>79</v>
      </c>
      <c r="E1301">
        <f>IF(
  ISNA(
    _xlfn.XLOOKUP(
      payments_raw[[#This Row],[subscription_id]],
      subscriptions[subscription_id],
      subscriptions[subscription_id]
    )
  ),
  0,
  1
)</f>
        <v>1</v>
      </c>
      <c r="F1301" s="1">
        <f>_xlfn.XLOOKUP(payments_raw[[#This Row],[subscription_id]], subscriptions[subscription_id], subscriptions[start_date])</f>
        <v>45420</v>
      </c>
      <c r="G13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1" s="2">
        <f>IF(payments_raw[[#This Row],[payment_date]] &lt; payments_raw[[#This Row],[sub_start_date]], 1, 0)</f>
        <v>0</v>
      </c>
      <c r="I1301" s="2">
        <f>IF(AND(payments_raw[[#This Row],[sub_end_date]]&lt;&gt;"", payments_raw[[#This Row],[payment_date]] &gt; payments_raw[[#This Row],[sub_end_date]]), 1, 0)</f>
        <v>0</v>
      </c>
      <c r="J1301" s="2">
        <f>IF(payments_raw[[#This Row],[amount]] &lt;= 0, 1, 0)</f>
        <v>0</v>
      </c>
      <c r="K13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2" spans="1:11" x14ac:dyDescent="0.3">
      <c r="A1302">
        <v>77598694</v>
      </c>
      <c r="B1302">
        <v>4240681</v>
      </c>
      <c r="C1302" s="1">
        <v>45039</v>
      </c>
      <c r="D1302">
        <v>1490</v>
      </c>
      <c r="E1302">
        <f>IF(
  ISNA(
    _xlfn.XLOOKUP(
      payments_raw[[#This Row],[subscription_id]],
      subscriptions[subscription_id],
      subscriptions[subscription_id]
    )
  ),
  0,
  1
)</f>
        <v>1</v>
      </c>
      <c r="F1302" s="1">
        <f>_xlfn.XLOOKUP(payments_raw[[#This Row],[subscription_id]], subscriptions[subscription_id], subscriptions[start_date])</f>
        <v>44879</v>
      </c>
      <c r="G13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45081</v>
      </c>
      <c r="H1302" s="2">
        <f>IF(payments_raw[[#This Row],[payment_date]] &lt; payments_raw[[#This Row],[sub_start_date]], 1, 0)</f>
        <v>0</v>
      </c>
      <c r="I1302" s="2">
        <f>IF(AND(payments_raw[[#This Row],[sub_end_date]]&lt;&gt;"", payments_raw[[#This Row],[payment_date]] &gt; payments_raw[[#This Row],[sub_end_date]]), 1, 0)</f>
        <v>0</v>
      </c>
      <c r="J1302" s="2">
        <f>IF(payments_raw[[#This Row],[amount]] &lt;= 0, 1, 0)</f>
        <v>0</v>
      </c>
      <c r="K13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3" spans="1:11" x14ac:dyDescent="0.3">
      <c r="A1303">
        <v>48891821</v>
      </c>
      <c r="B1303">
        <v>1028160</v>
      </c>
      <c r="C1303" s="1">
        <v>45536</v>
      </c>
      <c r="D1303">
        <v>79</v>
      </c>
      <c r="E1303">
        <f>IF(
  ISNA(
    _xlfn.XLOOKUP(
      payments_raw[[#This Row],[subscription_id]],
      subscriptions[subscription_id],
      subscriptions[subscription_id]
    )
  ),
  0,
  1
)</f>
        <v>1</v>
      </c>
      <c r="F1303" s="1">
        <f>_xlfn.XLOOKUP(payments_raw[[#This Row],[subscription_id]], subscriptions[subscription_id], subscriptions[start_date])</f>
        <v>45198</v>
      </c>
      <c r="G13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3" s="2">
        <f>IF(payments_raw[[#This Row],[payment_date]] &lt; payments_raw[[#This Row],[sub_start_date]], 1, 0)</f>
        <v>0</v>
      </c>
      <c r="I1303" s="2">
        <f>IF(AND(payments_raw[[#This Row],[sub_end_date]]&lt;&gt;"", payments_raw[[#This Row],[payment_date]] &gt; payments_raw[[#This Row],[sub_end_date]]), 1, 0)</f>
        <v>0</v>
      </c>
      <c r="J1303" s="2">
        <f>IF(payments_raw[[#This Row],[amount]] &lt;= 0, 1, 0)</f>
        <v>0</v>
      </c>
      <c r="K13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4" spans="1:11" x14ac:dyDescent="0.3">
      <c r="A1304">
        <v>19477031</v>
      </c>
      <c r="B1304">
        <v>9837877</v>
      </c>
      <c r="C1304" s="1">
        <v>44877</v>
      </c>
      <c r="D1304">
        <v>2990</v>
      </c>
      <c r="E1304">
        <f>IF(
  ISNA(
    _xlfn.XLOOKUP(
      payments_raw[[#This Row],[subscription_id]],
      subscriptions[subscription_id],
      subscriptions[subscription_id]
    )
  ),
  0,
  1
)</f>
        <v>1</v>
      </c>
      <c r="F1304" s="1">
        <f>_xlfn.XLOOKUP(payments_raw[[#This Row],[subscription_id]], subscriptions[subscription_id], subscriptions[start_date])</f>
        <v>44843</v>
      </c>
      <c r="G130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44879</v>
      </c>
      <c r="H1304" s="2">
        <f>IF(payments_raw[[#This Row],[payment_date]] &lt; payments_raw[[#This Row],[sub_start_date]], 1, 0)</f>
        <v>0</v>
      </c>
      <c r="I1304" s="2">
        <f>IF(AND(payments_raw[[#This Row],[sub_end_date]]&lt;&gt;"", payments_raw[[#This Row],[payment_date]] &gt; payments_raw[[#This Row],[sub_end_date]]), 1, 0)</f>
        <v>0</v>
      </c>
      <c r="J1304" s="2">
        <f>IF(payments_raw[[#This Row],[amount]] &lt;= 0, 1, 0)</f>
        <v>0</v>
      </c>
      <c r="K13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5" spans="1:11" x14ac:dyDescent="0.3">
      <c r="A1305">
        <v>44901404</v>
      </c>
      <c r="B1305">
        <v>8350507</v>
      </c>
      <c r="C1305" s="1">
        <v>45455</v>
      </c>
      <c r="D1305">
        <v>790</v>
      </c>
      <c r="E1305">
        <f>IF(
  ISNA(
    _xlfn.XLOOKUP(
      payments_raw[[#This Row],[subscription_id]],
      subscriptions[subscription_id],
      subscriptions[subscription_id]
    )
  ),
  0,
  1
)</f>
        <v>1</v>
      </c>
      <c r="F1305" s="1">
        <f>_xlfn.XLOOKUP(payments_raw[[#This Row],[subscription_id]], subscriptions[subscription_id], subscriptions[start_date])</f>
        <v>45144</v>
      </c>
      <c r="G13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5" s="2">
        <f>IF(payments_raw[[#This Row],[payment_date]] &lt; payments_raw[[#This Row],[sub_start_date]], 1, 0)</f>
        <v>0</v>
      </c>
      <c r="I1305" s="2">
        <f>IF(AND(payments_raw[[#This Row],[sub_end_date]]&lt;&gt;"", payments_raw[[#This Row],[payment_date]] &gt; payments_raw[[#This Row],[sub_end_date]]), 1, 0)</f>
        <v>0</v>
      </c>
      <c r="J1305" s="2">
        <f>IF(payments_raw[[#This Row],[amount]] &lt;= 0, 1, 0)</f>
        <v>0</v>
      </c>
      <c r="K13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6" spans="1:11" x14ac:dyDescent="0.3">
      <c r="A1306">
        <v>31570979</v>
      </c>
      <c r="B1306">
        <v>2985184</v>
      </c>
      <c r="C1306" s="1">
        <v>45510</v>
      </c>
      <c r="D1306">
        <v>1490</v>
      </c>
      <c r="E1306">
        <f>IF(
  ISNA(
    _xlfn.XLOOKUP(
      payments_raw[[#This Row],[subscription_id]],
      subscriptions[subscription_id],
      subscriptions[subscription_id]
    )
  ),
  0,
  1
)</f>
        <v>1</v>
      </c>
      <c r="F1306" s="1">
        <f>_xlfn.XLOOKUP(payments_raw[[#This Row],[subscription_id]], subscriptions[subscription_id], subscriptions[start_date])</f>
        <v>44734</v>
      </c>
      <c r="G13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6" s="2">
        <f>IF(payments_raw[[#This Row],[payment_date]] &lt; payments_raw[[#This Row],[sub_start_date]], 1, 0)</f>
        <v>0</v>
      </c>
      <c r="I1306" s="2">
        <f>IF(AND(payments_raw[[#This Row],[sub_end_date]]&lt;&gt;"", payments_raw[[#This Row],[payment_date]] &gt; payments_raw[[#This Row],[sub_end_date]]), 1, 0)</f>
        <v>0</v>
      </c>
      <c r="J1306" s="2">
        <f>IF(payments_raw[[#This Row],[amount]] &lt;= 0, 1, 0)</f>
        <v>0</v>
      </c>
      <c r="K13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7" spans="1:11" x14ac:dyDescent="0.3">
      <c r="A1307">
        <v>57788337</v>
      </c>
      <c r="B1307">
        <v>8493255</v>
      </c>
      <c r="C1307" s="1">
        <v>45603</v>
      </c>
      <c r="D1307">
        <v>19</v>
      </c>
      <c r="E1307">
        <f>IF(
  ISNA(
    _xlfn.XLOOKUP(
      payments_raw[[#This Row],[subscription_id]],
      subscriptions[subscription_id],
      subscriptions[subscription_id]
    )
  ),
  0,
  1
)</f>
        <v>1</v>
      </c>
      <c r="F1307" s="1">
        <f>_xlfn.XLOOKUP(payments_raw[[#This Row],[subscription_id]], subscriptions[subscription_id], subscriptions[start_date])</f>
        <v>45069</v>
      </c>
      <c r="G13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7" s="2">
        <f>IF(payments_raw[[#This Row],[payment_date]] &lt; payments_raw[[#This Row],[sub_start_date]], 1, 0)</f>
        <v>0</v>
      </c>
      <c r="I1307" s="2">
        <f>IF(AND(payments_raw[[#This Row],[sub_end_date]]&lt;&gt;"", payments_raw[[#This Row],[payment_date]] &gt; payments_raw[[#This Row],[sub_end_date]]), 1, 0)</f>
        <v>0</v>
      </c>
      <c r="J1307" s="2">
        <f>IF(payments_raw[[#This Row],[amount]] &lt;= 0, 1, 0)</f>
        <v>0</v>
      </c>
      <c r="K13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8" spans="1:11" x14ac:dyDescent="0.3">
      <c r="A1308">
        <v>41291228</v>
      </c>
      <c r="B1308">
        <v>2923507</v>
      </c>
      <c r="C1308" s="1">
        <v>45076</v>
      </c>
      <c r="D1308">
        <v>190</v>
      </c>
      <c r="E1308">
        <f>IF(
  ISNA(
    _xlfn.XLOOKUP(
      payments_raw[[#This Row],[subscription_id]],
      subscriptions[subscription_id],
      subscriptions[subscription_id]
    )
  ),
  0,
  1
)</f>
        <v>1</v>
      </c>
      <c r="F1308" s="1">
        <f>_xlfn.XLOOKUP(payments_raw[[#This Row],[subscription_id]], subscriptions[subscription_id], subscriptions[start_date])</f>
        <v>44930</v>
      </c>
      <c r="G13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45179</v>
      </c>
      <c r="H1308" s="2">
        <f>IF(payments_raw[[#This Row],[payment_date]] &lt; payments_raw[[#This Row],[sub_start_date]], 1, 0)</f>
        <v>0</v>
      </c>
      <c r="I1308" s="2">
        <f>IF(AND(payments_raw[[#This Row],[sub_end_date]]&lt;&gt;"", payments_raw[[#This Row],[payment_date]] &gt; payments_raw[[#This Row],[sub_end_date]]), 1, 0)</f>
        <v>0</v>
      </c>
      <c r="J1308" s="2">
        <f>IF(payments_raw[[#This Row],[amount]] &lt;= 0, 1, 0)</f>
        <v>0</v>
      </c>
      <c r="K13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09" spans="1:11" x14ac:dyDescent="0.3">
      <c r="A1309">
        <v>78027985</v>
      </c>
      <c r="B1309">
        <v>8668568</v>
      </c>
      <c r="C1309" s="1">
        <v>45190</v>
      </c>
      <c r="D1309">
        <v>790</v>
      </c>
      <c r="E1309">
        <f>IF(
  ISNA(
    _xlfn.XLOOKUP(
      payments_raw[[#This Row],[subscription_id]],
      subscriptions[subscription_id],
      subscriptions[subscription_id]
    )
  ),
  0,
  1
)</f>
        <v>1</v>
      </c>
      <c r="F1309" s="1">
        <f>_xlfn.XLOOKUP(payments_raw[[#This Row],[subscription_id]], subscriptions[subscription_id], subscriptions[start_date])</f>
        <v>44808</v>
      </c>
      <c r="G13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09" s="2">
        <f>IF(payments_raw[[#This Row],[payment_date]] &lt; payments_raw[[#This Row],[sub_start_date]], 1, 0)</f>
        <v>0</v>
      </c>
      <c r="I1309" s="2">
        <f>IF(AND(payments_raw[[#This Row],[sub_end_date]]&lt;&gt;"", payments_raw[[#This Row],[payment_date]] &gt; payments_raw[[#This Row],[sub_end_date]]), 1, 0)</f>
        <v>0</v>
      </c>
      <c r="J1309" s="2">
        <f>IF(payments_raw[[#This Row],[amount]] &lt;= 0, 1, 0)</f>
        <v>0</v>
      </c>
      <c r="K13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0" spans="1:11" x14ac:dyDescent="0.3">
      <c r="A1310">
        <v>11548070</v>
      </c>
      <c r="B1310">
        <v>1443289</v>
      </c>
      <c r="C1310" s="1">
        <v>45562</v>
      </c>
      <c r="D1310">
        <v>149</v>
      </c>
      <c r="E1310">
        <f>IF(
  ISNA(
    _xlfn.XLOOKUP(
      payments_raw[[#This Row],[subscription_id]],
      subscriptions[subscription_id],
      subscriptions[subscription_id]
    )
  ),
  0,
  1
)</f>
        <v>1</v>
      </c>
      <c r="F1310" s="1">
        <f>_xlfn.XLOOKUP(payments_raw[[#This Row],[subscription_id]], subscriptions[subscription_id], subscriptions[start_date])</f>
        <v>45424</v>
      </c>
      <c r="G13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0" s="2">
        <f>IF(payments_raw[[#This Row],[payment_date]] &lt; payments_raw[[#This Row],[sub_start_date]], 1, 0)</f>
        <v>0</v>
      </c>
      <c r="I1310" s="2">
        <f>IF(AND(payments_raw[[#This Row],[sub_end_date]]&lt;&gt;"", payments_raw[[#This Row],[payment_date]] &gt; payments_raw[[#This Row],[sub_end_date]]), 1, 0)</f>
        <v>0</v>
      </c>
      <c r="J1310" s="2">
        <f>IF(payments_raw[[#This Row],[amount]] &lt;= 0, 1, 0)</f>
        <v>0</v>
      </c>
      <c r="K13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1" spans="1:11" x14ac:dyDescent="0.3">
      <c r="A1311">
        <v>13448448</v>
      </c>
      <c r="B1311">
        <v>2818665</v>
      </c>
      <c r="C1311" s="1">
        <v>45040</v>
      </c>
      <c r="D1311">
        <v>299</v>
      </c>
      <c r="E1311">
        <f>IF(
  ISNA(
    _xlfn.XLOOKUP(
      payments_raw[[#This Row],[subscription_id]],
      subscriptions[subscription_id],
      subscriptions[subscription_id]
    )
  ),
  0,
  1
)</f>
        <v>1</v>
      </c>
      <c r="F1311" s="1">
        <f>_xlfn.XLOOKUP(payments_raw[[#This Row],[subscription_id]], subscriptions[subscription_id], subscriptions[start_date])</f>
        <v>44775</v>
      </c>
      <c r="G13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1" s="2">
        <f>IF(payments_raw[[#This Row],[payment_date]] &lt; payments_raw[[#This Row],[sub_start_date]], 1, 0)</f>
        <v>0</v>
      </c>
      <c r="I1311" s="2">
        <f>IF(AND(payments_raw[[#This Row],[sub_end_date]]&lt;&gt;"", payments_raw[[#This Row],[payment_date]] &gt; payments_raw[[#This Row],[sub_end_date]]), 1, 0)</f>
        <v>0</v>
      </c>
      <c r="J1311" s="2">
        <f>IF(payments_raw[[#This Row],[amount]] &lt;= 0, 1, 0)</f>
        <v>0</v>
      </c>
      <c r="K13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2" spans="1:11" x14ac:dyDescent="0.3">
      <c r="A1312">
        <v>66208717</v>
      </c>
      <c r="B1312">
        <v>1004141</v>
      </c>
      <c r="C1312" s="1">
        <v>45466</v>
      </c>
      <c r="D1312">
        <v>149</v>
      </c>
      <c r="E1312">
        <f>IF(
  ISNA(
    _xlfn.XLOOKUP(
      payments_raw[[#This Row],[subscription_id]],
      subscriptions[subscription_id],
      subscriptions[subscription_id]
    )
  ),
  0,
  1
)</f>
        <v>1</v>
      </c>
      <c r="F1312" s="1">
        <f>_xlfn.XLOOKUP(payments_raw[[#This Row],[subscription_id]], subscriptions[subscription_id], subscriptions[start_date])</f>
        <v>45224</v>
      </c>
      <c r="G13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2" s="2">
        <f>IF(payments_raw[[#This Row],[payment_date]] &lt; payments_raw[[#This Row],[sub_start_date]], 1, 0)</f>
        <v>0</v>
      </c>
      <c r="I1312" s="2">
        <f>IF(AND(payments_raw[[#This Row],[sub_end_date]]&lt;&gt;"", payments_raw[[#This Row],[payment_date]] &gt; payments_raw[[#This Row],[sub_end_date]]), 1, 0)</f>
        <v>0</v>
      </c>
      <c r="J1312" s="2">
        <f>IF(payments_raw[[#This Row],[amount]] &lt;= 0, 1, 0)</f>
        <v>0</v>
      </c>
      <c r="K13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3" spans="1:11" x14ac:dyDescent="0.3">
      <c r="A1313">
        <v>99467394</v>
      </c>
      <c r="B1313">
        <v>9900282</v>
      </c>
      <c r="C1313" s="1">
        <v>45330</v>
      </c>
      <c r="D1313">
        <v>390</v>
      </c>
      <c r="E1313">
        <f>IF(
  ISNA(
    _xlfn.XLOOKUP(
      payments_raw[[#This Row],[subscription_id]],
      subscriptions[subscription_id],
      subscriptions[subscription_id]
    )
  ),
  0,
  1
)</f>
        <v>1</v>
      </c>
      <c r="F1313" s="1">
        <f>_xlfn.XLOOKUP(payments_raw[[#This Row],[subscription_id]], subscriptions[subscription_id], subscriptions[start_date])</f>
        <v>45283</v>
      </c>
      <c r="G13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3" s="2">
        <f>IF(payments_raw[[#This Row],[payment_date]] &lt; payments_raw[[#This Row],[sub_start_date]], 1, 0)</f>
        <v>0</v>
      </c>
      <c r="I1313" s="2">
        <f>IF(AND(payments_raw[[#This Row],[sub_end_date]]&lt;&gt;"", payments_raw[[#This Row],[payment_date]] &gt; payments_raw[[#This Row],[sub_end_date]]), 1, 0)</f>
        <v>0</v>
      </c>
      <c r="J1313" s="2">
        <f>IF(payments_raw[[#This Row],[amount]] &lt;= 0, 1, 0)</f>
        <v>0</v>
      </c>
      <c r="K13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4" spans="1:11" x14ac:dyDescent="0.3">
      <c r="A1314">
        <v>34136369</v>
      </c>
      <c r="B1314">
        <v>6983579</v>
      </c>
      <c r="C1314" s="1">
        <v>45236</v>
      </c>
      <c r="D1314">
        <v>19</v>
      </c>
      <c r="E1314">
        <f>IF(
  ISNA(
    _xlfn.XLOOKUP(
      payments_raw[[#This Row],[subscription_id]],
      subscriptions[subscription_id],
      subscriptions[subscription_id]
    )
  ),
  0,
  1
)</f>
        <v>1</v>
      </c>
      <c r="F1314" s="1">
        <f>_xlfn.XLOOKUP(payments_raw[[#This Row],[subscription_id]], subscriptions[subscription_id], subscriptions[start_date])</f>
        <v>45140</v>
      </c>
      <c r="G13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1314" s="2">
        <f>IF(payments_raw[[#This Row],[payment_date]] &lt; payments_raw[[#This Row],[sub_start_date]], 1, 0)</f>
        <v>0</v>
      </c>
      <c r="I1314" s="2">
        <f>IF(AND(payments_raw[[#This Row],[sub_end_date]]&lt;&gt;"", payments_raw[[#This Row],[payment_date]] &gt; payments_raw[[#This Row],[sub_end_date]]), 1, 0)</f>
        <v>0</v>
      </c>
      <c r="J1314" s="2">
        <f>IF(payments_raw[[#This Row],[amount]] &lt;= 0, 1, 0)</f>
        <v>0</v>
      </c>
      <c r="K13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5" spans="1:11" x14ac:dyDescent="0.3">
      <c r="A1315">
        <v>21425691</v>
      </c>
      <c r="B1315">
        <v>7222701</v>
      </c>
      <c r="C1315" s="1">
        <v>45535</v>
      </c>
      <c r="D1315">
        <v>39</v>
      </c>
      <c r="E1315">
        <f>IF(
  ISNA(
    _xlfn.XLOOKUP(
      payments_raw[[#This Row],[subscription_id]],
      subscriptions[subscription_id],
      subscriptions[subscription_id]
    )
  ),
  0,
  1
)</f>
        <v>1</v>
      </c>
      <c r="F1315" s="1">
        <f>_xlfn.XLOOKUP(payments_raw[[#This Row],[subscription_id]], subscriptions[subscription_id], subscriptions[start_date])</f>
        <v>45459</v>
      </c>
      <c r="G13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315" s="2">
        <f>IF(payments_raw[[#This Row],[payment_date]] &lt; payments_raw[[#This Row],[sub_start_date]], 1, 0)</f>
        <v>0</v>
      </c>
      <c r="I1315" s="2">
        <f>IF(AND(payments_raw[[#This Row],[sub_end_date]]&lt;&gt;"", payments_raw[[#This Row],[payment_date]] &gt; payments_raw[[#This Row],[sub_end_date]]), 1, 0)</f>
        <v>0</v>
      </c>
      <c r="J1315" s="2">
        <f>IF(payments_raw[[#This Row],[amount]] &lt;= 0, 1, 0)</f>
        <v>0</v>
      </c>
      <c r="K13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6" spans="1:11" x14ac:dyDescent="0.3">
      <c r="A1316">
        <v>22281419</v>
      </c>
      <c r="B1316">
        <v>4838024</v>
      </c>
      <c r="C1316" s="1">
        <v>45197</v>
      </c>
      <c r="D1316">
        <v>790</v>
      </c>
      <c r="E1316">
        <f>IF(
  ISNA(
    _xlfn.XLOOKUP(
      payments_raw[[#This Row],[subscription_id]],
      subscriptions[subscription_id],
      subscriptions[subscription_id]
    )
  ),
  0,
  1
)</f>
        <v>1</v>
      </c>
      <c r="F1316" s="1">
        <f>_xlfn.XLOOKUP(payments_raw[[#This Row],[subscription_id]], subscriptions[subscription_id], subscriptions[start_date])</f>
        <v>45187</v>
      </c>
      <c r="G13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1316" s="2">
        <f>IF(payments_raw[[#This Row],[payment_date]] &lt; payments_raw[[#This Row],[sub_start_date]], 1, 0)</f>
        <v>0</v>
      </c>
      <c r="I1316" s="2">
        <f>IF(AND(payments_raw[[#This Row],[sub_end_date]]&lt;&gt;"", payments_raw[[#This Row],[payment_date]] &gt; payments_raw[[#This Row],[sub_end_date]]), 1, 0)</f>
        <v>0</v>
      </c>
      <c r="J1316" s="2">
        <f>IF(payments_raw[[#This Row],[amount]] &lt;= 0, 1, 0)</f>
        <v>0</v>
      </c>
      <c r="K13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7" spans="1:11" x14ac:dyDescent="0.3">
      <c r="A1317">
        <v>78571606</v>
      </c>
      <c r="B1317">
        <v>4139098</v>
      </c>
      <c r="C1317" s="1">
        <v>45642</v>
      </c>
      <c r="D1317">
        <v>79</v>
      </c>
      <c r="E1317">
        <f>IF(
  ISNA(
    _xlfn.XLOOKUP(
      payments_raw[[#This Row],[subscription_id]],
      subscriptions[subscription_id],
      subscriptions[subscription_id]
    )
  ),
  0,
  1
)</f>
        <v>1</v>
      </c>
      <c r="F1317" s="1">
        <f>_xlfn.XLOOKUP(payments_raw[[#This Row],[subscription_id]], subscriptions[subscription_id], subscriptions[start_date])</f>
        <v>45579</v>
      </c>
      <c r="G13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7" s="2">
        <f>IF(payments_raw[[#This Row],[payment_date]] &lt; payments_raw[[#This Row],[sub_start_date]], 1, 0)</f>
        <v>0</v>
      </c>
      <c r="I1317" s="2">
        <f>IF(AND(payments_raw[[#This Row],[sub_end_date]]&lt;&gt;"", payments_raw[[#This Row],[payment_date]] &gt; payments_raw[[#This Row],[sub_end_date]]), 1, 0)</f>
        <v>0</v>
      </c>
      <c r="J1317" s="2">
        <f>IF(payments_raw[[#This Row],[amount]] &lt;= 0, 1, 0)</f>
        <v>0</v>
      </c>
      <c r="K13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8" spans="1:11" x14ac:dyDescent="0.3">
      <c r="A1318">
        <v>89246165</v>
      </c>
      <c r="B1318">
        <v>7355220</v>
      </c>
      <c r="C1318" s="1">
        <v>45385</v>
      </c>
      <c r="D1318">
        <v>149</v>
      </c>
      <c r="E1318">
        <f>IF(
  ISNA(
    _xlfn.XLOOKUP(
      payments_raw[[#This Row],[subscription_id]],
      subscriptions[subscription_id],
      subscriptions[subscription_id]
    )
  ),
  0,
  1
)</f>
        <v>1</v>
      </c>
      <c r="F1318" s="1">
        <f>_xlfn.XLOOKUP(payments_raw[[#This Row],[subscription_id]], subscriptions[subscription_id], subscriptions[start_date])</f>
        <v>45109</v>
      </c>
      <c r="G13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8" s="2">
        <f>IF(payments_raw[[#This Row],[payment_date]] &lt; payments_raw[[#This Row],[sub_start_date]], 1, 0)</f>
        <v>0</v>
      </c>
      <c r="I1318" s="2">
        <f>IF(AND(payments_raw[[#This Row],[sub_end_date]]&lt;&gt;"", payments_raw[[#This Row],[payment_date]] &gt; payments_raw[[#This Row],[sub_end_date]]), 1, 0)</f>
        <v>0</v>
      </c>
      <c r="J1318" s="2">
        <f>IF(payments_raw[[#This Row],[amount]] &lt;= 0, 1, 0)</f>
        <v>0</v>
      </c>
      <c r="K13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19" spans="1:11" x14ac:dyDescent="0.3">
      <c r="A1319">
        <v>90517444</v>
      </c>
      <c r="B1319">
        <v>9808972</v>
      </c>
      <c r="C1319" s="1">
        <v>45577</v>
      </c>
      <c r="D1319">
        <v>299</v>
      </c>
      <c r="E1319">
        <f>IF(
  ISNA(
    _xlfn.XLOOKUP(
      payments_raw[[#This Row],[subscription_id]],
      subscriptions[subscription_id],
      subscriptions[subscription_id]
    )
  ),
  0,
  1
)</f>
        <v>1</v>
      </c>
      <c r="F1319" s="1">
        <f>_xlfn.XLOOKUP(payments_raw[[#This Row],[subscription_id]], subscriptions[subscription_id], subscriptions[start_date])</f>
        <v>45361</v>
      </c>
      <c r="G13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19" s="2">
        <f>IF(payments_raw[[#This Row],[payment_date]] &lt; payments_raw[[#This Row],[sub_start_date]], 1, 0)</f>
        <v>0</v>
      </c>
      <c r="I1319" s="2">
        <f>IF(AND(payments_raw[[#This Row],[sub_end_date]]&lt;&gt;"", payments_raw[[#This Row],[payment_date]] &gt; payments_raw[[#This Row],[sub_end_date]]), 1, 0)</f>
        <v>0</v>
      </c>
      <c r="J1319" s="2">
        <f>IF(payments_raw[[#This Row],[amount]] &lt;= 0, 1, 0)</f>
        <v>0</v>
      </c>
      <c r="K13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0" spans="1:11" x14ac:dyDescent="0.3">
      <c r="A1320">
        <v>77737903</v>
      </c>
      <c r="B1320">
        <v>1424388</v>
      </c>
      <c r="C1320" s="1">
        <v>45387</v>
      </c>
      <c r="D1320">
        <v>190</v>
      </c>
      <c r="E1320">
        <f>IF(
  ISNA(
    _xlfn.XLOOKUP(
      payments_raw[[#This Row],[subscription_id]],
      subscriptions[subscription_id],
      subscriptions[subscription_id]
    )
  ),
  0,
  1
)</f>
        <v>1</v>
      </c>
      <c r="F1320" s="1">
        <f>_xlfn.XLOOKUP(payments_raw[[#This Row],[subscription_id]], subscriptions[subscription_id], subscriptions[start_date])</f>
        <v>45310</v>
      </c>
      <c r="G13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1320" s="2">
        <f>IF(payments_raw[[#This Row],[payment_date]] &lt; payments_raw[[#This Row],[sub_start_date]], 1, 0)</f>
        <v>0</v>
      </c>
      <c r="I1320" s="2">
        <f>IF(AND(payments_raw[[#This Row],[sub_end_date]]&lt;&gt;"", payments_raw[[#This Row],[payment_date]] &gt; payments_raw[[#This Row],[sub_end_date]]), 1, 0)</f>
        <v>0</v>
      </c>
      <c r="J1320" s="2">
        <f>IF(payments_raw[[#This Row],[amount]] &lt;= 0, 1, 0)</f>
        <v>0</v>
      </c>
      <c r="K13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1" spans="1:11" x14ac:dyDescent="0.3">
      <c r="A1321">
        <v>62627379</v>
      </c>
      <c r="B1321">
        <v>2001936</v>
      </c>
      <c r="C1321" s="1">
        <v>45281</v>
      </c>
      <c r="D1321">
        <v>149</v>
      </c>
      <c r="E1321">
        <f>IF(
  ISNA(
    _xlfn.XLOOKUP(
      payments_raw[[#This Row],[subscription_id]],
      subscriptions[subscription_id],
      subscriptions[subscription_id]
    )
  ),
  0,
  1
)</f>
        <v>1</v>
      </c>
      <c r="F1321" s="1">
        <f>_xlfn.XLOOKUP(payments_raw[[#This Row],[subscription_id]], subscriptions[subscription_id], subscriptions[start_date])</f>
        <v>45133</v>
      </c>
      <c r="G13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45359</v>
      </c>
      <c r="H1321" s="2">
        <f>IF(payments_raw[[#This Row],[payment_date]] &lt; payments_raw[[#This Row],[sub_start_date]], 1, 0)</f>
        <v>0</v>
      </c>
      <c r="I1321" s="2">
        <f>IF(AND(payments_raw[[#This Row],[sub_end_date]]&lt;&gt;"", payments_raw[[#This Row],[payment_date]] &gt; payments_raw[[#This Row],[sub_end_date]]), 1, 0)</f>
        <v>0</v>
      </c>
      <c r="J1321" s="2">
        <f>IF(payments_raw[[#This Row],[amount]] &lt;= 0, 1, 0)</f>
        <v>0</v>
      </c>
      <c r="K13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2" spans="1:11" x14ac:dyDescent="0.3">
      <c r="A1322">
        <v>99962943</v>
      </c>
      <c r="B1322">
        <v>9305156</v>
      </c>
      <c r="C1322" s="1">
        <v>45583</v>
      </c>
      <c r="D1322">
        <v>79</v>
      </c>
      <c r="E1322">
        <f>IF(
  ISNA(
    _xlfn.XLOOKUP(
      payments_raw[[#This Row],[subscription_id]],
      subscriptions[subscription_id],
      subscriptions[subscription_id]
    )
  ),
  0,
  1
)</f>
        <v>1</v>
      </c>
      <c r="F1322" s="1">
        <f>_xlfn.XLOOKUP(payments_raw[[#This Row],[subscription_id]], subscriptions[subscription_id], subscriptions[start_date])</f>
        <v>44715</v>
      </c>
      <c r="G13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22" s="2">
        <f>IF(payments_raw[[#This Row],[payment_date]] &lt; payments_raw[[#This Row],[sub_start_date]], 1, 0)</f>
        <v>0</v>
      </c>
      <c r="I1322" s="2">
        <f>IF(AND(payments_raw[[#This Row],[sub_end_date]]&lt;&gt;"", payments_raw[[#This Row],[payment_date]] &gt; payments_raw[[#This Row],[sub_end_date]]), 1, 0)</f>
        <v>0</v>
      </c>
      <c r="J1322" s="2">
        <f>IF(payments_raw[[#This Row],[amount]] &lt;= 0, 1, 0)</f>
        <v>0</v>
      </c>
      <c r="K13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3" spans="1:11" x14ac:dyDescent="0.3">
      <c r="A1323">
        <v>95280411</v>
      </c>
      <c r="B1323">
        <v>4139098</v>
      </c>
      <c r="C1323" s="1">
        <v>45585</v>
      </c>
      <c r="D1323">
        <v>79</v>
      </c>
      <c r="E1323">
        <f>IF(
  ISNA(
    _xlfn.XLOOKUP(
      payments_raw[[#This Row],[subscription_id]],
      subscriptions[subscription_id],
      subscriptions[subscription_id]
    )
  ),
  0,
  1
)</f>
        <v>1</v>
      </c>
      <c r="F1323" s="1">
        <f>_xlfn.XLOOKUP(payments_raw[[#This Row],[subscription_id]], subscriptions[subscription_id], subscriptions[start_date])</f>
        <v>45579</v>
      </c>
      <c r="G13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23" s="2">
        <f>IF(payments_raw[[#This Row],[payment_date]] &lt; payments_raw[[#This Row],[sub_start_date]], 1, 0)</f>
        <v>0</v>
      </c>
      <c r="I1323" s="2">
        <f>IF(AND(payments_raw[[#This Row],[sub_end_date]]&lt;&gt;"", payments_raw[[#This Row],[payment_date]] &gt; payments_raw[[#This Row],[sub_end_date]]), 1, 0)</f>
        <v>0</v>
      </c>
      <c r="J1323" s="2">
        <f>IF(payments_raw[[#This Row],[amount]] &lt;= 0, 1, 0)</f>
        <v>0</v>
      </c>
      <c r="K13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4" spans="1:11" x14ac:dyDescent="0.3">
      <c r="A1324">
        <v>89032992</v>
      </c>
      <c r="B1324">
        <v>4158231</v>
      </c>
      <c r="C1324" s="1">
        <v>45165</v>
      </c>
      <c r="D1324">
        <v>299</v>
      </c>
      <c r="E1324">
        <f>IF(
  ISNA(
    _xlfn.XLOOKUP(
      payments_raw[[#This Row],[subscription_id]],
      subscriptions[subscription_id],
      subscriptions[subscription_id]
    )
  ),
  0,
  1
)</f>
        <v>1</v>
      </c>
      <c r="F1324" s="1">
        <f>_xlfn.XLOOKUP(payments_raw[[#This Row],[subscription_id]], subscriptions[subscription_id], subscriptions[start_date])</f>
        <v>45120</v>
      </c>
      <c r="G13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45240</v>
      </c>
      <c r="H1324" s="2">
        <f>IF(payments_raw[[#This Row],[payment_date]] &lt; payments_raw[[#This Row],[sub_start_date]], 1, 0)</f>
        <v>0</v>
      </c>
      <c r="I1324" s="2">
        <f>IF(AND(payments_raw[[#This Row],[sub_end_date]]&lt;&gt;"", payments_raw[[#This Row],[payment_date]] &gt; payments_raw[[#This Row],[sub_end_date]]), 1, 0)</f>
        <v>0</v>
      </c>
      <c r="J1324" s="2">
        <f>IF(payments_raw[[#This Row],[amount]] &lt;= 0, 1, 0)</f>
        <v>0</v>
      </c>
      <c r="K13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5" spans="1:11" x14ac:dyDescent="0.3">
      <c r="A1325">
        <v>25826147</v>
      </c>
      <c r="B1325">
        <v>3043656</v>
      </c>
      <c r="C1325" s="1">
        <v>45308</v>
      </c>
      <c r="D1325">
        <v>790</v>
      </c>
      <c r="E1325">
        <f>IF(
  ISNA(
    _xlfn.XLOOKUP(
      payments_raw[[#This Row],[subscription_id]],
      subscriptions[subscription_id],
      subscriptions[subscription_id]
    )
  ),
  0,
  1
)</f>
        <v>1</v>
      </c>
      <c r="F1325" s="1">
        <f>_xlfn.XLOOKUP(payments_raw[[#This Row],[subscription_id]], subscriptions[subscription_id], subscriptions[start_date])</f>
        <v>45176</v>
      </c>
      <c r="G13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25" s="2">
        <f>IF(payments_raw[[#This Row],[payment_date]] &lt; payments_raw[[#This Row],[sub_start_date]], 1, 0)</f>
        <v>0</v>
      </c>
      <c r="I1325" s="2">
        <f>IF(AND(payments_raw[[#This Row],[sub_end_date]]&lt;&gt;"", payments_raw[[#This Row],[payment_date]] &gt; payments_raw[[#This Row],[sub_end_date]]), 1, 0)</f>
        <v>0</v>
      </c>
      <c r="J1325" s="2">
        <f>IF(payments_raw[[#This Row],[amount]] &lt;= 0, 1, 0)</f>
        <v>0</v>
      </c>
      <c r="K13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6" spans="1:11" x14ac:dyDescent="0.3">
      <c r="A1326">
        <v>21869810</v>
      </c>
      <c r="B1326">
        <v>6647890</v>
      </c>
      <c r="C1326" s="1">
        <v>44832</v>
      </c>
      <c r="D1326">
        <v>149</v>
      </c>
      <c r="E1326">
        <f>IF(
  ISNA(
    _xlfn.XLOOKUP(
      payments_raw[[#This Row],[subscription_id]],
      subscriptions[subscription_id],
      subscriptions[subscription_id]
    )
  ),
  0,
  1
)</f>
        <v>1</v>
      </c>
      <c r="F1326" s="1">
        <f>_xlfn.XLOOKUP(payments_raw[[#This Row],[subscription_id]], subscriptions[subscription_id], subscriptions[start_date])</f>
        <v>44782</v>
      </c>
      <c r="G132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44835</v>
      </c>
      <c r="H1326" s="2">
        <f>IF(payments_raw[[#This Row],[payment_date]] &lt; payments_raw[[#This Row],[sub_start_date]], 1, 0)</f>
        <v>0</v>
      </c>
      <c r="I1326" s="2">
        <f>IF(AND(payments_raw[[#This Row],[sub_end_date]]&lt;&gt;"", payments_raw[[#This Row],[payment_date]] &gt; payments_raw[[#This Row],[sub_end_date]]), 1, 0)</f>
        <v>0</v>
      </c>
      <c r="J1326" s="2">
        <f>IF(payments_raw[[#This Row],[amount]] &lt;= 0, 1, 0)</f>
        <v>0</v>
      </c>
      <c r="K13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7" spans="1:11" x14ac:dyDescent="0.3">
      <c r="A1327">
        <v>25098554</v>
      </c>
      <c r="B1327">
        <v>9679668</v>
      </c>
      <c r="C1327" s="1">
        <v>45142</v>
      </c>
      <c r="D1327">
        <v>390</v>
      </c>
      <c r="E1327">
        <f>IF(
  ISNA(
    _xlfn.XLOOKUP(
      payments_raw[[#This Row],[subscription_id]],
      subscriptions[subscription_id],
      subscriptions[subscription_id]
    )
  ),
  0,
  1
)</f>
        <v>1</v>
      </c>
      <c r="F1327" s="1">
        <f>_xlfn.XLOOKUP(payments_raw[[#This Row],[subscription_id]], subscriptions[subscription_id], subscriptions[start_date])</f>
        <v>44779</v>
      </c>
      <c r="G13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27" s="2">
        <f>IF(payments_raw[[#This Row],[payment_date]] &lt; payments_raw[[#This Row],[sub_start_date]], 1, 0)</f>
        <v>0</v>
      </c>
      <c r="I1327" s="2">
        <f>IF(AND(payments_raw[[#This Row],[sub_end_date]]&lt;&gt;"", payments_raw[[#This Row],[payment_date]] &gt; payments_raw[[#This Row],[sub_end_date]]), 1, 0)</f>
        <v>0</v>
      </c>
      <c r="J1327" s="2">
        <f>IF(payments_raw[[#This Row],[amount]] &lt;= 0, 1, 0)</f>
        <v>0</v>
      </c>
      <c r="K13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8" spans="1:11" x14ac:dyDescent="0.3">
      <c r="A1328">
        <v>76351268</v>
      </c>
      <c r="B1328">
        <v>9604096</v>
      </c>
      <c r="C1328" s="1">
        <v>44854</v>
      </c>
      <c r="D1328">
        <v>19</v>
      </c>
      <c r="E1328">
        <f>IF(
  ISNA(
    _xlfn.XLOOKUP(
      payments_raw[[#This Row],[subscription_id]],
      subscriptions[subscription_id],
      subscriptions[subscription_id]
    )
  ),
  0,
  1
)</f>
        <v>1</v>
      </c>
      <c r="F1328" s="1">
        <f>_xlfn.XLOOKUP(payments_raw[[#This Row],[subscription_id]], subscriptions[subscription_id], subscriptions[start_date])</f>
        <v>44713</v>
      </c>
      <c r="G13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44904</v>
      </c>
      <c r="H1328" s="2">
        <f>IF(payments_raw[[#This Row],[payment_date]] &lt; payments_raw[[#This Row],[sub_start_date]], 1, 0)</f>
        <v>0</v>
      </c>
      <c r="I1328" s="2">
        <f>IF(AND(payments_raw[[#This Row],[sub_end_date]]&lt;&gt;"", payments_raw[[#This Row],[payment_date]] &gt; payments_raw[[#This Row],[sub_end_date]]), 1, 0)</f>
        <v>0</v>
      </c>
      <c r="J1328" s="2">
        <f>IF(payments_raw[[#This Row],[amount]] &lt;= 0, 1, 0)</f>
        <v>0</v>
      </c>
      <c r="K13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29" spans="1:11" x14ac:dyDescent="0.3">
      <c r="A1329">
        <v>33760468</v>
      </c>
      <c r="B1329">
        <v>8959238</v>
      </c>
      <c r="C1329" s="1">
        <v>44907</v>
      </c>
      <c r="D1329">
        <v>149</v>
      </c>
      <c r="E1329">
        <f>IF(
  ISNA(
    _xlfn.XLOOKUP(
      payments_raw[[#This Row],[subscription_id]],
      subscriptions[subscription_id],
      subscriptions[subscription_id]
    )
  ),
  0,
  1
)</f>
        <v>1</v>
      </c>
      <c r="F1329" s="1">
        <f>_xlfn.XLOOKUP(payments_raw[[#This Row],[subscription_id]], subscriptions[subscription_id], subscriptions[start_date])</f>
        <v>44845</v>
      </c>
      <c r="G132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44968</v>
      </c>
      <c r="H1329" s="2">
        <f>IF(payments_raw[[#This Row],[payment_date]] &lt; payments_raw[[#This Row],[sub_start_date]], 1, 0)</f>
        <v>0</v>
      </c>
      <c r="I1329" s="2">
        <f>IF(AND(payments_raw[[#This Row],[sub_end_date]]&lt;&gt;"", payments_raw[[#This Row],[payment_date]] &gt; payments_raw[[#This Row],[sub_end_date]]), 1, 0)</f>
        <v>0</v>
      </c>
      <c r="J1329" s="2">
        <f>IF(payments_raw[[#This Row],[amount]] &lt;= 0, 1, 0)</f>
        <v>0</v>
      </c>
      <c r="K13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0" spans="1:11" x14ac:dyDescent="0.3">
      <c r="A1330">
        <v>84250773</v>
      </c>
      <c r="B1330">
        <v>5641122</v>
      </c>
      <c r="C1330" s="1">
        <v>45617</v>
      </c>
      <c r="D1330">
        <v>149</v>
      </c>
      <c r="E1330">
        <f>IF(
  ISNA(
    _xlfn.XLOOKUP(
      payments_raw[[#This Row],[subscription_id]],
      subscriptions[subscription_id],
      subscriptions[subscription_id]
    )
  ),
  0,
  1
)</f>
        <v>1</v>
      </c>
      <c r="F1330" s="1">
        <f>_xlfn.XLOOKUP(payments_raw[[#This Row],[subscription_id]], subscriptions[subscription_id], subscriptions[start_date])</f>
        <v>45475</v>
      </c>
      <c r="G13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330" s="2">
        <f>IF(payments_raw[[#This Row],[payment_date]] &lt; payments_raw[[#This Row],[sub_start_date]], 1, 0)</f>
        <v>0</v>
      </c>
      <c r="I1330" s="2">
        <f>IF(AND(payments_raw[[#This Row],[sub_end_date]]&lt;&gt;"", payments_raw[[#This Row],[payment_date]] &gt; payments_raw[[#This Row],[sub_end_date]]), 1, 0)</f>
        <v>0</v>
      </c>
      <c r="J1330" s="2">
        <f>IF(payments_raw[[#This Row],[amount]] &lt;= 0, 1, 0)</f>
        <v>0</v>
      </c>
      <c r="K13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1" spans="1:11" x14ac:dyDescent="0.3">
      <c r="A1331">
        <v>60652004</v>
      </c>
      <c r="B1331">
        <v>5685963</v>
      </c>
      <c r="C1331" s="1">
        <v>45433</v>
      </c>
      <c r="D1331">
        <v>19</v>
      </c>
      <c r="E1331">
        <f>IF(
  ISNA(
    _xlfn.XLOOKUP(
      payments_raw[[#This Row],[subscription_id]],
      subscriptions[subscription_id],
      subscriptions[subscription_id]
    )
  ),
  0,
  1
)</f>
        <v>1</v>
      </c>
      <c r="F1331" s="1">
        <f>_xlfn.XLOOKUP(payments_raw[[#This Row],[subscription_id]], subscriptions[subscription_id], subscriptions[start_date])</f>
        <v>45252</v>
      </c>
      <c r="G13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31" s="2">
        <f>IF(payments_raw[[#This Row],[payment_date]] &lt; payments_raw[[#This Row],[sub_start_date]], 1, 0)</f>
        <v>0</v>
      </c>
      <c r="I1331" s="2">
        <f>IF(AND(payments_raw[[#This Row],[sub_end_date]]&lt;&gt;"", payments_raw[[#This Row],[payment_date]] &gt; payments_raw[[#This Row],[sub_end_date]]), 1, 0)</f>
        <v>0</v>
      </c>
      <c r="J1331" s="2">
        <f>IF(payments_raw[[#This Row],[amount]] &lt;= 0, 1, 0)</f>
        <v>0</v>
      </c>
      <c r="K13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2" spans="1:11" x14ac:dyDescent="0.3">
      <c r="A1332">
        <v>71772299</v>
      </c>
      <c r="B1332">
        <v>4528709</v>
      </c>
      <c r="C1332" s="1">
        <v>44895</v>
      </c>
      <c r="D1332">
        <v>19</v>
      </c>
      <c r="E1332">
        <f>IF(
  ISNA(
    _xlfn.XLOOKUP(
      payments_raw[[#This Row],[subscription_id]],
      subscriptions[subscription_id],
      subscriptions[subscription_id]
    )
  ),
  0,
  1
)</f>
        <v>1</v>
      </c>
      <c r="F1332" s="1">
        <f>_xlfn.XLOOKUP(payments_raw[[#This Row],[subscription_id]], subscriptions[subscription_id], subscriptions[start_date])</f>
        <v>44747</v>
      </c>
      <c r="G133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1332" s="2">
        <f>IF(payments_raw[[#This Row],[payment_date]] &lt; payments_raw[[#This Row],[sub_start_date]], 1, 0)</f>
        <v>0</v>
      </c>
      <c r="I1332" s="2">
        <f>IF(AND(payments_raw[[#This Row],[sub_end_date]]&lt;&gt;"", payments_raw[[#This Row],[payment_date]] &gt; payments_raw[[#This Row],[sub_end_date]]), 1, 0)</f>
        <v>0</v>
      </c>
      <c r="J1332" s="2">
        <f>IF(payments_raw[[#This Row],[amount]] &lt;= 0, 1, 0)</f>
        <v>0</v>
      </c>
      <c r="K13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3" spans="1:11" x14ac:dyDescent="0.3">
      <c r="A1333">
        <v>98399977</v>
      </c>
      <c r="B1333">
        <v>7735054</v>
      </c>
      <c r="C1333" s="1">
        <v>45142</v>
      </c>
      <c r="D1333">
        <v>19</v>
      </c>
      <c r="E1333">
        <f>IF(
  ISNA(
    _xlfn.XLOOKUP(
      payments_raw[[#This Row],[subscription_id]],
      subscriptions[subscription_id],
      subscriptions[subscription_id]
    )
  ),
  0,
  1
)</f>
        <v>1</v>
      </c>
      <c r="F1333" s="1">
        <f>_xlfn.XLOOKUP(payments_raw[[#This Row],[subscription_id]], subscriptions[subscription_id], subscriptions[start_date])</f>
        <v>44814</v>
      </c>
      <c r="G13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1333" s="2">
        <f>IF(payments_raw[[#This Row],[payment_date]] &lt; payments_raw[[#This Row],[sub_start_date]], 1, 0)</f>
        <v>0</v>
      </c>
      <c r="I1333" s="2">
        <f>IF(AND(payments_raw[[#This Row],[sub_end_date]]&lt;&gt;"", payments_raw[[#This Row],[payment_date]] &gt; payments_raw[[#This Row],[sub_end_date]]), 1, 0)</f>
        <v>0</v>
      </c>
      <c r="J1333" s="2">
        <f>IF(payments_raw[[#This Row],[amount]] &lt;= 0, 1, 0)</f>
        <v>0</v>
      </c>
      <c r="K13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4" spans="1:11" x14ac:dyDescent="0.3">
      <c r="A1334">
        <v>49305644</v>
      </c>
      <c r="B1334">
        <v>9985927</v>
      </c>
      <c r="C1334" s="1">
        <v>45113</v>
      </c>
      <c r="D1334">
        <v>2691</v>
      </c>
      <c r="E1334">
        <f>IF(
  ISNA(
    _xlfn.XLOOKUP(
      payments_raw[[#This Row],[subscription_id]],
      subscriptions[subscription_id],
      subscriptions[subscription_id]
    )
  ),
  0,
  1
)</f>
        <v>1</v>
      </c>
      <c r="F1334" s="1">
        <f>_xlfn.XLOOKUP(payments_raw[[#This Row],[subscription_id]], subscriptions[subscription_id], subscriptions[start_date])</f>
        <v>44950</v>
      </c>
      <c r="G13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45196</v>
      </c>
      <c r="H1334" s="2">
        <f>IF(payments_raw[[#This Row],[payment_date]] &lt; payments_raw[[#This Row],[sub_start_date]], 1, 0)</f>
        <v>0</v>
      </c>
      <c r="I1334" s="2">
        <f>IF(AND(payments_raw[[#This Row],[sub_end_date]]&lt;&gt;"", payments_raw[[#This Row],[payment_date]] &gt; payments_raw[[#This Row],[sub_end_date]]), 1, 0)</f>
        <v>0</v>
      </c>
      <c r="J1334" s="2">
        <f>IF(payments_raw[[#This Row],[amount]] &lt;= 0, 1, 0)</f>
        <v>0</v>
      </c>
      <c r="K13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5" spans="1:11" x14ac:dyDescent="0.3">
      <c r="A1335">
        <v>66590557</v>
      </c>
      <c r="B1335">
        <v>6326787</v>
      </c>
      <c r="C1335" s="1">
        <v>44621</v>
      </c>
      <c r="D1335">
        <v>190</v>
      </c>
      <c r="E1335">
        <f>IF(
  ISNA(
    _xlfn.XLOOKUP(
      payments_raw[[#This Row],[subscription_id]],
      subscriptions[subscription_id],
      subscriptions[subscription_id]
    )
  ),
  0,
  1
)</f>
        <v>1</v>
      </c>
      <c r="F1335" s="1">
        <f>_xlfn.XLOOKUP(payments_raw[[#This Row],[subscription_id]], subscriptions[subscription_id], subscriptions[start_date])</f>
        <v>44603</v>
      </c>
      <c r="G1335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1335" s="2">
        <f>IF(payments_raw[[#This Row],[payment_date]] &lt; payments_raw[[#This Row],[sub_start_date]], 1, 0)</f>
        <v>0</v>
      </c>
      <c r="I1335" s="2">
        <f>IF(AND(payments_raw[[#This Row],[sub_end_date]]&lt;&gt;"", payments_raw[[#This Row],[payment_date]] &gt; payments_raw[[#This Row],[sub_end_date]]), 1, 0)</f>
        <v>0</v>
      </c>
      <c r="J1335" s="2">
        <f>IF(payments_raw[[#This Row],[amount]] &lt;= 0, 1, 0)</f>
        <v>0</v>
      </c>
      <c r="K13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6" spans="1:11" x14ac:dyDescent="0.3">
      <c r="A1336">
        <v>60508091</v>
      </c>
      <c r="B1336">
        <v>1184163</v>
      </c>
      <c r="C1336" s="1">
        <v>45391</v>
      </c>
      <c r="D1336">
        <v>299</v>
      </c>
      <c r="E1336">
        <f>IF(
  ISNA(
    _xlfn.XLOOKUP(
      payments_raw[[#This Row],[subscription_id]],
      subscriptions[subscription_id],
      subscriptions[subscription_id]
    )
  ),
  0,
  1
)</f>
        <v>1</v>
      </c>
      <c r="F1336" s="1">
        <f>_xlfn.XLOOKUP(payments_raw[[#This Row],[subscription_id]], subscriptions[subscription_id], subscriptions[start_date])</f>
        <v>45195</v>
      </c>
      <c r="G13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36" s="2">
        <f>IF(payments_raw[[#This Row],[payment_date]] &lt; payments_raw[[#This Row],[sub_start_date]], 1, 0)</f>
        <v>0</v>
      </c>
      <c r="I1336" s="2">
        <f>IF(AND(payments_raw[[#This Row],[sub_end_date]]&lt;&gt;"", payments_raw[[#This Row],[payment_date]] &gt; payments_raw[[#This Row],[sub_end_date]]), 1, 0)</f>
        <v>0</v>
      </c>
      <c r="J1336" s="2">
        <f>IF(payments_raw[[#This Row],[amount]] &lt;= 0, 1, 0)</f>
        <v>0</v>
      </c>
      <c r="K13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7" spans="1:11" x14ac:dyDescent="0.3">
      <c r="A1337">
        <v>45545064</v>
      </c>
      <c r="B1337">
        <v>5731119</v>
      </c>
      <c r="C1337" s="1">
        <v>45156</v>
      </c>
      <c r="D1337">
        <v>190</v>
      </c>
      <c r="E1337">
        <f>IF(
  ISNA(
    _xlfn.XLOOKUP(
      payments_raw[[#This Row],[subscription_id]],
      subscriptions[subscription_id],
      subscriptions[subscription_id]
    )
  ),
  0,
  1
)</f>
        <v>1</v>
      </c>
      <c r="F1337" s="1">
        <f>_xlfn.XLOOKUP(payments_raw[[#This Row],[subscription_id]], subscriptions[subscription_id], subscriptions[start_date])</f>
        <v>45117</v>
      </c>
      <c r="G13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45171</v>
      </c>
      <c r="H1337" s="2">
        <f>IF(payments_raw[[#This Row],[payment_date]] &lt; payments_raw[[#This Row],[sub_start_date]], 1, 0)</f>
        <v>0</v>
      </c>
      <c r="I1337" s="2">
        <f>IF(AND(payments_raw[[#This Row],[sub_end_date]]&lt;&gt;"", payments_raw[[#This Row],[payment_date]] &gt; payments_raw[[#This Row],[sub_end_date]]), 1, 0)</f>
        <v>0</v>
      </c>
      <c r="J1337" s="2">
        <f>IF(payments_raw[[#This Row],[amount]] &lt;= 0, 1, 0)</f>
        <v>0</v>
      </c>
      <c r="K13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8" spans="1:11" x14ac:dyDescent="0.3">
      <c r="A1338">
        <v>45654227</v>
      </c>
      <c r="B1338">
        <v>2421764</v>
      </c>
      <c r="C1338" s="1">
        <v>45339</v>
      </c>
      <c r="D1338">
        <v>790</v>
      </c>
      <c r="E1338">
        <f>IF(
  ISNA(
    _xlfn.XLOOKUP(
      payments_raw[[#This Row],[subscription_id]],
      subscriptions[subscription_id],
      subscriptions[subscription_id]
    )
  ),
  0,
  1
)</f>
        <v>1</v>
      </c>
      <c r="F1338" s="1">
        <f>_xlfn.XLOOKUP(payments_raw[[#This Row],[subscription_id]], subscriptions[subscription_id], subscriptions[start_date])</f>
        <v>44876</v>
      </c>
      <c r="G13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38" s="2">
        <f>IF(payments_raw[[#This Row],[payment_date]] &lt; payments_raw[[#This Row],[sub_start_date]], 1, 0)</f>
        <v>0</v>
      </c>
      <c r="I1338" s="2">
        <f>IF(AND(payments_raw[[#This Row],[sub_end_date]]&lt;&gt;"", payments_raw[[#This Row],[payment_date]] &gt; payments_raw[[#This Row],[sub_end_date]]), 1, 0)</f>
        <v>0</v>
      </c>
      <c r="J1338" s="2">
        <f>IF(payments_raw[[#This Row],[amount]] &lt;= 0, 1, 0)</f>
        <v>0</v>
      </c>
      <c r="K13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39" spans="1:11" x14ac:dyDescent="0.3">
      <c r="A1339">
        <v>30359406</v>
      </c>
      <c r="B1339">
        <v>7012107</v>
      </c>
      <c r="C1339" s="1">
        <v>44815</v>
      </c>
      <c r="D1339">
        <v>39</v>
      </c>
      <c r="E1339">
        <f>IF(
  ISNA(
    _xlfn.XLOOKUP(
      payments_raw[[#This Row],[subscription_id]],
      subscriptions[subscription_id],
      subscriptions[subscription_id]
    )
  ),
  0,
  1
)</f>
        <v>1</v>
      </c>
      <c r="F1339" s="1">
        <f>_xlfn.XLOOKUP(payments_raw[[#This Row],[subscription_id]], subscriptions[subscription_id], subscriptions[start_date])</f>
        <v>44807</v>
      </c>
      <c r="G133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1339" s="2">
        <f>IF(payments_raw[[#This Row],[payment_date]] &lt; payments_raw[[#This Row],[sub_start_date]], 1, 0)</f>
        <v>0</v>
      </c>
      <c r="I1339" s="2">
        <f>IF(AND(payments_raw[[#This Row],[sub_end_date]]&lt;&gt;"", payments_raw[[#This Row],[payment_date]] &gt; payments_raw[[#This Row],[sub_end_date]]), 1, 0)</f>
        <v>0</v>
      </c>
      <c r="J1339" s="2">
        <f>IF(payments_raw[[#This Row],[amount]] &lt;= 0, 1, 0)</f>
        <v>0</v>
      </c>
      <c r="K13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0" spans="1:11" x14ac:dyDescent="0.3">
      <c r="A1340">
        <v>30528501</v>
      </c>
      <c r="B1340">
        <v>5215097</v>
      </c>
      <c r="C1340" s="1">
        <v>45614</v>
      </c>
      <c r="D1340">
        <v>19</v>
      </c>
      <c r="E1340">
        <f>IF(
  ISNA(
    _xlfn.XLOOKUP(
      payments_raw[[#This Row],[subscription_id]],
      subscriptions[subscription_id],
      subscriptions[subscription_id]
    )
  ),
  0,
  1
)</f>
        <v>1</v>
      </c>
      <c r="F1340" s="1">
        <f>_xlfn.XLOOKUP(payments_raw[[#This Row],[subscription_id]], subscriptions[subscription_id], subscriptions[start_date])</f>
        <v>45528</v>
      </c>
      <c r="G13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0" s="2">
        <f>IF(payments_raw[[#This Row],[payment_date]] &lt; payments_raw[[#This Row],[sub_start_date]], 1, 0)</f>
        <v>0</v>
      </c>
      <c r="I1340" s="2">
        <f>IF(AND(payments_raw[[#This Row],[sub_end_date]]&lt;&gt;"", payments_raw[[#This Row],[payment_date]] &gt; payments_raw[[#This Row],[sub_end_date]]), 1, 0)</f>
        <v>0</v>
      </c>
      <c r="J1340" s="2">
        <f>IF(payments_raw[[#This Row],[amount]] &lt;= 0, 1, 0)</f>
        <v>0</v>
      </c>
      <c r="K13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1" spans="1:11" x14ac:dyDescent="0.3">
      <c r="A1341">
        <v>29104510</v>
      </c>
      <c r="B1341">
        <v>7021076</v>
      </c>
      <c r="C1341" s="1">
        <v>44905</v>
      </c>
      <c r="D1341">
        <v>299</v>
      </c>
      <c r="E1341">
        <f>IF(
  ISNA(
    _xlfn.XLOOKUP(
      payments_raw[[#This Row],[subscription_id]],
      subscriptions[subscription_id],
      subscriptions[subscription_id]
    )
  ),
  0,
  1
)</f>
        <v>1</v>
      </c>
      <c r="F1341" s="1">
        <f>_xlfn.XLOOKUP(payments_raw[[#This Row],[subscription_id]], subscriptions[subscription_id], subscriptions[start_date])</f>
        <v>44578</v>
      </c>
      <c r="G13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1" s="2">
        <f>IF(payments_raw[[#This Row],[payment_date]] &lt; payments_raw[[#This Row],[sub_start_date]], 1, 0)</f>
        <v>0</v>
      </c>
      <c r="I1341" s="2">
        <f>IF(AND(payments_raw[[#This Row],[sub_end_date]]&lt;&gt;"", payments_raw[[#This Row],[payment_date]] &gt; payments_raw[[#This Row],[sub_end_date]]), 1, 0)</f>
        <v>0</v>
      </c>
      <c r="J1341" s="2">
        <f>IF(payments_raw[[#This Row],[amount]] &lt;= 0, 1, 0)</f>
        <v>0</v>
      </c>
      <c r="K13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2" spans="1:11" x14ac:dyDescent="0.3">
      <c r="A1342">
        <v>57723980</v>
      </c>
      <c r="B1342">
        <v>2393728</v>
      </c>
      <c r="C1342" s="1">
        <v>45412</v>
      </c>
      <c r="D1342">
        <v>390</v>
      </c>
      <c r="E1342">
        <f>IF(
  ISNA(
    _xlfn.XLOOKUP(
      payments_raw[[#This Row],[subscription_id]],
      subscriptions[subscription_id],
      subscriptions[subscription_id]
    )
  ),
  0,
  1
)</f>
        <v>1</v>
      </c>
      <c r="F1342" s="1">
        <f>_xlfn.XLOOKUP(payments_raw[[#This Row],[subscription_id]], subscriptions[subscription_id], subscriptions[start_date])</f>
        <v>45288</v>
      </c>
      <c r="G13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45571</v>
      </c>
      <c r="H1342" s="2">
        <f>IF(payments_raw[[#This Row],[payment_date]] &lt; payments_raw[[#This Row],[sub_start_date]], 1, 0)</f>
        <v>0</v>
      </c>
      <c r="I1342" s="2">
        <f>IF(AND(payments_raw[[#This Row],[sub_end_date]]&lt;&gt;"", payments_raw[[#This Row],[payment_date]] &gt; payments_raw[[#This Row],[sub_end_date]]), 1, 0)</f>
        <v>0</v>
      </c>
      <c r="J1342" s="2">
        <f>IF(payments_raw[[#This Row],[amount]] &lt;= 0, 1, 0)</f>
        <v>0</v>
      </c>
      <c r="K13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3" spans="1:11" x14ac:dyDescent="0.3">
      <c r="A1343">
        <v>64577083</v>
      </c>
      <c r="B1343">
        <v>3730666</v>
      </c>
      <c r="C1343" s="1">
        <v>45061</v>
      </c>
      <c r="D1343">
        <v>19</v>
      </c>
      <c r="E1343">
        <f>IF(
  ISNA(
    _xlfn.XLOOKUP(
      payments_raw[[#This Row],[subscription_id]],
      subscriptions[subscription_id],
      subscriptions[subscription_id]
    )
  ),
  0,
  1
)</f>
        <v>1</v>
      </c>
      <c r="F1343" s="1">
        <f>_xlfn.XLOOKUP(payments_raw[[#This Row],[subscription_id]], subscriptions[subscription_id], subscriptions[start_date])</f>
        <v>44780</v>
      </c>
      <c r="G13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3" s="2">
        <f>IF(payments_raw[[#This Row],[payment_date]] &lt; payments_raw[[#This Row],[sub_start_date]], 1, 0)</f>
        <v>0</v>
      </c>
      <c r="I1343" s="2">
        <f>IF(AND(payments_raw[[#This Row],[sub_end_date]]&lt;&gt;"", payments_raw[[#This Row],[payment_date]] &gt; payments_raw[[#This Row],[sub_end_date]]), 1, 0)</f>
        <v>0</v>
      </c>
      <c r="J1343" s="2">
        <f>IF(payments_raw[[#This Row],[amount]] &lt;= 0, 1, 0)</f>
        <v>0</v>
      </c>
      <c r="K13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4" spans="1:11" x14ac:dyDescent="0.3">
      <c r="A1344">
        <v>26784960</v>
      </c>
      <c r="B1344">
        <v>7100417</v>
      </c>
      <c r="C1344" s="1">
        <v>45276</v>
      </c>
      <c r="D1344">
        <v>390</v>
      </c>
      <c r="E1344">
        <f>IF(
  ISNA(
    _xlfn.XLOOKUP(
      payments_raw[[#This Row],[subscription_id]],
      subscriptions[subscription_id],
      subscriptions[subscription_id]
    )
  ),
  0,
  1
)</f>
        <v>1</v>
      </c>
      <c r="F1344" s="1">
        <f>_xlfn.XLOOKUP(payments_raw[[#This Row],[subscription_id]], subscriptions[subscription_id], subscriptions[start_date])</f>
        <v>45276</v>
      </c>
      <c r="G13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1344" s="2">
        <f>IF(payments_raw[[#This Row],[payment_date]] &lt; payments_raw[[#This Row],[sub_start_date]], 1, 0)</f>
        <v>0</v>
      </c>
      <c r="I1344" s="2">
        <f>IF(AND(payments_raw[[#This Row],[sub_end_date]]&lt;&gt;"", payments_raw[[#This Row],[payment_date]] &gt; payments_raw[[#This Row],[sub_end_date]]), 1, 0)</f>
        <v>0</v>
      </c>
      <c r="J1344" s="2">
        <f>IF(payments_raw[[#This Row],[amount]] &lt;= 0, 1, 0)</f>
        <v>0</v>
      </c>
      <c r="K13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5" spans="1:11" x14ac:dyDescent="0.3">
      <c r="A1345">
        <v>87023573</v>
      </c>
      <c r="B1345">
        <v>8729158</v>
      </c>
      <c r="C1345" s="1">
        <v>45615</v>
      </c>
      <c r="D1345">
        <v>790</v>
      </c>
      <c r="E1345">
        <f>IF(
  ISNA(
    _xlfn.XLOOKUP(
      payments_raw[[#This Row],[subscription_id]],
      subscriptions[subscription_id],
      subscriptions[subscription_id]
    )
  ),
  0,
  1
)</f>
        <v>1</v>
      </c>
      <c r="F1345" s="1">
        <f>_xlfn.XLOOKUP(payments_raw[[#This Row],[subscription_id]], subscriptions[subscription_id], subscriptions[start_date])</f>
        <v>44807</v>
      </c>
      <c r="G13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5" s="2">
        <f>IF(payments_raw[[#This Row],[payment_date]] &lt; payments_raw[[#This Row],[sub_start_date]], 1, 0)</f>
        <v>0</v>
      </c>
      <c r="I1345" s="2">
        <f>IF(AND(payments_raw[[#This Row],[sub_end_date]]&lt;&gt;"", payments_raw[[#This Row],[payment_date]] &gt; payments_raw[[#This Row],[sub_end_date]]), 1, 0)</f>
        <v>0</v>
      </c>
      <c r="J1345" s="2">
        <f>IF(payments_raw[[#This Row],[amount]] &lt;= 0, 1, 0)</f>
        <v>0</v>
      </c>
      <c r="K13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6" spans="1:11" x14ac:dyDescent="0.3">
      <c r="A1346">
        <v>45690939</v>
      </c>
      <c r="B1346">
        <v>6101515</v>
      </c>
      <c r="C1346" s="1">
        <v>45635</v>
      </c>
      <c r="D1346">
        <v>19</v>
      </c>
      <c r="E1346">
        <f>IF(
  ISNA(
    _xlfn.XLOOKUP(
      payments_raw[[#This Row],[subscription_id]],
      subscriptions[subscription_id],
      subscriptions[subscription_id]
    )
  ),
  0,
  1
)</f>
        <v>1</v>
      </c>
      <c r="F1346" s="1">
        <f>_xlfn.XLOOKUP(payments_raw[[#This Row],[subscription_id]], subscriptions[subscription_id], subscriptions[start_date])</f>
        <v>45499</v>
      </c>
      <c r="G13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1346" s="2">
        <f>IF(payments_raw[[#This Row],[payment_date]] &lt; payments_raw[[#This Row],[sub_start_date]], 1, 0)</f>
        <v>0</v>
      </c>
      <c r="I1346" s="2">
        <f>IF(AND(payments_raw[[#This Row],[sub_end_date]]&lt;&gt;"", payments_raw[[#This Row],[payment_date]] &gt; payments_raw[[#This Row],[sub_end_date]]), 1, 0)</f>
        <v>0</v>
      </c>
      <c r="J1346" s="2">
        <f>IF(payments_raw[[#This Row],[amount]] &lt;= 0, 1, 0)</f>
        <v>0</v>
      </c>
      <c r="K13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7" spans="1:11" x14ac:dyDescent="0.3">
      <c r="A1347">
        <v>77351635</v>
      </c>
      <c r="B1347">
        <v>3159890</v>
      </c>
      <c r="C1347" s="1">
        <v>45362</v>
      </c>
      <c r="D1347">
        <v>190</v>
      </c>
      <c r="E1347">
        <f>IF(
  ISNA(
    _xlfn.XLOOKUP(
      payments_raw[[#This Row],[subscription_id]],
      subscriptions[subscription_id],
      subscriptions[subscription_id]
    )
  ),
  0,
  1
)</f>
        <v>1</v>
      </c>
      <c r="F1347" s="1">
        <f>_xlfn.XLOOKUP(payments_raw[[#This Row],[subscription_id]], subscriptions[subscription_id], subscriptions[start_date])</f>
        <v>45348</v>
      </c>
      <c r="G13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45383</v>
      </c>
      <c r="H1347" s="2">
        <f>IF(payments_raw[[#This Row],[payment_date]] &lt; payments_raw[[#This Row],[sub_start_date]], 1, 0)</f>
        <v>0</v>
      </c>
      <c r="I1347" s="2">
        <f>IF(AND(payments_raw[[#This Row],[sub_end_date]]&lt;&gt;"", payments_raw[[#This Row],[payment_date]] &gt; payments_raw[[#This Row],[sub_end_date]]), 1, 0)</f>
        <v>0</v>
      </c>
      <c r="J1347" s="2">
        <f>IF(payments_raw[[#This Row],[amount]] &lt;= 0, 1, 0)</f>
        <v>0</v>
      </c>
      <c r="K13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8" spans="1:11" x14ac:dyDescent="0.3">
      <c r="A1348">
        <v>68506613</v>
      </c>
      <c r="B1348">
        <v>3013272</v>
      </c>
      <c r="C1348" s="1">
        <v>44940</v>
      </c>
      <c r="D1348">
        <v>190</v>
      </c>
      <c r="E1348">
        <f>IF(
  ISNA(
    _xlfn.XLOOKUP(
      payments_raw[[#This Row],[subscription_id]],
      subscriptions[subscription_id],
      subscriptions[subscription_id]
    )
  ),
  0,
  1
)</f>
        <v>1</v>
      </c>
      <c r="F1348" s="1">
        <f>_xlfn.XLOOKUP(payments_raw[[#This Row],[subscription_id]], subscriptions[subscription_id], subscriptions[start_date])</f>
        <v>44800</v>
      </c>
      <c r="G13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8" s="2">
        <f>IF(payments_raw[[#This Row],[payment_date]] &lt; payments_raw[[#This Row],[sub_start_date]], 1, 0)</f>
        <v>0</v>
      </c>
      <c r="I1348" s="2">
        <f>IF(AND(payments_raw[[#This Row],[sub_end_date]]&lt;&gt;"", payments_raw[[#This Row],[payment_date]] &gt; payments_raw[[#This Row],[sub_end_date]]), 1, 0)</f>
        <v>0</v>
      </c>
      <c r="J1348" s="2">
        <f>IF(payments_raw[[#This Row],[amount]] &lt;= 0, 1, 0)</f>
        <v>0</v>
      </c>
      <c r="K13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49" spans="1:11" x14ac:dyDescent="0.3">
      <c r="A1349">
        <v>63041305</v>
      </c>
      <c r="B1349">
        <v>5193310</v>
      </c>
      <c r="C1349" s="1">
        <v>45393</v>
      </c>
      <c r="D1349">
        <v>790</v>
      </c>
      <c r="E1349">
        <f>IF(
  ISNA(
    _xlfn.XLOOKUP(
      payments_raw[[#This Row],[subscription_id]],
      subscriptions[subscription_id],
      subscriptions[subscription_id]
    )
  ),
  0,
  1
)</f>
        <v>1</v>
      </c>
      <c r="F1349" s="1">
        <f>_xlfn.XLOOKUP(payments_raw[[#This Row],[subscription_id]], subscriptions[subscription_id], subscriptions[start_date])</f>
        <v>44902</v>
      </c>
      <c r="G13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49" s="2">
        <f>IF(payments_raw[[#This Row],[payment_date]] &lt; payments_raw[[#This Row],[sub_start_date]], 1, 0)</f>
        <v>0</v>
      </c>
      <c r="I1349" s="2">
        <f>IF(AND(payments_raw[[#This Row],[sub_end_date]]&lt;&gt;"", payments_raw[[#This Row],[payment_date]] &gt; payments_raw[[#This Row],[sub_end_date]]), 1, 0)</f>
        <v>0</v>
      </c>
      <c r="J1349" s="2">
        <f>IF(payments_raw[[#This Row],[amount]] &lt;= 0, 1, 0)</f>
        <v>0</v>
      </c>
      <c r="K13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0" spans="1:11" x14ac:dyDescent="0.3">
      <c r="A1350">
        <v>80760834</v>
      </c>
      <c r="B1350">
        <v>3520403</v>
      </c>
      <c r="C1350" s="1">
        <v>45382</v>
      </c>
      <c r="D1350">
        <v>149</v>
      </c>
      <c r="E1350">
        <f>IF(
  ISNA(
    _xlfn.XLOOKUP(
      payments_raw[[#This Row],[subscription_id]],
      subscriptions[subscription_id],
      subscriptions[subscription_id]
    )
  ),
  0,
  1
)</f>
        <v>1</v>
      </c>
      <c r="F1350" s="1">
        <f>_xlfn.XLOOKUP(payments_raw[[#This Row],[subscription_id]], subscriptions[subscription_id], subscriptions[start_date])</f>
        <v>45155</v>
      </c>
      <c r="G13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45525</v>
      </c>
      <c r="H1350" s="2">
        <f>IF(payments_raw[[#This Row],[payment_date]] &lt; payments_raw[[#This Row],[sub_start_date]], 1, 0)</f>
        <v>0</v>
      </c>
      <c r="I1350" s="2">
        <f>IF(AND(payments_raw[[#This Row],[sub_end_date]]&lt;&gt;"", payments_raw[[#This Row],[payment_date]] &gt; payments_raw[[#This Row],[sub_end_date]]), 1, 0)</f>
        <v>0</v>
      </c>
      <c r="J1350" s="2">
        <f>IF(payments_raw[[#This Row],[amount]] &lt;= 0, 1, 0)</f>
        <v>0</v>
      </c>
      <c r="K13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1" spans="1:11" x14ac:dyDescent="0.3">
      <c r="A1351">
        <v>19146919</v>
      </c>
      <c r="B1351">
        <v>9593404</v>
      </c>
      <c r="C1351" s="1">
        <v>45543</v>
      </c>
      <c r="D1351">
        <v>395</v>
      </c>
      <c r="E1351">
        <f>IF(
  ISNA(
    _xlfn.XLOOKUP(
      payments_raw[[#This Row],[subscription_id]],
      subscriptions[subscription_id],
      subscriptions[subscription_id]
    )
  ),
  0,
  1
)</f>
        <v>1</v>
      </c>
      <c r="F1351" s="1">
        <f>_xlfn.XLOOKUP(payments_raw[[#This Row],[subscription_id]], subscriptions[subscription_id], subscriptions[start_date])</f>
        <v>45326</v>
      </c>
      <c r="G13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1" s="2">
        <f>IF(payments_raw[[#This Row],[payment_date]] &lt; payments_raw[[#This Row],[sub_start_date]], 1, 0)</f>
        <v>0</v>
      </c>
      <c r="I1351" s="2">
        <f>IF(AND(payments_raw[[#This Row],[sub_end_date]]&lt;&gt;"", payments_raw[[#This Row],[payment_date]] &gt; payments_raw[[#This Row],[sub_end_date]]), 1, 0)</f>
        <v>0</v>
      </c>
      <c r="J1351" s="2">
        <f>IF(payments_raw[[#This Row],[amount]] &lt;= 0, 1, 0)</f>
        <v>0</v>
      </c>
      <c r="K13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2" spans="1:11" x14ac:dyDescent="0.3">
      <c r="A1352">
        <v>21969785</v>
      </c>
      <c r="B1352">
        <v>1254735</v>
      </c>
      <c r="C1352" s="1">
        <v>45212</v>
      </c>
      <c r="D1352">
        <v>745</v>
      </c>
      <c r="E1352">
        <f>IF(
  ISNA(
    _xlfn.XLOOKUP(
      payments_raw[[#This Row],[subscription_id]],
      subscriptions[subscription_id],
      subscriptions[subscription_id]
    )
  ),
  0,
  1
)</f>
        <v>1</v>
      </c>
      <c r="F1352" s="1">
        <f>_xlfn.XLOOKUP(payments_raw[[#This Row],[subscription_id]], subscriptions[subscription_id], subscriptions[start_date])</f>
        <v>45136</v>
      </c>
      <c r="G13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45306</v>
      </c>
      <c r="H1352" s="2">
        <f>IF(payments_raw[[#This Row],[payment_date]] &lt; payments_raw[[#This Row],[sub_start_date]], 1, 0)</f>
        <v>0</v>
      </c>
      <c r="I1352" s="2">
        <f>IF(AND(payments_raw[[#This Row],[sub_end_date]]&lt;&gt;"", payments_raw[[#This Row],[payment_date]] &gt; payments_raw[[#This Row],[sub_end_date]]), 1, 0)</f>
        <v>0</v>
      </c>
      <c r="J1352" s="2">
        <f>IF(payments_raw[[#This Row],[amount]] &lt;= 0, 1, 0)</f>
        <v>0</v>
      </c>
      <c r="K13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3" spans="1:11" x14ac:dyDescent="0.3">
      <c r="A1353">
        <v>88718420</v>
      </c>
      <c r="B1353">
        <v>1495854</v>
      </c>
      <c r="C1353" s="1">
        <v>45117</v>
      </c>
      <c r="D1353">
        <v>299</v>
      </c>
      <c r="E1353">
        <f>IF(
  ISNA(
    _xlfn.XLOOKUP(
      payments_raw[[#This Row],[subscription_id]],
      subscriptions[subscription_id],
      subscriptions[subscription_id]
    )
  ),
  0,
  1
)</f>
        <v>1</v>
      </c>
      <c r="F1353" s="1">
        <f>_xlfn.XLOOKUP(payments_raw[[#This Row],[subscription_id]], subscriptions[subscription_id], subscriptions[start_date])</f>
        <v>44609</v>
      </c>
      <c r="G13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3" s="2">
        <f>IF(payments_raw[[#This Row],[payment_date]] &lt; payments_raw[[#This Row],[sub_start_date]], 1, 0)</f>
        <v>0</v>
      </c>
      <c r="I1353" s="2">
        <f>IF(AND(payments_raw[[#This Row],[sub_end_date]]&lt;&gt;"", payments_raw[[#This Row],[payment_date]] &gt; payments_raw[[#This Row],[sub_end_date]]), 1, 0)</f>
        <v>0</v>
      </c>
      <c r="J1353" s="2">
        <f>IF(payments_raw[[#This Row],[amount]] &lt;= 0, 1, 0)</f>
        <v>0</v>
      </c>
      <c r="K13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4" spans="1:11" x14ac:dyDescent="0.3">
      <c r="A1354">
        <v>90489037</v>
      </c>
      <c r="B1354">
        <v>4187908</v>
      </c>
      <c r="C1354" s="1">
        <v>44773</v>
      </c>
      <c r="D1354">
        <v>19</v>
      </c>
      <c r="E1354">
        <f>IF(
  ISNA(
    _xlfn.XLOOKUP(
      payments_raw[[#This Row],[subscription_id]],
      subscriptions[subscription_id],
      subscriptions[subscription_id]
    )
  ),
  0,
  1
)</f>
        <v>1</v>
      </c>
      <c r="F1354" s="1">
        <f>_xlfn.XLOOKUP(payments_raw[[#This Row],[subscription_id]], subscriptions[subscription_id], subscriptions[start_date])</f>
        <v>44692</v>
      </c>
      <c r="G135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1354" s="2">
        <f>IF(payments_raw[[#This Row],[payment_date]] &lt; payments_raw[[#This Row],[sub_start_date]], 1, 0)</f>
        <v>0</v>
      </c>
      <c r="I1354" s="2">
        <f>IF(AND(payments_raw[[#This Row],[sub_end_date]]&lt;&gt;"", payments_raw[[#This Row],[payment_date]] &gt; payments_raw[[#This Row],[sub_end_date]]), 1, 0)</f>
        <v>0</v>
      </c>
      <c r="J1354" s="2">
        <f>IF(payments_raw[[#This Row],[amount]] &lt;= 0, 1, 0)</f>
        <v>0</v>
      </c>
      <c r="K13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5" spans="1:11" x14ac:dyDescent="0.3">
      <c r="A1355">
        <v>37457064</v>
      </c>
      <c r="B1355">
        <v>4808186</v>
      </c>
      <c r="C1355" s="1">
        <v>45593</v>
      </c>
      <c r="D1355">
        <v>190</v>
      </c>
      <c r="E1355">
        <f>IF(
  ISNA(
    _xlfn.XLOOKUP(
      payments_raw[[#This Row],[subscription_id]],
      subscriptions[subscription_id],
      subscriptions[subscription_id]
    )
  ),
  0,
  1
)</f>
        <v>1</v>
      </c>
      <c r="F1355" s="1">
        <f>_xlfn.XLOOKUP(payments_raw[[#This Row],[subscription_id]], subscriptions[subscription_id], subscriptions[start_date])</f>
        <v>45385</v>
      </c>
      <c r="G13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5" s="2">
        <f>IF(payments_raw[[#This Row],[payment_date]] &lt; payments_raw[[#This Row],[sub_start_date]], 1, 0)</f>
        <v>0</v>
      </c>
      <c r="I1355" s="2">
        <f>IF(AND(payments_raw[[#This Row],[sub_end_date]]&lt;&gt;"", payments_raw[[#This Row],[payment_date]] &gt; payments_raw[[#This Row],[sub_end_date]]), 1, 0)</f>
        <v>0</v>
      </c>
      <c r="J1355" s="2">
        <f>IF(payments_raw[[#This Row],[amount]] &lt;= 0, 1, 0)</f>
        <v>0</v>
      </c>
      <c r="K13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6" spans="1:11" x14ac:dyDescent="0.3">
      <c r="A1356">
        <v>38634519</v>
      </c>
      <c r="B1356">
        <v>8617224</v>
      </c>
      <c r="C1356" s="1">
        <v>44937</v>
      </c>
      <c r="D1356">
        <v>149</v>
      </c>
      <c r="E1356">
        <f>IF(
  ISNA(
    _xlfn.XLOOKUP(
      payments_raw[[#This Row],[subscription_id]],
      subscriptions[subscription_id],
      subscriptions[subscription_id]
    )
  ),
  0,
  1
)</f>
        <v>1</v>
      </c>
      <c r="F1356" s="1">
        <f>_xlfn.XLOOKUP(payments_raw[[#This Row],[subscription_id]], subscriptions[subscription_id], subscriptions[start_date])</f>
        <v>44877</v>
      </c>
      <c r="G135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1356" s="2">
        <f>IF(payments_raw[[#This Row],[payment_date]] &lt; payments_raw[[#This Row],[sub_start_date]], 1, 0)</f>
        <v>0</v>
      </c>
      <c r="I1356" s="2">
        <f>IF(AND(payments_raw[[#This Row],[sub_end_date]]&lt;&gt;"", payments_raw[[#This Row],[payment_date]] &gt; payments_raw[[#This Row],[sub_end_date]]), 1, 0)</f>
        <v>0</v>
      </c>
      <c r="J1356" s="2">
        <f>IF(payments_raw[[#This Row],[amount]] &lt;= 0, 1, 0)</f>
        <v>0</v>
      </c>
      <c r="K13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7" spans="1:11" x14ac:dyDescent="0.3">
      <c r="A1357">
        <v>10056964</v>
      </c>
      <c r="B1357">
        <v>7410771</v>
      </c>
      <c r="C1357" s="1">
        <v>45581</v>
      </c>
      <c r="D1357">
        <v>390</v>
      </c>
      <c r="E1357">
        <f>IF(
  ISNA(
    _xlfn.XLOOKUP(
      payments_raw[[#This Row],[subscription_id]],
      subscriptions[subscription_id],
      subscriptions[subscription_id]
    )
  ),
  0,
  1
)</f>
        <v>1</v>
      </c>
      <c r="F1357" s="1">
        <f>_xlfn.XLOOKUP(payments_raw[[#This Row],[subscription_id]], subscriptions[subscription_id], subscriptions[start_date])</f>
        <v>45538</v>
      </c>
      <c r="G13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7" s="2">
        <f>IF(payments_raw[[#This Row],[payment_date]] &lt; payments_raw[[#This Row],[sub_start_date]], 1, 0)</f>
        <v>0</v>
      </c>
      <c r="I1357" s="2">
        <f>IF(AND(payments_raw[[#This Row],[sub_end_date]]&lt;&gt;"", payments_raw[[#This Row],[payment_date]] &gt; payments_raw[[#This Row],[sub_end_date]]), 1, 0)</f>
        <v>0</v>
      </c>
      <c r="J1357" s="2">
        <f>IF(payments_raw[[#This Row],[amount]] &lt;= 0, 1, 0)</f>
        <v>0</v>
      </c>
      <c r="K13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8" spans="1:11" x14ac:dyDescent="0.3">
      <c r="A1358">
        <v>43369932</v>
      </c>
      <c r="B1358">
        <v>9763319</v>
      </c>
      <c r="C1358" s="1">
        <v>44665</v>
      </c>
      <c r="D1358">
        <v>790</v>
      </c>
      <c r="E1358">
        <f>IF(
  ISNA(
    _xlfn.XLOOKUP(
      payments_raw[[#This Row],[subscription_id]],
      subscriptions[subscription_id],
      subscriptions[subscription_id]
    )
  ),
  0,
  1
)</f>
        <v>1</v>
      </c>
      <c r="F1358" s="1">
        <f>_xlfn.XLOOKUP(payments_raw[[#This Row],[subscription_id]], subscriptions[subscription_id], subscriptions[start_date])</f>
        <v>44576</v>
      </c>
      <c r="G13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8" s="2">
        <f>IF(payments_raw[[#This Row],[payment_date]] &lt; payments_raw[[#This Row],[sub_start_date]], 1, 0)</f>
        <v>0</v>
      </c>
      <c r="I1358" s="2">
        <f>IF(AND(payments_raw[[#This Row],[sub_end_date]]&lt;&gt;"", payments_raw[[#This Row],[payment_date]] &gt; payments_raw[[#This Row],[sub_end_date]]), 1, 0)</f>
        <v>0</v>
      </c>
      <c r="J1358" s="2">
        <f>IF(payments_raw[[#This Row],[amount]] &lt;= 0, 1, 0)</f>
        <v>0</v>
      </c>
      <c r="K13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59" spans="1:11" x14ac:dyDescent="0.3">
      <c r="A1359">
        <v>53113090</v>
      </c>
      <c r="B1359">
        <v>2517205</v>
      </c>
      <c r="C1359" s="1">
        <v>45654</v>
      </c>
      <c r="D1359">
        <v>224.25</v>
      </c>
      <c r="E1359">
        <f>IF(
  ISNA(
    _xlfn.XLOOKUP(
      payments_raw[[#This Row],[subscription_id]],
      subscriptions[subscription_id],
      subscriptions[subscription_id]
    )
  ),
  0,
  1
)</f>
        <v>1</v>
      </c>
      <c r="F1359" s="1">
        <f>_xlfn.XLOOKUP(payments_raw[[#This Row],[subscription_id]], subscriptions[subscription_id], subscriptions[start_date])</f>
        <v>45393</v>
      </c>
      <c r="G13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59" s="2">
        <f>IF(payments_raw[[#This Row],[payment_date]] &lt; payments_raw[[#This Row],[sub_start_date]], 1, 0)</f>
        <v>0</v>
      </c>
      <c r="I1359" s="2">
        <f>IF(AND(payments_raw[[#This Row],[sub_end_date]]&lt;&gt;"", payments_raw[[#This Row],[payment_date]] &gt; payments_raw[[#This Row],[sub_end_date]]), 1, 0)</f>
        <v>0</v>
      </c>
      <c r="J1359" s="2">
        <f>IF(payments_raw[[#This Row],[amount]] &lt;= 0, 1, 0)</f>
        <v>0</v>
      </c>
      <c r="K13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0" spans="1:11" x14ac:dyDescent="0.3">
      <c r="A1360">
        <v>12943511</v>
      </c>
      <c r="B1360">
        <v>1037485</v>
      </c>
      <c r="C1360" s="1">
        <v>45452</v>
      </c>
      <c r="D1360">
        <v>1490</v>
      </c>
      <c r="E1360">
        <f>IF(
  ISNA(
    _xlfn.XLOOKUP(
      payments_raw[[#This Row],[subscription_id]],
      subscriptions[subscription_id],
      subscriptions[subscription_id]
    )
  ),
  0,
  1
)</f>
        <v>1</v>
      </c>
      <c r="F1360" s="1">
        <f>_xlfn.XLOOKUP(payments_raw[[#This Row],[subscription_id]], subscriptions[subscription_id], subscriptions[start_date])</f>
        <v>45368</v>
      </c>
      <c r="G13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0" s="2">
        <f>IF(payments_raw[[#This Row],[payment_date]] &lt; payments_raw[[#This Row],[sub_start_date]], 1, 0)</f>
        <v>0</v>
      </c>
      <c r="I1360" s="2">
        <f>IF(AND(payments_raw[[#This Row],[sub_end_date]]&lt;&gt;"", payments_raw[[#This Row],[payment_date]] &gt; payments_raw[[#This Row],[sub_end_date]]), 1, 0)</f>
        <v>0</v>
      </c>
      <c r="J1360" s="2">
        <f>IF(payments_raw[[#This Row],[amount]] &lt;= 0, 1, 0)</f>
        <v>0</v>
      </c>
      <c r="K13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1" spans="1:11" x14ac:dyDescent="0.3">
      <c r="A1361">
        <v>47368451</v>
      </c>
      <c r="B1361">
        <v>8955730</v>
      </c>
      <c r="C1361" s="1">
        <v>45284</v>
      </c>
      <c r="D1361">
        <v>19</v>
      </c>
      <c r="E1361">
        <f>IF(
  ISNA(
    _xlfn.XLOOKUP(
      payments_raw[[#This Row],[subscription_id]],
      subscriptions[subscription_id],
      subscriptions[subscription_id]
    )
  ),
  0,
  1
)</f>
        <v>1</v>
      </c>
      <c r="F1361" s="1">
        <f>_xlfn.XLOOKUP(payments_raw[[#This Row],[subscription_id]], subscriptions[subscription_id], subscriptions[start_date])</f>
        <v>44975</v>
      </c>
      <c r="G13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1" s="2">
        <f>IF(payments_raw[[#This Row],[payment_date]] &lt; payments_raw[[#This Row],[sub_start_date]], 1, 0)</f>
        <v>0</v>
      </c>
      <c r="I1361" s="2">
        <f>IF(AND(payments_raw[[#This Row],[sub_end_date]]&lt;&gt;"", payments_raw[[#This Row],[payment_date]] &gt; payments_raw[[#This Row],[sub_end_date]]), 1, 0)</f>
        <v>0</v>
      </c>
      <c r="J1361" s="2">
        <f>IF(payments_raw[[#This Row],[amount]] &lt;= 0, 1, 0)</f>
        <v>0</v>
      </c>
      <c r="K13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2" spans="1:11" x14ac:dyDescent="0.3">
      <c r="A1362">
        <v>45189571</v>
      </c>
      <c r="B1362">
        <v>9292055</v>
      </c>
      <c r="C1362" s="1">
        <v>45333</v>
      </c>
      <c r="D1362">
        <v>79</v>
      </c>
      <c r="E1362">
        <f>IF(
  ISNA(
    _xlfn.XLOOKUP(
      payments_raw[[#This Row],[subscription_id]],
      subscriptions[subscription_id],
      subscriptions[subscription_id]
    )
  ),
  0,
  1
)</f>
        <v>1</v>
      </c>
      <c r="F1362" s="1">
        <f>_xlfn.XLOOKUP(payments_raw[[#This Row],[subscription_id]], subscriptions[subscription_id], subscriptions[start_date])</f>
        <v>45302</v>
      </c>
      <c r="G13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45438</v>
      </c>
      <c r="H1362" s="2">
        <f>IF(payments_raw[[#This Row],[payment_date]] &lt; payments_raw[[#This Row],[sub_start_date]], 1, 0)</f>
        <v>0</v>
      </c>
      <c r="I1362" s="2">
        <f>IF(AND(payments_raw[[#This Row],[sub_end_date]]&lt;&gt;"", payments_raw[[#This Row],[payment_date]] &gt; payments_raw[[#This Row],[sub_end_date]]), 1, 0)</f>
        <v>0</v>
      </c>
      <c r="J1362" s="2">
        <f>IF(payments_raw[[#This Row],[amount]] &lt;= 0, 1, 0)</f>
        <v>0</v>
      </c>
      <c r="K13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3" spans="1:11" x14ac:dyDescent="0.3">
      <c r="A1363">
        <v>67568362</v>
      </c>
      <c r="B1363">
        <v>7502411</v>
      </c>
      <c r="C1363" s="1">
        <v>45150</v>
      </c>
      <c r="D1363">
        <v>19</v>
      </c>
      <c r="E1363">
        <f>IF(
  ISNA(
    _xlfn.XLOOKUP(
      payments_raw[[#This Row],[subscription_id]],
      subscriptions[subscription_id],
      subscriptions[subscription_id]
    )
  ),
  0,
  1
)</f>
        <v>1</v>
      </c>
      <c r="F1363" s="1">
        <f>_xlfn.XLOOKUP(payments_raw[[#This Row],[subscription_id]], subscriptions[subscription_id], subscriptions[start_date])</f>
        <v>44825</v>
      </c>
      <c r="G13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3" s="2">
        <f>IF(payments_raw[[#This Row],[payment_date]] &lt; payments_raw[[#This Row],[sub_start_date]], 1, 0)</f>
        <v>0</v>
      </c>
      <c r="I1363" s="2">
        <f>IF(AND(payments_raw[[#This Row],[sub_end_date]]&lt;&gt;"", payments_raw[[#This Row],[payment_date]] &gt; payments_raw[[#This Row],[sub_end_date]]), 1, 0)</f>
        <v>0</v>
      </c>
      <c r="J1363" s="2">
        <f>IF(payments_raw[[#This Row],[amount]] &lt;= 0, 1, 0)</f>
        <v>0</v>
      </c>
      <c r="K13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4" spans="1:11" x14ac:dyDescent="0.3">
      <c r="A1364">
        <v>35937389</v>
      </c>
      <c r="B1364">
        <v>4831434</v>
      </c>
      <c r="C1364" s="1">
        <v>45272</v>
      </c>
      <c r="D1364">
        <v>190</v>
      </c>
      <c r="E1364">
        <f>IF(
  ISNA(
    _xlfn.XLOOKUP(
      payments_raw[[#This Row],[subscription_id]],
      subscriptions[subscription_id],
      subscriptions[subscription_id]
    )
  ),
  0,
  1
)</f>
        <v>1</v>
      </c>
      <c r="F1364" s="1">
        <f>_xlfn.XLOOKUP(payments_raw[[#This Row],[subscription_id]], subscriptions[subscription_id], subscriptions[start_date])</f>
        <v>44976</v>
      </c>
      <c r="G13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4" s="2">
        <f>IF(payments_raw[[#This Row],[payment_date]] &lt; payments_raw[[#This Row],[sub_start_date]], 1, 0)</f>
        <v>0</v>
      </c>
      <c r="I1364" s="2">
        <f>IF(AND(payments_raw[[#This Row],[sub_end_date]]&lt;&gt;"", payments_raw[[#This Row],[payment_date]] &gt; payments_raw[[#This Row],[sub_end_date]]), 1, 0)</f>
        <v>0</v>
      </c>
      <c r="J1364" s="2">
        <f>IF(payments_raw[[#This Row],[amount]] &lt;= 0, 1, 0)</f>
        <v>0</v>
      </c>
      <c r="K13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5" spans="1:11" x14ac:dyDescent="0.3">
      <c r="A1365">
        <v>86130890</v>
      </c>
      <c r="B1365">
        <v>1571694</v>
      </c>
      <c r="C1365" s="1">
        <v>45551</v>
      </c>
      <c r="D1365">
        <v>19</v>
      </c>
      <c r="E1365">
        <f>IF(
  ISNA(
    _xlfn.XLOOKUP(
      payments_raw[[#This Row],[subscription_id]],
      subscriptions[subscription_id],
      subscriptions[subscription_id]
    )
  ),
  0,
  1
)</f>
        <v>1</v>
      </c>
      <c r="F1365" s="1">
        <f>_xlfn.XLOOKUP(payments_raw[[#This Row],[subscription_id]], subscriptions[subscription_id], subscriptions[start_date])</f>
        <v>45445</v>
      </c>
      <c r="G13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5" s="2">
        <f>IF(payments_raw[[#This Row],[payment_date]] &lt; payments_raw[[#This Row],[sub_start_date]], 1, 0)</f>
        <v>0</v>
      </c>
      <c r="I1365" s="2">
        <f>IF(AND(payments_raw[[#This Row],[sub_end_date]]&lt;&gt;"", payments_raw[[#This Row],[payment_date]] &gt; payments_raw[[#This Row],[sub_end_date]]), 1, 0)</f>
        <v>0</v>
      </c>
      <c r="J1365" s="2">
        <f>IF(payments_raw[[#This Row],[amount]] &lt;= 0, 1, 0)</f>
        <v>0</v>
      </c>
      <c r="K13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6" spans="1:11" x14ac:dyDescent="0.3">
      <c r="A1366">
        <v>18479821</v>
      </c>
      <c r="B1366">
        <v>5139478</v>
      </c>
      <c r="C1366" s="1">
        <v>45432</v>
      </c>
      <c r="D1366">
        <v>39</v>
      </c>
      <c r="E1366">
        <f>IF(
  ISNA(
    _xlfn.XLOOKUP(
      payments_raw[[#This Row],[subscription_id]],
      subscriptions[subscription_id],
      subscriptions[subscription_id]
    )
  ),
  0,
  1
)</f>
        <v>1</v>
      </c>
      <c r="F1366" s="1">
        <f>_xlfn.XLOOKUP(payments_raw[[#This Row],[subscription_id]], subscriptions[subscription_id], subscriptions[start_date])</f>
        <v>45192</v>
      </c>
      <c r="G13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45550</v>
      </c>
      <c r="H1366" s="2">
        <f>IF(payments_raw[[#This Row],[payment_date]] &lt; payments_raw[[#This Row],[sub_start_date]], 1, 0)</f>
        <v>0</v>
      </c>
      <c r="I1366" s="2">
        <f>IF(AND(payments_raw[[#This Row],[sub_end_date]]&lt;&gt;"", payments_raw[[#This Row],[payment_date]] &gt; payments_raw[[#This Row],[sub_end_date]]), 1, 0)</f>
        <v>0</v>
      </c>
      <c r="J1366" s="2">
        <f>IF(payments_raw[[#This Row],[amount]] &lt;= 0, 1, 0)</f>
        <v>0</v>
      </c>
      <c r="K13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7" spans="1:11" x14ac:dyDescent="0.3">
      <c r="A1367">
        <v>74993537</v>
      </c>
      <c r="B1367">
        <v>6326787</v>
      </c>
      <c r="C1367" s="1">
        <v>44607</v>
      </c>
      <c r="D1367">
        <v>190</v>
      </c>
      <c r="E1367">
        <f>IF(
  ISNA(
    _xlfn.XLOOKUP(
      payments_raw[[#This Row],[subscription_id]],
      subscriptions[subscription_id],
      subscriptions[subscription_id]
    )
  ),
  0,
  1
)</f>
        <v>1</v>
      </c>
      <c r="F1367" s="1">
        <f>_xlfn.XLOOKUP(payments_raw[[#This Row],[subscription_id]], subscriptions[subscription_id], subscriptions[start_date])</f>
        <v>44603</v>
      </c>
      <c r="G1367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1367" s="2">
        <f>IF(payments_raw[[#This Row],[payment_date]] &lt; payments_raw[[#This Row],[sub_start_date]], 1, 0)</f>
        <v>0</v>
      </c>
      <c r="I1367" s="2">
        <f>IF(AND(payments_raw[[#This Row],[sub_end_date]]&lt;&gt;"", payments_raw[[#This Row],[payment_date]] &gt; payments_raw[[#This Row],[sub_end_date]]), 1, 0)</f>
        <v>0</v>
      </c>
      <c r="J1367" s="2">
        <f>IF(payments_raw[[#This Row],[amount]] &lt;= 0, 1, 0)</f>
        <v>0</v>
      </c>
      <c r="K13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8" spans="1:11" x14ac:dyDescent="0.3">
      <c r="A1368">
        <v>27015758</v>
      </c>
      <c r="B1368">
        <v>4524641</v>
      </c>
      <c r="C1368" s="1">
        <v>45367</v>
      </c>
      <c r="D1368">
        <v>149</v>
      </c>
      <c r="E1368">
        <f>IF(
  ISNA(
    _xlfn.XLOOKUP(
      payments_raw[[#This Row],[subscription_id]],
      subscriptions[subscription_id],
      subscriptions[subscription_id]
    )
  ),
  0,
  1
)</f>
        <v>1</v>
      </c>
      <c r="F1368" s="1">
        <f>_xlfn.XLOOKUP(payments_raw[[#This Row],[subscription_id]], subscriptions[subscription_id], subscriptions[start_date])</f>
        <v>45103</v>
      </c>
      <c r="G13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8" s="2">
        <f>IF(payments_raw[[#This Row],[payment_date]] &lt; payments_raw[[#This Row],[sub_start_date]], 1, 0)</f>
        <v>0</v>
      </c>
      <c r="I1368" s="2">
        <f>IF(AND(payments_raw[[#This Row],[sub_end_date]]&lt;&gt;"", payments_raw[[#This Row],[payment_date]] &gt; payments_raw[[#This Row],[sub_end_date]]), 1, 0)</f>
        <v>0</v>
      </c>
      <c r="J1368" s="2">
        <f>IF(payments_raw[[#This Row],[amount]] &lt;= 0, 1, 0)</f>
        <v>0</v>
      </c>
      <c r="K13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69" spans="1:11" x14ac:dyDescent="0.3">
      <c r="A1369">
        <v>86938242</v>
      </c>
      <c r="B1369">
        <v>6753758</v>
      </c>
      <c r="C1369" s="1">
        <v>45644</v>
      </c>
      <c r="D1369">
        <v>299</v>
      </c>
      <c r="E1369">
        <f>IF(
  ISNA(
    _xlfn.XLOOKUP(
      payments_raw[[#This Row],[subscription_id]],
      subscriptions[subscription_id],
      subscriptions[subscription_id]
    )
  ),
  0,
  1
)</f>
        <v>1</v>
      </c>
      <c r="F1369" s="1">
        <f>_xlfn.XLOOKUP(payments_raw[[#This Row],[subscription_id]], subscriptions[subscription_id], subscriptions[start_date])</f>
        <v>45259</v>
      </c>
      <c r="G13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69" s="2">
        <f>IF(payments_raw[[#This Row],[payment_date]] &lt; payments_raw[[#This Row],[sub_start_date]], 1, 0)</f>
        <v>0</v>
      </c>
      <c r="I1369" s="2">
        <f>IF(AND(payments_raw[[#This Row],[sub_end_date]]&lt;&gt;"", payments_raw[[#This Row],[payment_date]] &gt; payments_raw[[#This Row],[sub_end_date]]), 1, 0)</f>
        <v>0</v>
      </c>
      <c r="J1369" s="2">
        <f>IF(payments_raw[[#This Row],[amount]] &lt;= 0, 1, 0)</f>
        <v>0</v>
      </c>
      <c r="K13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0" spans="1:11" x14ac:dyDescent="0.3">
      <c r="A1370">
        <v>15614448</v>
      </c>
      <c r="B1370">
        <v>8827002</v>
      </c>
      <c r="C1370" s="1">
        <v>45573</v>
      </c>
      <c r="D1370">
        <v>149</v>
      </c>
      <c r="E1370">
        <f>IF(
  ISNA(
    _xlfn.XLOOKUP(
      payments_raw[[#This Row],[subscription_id]],
      subscriptions[subscription_id],
      subscriptions[subscription_id]
    )
  ),
  0,
  1
)</f>
        <v>1</v>
      </c>
      <c r="F1370" s="1">
        <f>_xlfn.XLOOKUP(payments_raw[[#This Row],[subscription_id]], subscriptions[subscription_id], subscriptions[start_date])</f>
        <v>45434</v>
      </c>
      <c r="G13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0" s="2">
        <f>IF(payments_raw[[#This Row],[payment_date]] &lt; payments_raw[[#This Row],[sub_start_date]], 1, 0)</f>
        <v>0</v>
      </c>
      <c r="I1370" s="2">
        <f>IF(AND(payments_raw[[#This Row],[sub_end_date]]&lt;&gt;"", payments_raw[[#This Row],[payment_date]] &gt; payments_raw[[#This Row],[sub_end_date]]), 1, 0)</f>
        <v>0</v>
      </c>
      <c r="J1370" s="2">
        <f>IF(payments_raw[[#This Row],[amount]] &lt;= 0, 1, 0)</f>
        <v>0</v>
      </c>
      <c r="K13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1" spans="1:11" x14ac:dyDescent="0.3">
      <c r="A1371">
        <v>10382729</v>
      </c>
      <c r="B1371">
        <v>1768056</v>
      </c>
      <c r="C1371" s="1">
        <v>44694</v>
      </c>
      <c r="D1371">
        <v>149</v>
      </c>
      <c r="E1371">
        <f>IF(
  ISNA(
    _xlfn.XLOOKUP(
      payments_raw[[#This Row],[subscription_id]],
      subscriptions[subscription_id],
      subscriptions[subscription_id]
    )
  ),
  0,
  1
)</f>
        <v>1</v>
      </c>
      <c r="F1371" s="1">
        <f>_xlfn.XLOOKUP(payments_raw[[#This Row],[subscription_id]], subscriptions[subscription_id], subscriptions[start_date])</f>
        <v>44592</v>
      </c>
      <c r="G1371" s="1">
        <f>IF(_xlfn.XLOOKUP(payments_raw[[#This Row],[subscription_id]], subscriptions[subscription_id], subscriptions[end_date])=0,"",_xlfn.XLOOKUP(payments_raw[[#This Row],[subscription_id]], subscriptions[subscription_id], subscriptions[end_date]))</f>
        <v>44749</v>
      </c>
      <c r="H1371" s="2">
        <f>IF(payments_raw[[#This Row],[payment_date]] &lt; payments_raw[[#This Row],[sub_start_date]], 1, 0)</f>
        <v>0</v>
      </c>
      <c r="I1371" s="2">
        <f>IF(AND(payments_raw[[#This Row],[sub_end_date]]&lt;&gt;"", payments_raw[[#This Row],[payment_date]] &gt; payments_raw[[#This Row],[sub_end_date]]), 1, 0)</f>
        <v>0</v>
      </c>
      <c r="J1371" s="2">
        <f>IF(payments_raw[[#This Row],[amount]] &lt;= 0, 1, 0)</f>
        <v>0</v>
      </c>
      <c r="K13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2" spans="1:11" x14ac:dyDescent="0.3">
      <c r="A1372">
        <v>83974497</v>
      </c>
      <c r="B1372">
        <v>3341247</v>
      </c>
      <c r="C1372" s="1">
        <v>44837</v>
      </c>
      <c r="D1372">
        <v>745</v>
      </c>
      <c r="E1372">
        <f>IF(
  ISNA(
    _xlfn.XLOOKUP(
      payments_raw[[#This Row],[subscription_id]],
      subscriptions[subscription_id],
      subscriptions[subscription_id]
    )
  ),
  0,
  1
)</f>
        <v>1</v>
      </c>
      <c r="F1372" s="1">
        <f>_xlfn.XLOOKUP(payments_raw[[#This Row],[subscription_id]], subscriptions[subscription_id], subscriptions[start_date])</f>
        <v>44828</v>
      </c>
      <c r="G137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1372" s="2">
        <f>IF(payments_raw[[#This Row],[payment_date]] &lt; payments_raw[[#This Row],[sub_start_date]], 1, 0)</f>
        <v>0</v>
      </c>
      <c r="I1372" s="2">
        <f>IF(AND(payments_raw[[#This Row],[sub_end_date]]&lt;&gt;"", payments_raw[[#This Row],[payment_date]] &gt; payments_raw[[#This Row],[sub_end_date]]), 1, 0)</f>
        <v>0</v>
      </c>
      <c r="J1372" s="2">
        <f>IF(payments_raw[[#This Row],[amount]] &lt;= 0, 1, 0)</f>
        <v>0</v>
      </c>
      <c r="K13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3" spans="1:11" x14ac:dyDescent="0.3">
      <c r="A1373">
        <v>69438450</v>
      </c>
      <c r="B1373">
        <v>9064003</v>
      </c>
      <c r="C1373" s="1">
        <v>45187</v>
      </c>
      <c r="D1373">
        <v>19</v>
      </c>
      <c r="E1373">
        <f>IF(
  ISNA(
    _xlfn.XLOOKUP(
      payments_raw[[#This Row],[subscription_id]],
      subscriptions[subscription_id],
      subscriptions[subscription_id]
    )
  ),
  0,
  1
)</f>
        <v>1</v>
      </c>
      <c r="F1373" s="1">
        <f>_xlfn.XLOOKUP(payments_raw[[#This Row],[subscription_id]], subscriptions[subscription_id], subscriptions[start_date])</f>
        <v>44633</v>
      </c>
      <c r="G13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3" s="2">
        <f>IF(payments_raw[[#This Row],[payment_date]] &lt; payments_raw[[#This Row],[sub_start_date]], 1, 0)</f>
        <v>0</v>
      </c>
      <c r="I1373" s="2">
        <f>IF(AND(payments_raw[[#This Row],[sub_end_date]]&lt;&gt;"", payments_raw[[#This Row],[payment_date]] &gt; payments_raw[[#This Row],[sub_end_date]]), 1, 0)</f>
        <v>0</v>
      </c>
      <c r="J1373" s="2">
        <f>IF(payments_raw[[#This Row],[amount]] &lt;= 0, 1, 0)</f>
        <v>0</v>
      </c>
      <c r="K13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4" spans="1:11" x14ac:dyDescent="0.3">
      <c r="A1374">
        <v>24037331</v>
      </c>
      <c r="B1374">
        <v>8626616</v>
      </c>
      <c r="C1374" s="1">
        <v>45622</v>
      </c>
      <c r="D1374">
        <v>149</v>
      </c>
      <c r="E1374">
        <f>IF(
  ISNA(
    _xlfn.XLOOKUP(
      payments_raw[[#This Row],[subscription_id]],
      subscriptions[subscription_id],
      subscriptions[subscription_id]
    )
  ),
  0,
  1
)</f>
        <v>1</v>
      </c>
      <c r="F1374" s="1">
        <f>_xlfn.XLOOKUP(payments_raw[[#This Row],[subscription_id]], subscriptions[subscription_id], subscriptions[start_date])</f>
        <v>45572</v>
      </c>
      <c r="G13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45631</v>
      </c>
      <c r="H1374" s="2">
        <f>IF(payments_raw[[#This Row],[payment_date]] &lt; payments_raw[[#This Row],[sub_start_date]], 1, 0)</f>
        <v>0</v>
      </c>
      <c r="I1374" s="2">
        <f>IF(AND(payments_raw[[#This Row],[sub_end_date]]&lt;&gt;"", payments_raw[[#This Row],[payment_date]] &gt; payments_raw[[#This Row],[sub_end_date]]), 1, 0)</f>
        <v>0</v>
      </c>
      <c r="J1374" s="2">
        <f>IF(payments_raw[[#This Row],[amount]] &lt;= 0, 1, 0)</f>
        <v>0</v>
      </c>
      <c r="K13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5" spans="1:11" x14ac:dyDescent="0.3">
      <c r="A1375">
        <v>53815113</v>
      </c>
      <c r="B1375">
        <v>1238423</v>
      </c>
      <c r="C1375" s="1">
        <v>45511</v>
      </c>
      <c r="D1375">
        <v>79</v>
      </c>
      <c r="E1375">
        <f>IF(
  ISNA(
    _xlfn.XLOOKUP(
      payments_raw[[#This Row],[subscription_id]],
      subscriptions[subscription_id],
      subscriptions[subscription_id]
    )
  ),
  0,
  1
)</f>
        <v>1</v>
      </c>
      <c r="F1375" s="1">
        <f>_xlfn.XLOOKUP(payments_raw[[#This Row],[subscription_id]], subscriptions[subscription_id], subscriptions[start_date])</f>
        <v>44874</v>
      </c>
      <c r="G13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5" s="2">
        <f>IF(payments_raw[[#This Row],[payment_date]] &lt; payments_raw[[#This Row],[sub_start_date]], 1, 0)</f>
        <v>0</v>
      </c>
      <c r="I1375" s="2">
        <f>IF(AND(payments_raw[[#This Row],[sub_end_date]]&lt;&gt;"", payments_raw[[#This Row],[payment_date]] &gt; payments_raw[[#This Row],[sub_end_date]]), 1, 0)</f>
        <v>0</v>
      </c>
      <c r="J1375" s="2">
        <f>IF(payments_raw[[#This Row],[amount]] &lt;= 0, 1, 0)</f>
        <v>0</v>
      </c>
      <c r="K13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6" spans="1:11" x14ac:dyDescent="0.3">
      <c r="A1376">
        <v>62951530</v>
      </c>
      <c r="B1376">
        <v>6654424</v>
      </c>
      <c r="C1376" s="1">
        <v>45601</v>
      </c>
      <c r="D1376">
        <v>39</v>
      </c>
      <c r="E1376">
        <f>IF(
  ISNA(
    _xlfn.XLOOKUP(
      payments_raw[[#This Row],[subscription_id]],
      subscriptions[subscription_id],
      subscriptions[subscription_id]
    )
  ),
  0,
  1
)</f>
        <v>1</v>
      </c>
      <c r="F1376" s="1">
        <f>_xlfn.XLOOKUP(payments_raw[[#This Row],[subscription_id]], subscriptions[subscription_id], subscriptions[start_date])</f>
        <v>45441</v>
      </c>
      <c r="G13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6" s="2">
        <f>IF(payments_raw[[#This Row],[payment_date]] &lt; payments_raw[[#This Row],[sub_start_date]], 1, 0)</f>
        <v>0</v>
      </c>
      <c r="I1376" s="2">
        <f>IF(AND(payments_raw[[#This Row],[sub_end_date]]&lt;&gt;"", payments_raw[[#This Row],[payment_date]] &gt; payments_raw[[#This Row],[sub_end_date]]), 1, 0)</f>
        <v>0</v>
      </c>
      <c r="J1376" s="2">
        <f>IF(payments_raw[[#This Row],[amount]] &lt;= 0, 1, 0)</f>
        <v>0</v>
      </c>
      <c r="K13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7" spans="1:11" x14ac:dyDescent="0.3">
      <c r="A1377">
        <v>45571248</v>
      </c>
      <c r="B1377">
        <v>7279870</v>
      </c>
      <c r="C1377" s="1">
        <v>45453</v>
      </c>
      <c r="D1377">
        <v>390</v>
      </c>
      <c r="E1377">
        <f>IF(
  ISNA(
    _xlfn.XLOOKUP(
      payments_raw[[#This Row],[subscription_id]],
      subscriptions[subscription_id],
      subscriptions[subscription_id]
    )
  ),
  0,
  1
)</f>
        <v>1</v>
      </c>
      <c r="F1377" s="1">
        <f>_xlfn.XLOOKUP(payments_raw[[#This Row],[subscription_id]], subscriptions[subscription_id], subscriptions[start_date])</f>
        <v>45174</v>
      </c>
      <c r="G13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7" s="2">
        <f>IF(payments_raw[[#This Row],[payment_date]] &lt; payments_raw[[#This Row],[sub_start_date]], 1, 0)</f>
        <v>0</v>
      </c>
      <c r="I1377" s="2">
        <f>IF(AND(payments_raw[[#This Row],[sub_end_date]]&lt;&gt;"", payments_raw[[#This Row],[payment_date]] &gt; payments_raw[[#This Row],[sub_end_date]]), 1, 0)</f>
        <v>0</v>
      </c>
      <c r="J1377" s="2">
        <f>IF(payments_raw[[#This Row],[amount]] &lt;= 0, 1, 0)</f>
        <v>0</v>
      </c>
      <c r="K13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8" spans="1:11" x14ac:dyDescent="0.3">
      <c r="A1378">
        <v>99008895</v>
      </c>
      <c r="B1378">
        <v>3675009</v>
      </c>
      <c r="C1378" s="1">
        <v>45557</v>
      </c>
      <c r="D1378">
        <v>79</v>
      </c>
      <c r="E1378">
        <f>IF(
  ISNA(
    _xlfn.XLOOKUP(
      payments_raw[[#This Row],[subscription_id]],
      subscriptions[subscription_id],
      subscriptions[subscription_id]
    )
  ),
  0,
  1
)</f>
        <v>1</v>
      </c>
      <c r="F1378" s="1">
        <f>_xlfn.XLOOKUP(payments_raw[[#This Row],[subscription_id]], subscriptions[subscription_id], subscriptions[start_date])</f>
        <v>45420</v>
      </c>
      <c r="G13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78" s="2">
        <f>IF(payments_raw[[#This Row],[payment_date]] &lt; payments_raw[[#This Row],[sub_start_date]], 1, 0)</f>
        <v>0</v>
      </c>
      <c r="I1378" s="2">
        <f>IF(AND(payments_raw[[#This Row],[sub_end_date]]&lt;&gt;"", payments_raw[[#This Row],[payment_date]] &gt; payments_raw[[#This Row],[sub_end_date]]), 1, 0)</f>
        <v>0</v>
      </c>
      <c r="J1378" s="2">
        <f>IF(payments_raw[[#This Row],[amount]] &lt;= 0, 1, 0)</f>
        <v>0</v>
      </c>
      <c r="K13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79" spans="1:11" x14ac:dyDescent="0.3">
      <c r="A1379">
        <v>43416963</v>
      </c>
      <c r="B1379">
        <v>6955771</v>
      </c>
      <c r="C1379" s="1">
        <v>45378</v>
      </c>
      <c r="D1379">
        <v>2990</v>
      </c>
      <c r="E1379">
        <f>IF(
  ISNA(
    _xlfn.XLOOKUP(
      payments_raw[[#This Row],[subscription_id]],
      subscriptions[subscription_id],
      subscriptions[subscription_id]
    )
  ),
  0,
  1
)</f>
        <v>1</v>
      </c>
      <c r="F1379" s="1">
        <f>_xlfn.XLOOKUP(payments_raw[[#This Row],[subscription_id]], subscriptions[subscription_id], subscriptions[start_date])</f>
        <v>45200</v>
      </c>
      <c r="G13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1379" s="2">
        <f>IF(payments_raw[[#This Row],[payment_date]] &lt; payments_raw[[#This Row],[sub_start_date]], 1, 0)</f>
        <v>0</v>
      </c>
      <c r="I1379" s="2">
        <f>IF(AND(payments_raw[[#This Row],[sub_end_date]]&lt;&gt;"", payments_raw[[#This Row],[payment_date]] &gt; payments_raw[[#This Row],[sub_end_date]]), 1, 0)</f>
        <v>0</v>
      </c>
      <c r="J1379" s="2">
        <f>IF(payments_raw[[#This Row],[amount]] &lt;= 0, 1, 0)</f>
        <v>0</v>
      </c>
      <c r="K13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0" spans="1:11" x14ac:dyDescent="0.3">
      <c r="A1380">
        <v>63127076</v>
      </c>
      <c r="B1380">
        <v>3730666</v>
      </c>
      <c r="C1380" s="1">
        <v>45493</v>
      </c>
      <c r="D1380">
        <v>19</v>
      </c>
      <c r="E1380">
        <f>IF(
  ISNA(
    _xlfn.XLOOKUP(
      payments_raw[[#This Row],[subscription_id]],
      subscriptions[subscription_id],
      subscriptions[subscription_id]
    )
  ),
  0,
  1
)</f>
        <v>1</v>
      </c>
      <c r="F1380" s="1">
        <f>_xlfn.XLOOKUP(payments_raw[[#This Row],[subscription_id]], subscriptions[subscription_id], subscriptions[start_date])</f>
        <v>44780</v>
      </c>
      <c r="G13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0" s="2">
        <f>IF(payments_raw[[#This Row],[payment_date]] &lt; payments_raw[[#This Row],[sub_start_date]], 1, 0)</f>
        <v>0</v>
      </c>
      <c r="I1380" s="2">
        <f>IF(AND(payments_raw[[#This Row],[sub_end_date]]&lt;&gt;"", payments_raw[[#This Row],[payment_date]] &gt; payments_raw[[#This Row],[sub_end_date]]), 1, 0)</f>
        <v>0</v>
      </c>
      <c r="J1380" s="2">
        <f>IF(payments_raw[[#This Row],[amount]] &lt;= 0, 1, 0)</f>
        <v>0</v>
      </c>
      <c r="K13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1" spans="1:11" x14ac:dyDescent="0.3">
      <c r="A1381">
        <v>69102324</v>
      </c>
      <c r="B1381">
        <v>7831393</v>
      </c>
      <c r="C1381" s="1">
        <v>45305</v>
      </c>
      <c r="D1381">
        <v>790</v>
      </c>
      <c r="E1381">
        <f>IF(
  ISNA(
    _xlfn.XLOOKUP(
      payments_raw[[#This Row],[subscription_id]],
      subscriptions[subscription_id],
      subscriptions[subscription_id]
    )
  ),
  0,
  1
)</f>
        <v>1</v>
      </c>
      <c r="F1381" s="1">
        <f>_xlfn.XLOOKUP(payments_raw[[#This Row],[subscription_id]], subscriptions[subscription_id], subscriptions[start_date])</f>
        <v>44986</v>
      </c>
      <c r="G13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1" s="2">
        <f>IF(payments_raw[[#This Row],[payment_date]] &lt; payments_raw[[#This Row],[sub_start_date]], 1, 0)</f>
        <v>0</v>
      </c>
      <c r="I1381" s="2">
        <f>IF(AND(payments_raw[[#This Row],[sub_end_date]]&lt;&gt;"", payments_raw[[#This Row],[payment_date]] &gt; payments_raw[[#This Row],[sub_end_date]]), 1, 0)</f>
        <v>0</v>
      </c>
      <c r="J1381" s="2">
        <f>IF(payments_raw[[#This Row],[amount]] &lt;= 0, 1, 0)</f>
        <v>0</v>
      </c>
      <c r="K13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2" spans="1:11" x14ac:dyDescent="0.3">
      <c r="A1382">
        <v>61158753</v>
      </c>
      <c r="B1382">
        <v>1805615</v>
      </c>
      <c r="C1382" s="1">
        <v>45003</v>
      </c>
      <c r="D1382">
        <v>19</v>
      </c>
      <c r="E1382">
        <f>IF(
  ISNA(
    _xlfn.XLOOKUP(
      payments_raw[[#This Row],[subscription_id]],
      subscriptions[subscription_id],
      subscriptions[subscription_id]
    )
  ),
  0,
  1
)</f>
        <v>1</v>
      </c>
      <c r="F1382" s="1">
        <f>_xlfn.XLOOKUP(payments_raw[[#This Row],[subscription_id]], subscriptions[subscription_id], subscriptions[start_date])</f>
        <v>44967</v>
      </c>
      <c r="G13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1382" s="2">
        <f>IF(payments_raw[[#This Row],[payment_date]] &lt; payments_raw[[#This Row],[sub_start_date]], 1, 0)</f>
        <v>0</v>
      </c>
      <c r="I1382" s="2">
        <f>IF(AND(payments_raw[[#This Row],[sub_end_date]]&lt;&gt;"", payments_raw[[#This Row],[payment_date]] &gt; payments_raw[[#This Row],[sub_end_date]]), 1, 0)</f>
        <v>0</v>
      </c>
      <c r="J1382" s="2">
        <f>IF(payments_raw[[#This Row],[amount]] &lt;= 0, 1, 0)</f>
        <v>0</v>
      </c>
      <c r="K13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3" spans="1:11" x14ac:dyDescent="0.3">
      <c r="A1383">
        <v>22119306</v>
      </c>
      <c r="B1383">
        <v>7781989</v>
      </c>
      <c r="C1383" s="1">
        <v>45536</v>
      </c>
      <c r="D1383">
        <v>390</v>
      </c>
      <c r="E1383">
        <f>IF(
  ISNA(
    _xlfn.XLOOKUP(
      payments_raw[[#This Row],[subscription_id]],
      subscriptions[subscription_id],
      subscriptions[subscription_id]
    )
  ),
  0,
  1
)</f>
        <v>1</v>
      </c>
      <c r="F1383" s="1">
        <f>_xlfn.XLOOKUP(payments_raw[[#This Row],[subscription_id]], subscriptions[subscription_id], subscriptions[start_date])</f>
        <v>45453</v>
      </c>
      <c r="G13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3" s="2">
        <f>IF(payments_raw[[#This Row],[payment_date]] &lt; payments_raw[[#This Row],[sub_start_date]], 1, 0)</f>
        <v>0</v>
      </c>
      <c r="I1383" s="2">
        <f>IF(AND(payments_raw[[#This Row],[sub_end_date]]&lt;&gt;"", payments_raw[[#This Row],[payment_date]] &gt; payments_raw[[#This Row],[sub_end_date]]), 1, 0)</f>
        <v>0</v>
      </c>
      <c r="J1383" s="2">
        <f>IF(payments_raw[[#This Row],[amount]] &lt;= 0, 1, 0)</f>
        <v>0</v>
      </c>
      <c r="K13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4" spans="1:11" x14ac:dyDescent="0.3">
      <c r="A1384">
        <v>45060203</v>
      </c>
      <c r="B1384">
        <v>5685963</v>
      </c>
      <c r="C1384" s="1">
        <v>45412</v>
      </c>
      <c r="D1384">
        <v>19</v>
      </c>
      <c r="E1384">
        <f>IF(
  ISNA(
    _xlfn.XLOOKUP(
      payments_raw[[#This Row],[subscription_id]],
      subscriptions[subscription_id],
      subscriptions[subscription_id]
    )
  ),
  0,
  1
)</f>
        <v>1</v>
      </c>
      <c r="F1384" s="1">
        <f>_xlfn.XLOOKUP(payments_raw[[#This Row],[subscription_id]], subscriptions[subscription_id], subscriptions[start_date])</f>
        <v>45252</v>
      </c>
      <c r="G13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4" s="2">
        <f>IF(payments_raw[[#This Row],[payment_date]] &lt; payments_raw[[#This Row],[sub_start_date]], 1, 0)</f>
        <v>0</v>
      </c>
      <c r="I1384" s="2">
        <f>IF(AND(payments_raw[[#This Row],[sub_end_date]]&lt;&gt;"", payments_raw[[#This Row],[payment_date]] &gt; payments_raw[[#This Row],[sub_end_date]]), 1, 0)</f>
        <v>0</v>
      </c>
      <c r="J1384" s="2">
        <f>IF(payments_raw[[#This Row],[amount]] &lt;= 0, 1, 0)</f>
        <v>0</v>
      </c>
      <c r="K13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5" spans="1:11" x14ac:dyDescent="0.3">
      <c r="A1385">
        <v>16617005</v>
      </c>
      <c r="B1385">
        <v>8379665</v>
      </c>
      <c r="C1385" s="1">
        <v>45221</v>
      </c>
      <c r="D1385">
        <v>299</v>
      </c>
      <c r="E1385">
        <f>IF(
  ISNA(
    _xlfn.XLOOKUP(
      payments_raw[[#This Row],[subscription_id]],
      subscriptions[subscription_id],
      subscriptions[subscription_id]
    )
  ),
  0,
  1
)</f>
        <v>1</v>
      </c>
      <c r="F1385" s="1">
        <f>_xlfn.XLOOKUP(payments_raw[[#This Row],[subscription_id]], subscriptions[subscription_id], subscriptions[start_date])</f>
        <v>45165</v>
      </c>
      <c r="G13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85" s="2">
        <f>IF(payments_raw[[#This Row],[payment_date]] &lt; payments_raw[[#This Row],[sub_start_date]], 1, 0)</f>
        <v>0</v>
      </c>
      <c r="I1385" s="2">
        <f>IF(AND(payments_raw[[#This Row],[sub_end_date]]&lt;&gt;"", payments_raw[[#This Row],[payment_date]] &gt; payments_raw[[#This Row],[sub_end_date]]), 1, 0)</f>
        <v>0</v>
      </c>
      <c r="J1385" s="2">
        <f>IF(payments_raw[[#This Row],[amount]] &lt;= 0, 1, 0)</f>
        <v>0</v>
      </c>
      <c r="K13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6" spans="1:11" x14ac:dyDescent="0.3">
      <c r="A1386">
        <v>28088212</v>
      </c>
      <c r="B1386">
        <v>1108226</v>
      </c>
      <c r="C1386" s="1">
        <v>45647</v>
      </c>
      <c r="D1386">
        <v>2990</v>
      </c>
      <c r="E1386">
        <f>IF(
  ISNA(
    _xlfn.XLOOKUP(
      payments_raw[[#This Row],[subscription_id]],
      subscriptions[subscription_id],
      subscriptions[subscription_id]
    )
  ),
  0,
  1
)</f>
        <v>1</v>
      </c>
      <c r="F1386" s="1">
        <f>_xlfn.XLOOKUP(payments_raw[[#This Row],[subscription_id]], subscriptions[subscription_id], subscriptions[start_date])</f>
        <v>45555</v>
      </c>
      <c r="G13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386" s="2">
        <f>IF(payments_raw[[#This Row],[payment_date]] &lt; payments_raw[[#This Row],[sub_start_date]], 1, 0)</f>
        <v>0</v>
      </c>
      <c r="I1386" s="2">
        <f>IF(AND(payments_raw[[#This Row],[sub_end_date]]&lt;&gt;"", payments_raw[[#This Row],[payment_date]] &gt; payments_raw[[#This Row],[sub_end_date]]), 1, 0)</f>
        <v>0</v>
      </c>
      <c r="J1386" s="2">
        <f>IF(payments_raw[[#This Row],[amount]] &lt;= 0, 1, 0)</f>
        <v>0</v>
      </c>
      <c r="K13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7" spans="1:11" x14ac:dyDescent="0.3">
      <c r="A1387">
        <v>34237228</v>
      </c>
      <c r="B1387">
        <v>2764796</v>
      </c>
      <c r="C1387" s="1">
        <v>45149</v>
      </c>
      <c r="D1387">
        <v>190</v>
      </c>
      <c r="E1387">
        <f>IF(
  ISNA(
    _xlfn.XLOOKUP(
      payments_raw[[#This Row],[subscription_id]],
      subscriptions[subscription_id],
      subscriptions[subscription_id]
    )
  ),
  0,
  1
)</f>
        <v>1</v>
      </c>
      <c r="F1387" s="1">
        <f>_xlfn.XLOOKUP(payments_raw[[#This Row],[subscription_id]], subscriptions[subscription_id], subscriptions[start_date])</f>
        <v>45135</v>
      </c>
      <c r="G13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45306</v>
      </c>
      <c r="H1387" s="2">
        <f>IF(payments_raw[[#This Row],[payment_date]] &lt; payments_raw[[#This Row],[sub_start_date]], 1, 0)</f>
        <v>0</v>
      </c>
      <c r="I1387" s="2">
        <f>IF(AND(payments_raw[[#This Row],[sub_end_date]]&lt;&gt;"", payments_raw[[#This Row],[payment_date]] &gt; payments_raw[[#This Row],[sub_end_date]]), 1, 0)</f>
        <v>0</v>
      </c>
      <c r="J1387" s="2">
        <f>IF(payments_raw[[#This Row],[amount]] &lt;= 0, 1, 0)</f>
        <v>0</v>
      </c>
      <c r="K13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8" spans="1:11" x14ac:dyDescent="0.3">
      <c r="A1388">
        <v>74123420</v>
      </c>
      <c r="B1388">
        <v>8621830</v>
      </c>
      <c r="C1388" s="1">
        <v>45274</v>
      </c>
      <c r="D1388">
        <v>190</v>
      </c>
      <c r="E1388">
        <f>IF(
  ISNA(
    _xlfn.XLOOKUP(
      payments_raw[[#This Row],[subscription_id]],
      subscriptions[subscription_id],
      subscriptions[subscription_id]
    )
  ),
  0,
  1
)</f>
        <v>1</v>
      </c>
      <c r="F1388" s="1">
        <f>_xlfn.XLOOKUP(payments_raw[[#This Row],[subscription_id]], subscriptions[subscription_id], subscriptions[start_date])</f>
        <v>45090</v>
      </c>
      <c r="G13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45376</v>
      </c>
      <c r="H1388" s="2">
        <f>IF(payments_raw[[#This Row],[payment_date]] &lt; payments_raw[[#This Row],[sub_start_date]], 1, 0)</f>
        <v>0</v>
      </c>
      <c r="I1388" s="2">
        <f>IF(AND(payments_raw[[#This Row],[sub_end_date]]&lt;&gt;"", payments_raw[[#This Row],[payment_date]] &gt; payments_raw[[#This Row],[sub_end_date]]), 1, 0)</f>
        <v>0</v>
      </c>
      <c r="J1388" s="2">
        <f>IF(payments_raw[[#This Row],[amount]] &lt;= 0, 1, 0)</f>
        <v>0</v>
      </c>
      <c r="K13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89" spans="1:11" x14ac:dyDescent="0.3">
      <c r="A1389">
        <v>61202708</v>
      </c>
      <c r="B1389">
        <v>7397002</v>
      </c>
      <c r="C1389" s="1">
        <v>45530</v>
      </c>
      <c r="D1389">
        <v>79</v>
      </c>
      <c r="E1389">
        <f>IF(
  ISNA(
    _xlfn.XLOOKUP(
      payments_raw[[#This Row],[subscription_id]],
      subscriptions[subscription_id],
      subscriptions[subscription_id]
    )
  ),
  0,
  1
)</f>
        <v>1</v>
      </c>
      <c r="F1389" s="1">
        <f>_xlfn.XLOOKUP(payments_raw[[#This Row],[subscription_id]], subscriptions[subscription_id], subscriptions[start_date])</f>
        <v>45519</v>
      </c>
      <c r="G13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1389" s="2">
        <f>IF(payments_raw[[#This Row],[payment_date]] &lt; payments_raw[[#This Row],[sub_start_date]], 1, 0)</f>
        <v>0</v>
      </c>
      <c r="I1389" s="2">
        <f>IF(AND(payments_raw[[#This Row],[sub_end_date]]&lt;&gt;"", payments_raw[[#This Row],[payment_date]] &gt; payments_raw[[#This Row],[sub_end_date]]), 1, 0)</f>
        <v>0</v>
      </c>
      <c r="J1389" s="2">
        <f>IF(payments_raw[[#This Row],[amount]] &lt;= 0, 1, 0)</f>
        <v>0</v>
      </c>
      <c r="K13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0" spans="1:11" x14ac:dyDescent="0.3">
      <c r="A1390">
        <v>19446734</v>
      </c>
      <c r="B1390">
        <v>2670640</v>
      </c>
      <c r="C1390" s="1">
        <v>45305</v>
      </c>
      <c r="D1390">
        <v>711</v>
      </c>
      <c r="E1390">
        <f>IF(
  ISNA(
    _xlfn.XLOOKUP(
      payments_raw[[#This Row],[subscription_id]],
      subscriptions[subscription_id],
      subscriptions[subscription_id]
    )
  ),
  0,
  1
)</f>
        <v>1</v>
      </c>
      <c r="F1390" s="1">
        <f>_xlfn.XLOOKUP(payments_raw[[#This Row],[subscription_id]], subscriptions[subscription_id], subscriptions[start_date])</f>
        <v>44820</v>
      </c>
      <c r="G13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0" s="2">
        <f>IF(payments_raw[[#This Row],[payment_date]] &lt; payments_raw[[#This Row],[sub_start_date]], 1, 0)</f>
        <v>0</v>
      </c>
      <c r="I1390" s="2">
        <f>IF(AND(payments_raw[[#This Row],[sub_end_date]]&lt;&gt;"", payments_raw[[#This Row],[payment_date]] &gt; payments_raw[[#This Row],[sub_end_date]]), 1, 0)</f>
        <v>0</v>
      </c>
      <c r="J1390" s="2">
        <f>IF(payments_raw[[#This Row],[amount]] &lt;= 0, 1, 0)</f>
        <v>0</v>
      </c>
      <c r="K13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1" spans="1:11" x14ac:dyDescent="0.3">
      <c r="A1391">
        <v>18303664</v>
      </c>
      <c r="B1391">
        <v>9934008</v>
      </c>
      <c r="C1391" s="1">
        <v>45481</v>
      </c>
      <c r="D1391">
        <v>1490</v>
      </c>
      <c r="E1391">
        <f>IF(
  ISNA(
    _xlfn.XLOOKUP(
      payments_raw[[#This Row],[subscription_id]],
      subscriptions[subscription_id],
      subscriptions[subscription_id]
    )
  ),
  0,
  1
)</f>
        <v>1</v>
      </c>
      <c r="F1391" s="1">
        <f>_xlfn.XLOOKUP(payments_raw[[#This Row],[subscription_id]], subscriptions[subscription_id], subscriptions[start_date])</f>
        <v>45365</v>
      </c>
      <c r="G13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1" s="2">
        <f>IF(payments_raw[[#This Row],[payment_date]] &lt; payments_raw[[#This Row],[sub_start_date]], 1, 0)</f>
        <v>0</v>
      </c>
      <c r="I1391" s="2">
        <f>IF(AND(payments_raw[[#This Row],[sub_end_date]]&lt;&gt;"", payments_raw[[#This Row],[payment_date]] &gt; payments_raw[[#This Row],[sub_end_date]]), 1, 0)</f>
        <v>0</v>
      </c>
      <c r="J1391" s="2">
        <f>IF(payments_raw[[#This Row],[amount]] &lt;= 0, 1, 0)</f>
        <v>0</v>
      </c>
      <c r="K13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2" spans="1:11" x14ac:dyDescent="0.3">
      <c r="A1392">
        <v>82184638</v>
      </c>
      <c r="B1392">
        <v>7725530</v>
      </c>
      <c r="C1392" s="1">
        <v>45554</v>
      </c>
      <c r="D1392">
        <v>2990</v>
      </c>
      <c r="E1392">
        <f>IF(
  ISNA(
    _xlfn.XLOOKUP(
      payments_raw[[#This Row],[subscription_id]],
      subscriptions[subscription_id],
      subscriptions[subscription_id]
    )
  ),
  0,
  1
)</f>
        <v>1</v>
      </c>
      <c r="F1392" s="1">
        <f>_xlfn.XLOOKUP(payments_raw[[#This Row],[subscription_id]], subscriptions[subscription_id], subscriptions[start_date])</f>
        <v>45169</v>
      </c>
      <c r="G13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2" s="2">
        <f>IF(payments_raw[[#This Row],[payment_date]] &lt; payments_raw[[#This Row],[sub_start_date]], 1, 0)</f>
        <v>0</v>
      </c>
      <c r="I1392" s="2">
        <f>IF(AND(payments_raw[[#This Row],[sub_end_date]]&lt;&gt;"", payments_raw[[#This Row],[payment_date]] &gt; payments_raw[[#This Row],[sub_end_date]]), 1, 0)</f>
        <v>0</v>
      </c>
      <c r="J1392" s="2">
        <f>IF(payments_raw[[#This Row],[amount]] &lt;= 0, 1, 0)</f>
        <v>0</v>
      </c>
      <c r="K13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3" spans="1:11" x14ac:dyDescent="0.3">
      <c r="A1393">
        <v>63000670</v>
      </c>
      <c r="B1393">
        <v>4831434</v>
      </c>
      <c r="C1393" s="1">
        <v>45188</v>
      </c>
      <c r="D1393">
        <v>190</v>
      </c>
      <c r="E1393">
        <f>IF(
  ISNA(
    _xlfn.XLOOKUP(
      payments_raw[[#This Row],[subscription_id]],
      subscriptions[subscription_id],
      subscriptions[subscription_id]
    )
  ),
  0,
  1
)</f>
        <v>1</v>
      </c>
      <c r="F1393" s="1">
        <f>_xlfn.XLOOKUP(payments_raw[[#This Row],[subscription_id]], subscriptions[subscription_id], subscriptions[start_date])</f>
        <v>44976</v>
      </c>
      <c r="G13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3" s="2">
        <f>IF(payments_raw[[#This Row],[payment_date]] &lt; payments_raw[[#This Row],[sub_start_date]], 1, 0)</f>
        <v>0</v>
      </c>
      <c r="I1393" s="2">
        <f>IF(AND(payments_raw[[#This Row],[sub_end_date]]&lt;&gt;"", payments_raw[[#This Row],[payment_date]] &gt; payments_raw[[#This Row],[sub_end_date]]), 1, 0)</f>
        <v>0</v>
      </c>
      <c r="J1393" s="2">
        <f>IF(payments_raw[[#This Row],[amount]] &lt;= 0, 1, 0)</f>
        <v>0</v>
      </c>
      <c r="K13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4" spans="1:11" x14ac:dyDescent="0.3">
      <c r="A1394">
        <v>43360201</v>
      </c>
      <c r="B1394">
        <v>7064624</v>
      </c>
      <c r="C1394" s="1">
        <v>45116</v>
      </c>
      <c r="D1394">
        <v>790</v>
      </c>
      <c r="E1394">
        <f>IF(
  ISNA(
    _xlfn.XLOOKUP(
      payments_raw[[#This Row],[subscription_id]],
      subscriptions[subscription_id],
      subscriptions[subscription_id]
    )
  ),
  0,
  1
)</f>
        <v>1</v>
      </c>
      <c r="F1394" s="1">
        <f>_xlfn.XLOOKUP(payments_raw[[#This Row],[subscription_id]], subscriptions[subscription_id], subscriptions[start_date])</f>
        <v>44696</v>
      </c>
      <c r="G13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4" s="2">
        <f>IF(payments_raw[[#This Row],[payment_date]] &lt; payments_raw[[#This Row],[sub_start_date]], 1, 0)</f>
        <v>0</v>
      </c>
      <c r="I1394" s="2">
        <f>IF(AND(payments_raw[[#This Row],[sub_end_date]]&lt;&gt;"", payments_raw[[#This Row],[payment_date]] &gt; payments_raw[[#This Row],[sub_end_date]]), 1, 0)</f>
        <v>0</v>
      </c>
      <c r="J1394" s="2">
        <f>IF(payments_raw[[#This Row],[amount]] &lt;= 0, 1, 0)</f>
        <v>0</v>
      </c>
      <c r="K13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5" spans="1:11" x14ac:dyDescent="0.3">
      <c r="A1395">
        <v>96921883</v>
      </c>
      <c r="B1395">
        <v>5076209</v>
      </c>
      <c r="C1395" s="1">
        <v>44842</v>
      </c>
      <c r="D1395">
        <v>1490</v>
      </c>
      <c r="E1395">
        <f>IF(
  ISNA(
    _xlfn.XLOOKUP(
      payments_raw[[#This Row],[subscription_id]],
      subscriptions[subscription_id],
      subscriptions[subscription_id]
    )
  ),
  0,
  1
)</f>
        <v>1</v>
      </c>
      <c r="F1395" s="1">
        <f>_xlfn.XLOOKUP(payments_raw[[#This Row],[subscription_id]], subscriptions[subscription_id], subscriptions[start_date])</f>
        <v>44714</v>
      </c>
      <c r="G13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5" s="2">
        <f>IF(payments_raw[[#This Row],[payment_date]] &lt; payments_raw[[#This Row],[sub_start_date]], 1, 0)</f>
        <v>0</v>
      </c>
      <c r="I1395" s="2">
        <f>IF(AND(payments_raw[[#This Row],[sub_end_date]]&lt;&gt;"", payments_raw[[#This Row],[payment_date]] &gt; payments_raw[[#This Row],[sub_end_date]]), 1, 0)</f>
        <v>0</v>
      </c>
      <c r="J1395" s="2">
        <f>IF(payments_raw[[#This Row],[amount]] &lt;= 0, 1, 0)</f>
        <v>0</v>
      </c>
      <c r="K13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6" spans="1:11" x14ac:dyDescent="0.3">
      <c r="A1396">
        <v>87748149</v>
      </c>
      <c r="B1396">
        <v>8364357</v>
      </c>
      <c r="C1396" s="1">
        <v>45476</v>
      </c>
      <c r="D1396">
        <v>39</v>
      </c>
      <c r="E1396">
        <f>IF(
  ISNA(
    _xlfn.XLOOKUP(
      payments_raw[[#This Row],[subscription_id]],
      subscriptions[subscription_id],
      subscriptions[subscription_id]
    )
  ),
  0,
  1
)</f>
        <v>1</v>
      </c>
      <c r="F1396" s="1">
        <f>_xlfn.XLOOKUP(payments_raw[[#This Row],[subscription_id]], subscriptions[subscription_id], subscriptions[start_date])</f>
        <v>45410</v>
      </c>
      <c r="G13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6" s="2">
        <f>IF(payments_raw[[#This Row],[payment_date]] &lt; payments_raw[[#This Row],[sub_start_date]], 1, 0)</f>
        <v>0</v>
      </c>
      <c r="I1396" s="2">
        <f>IF(AND(payments_raw[[#This Row],[sub_end_date]]&lt;&gt;"", payments_raw[[#This Row],[payment_date]] &gt; payments_raw[[#This Row],[sub_end_date]]), 1, 0)</f>
        <v>0</v>
      </c>
      <c r="J1396" s="2">
        <f>IF(payments_raw[[#This Row],[amount]] &lt;= 0, 1, 0)</f>
        <v>0</v>
      </c>
      <c r="K13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7" spans="1:11" x14ac:dyDescent="0.3">
      <c r="A1397">
        <v>90462702</v>
      </c>
      <c r="B1397">
        <v>8272245</v>
      </c>
      <c r="C1397" s="1">
        <v>45507</v>
      </c>
      <c r="D1397">
        <v>149</v>
      </c>
      <c r="E1397">
        <f>IF(
  ISNA(
    _xlfn.XLOOKUP(
      payments_raw[[#This Row],[subscription_id]],
      subscriptions[subscription_id],
      subscriptions[subscription_id]
    )
  ),
  0,
  1
)</f>
        <v>1</v>
      </c>
      <c r="F1397" s="1">
        <f>_xlfn.XLOOKUP(payments_raw[[#This Row],[subscription_id]], subscriptions[subscription_id], subscriptions[start_date])</f>
        <v>45493</v>
      </c>
      <c r="G13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7" s="2">
        <f>IF(payments_raw[[#This Row],[payment_date]] &lt; payments_raw[[#This Row],[sub_start_date]], 1, 0)</f>
        <v>0</v>
      </c>
      <c r="I1397" s="2">
        <f>IF(AND(payments_raw[[#This Row],[sub_end_date]]&lt;&gt;"", payments_raw[[#This Row],[payment_date]] &gt; payments_raw[[#This Row],[sub_end_date]]), 1, 0)</f>
        <v>0</v>
      </c>
      <c r="J1397" s="2">
        <f>IF(payments_raw[[#This Row],[amount]] &lt;= 0, 1, 0)</f>
        <v>0</v>
      </c>
      <c r="K13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8" spans="1:11" x14ac:dyDescent="0.3">
      <c r="A1398">
        <v>11030568</v>
      </c>
      <c r="B1398">
        <v>1733836</v>
      </c>
      <c r="C1398" s="1">
        <v>44882</v>
      </c>
      <c r="D1398">
        <v>17.100000000000001</v>
      </c>
      <c r="E1398">
        <f>IF(
  ISNA(
    _xlfn.XLOOKUP(
      payments_raw[[#This Row],[subscription_id]],
      subscriptions[subscription_id],
      subscriptions[subscription_id]
    )
  ),
  0,
  1
)</f>
        <v>1</v>
      </c>
      <c r="F1398" s="1">
        <f>_xlfn.XLOOKUP(payments_raw[[#This Row],[subscription_id]], subscriptions[subscription_id], subscriptions[start_date])</f>
        <v>44832</v>
      </c>
      <c r="G13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8" s="2">
        <f>IF(payments_raw[[#This Row],[payment_date]] &lt; payments_raw[[#This Row],[sub_start_date]], 1, 0)</f>
        <v>0</v>
      </c>
      <c r="I1398" s="2">
        <f>IF(AND(payments_raw[[#This Row],[sub_end_date]]&lt;&gt;"", payments_raw[[#This Row],[payment_date]] &gt; payments_raw[[#This Row],[sub_end_date]]), 1, 0)</f>
        <v>0</v>
      </c>
      <c r="J1398" s="2">
        <f>IF(payments_raw[[#This Row],[amount]] &lt;= 0, 1, 0)</f>
        <v>0</v>
      </c>
      <c r="K13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399" spans="1:11" x14ac:dyDescent="0.3">
      <c r="A1399">
        <v>97419677</v>
      </c>
      <c r="B1399">
        <v>1757936</v>
      </c>
      <c r="C1399" s="1">
        <v>45213</v>
      </c>
      <c r="D1399">
        <v>299</v>
      </c>
      <c r="E1399">
        <f>IF(
  ISNA(
    _xlfn.XLOOKUP(
      payments_raw[[#This Row],[subscription_id]],
      subscriptions[subscription_id],
      subscriptions[subscription_id]
    )
  ),
  0,
  1
)</f>
        <v>1</v>
      </c>
      <c r="F1399" s="1">
        <f>_xlfn.XLOOKUP(payments_raw[[#This Row],[subscription_id]], subscriptions[subscription_id], subscriptions[start_date])</f>
        <v>44597</v>
      </c>
      <c r="G13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399" s="2">
        <f>IF(payments_raw[[#This Row],[payment_date]] &lt; payments_raw[[#This Row],[sub_start_date]], 1, 0)</f>
        <v>0</v>
      </c>
      <c r="I1399" s="2">
        <f>IF(AND(payments_raw[[#This Row],[sub_end_date]]&lt;&gt;"", payments_raw[[#This Row],[payment_date]] &gt; payments_raw[[#This Row],[sub_end_date]]), 1, 0)</f>
        <v>0</v>
      </c>
      <c r="J1399" s="2">
        <f>IF(payments_raw[[#This Row],[amount]] &lt;= 0, 1, 0)</f>
        <v>0</v>
      </c>
      <c r="K13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0" spans="1:11" x14ac:dyDescent="0.3">
      <c r="A1400">
        <v>50092630</v>
      </c>
      <c r="B1400">
        <v>4838024</v>
      </c>
      <c r="C1400" s="1">
        <v>45254</v>
      </c>
      <c r="D1400">
        <v>790</v>
      </c>
      <c r="E1400">
        <f>IF(
  ISNA(
    _xlfn.XLOOKUP(
      payments_raw[[#This Row],[subscription_id]],
      subscriptions[subscription_id],
      subscriptions[subscription_id]
    )
  ),
  0,
  1
)</f>
        <v>1</v>
      </c>
      <c r="F1400" s="1">
        <f>_xlfn.XLOOKUP(payments_raw[[#This Row],[subscription_id]], subscriptions[subscription_id], subscriptions[start_date])</f>
        <v>45187</v>
      </c>
      <c r="G14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1400" s="2">
        <f>IF(payments_raw[[#This Row],[payment_date]] &lt; payments_raw[[#This Row],[sub_start_date]], 1, 0)</f>
        <v>0</v>
      </c>
      <c r="I1400" s="2">
        <f>IF(AND(payments_raw[[#This Row],[sub_end_date]]&lt;&gt;"", payments_raw[[#This Row],[payment_date]] &gt; payments_raw[[#This Row],[sub_end_date]]), 1, 0)</f>
        <v>0</v>
      </c>
      <c r="J1400" s="2">
        <f>IF(payments_raw[[#This Row],[amount]] &lt;= 0, 1, 0)</f>
        <v>0</v>
      </c>
      <c r="K14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1" spans="1:11" x14ac:dyDescent="0.3">
      <c r="A1401">
        <v>43583658</v>
      </c>
      <c r="B1401">
        <v>2089834</v>
      </c>
      <c r="C1401" s="1">
        <v>45060</v>
      </c>
      <c r="D1401">
        <v>1117.5</v>
      </c>
      <c r="E1401">
        <f>IF(
  ISNA(
    _xlfn.XLOOKUP(
      payments_raw[[#This Row],[subscription_id]],
      subscriptions[subscription_id],
      subscriptions[subscription_id]
    )
  ),
  0,
  1
)</f>
        <v>1</v>
      </c>
      <c r="F1401" s="1">
        <f>_xlfn.XLOOKUP(payments_raw[[#This Row],[subscription_id]], subscriptions[subscription_id], subscriptions[start_date])</f>
        <v>44877</v>
      </c>
      <c r="G14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1" s="2">
        <f>IF(payments_raw[[#This Row],[payment_date]] &lt; payments_raw[[#This Row],[sub_start_date]], 1, 0)</f>
        <v>0</v>
      </c>
      <c r="I1401" s="2">
        <f>IF(AND(payments_raw[[#This Row],[sub_end_date]]&lt;&gt;"", payments_raw[[#This Row],[payment_date]] &gt; payments_raw[[#This Row],[sub_end_date]]), 1, 0)</f>
        <v>0</v>
      </c>
      <c r="J1401" s="2">
        <f>IF(payments_raw[[#This Row],[amount]] &lt;= 0, 1, 0)</f>
        <v>0</v>
      </c>
      <c r="K14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2" spans="1:11" x14ac:dyDescent="0.3">
      <c r="A1402">
        <v>60337643</v>
      </c>
      <c r="B1402">
        <v>2021747</v>
      </c>
      <c r="C1402" s="1">
        <v>44718</v>
      </c>
      <c r="D1402">
        <v>1490</v>
      </c>
      <c r="E1402">
        <f>IF(
  ISNA(
    _xlfn.XLOOKUP(
      payments_raw[[#This Row],[subscription_id]],
      subscriptions[subscription_id],
      subscriptions[subscription_id]
    )
  ),
  0,
  1
)</f>
        <v>1</v>
      </c>
      <c r="F1402" s="1">
        <f>_xlfn.XLOOKUP(payments_raw[[#This Row],[subscription_id]], subscriptions[subscription_id], subscriptions[start_date])</f>
        <v>44683</v>
      </c>
      <c r="G1402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44761</v>
      </c>
      <c r="H1402" s="2">
        <f>IF(payments_raw[[#This Row],[payment_date]] &lt; payments_raw[[#This Row],[sub_start_date]], 1, 0)</f>
        <v>0</v>
      </c>
      <c r="I1402" s="2">
        <f>IF(AND(payments_raw[[#This Row],[sub_end_date]]&lt;&gt;"", payments_raw[[#This Row],[payment_date]] &gt; payments_raw[[#This Row],[sub_end_date]]), 1, 0)</f>
        <v>0</v>
      </c>
      <c r="J1402" s="2">
        <f>IF(payments_raw[[#This Row],[amount]] &lt;= 0, 1, 0)</f>
        <v>0</v>
      </c>
      <c r="K14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3" spans="1:11" x14ac:dyDescent="0.3">
      <c r="A1403">
        <v>84726038</v>
      </c>
      <c r="B1403">
        <v>4695807</v>
      </c>
      <c r="C1403" s="1">
        <v>45627</v>
      </c>
      <c r="D1403">
        <v>79</v>
      </c>
      <c r="E1403">
        <f>IF(
  ISNA(
    _xlfn.XLOOKUP(
      payments_raw[[#This Row],[subscription_id]],
      subscriptions[subscription_id],
      subscriptions[subscription_id]
    )
  ),
  0,
  1
)</f>
        <v>1</v>
      </c>
      <c r="F1403" s="1">
        <f>_xlfn.XLOOKUP(payments_raw[[#This Row],[subscription_id]], subscriptions[subscription_id], subscriptions[start_date])</f>
        <v>45470</v>
      </c>
      <c r="G14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403" s="2">
        <f>IF(payments_raw[[#This Row],[payment_date]] &lt; payments_raw[[#This Row],[sub_start_date]], 1, 0)</f>
        <v>0</v>
      </c>
      <c r="I1403" s="2">
        <f>IF(AND(payments_raw[[#This Row],[sub_end_date]]&lt;&gt;"", payments_raw[[#This Row],[payment_date]] &gt; payments_raw[[#This Row],[sub_end_date]]), 1, 0)</f>
        <v>0</v>
      </c>
      <c r="J1403" s="2">
        <f>IF(payments_raw[[#This Row],[amount]] &lt;= 0, 1, 0)</f>
        <v>0</v>
      </c>
      <c r="K14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4" spans="1:11" x14ac:dyDescent="0.3">
      <c r="A1404">
        <v>76773782</v>
      </c>
      <c r="B1404">
        <v>1567905</v>
      </c>
      <c r="C1404" s="1">
        <v>45432</v>
      </c>
      <c r="D1404">
        <v>1117.5</v>
      </c>
      <c r="E1404">
        <f>IF(
  ISNA(
    _xlfn.XLOOKUP(
      payments_raw[[#This Row],[subscription_id]],
      subscriptions[subscription_id],
      subscriptions[subscription_id]
    )
  ),
  0,
  1
)</f>
        <v>1</v>
      </c>
      <c r="F1404" s="1">
        <f>_xlfn.XLOOKUP(payments_raw[[#This Row],[subscription_id]], subscriptions[subscription_id], subscriptions[start_date])</f>
        <v>45222</v>
      </c>
      <c r="G14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1404" s="2">
        <f>IF(payments_raw[[#This Row],[payment_date]] &lt; payments_raw[[#This Row],[sub_start_date]], 1, 0)</f>
        <v>0</v>
      </c>
      <c r="I1404" s="2">
        <f>IF(AND(payments_raw[[#This Row],[sub_end_date]]&lt;&gt;"", payments_raw[[#This Row],[payment_date]] &gt; payments_raw[[#This Row],[sub_end_date]]), 1, 0)</f>
        <v>0</v>
      </c>
      <c r="J1404" s="2">
        <f>IF(payments_raw[[#This Row],[amount]] &lt;= 0, 1, 0)</f>
        <v>0</v>
      </c>
      <c r="K14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5" spans="1:11" x14ac:dyDescent="0.3">
      <c r="A1405">
        <v>45182600</v>
      </c>
      <c r="B1405">
        <v>5767876</v>
      </c>
      <c r="C1405" s="1">
        <v>45475</v>
      </c>
      <c r="D1405">
        <v>142.5</v>
      </c>
      <c r="E1405">
        <f>IF(
  ISNA(
    _xlfn.XLOOKUP(
      payments_raw[[#This Row],[subscription_id]],
      subscriptions[subscription_id],
      subscriptions[subscription_id]
    )
  ),
  0,
  1
)</f>
        <v>1</v>
      </c>
      <c r="F1405" s="1">
        <f>_xlfn.XLOOKUP(payments_raw[[#This Row],[subscription_id]], subscriptions[subscription_id], subscriptions[start_date])</f>
        <v>45434</v>
      </c>
      <c r="G14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5" s="2">
        <f>IF(payments_raw[[#This Row],[payment_date]] &lt; payments_raw[[#This Row],[sub_start_date]], 1, 0)</f>
        <v>0</v>
      </c>
      <c r="I1405" s="2">
        <f>IF(AND(payments_raw[[#This Row],[sub_end_date]]&lt;&gt;"", payments_raw[[#This Row],[payment_date]] &gt; payments_raw[[#This Row],[sub_end_date]]), 1, 0)</f>
        <v>0</v>
      </c>
      <c r="J1405" s="2">
        <f>IF(payments_raw[[#This Row],[amount]] &lt;= 0, 1, 0)</f>
        <v>0</v>
      </c>
      <c r="K14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6" spans="1:11" x14ac:dyDescent="0.3">
      <c r="A1406">
        <v>52244708</v>
      </c>
      <c r="B1406">
        <v>8229428</v>
      </c>
      <c r="C1406" s="1">
        <v>45373</v>
      </c>
      <c r="D1406">
        <v>1490</v>
      </c>
      <c r="E1406">
        <f>IF(
  ISNA(
    _xlfn.XLOOKUP(
      payments_raw[[#This Row],[subscription_id]],
      subscriptions[subscription_id],
      subscriptions[subscription_id]
    )
  ),
  0,
  1
)</f>
        <v>1</v>
      </c>
      <c r="F1406" s="1">
        <f>_xlfn.XLOOKUP(payments_raw[[#This Row],[subscription_id]], subscriptions[subscription_id], subscriptions[start_date])</f>
        <v>44940</v>
      </c>
      <c r="G14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6" s="2">
        <f>IF(payments_raw[[#This Row],[payment_date]] &lt; payments_raw[[#This Row],[sub_start_date]], 1, 0)</f>
        <v>0</v>
      </c>
      <c r="I1406" s="2">
        <f>IF(AND(payments_raw[[#This Row],[sub_end_date]]&lt;&gt;"", payments_raw[[#This Row],[payment_date]] &gt; payments_raw[[#This Row],[sub_end_date]]), 1, 0)</f>
        <v>0</v>
      </c>
      <c r="J1406" s="2">
        <f>IF(payments_raw[[#This Row],[amount]] &lt;= 0, 1, 0)</f>
        <v>0</v>
      </c>
      <c r="K14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7" spans="1:11" x14ac:dyDescent="0.3">
      <c r="A1407">
        <v>75770619</v>
      </c>
      <c r="B1407">
        <v>2084932</v>
      </c>
      <c r="C1407" s="1">
        <v>45651</v>
      </c>
      <c r="D1407">
        <v>39</v>
      </c>
      <c r="E1407">
        <f>IF(
  ISNA(
    _xlfn.XLOOKUP(
      payments_raw[[#This Row],[subscription_id]],
      subscriptions[subscription_id],
      subscriptions[subscription_id]
    )
  ),
  0,
  1
)</f>
        <v>1</v>
      </c>
      <c r="F1407" s="1">
        <f>_xlfn.XLOOKUP(payments_raw[[#This Row],[subscription_id]], subscriptions[subscription_id], subscriptions[start_date])</f>
        <v>45264</v>
      </c>
      <c r="G14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7" s="2">
        <f>IF(payments_raw[[#This Row],[payment_date]] &lt; payments_raw[[#This Row],[sub_start_date]], 1, 0)</f>
        <v>0</v>
      </c>
      <c r="I1407" s="2">
        <f>IF(AND(payments_raw[[#This Row],[sub_end_date]]&lt;&gt;"", payments_raw[[#This Row],[payment_date]] &gt; payments_raw[[#This Row],[sub_end_date]]), 1, 0)</f>
        <v>0</v>
      </c>
      <c r="J1407" s="2">
        <f>IF(payments_raw[[#This Row],[amount]] &lt;= 0, 1, 0)</f>
        <v>0</v>
      </c>
      <c r="K14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8" spans="1:11" x14ac:dyDescent="0.3">
      <c r="A1408">
        <v>82144438</v>
      </c>
      <c r="B1408">
        <v>7985675</v>
      </c>
      <c r="C1408" s="1">
        <v>45600</v>
      </c>
      <c r="D1408">
        <v>224.25</v>
      </c>
      <c r="E1408">
        <f>IF(
  ISNA(
    _xlfn.XLOOKUP(
      payments_raw[[#This Row],[subscription_id]],
      subscriptions[subscription_id],
      subscriptions[subscription_id]
    )
  ),
  0,
  1
)</f>
        <v>1</v>
      </c>
      <c r="F1408" s="1">
        <f>_xlfn.XLOOKUP(payments_raw[[#This Row],[subscription_id]], subscriptions[subscription_id], subscriptions[start_date])</f>
        <v>44687</v>
      </c>
      <c r="G14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8" s="2">
        <f>IF(payments_raw[[#This Row],[payment_date]] &lt; payments_raw[[#This Row],[sub_start_date]], 1, 0)</f>
        <v>0</v>
      </c>
      <c r="I1408" s="2">
        <f>IF(AND(payments_raw[[#This Row],[sub_end_date]]&lt;&gt;"", payments_raw[[#This Row],[payment_date]] &gt; payments_raw[[#This Row],[sub_end_date]]), 1, 0)</f>
        <v>0</v>
      </c>
      <c r="J1408" s="2">
        <f>IF(payments_raw[[#This Row],[amount]] &lt;= 0, 1, 0)</f>
        <v>0</v>
      </c>
      <c r="K14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09" spans="1:11" x14ac:dyDescent="0.3">
      <c r="A1409">
        <v>51409041</v>
      </c>
      <c r="B1409">
        <v>7012792</v>
      </c>
      <c r="C1409" s="1">
        <v>45603</v>
      </c>
      <c r="D1409">
        <v>299</v>
      </c>
      <c r="E1409">
        <f>IF(
  ISNA(
    _xlfn.XLOOKUP(
      payments_raw[[#This Row],[subscription_id]],
      subscriptions[subscription_id],
      subscriptions[subscription_id]
    )
  ),
  0,
  1
)</f>
        <v>1</v>
      </c>
      <c r="F1409" s="1">
        <f>_xlfn.XLOOKUP(payments_raw[[#This Row],[subscription_id]], subscriptions[subscription_id], subscriptions[start_date])</f>
        <v>45210</v>
      </c>
      <c r="G14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09" s="2">
        <f>IF(payments_raw[[#This Row],[payment_date]] &lt; payments_raw[[#This Row],[sub_start_date]], 1, 0)</f>
        <v>0</v>
      </c>
      <c r="I1409" s="2">
        <f>IF(AND(payments_raw[[#This Row],[sub_end_date]]&lt;&gt;"", payments_raw[[#This Row],[payment_date]] &gt; payments_raw[[#This Row],[sub_end_date]]), 1, 0)</f>
        <v>0</v>
      </c>
      <c r="J1409" s="2">
        <f>IF(payments_raw[[#This Row],[amount]] &lt;= 0, 1, 0)</f>
        <v>0</v>
      </c>
      <c r="K14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0" spans="1:11" x14ac:dyDescent="0.3">
      <c r="A1410">
        <v>39626238</v>
      </c>
      <c r="B1410">
        <v>1054096</v>
      </c>
      <c r="C1410" s="1">
        <v>45297</v>
      </c>
      <c r="D1410">
        <v>299</v>
      </c>
      <c r="E1410">
        <f>IF(
  ISNA(
    _xlfn.XLOOKUP(
      payments_raw[[#This Row],[subscription_id]],
      subscriptions[subscription_id],
      subscriptions[subscription_id]
    )
  ),
  0,
  1
)</f>
        <v>1</v>
      </c>
      <c r="F1410" s="1">
        <f>_xlfn.XLOOKUP(payments_raw[[#This Row],[subscription_id]], subscriptions[subscription_id], subscriptions[start_date])</f>
        <v>45199</v>
      </c>
      <c r="G14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10" s="2">
        <f>IF(payments_raw[[#This Row],[payment_date]] &lt; payments_raw[[#This Row],[sub_start_date]], 1, 0)</f>
        <v>0</v>
      </c>
      <c r="I1410" s="2">
        <f>IF(AND(payments_raw[[#This Row],[sub_end_date]]&lt;&gt;"", payments_raw[[#This Row],[payment_date]] &gt; payments_raw[[#This Row],[sub_end_date]]), 1, 0)</f>
        <v>0</v>
      </c>
      <c r="J1410" s="2">
        <f>IF(payments_raw[[#This Row],[amount]] &lt;= 0, 1, 0)</f>
        <v>0</v>
      </c>
      <c r="K14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1" spans="1:11" x14ac:dyDescent="0.3">
      <c r="A1411">
        <v>91686348</v>
      </c>
      <c r="B1411">
        <v>1550972</v>
      </c>
      <c r="C1411" s="1">
        <v>45385</v>
      </c>
      <c r="D1411">
        <v>390</v>
      </c>
      <c r="E1411">
        <f>IF(
  ISNA(
    _xlfn.XLOOKUP(
      payments_raw[[#This Row],[subscription_id]],
      subscriptions[subscription_id],
      subscriptions[subscription_id]
    )
  ),
  0,
  1
)</f>
        <v>1</v>
      </c>
      <c r="F1411" s="1">
        <f>_xlfn.XLOOKUP(payments_raw[[#This Row],[subscription_id]], subscriptions[subscription_id], subscriptions[start_date])</f>
        <v>45378</v>
      </c>
      <c r="G14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1411" s="2">
        <f>IF(payments_raw[[#This Row],[payment_date]] &lt; payments_raw[[#This Row],[sub_start_date]], 1, 0)</f>
        <v>0</v>
      </c>
      <c r="I1411" s="2">
        <f>IF(AND(payments_raw[[#This Row],[sub_end_date]]&lt;&gt;"", payments_raw[[#This Row],[payment_date]] &gt; payments_raw[[#This Row],[sub_end_date]]), 1, 0)</f>
        <v>0</v>
      </c>
      <c r="J1411" s="2">
        <f>IF(payments_raw[[#This Row],[amount]] &lt;= 0, 1, 0)</f>
        <v>0</v>
      </c>
      <c r="K14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2" spans="1:11" x14ac:dyDescent="0.3">
      <c r="A1412">
        <v>42550031</v>
      </c>
      <c r="B1412">
        <v>2242680</v>
      </c>
      <c r="C1412" s="1">
        <v>45594</v>
      </c>
      <c r="D1412">
        <v>19</v>
      </c>
      <c r="E1412">
        <f>IF(
  ISNA(
    _xlfn.XLOOKUP(
      payments_raw[[#This Row],[subscription_id]],
      subscriptions[subscription_id],
      subscriptions[subscription_id]
    )
  ),
  0,
  1
)</f>
        <v>1</v>
      </c>
      <c r="F1412" s="1">
        <f>_xlfn.XLOOKUP(payments_raw[[#This Row],[subscription_id]], subscriptions[subscription_id], subscriptions[start_date])</f>
        <v>45500</v>
      </c>
      <c r="G14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412" s="2">
        <f>IF(payments_raw[[#This Row],[payment_date]] &lt; payments_raw[[#This Row],[sub_start_date]], 1, 0)</f>
        <v>0</v>
      </c>
      <c r="I1412" s="2">
        <f>IF(AND(payments_raw[[#This Row],[sub_end_date]]&lt;&gt;"", payments_raw[[#This Row],[payment_date]] &gt; payments_raw[[#This Row],[sub_end_date]]), 1, 0)</f>
        <v>0</v>
      </c>
      <c r="J1412" s="2">
        <f>IF(payments_raw[[#This Row],[amount]] &lt;= 0, 1, 0)</f>
        <v>0</v>
      </c>
      <c r="K14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3" spans="1:11" x14ac:dyDescent="0.3">
      <c r="A1413">
        <v>64282556</v>
      </c>
      <c r="B1413">
        <v>4194945</v>
      </c>
      <c r="C1413" s="1">
        <v>45005</v>
      </c>
      <c r="D1413">
        <v>2990</v>
      </c>
      <c r="E1413">
        <f>IF(
  ISNA(
    _xlfn.XLOOKUP(
      payments_raw[[#This Row],[subscription_id]],
      subscriptions[subscription_id],
      subscriptions[subscription_id]
    )
  ),
  0,
  1
)</f>
        <v>1</v>
      </c>
      <c r="F1413" s="1">
        <f>_xlfn.XLOOKUP(payments_raw[[#This Row],[subscription_id]], subscriptions[subscription_id], subscriptions[start_date])</f>
        <v>44957</v>
      </c>
      <c r="G14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45037</v>
      </c>
      <c r="H1413" s="2">
        <f>IF(payments_raw[[#This Row],[payment_date]] &lt; payments_raw[[#This Row],[sub_start_date]], 1, 0)</f>
        <v>0</v>
      </c>
      <c r="I1413" s="2">
        <f>IF(AND(payments_raw[[#This Row],[sub_end_date]]&lt;&gt;"", payments_raw[[#This Row],[payment_date]] &gt; payments_raw[[#This Row],[sub_end_date]]), 1, 0)</f>
        <v>0</v>
      </c>
      <c r="J1413" s="2">
        <f>IF(payments_raw[[#This Row],[amount]] &lt;= 0, 1, 0)</f>
        <v>0</v>
      </c>
      <c r="K14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4" spans="1:11" x14ac:dyDescent="0.3">
      <c r="A1414">
        <v>95031405</v>
      </c>
      <c r="B1414">
        <v>7334410</v>
      </c>
      <c r="C1414" s="1">
        <v>44865</v>
      </c>
      <c r="D1414">
        <v>299</v>
      </c>
      <c r="E1414">
        <f>IF(
  ISNA(
    _xlfn.XLOOKUP(
      payments_raw[[#This Row],[subscription_id]],
      subscriptions[subscription_id],
      subscriptions[subscription_id]
    )
  ),
  0,
  1
)</f>
        <v>1</v>
      </c>
      <c r="F1414" s="1">
        <f>_xlfn.XLOOKUP(payments_raw[[#This Row],[subscription_id]], subscriptions[subscription_id], subscriptions[start_date])</f>
        <v>44818</v>
      </c>
      <c r="G14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45053</v>
      </c>
      <c r="H1414" s="2">
        <f>IF(payments_raw[[#This Row],[payment_date]] &lt; payments_raw[[#This Row],[sub_start_date]], 1, 0)</f>
        <v>0</v>
      </c>
      <c r="I1414" s="2">
        <f>IF(AND(payments_raw[[#This Row],[sub_end_date]]&lt;&gt;"", payments_raw[[#This Row],[payment_date]] &gt; payments_raw[[#This Row],[sub_end_date]]), 1, 0)</f>
        <v>0</v>
      </c>
      <c r="J1414" s="2">
        <f>IF(payments_raw[[#This Row],[amount]] &lt;= 0, 1, 0)</f>
        <v>0</v>
      </c>
      <c r="K14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5" spans="1:11" x14ac:dyDescent="0.3">
      <c r="A1415">
        <v>55165249</v>
      </c>
      <c r="B1415">
        <v>2092722</v>
      </c>
      <c r="C1415" s="1">
        <v>45549</v>
      </c>
      <c r="D1415">
        <v>14.25</v>
      </c>
      <c r="E1415">
        <f>IF(
  ISNA(
    _xlfn.XLOOKUP(
      payments_raw[[#This Row],[subscription_id]],
      subscriptions[subscription_id],
      subscriptions[subscription_id]
    )
  ),
  0,
  1
)</f>
        <v>1</v>
      </c>
      <c r="F1415" s="1">
        <f>_xlfn.XLOOKUP(payments_raw[[#This Row],[subscription_id]], subscriptions[subscription_id], subscriptions[start_date])</f>
        <v>45401</v>
      </c>
      <c r="G14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15" s="2">
        <f>IF(payments_raw[[#This Row],[payment_date]] &lt; payments_raw[[#This Row],[sub_start_date]], 1, 0)</f>
        <v>0</v>
      </c>
      <c r="I1415" s="2">
        <f>IF(AND(payments_raw[[#This Row],[sub_end_date]]&lt;&gt;"", payments_raw[[#This Row],[payment_date]] &gt; payments_raw[[#This Row],[sub_end_date]]), 1, 0)</f>
        <v>0</v>
      </c>
      <c r="J1415" s="2">
        <f>IF(payments_raw[[#This Row],[amount]] &lt;= 0, 1, 0)</f>
        <v>0</v>
      </c>
      <c r="K14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6" spans="1:11" x14ac:dyDescent="0.3">
      <c r="A1416">
        <v>94909357</v>
      </c>
      <c r="B1416">
        <v>2653843</v>
      </c>
      <c r="C1416" s="1">
        <v>45098</v>
      </c>
      <c r="D1416">
        <v>79</v>
      </c>
      <c r="E1416">
        <f>IF(
  ISNA(
    _xlfn.XLOOKUP(
      payments_raw[[#This Row],[subscription_id]],
      subscriptions[subscription_id],
      subscriptions[subscription_id]
    )
  ),
  0,
  1
)</f>
        <v>1</v>
      </c>
      <c r="F1416" s="1">
        <f>_xlfn.XLOOKUP(payments_raw[[#This Row],[subscription_id]], subscriptions[subscription_id], subscriptions[start_date])</f>
        <v>44756</v>
      </c>
      <c r="G14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16" s="2">
        <f>IF(payments_raw[[#This Row],[payment_date]] &lt; payments_raw[[#This Row],[sub_start_date]], 1, 0)</f>
        <v>0</v>
      </c>
      <c r="I1416" s="2">
        <f>IF(AND(payments_raw[[#This Row],[sub_end_date]]&lt;&gt;"", payments_raw[[#This Row],[payment_date]] &gt; payments_raw[[#This Row],[sub_end_date]]), 1, 0)</f>
        <v>0</v>
      </c>
      <c r="J1416" s="2">
        <f>IF(payments_raw[[#This Row],[amount]] &lt;= 0, 1, 0)</f>
        <v>0</v>
      </c>
      <c r="K14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7" spans="1:11" x14ac:dyDescent="0.3">
      <c r="A1417">
        <v>56576703</v>
      </c>
      <c r="B1417">
        <v>6175949</v>
      </c>
      <c r="C1417" s="1">
        <v>45536</v>
      </c>
      <c r="D1417">
        <v>1490</v>
      </c>
      <c r="E1417">
        <f>IF(
  ISNA(
    _xlfn.XLOOKUP(
      payments_raw[[#This Row],[subscription_id]],
      subscriptions[subscription_id],
      subscriptions[subscription_id]
    )
  ),
  0,
  1
)</f>
        <v>1</v>
      </c>
      <c r="F1417" s="1">
        <f>_xlfn.XLOOKUP(payments_raw[[#This Row],[subscription_id]], subscriptions[subscription_id], subscriptions[start_date])</f>
        <v>45478</v>
      </c>
      <c r="G14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17" s="2">
        <f>IF(payments_raw[[#This Row],[payment_date]] &lt; payments_raw[[#This Row],[sub_start_date]], 1, 0)</f>
        <v>0</v>
      </c>
      <c r="I1417" s="2">
        <f>IF(AND(payments_raw[[#This Row],[sub_end_date]]&lt;&gt;"", payments_raw[[#This Row],[payment_date]] &gt; payments_raw[[#This Row],[sub_end_date]]), 1, 0)</f>
        <v>0</v>
      </c>
      <c r="J1417" s="2">
        <f>IF(payments_raw[[#This Row],[amount]] &lt;= 0, 1, 0)</f>
        <v>0</v>
      </c>
      <c r="K14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8" spans="1:11" x14ac:dyDescent="0.3">
      <c r="A1418">
        <v>11228910</v>
      </c>
      <c r="B1418">
        <v>1225606</v>
      </c>
      <c r="C1418" s="1">
        <v>45605</v>
      </c>
      <c r="D1418">
        <v>1490</v>
      </c>
      <c r="E1418">
        <f>IF(
  ISNA(
    _xlfn.XLOOKUP(
      payments_raw[[#This Row],[subscription_id]],
      subscriptions[subscription_id],
      subscriptions[subscription_id]
    )
  ),
  0,
  1
)</f>
        <v>1</v>
      </c>
      <c r="F1418" s="1">
        <f>_xlfn.XLOOKUP(payments_raw[[#This Row],[subscription_id]], subscriptions[subscription_id], subscriptions[start_date])</f>
        <v>45260</v>
      </c>
      <c r="G14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45606</v>
      </c>
      <c r="H1418" s="2">
        <f>IF(payments_raw[[#This Row],[payment_date]] &lt; payments_raw[[#This Row],[sub_start_date]], 1, 0)</f>
        <v>0</v>
      </c>
      <c r="I1418" s="2">
        <f>IF(AND(payments_raw[[#This Row],[sub_end_date]]&lt;&gt;"", payments_raw[[#This Row],[payment_date]] &gt; payments_raw[[#This Row],[sub_end_date]]), 1, 0)</f>
        <v>0</v>
      </c>
      <c r="J1418" s="2">
        <f>IF(payments_raw[[#This Row],[amount]] &lt;= 0, 1, 0)</f>
        <v>0</v>
      </c>
      <c r="K14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19" spans="1:11" x14ac:dyDescent="0.3">
      <c r="A1419">
        <v>35063557</v>
      </c>
      <c r="B1419">
        <v>2873547</v>
      </c>
      <c r="C1419" s="1">
        <v>44988</v>
      </c>
      <c r="D1419">
        <v>79</v>
      </c>
      <c r="E1419">
        <f>IF(
  ISNA(
    _xlfn.XLOOKUP(
      payments_raw[[#This Row],[subscription_id]],
      subscriptions[subscription_id],
      subscriptions[subscription_id]
    )
  ),
  0,
  1
)</f>
        <v>1</v>
      </c>
      <c r="F1419" s="1">
        <f>_xlfn.XLOOKUP(payments_raw[[#This Row],[subscription_id]], subscriptions[subscription_id], subscriptions[start_date])</f>
        <v>44928</v>
      </c>
      <c r="G14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45230</v>
      </c>
      <c r="H1419" s="2">
        <f>IF(payments_raw[[#This Row],[payment_date]] &lt; payments_raw[[#This Row],[sub_start_date]], 1, 0)</f>
        <v>0</v>
      </c>
      <c r="I1419" s="2">
        <f>IF(AND(payments_raw[[#This Row],[sub_end_date]]&lt;&gt;"", payments_raw[[#This Row],[payment_date]] &gt; payments_raw[[#This Row],[sub_end_date]]), 1, 0)</f>
        <v>0</v>
      </c>
      <c r="J1419" s="2">
        <f>IF(payments_raw[[#This Row],[amount]] &lt;= 0, 1, 0)</f>
        <v>0</v>
      </c>
      <c r="K14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0" spans="1:11" x14ac:dyDescent="0.3">
      <c r="A1420">
        <v>49475088</v>
      </c>
      <c r="B1420">
        <v>7779356</v>
      </c>
      <c r="C1420" s="1">
        <v>44721</v>
      </c>
      <c r="D1420">
        <v>1490</v>
      </c>
      <c r="E1420">
        <f>IF(
  ISNA(
    _xlfn.XLOOKUP(
      payments_raw[[#This Row],[subscription_id]],
      subscriptions[subscription_id],
      subscriptions[subscription_id]
    )
  ),
  0,
  1
)</f>
        <v>1</v>
      </c>
      <c r="F1420" s="1">
        <f>_xlfn.XLOOKUP(payments_raw[[#This Row],[subscription_id]], subscriptions[subscription_id], subscriptions[start_date])</f>
        <v>44675</v>
      </c>
      <c r="G14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44886</v>
      </c>
      <c r="H1420" s="2">
        <f>IF(payments_raw[[#This Row],[payment_date]] &lt; payments_raw[[#This Row],[sub_start_date]], 1, 0)</f>
        <v>0</v>
      </c>
      <c r="I1420" s="2">
        <f>IF(AND(payments_raw[[#This Row],[sub_end_date]]&lt;&gt;"", payments_raw[[#This Row],[payment_date]] &gt; payments_raw[[#This Row],[sub_end_date]]), 1, 0)</f>
        <v>0</v>
      </c>
      <c r="J1420" s="2">
        <f>IF(payments_raw[[#This Row],[amount]] &lt;= 0, 1, 0)</f>
        <v>0</v>
      </c>
      <c r="K14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1" spans="1:11" x14ac:dyDescent="0.3">
      <c r="A1421">
        <v>70656527</v>
      </c>
      <c r="B1421">
        <v>7103458</v>
      </c>
      <c r="C1421" s="1">
        <v>45471</v>
      </c>
      <c r="D1421">
        <v>149</v>
      </c>
      <c r="E1421">
        <f>IF(
  ISNA(
    _xlfn.XLOOKUP(
      payments_raw[[#This Row],[subscription_id]],
      subscriptions[subscription_id],
      subscriptions[subscription_id]
    )
  ),
  0,
  1
)</f>
        <v>1</v>
      </c>
      <c r="F1421" s="1">
        <f>_xlfn.XLOOKUP(payments_raw[[#This Row],[subscription_id]], subscriptions[subscription_id], subscriptions[start_date])</f>
        <v>44595</v>
      </c>
      <c r="G14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1" s="2">
        <f>IF(payments_raw[[#This Row],[payment_date]] &lt; payments_raw[[#This Row],[sub_start_date]], 1, 0)</f>
        <v>0</v>
      </c>
      <c r="I1421" s="2">
        <f>IF(AND(payments_raw[[#This Row],[sub_end_date]]&lt;&gt;"", payments_raw[[#This Row],[payment_date]] &gt; payments_raw[[#This Row],[sub_end_date]]), 1, 0)</f>
        <v>0</v>
      </c>
      <c r="J1421" s="2">
        <f>IF(payments_raw[[#This Row],[amount]] &lt;= 0, 1, 0)</f>
        <v>0</v>
      </c>
      <c r="K14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2" spans="1:11" x14ac:dyDescent="0.3">
      <c r="A1422">
        <v>74205049</v>
      </c>
      <c r="B1422">
        <v>5880999</v>
      </c>
      <c r="C1422" s="1">
        <v>45595</v>
      </c>
      <c r="D1422">
        <v>299</v>
      </c>
      <c r="E1422">
        <f>IF(
  ISNA(
    _xlfn.XLOOKUP(
      payments_raw[[#This Row],[subscription_id]],
      subscriptions[subscription_id],
      subscriptions[subscription_id]
    )
  ),
  0,
  1
)</f>
        <v>1</v>
      </c>
      <c r="F1422" s="1">
        <f>_xlfn.XLOOKUP(payments_raw[[#This Row],[subscription_id]], subscriptions[subscription_id], subscriptions[start_date])</f>
        <v>45110</v>
      </c>
      <c r="G14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2" s="2">
        <f>IF(payments_raw[[#This Row],[payment_date]] &lt; payments_raw[[#This Row],[sub_start_date]], 1, 0)</f>
        <v>0</v>
      </c>
      <c r="I1422" s="2">
        <f>IF(AND(payments_raw[[#This Row],[sub_end_date]]&lt;&gt;"", payments_raw[[#This Row],[payment_date]] &gt; payments_raw[[#This Row],[sub_end_date]]), 1, 0)</f>
        <v>0</v>
      </c>
      <c r="J1422" s="2">
        <f>IF(payments_raw[[#This Row],[amount]] &lt;= 0, 1, 0)</f>
        <v>0</v>
      </c>
      <c r="K14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3" spans="1:11" x14ac:dyDescent="0.3">
      <c r="A1423">
        <v>28030347</v>
      </c>
      <c r="B1423">
        <v>3495209</v>
      </c>
      <c r="C1423" s="1">
        <v>45354</v>
      </c>
      <c r="D1423">
        <v>299</v>
      </c>
      <c r="E1423">
        <f>IF(
  ISNA(
    _xlfn.XLOOKUP(
      payments_raw[[#This Row],[subscription_id]],
      subscriptions[subscription_id],
      subscriptions[subscription_id]
    )
  ),
  0,
  1
)</f>
        <v>1</v>
      </c>
      <c r="F1423" s="1">
        <f>_xlfn.XLOOKUP(payments_raw[[#This Row],[subscription_id]], subscriptions[subscription_id], subscriptions[start_date])</f>
        <v>45031</v>
      </c>
      <c r="G14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3" s="2">
        <f>IF(payments_raw[[#This Row],[payment_date]] &lt; payments_raw[[#This Row],[sub_start_date]], 1, 0)</f>
        <v>0</v>
      </c>
      <c r="I1423" s="2">
        <f>IF(AND(payments_raw[[#This Row],[sub_end_date]]&lt;&gt;"", payments_raw[[#This Row],[payment_date]] &gt; payments_raw[[#This Row],[sub_end_date]]), 1, 0)</f>
        <v>0</v>
      </c>
      <c r="J1423" s="2">
        <f>IF(payments_raw[[#This Row],[amount]] &lt;= 0, 1, 0)</f>
        <v>0</v>
      </c>
      <c r="K14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4" spans="1:11" x14ac:dyDescent="0.3">
      <c r="A1424">
        <v>62364176</v>
      </c>
      <c r="B1424">
        <v>2187207</v>
      </c>
      <c r="C1424" s="1">
        <v>45421</v>
      </c>
      <c r="D1424">
        <v>299</v>
      </c>
      <c r="E1424">
        <f>IF(
  ISNA(
    _xlfn.XLOOKUP(
      payments_raw[[#This Row],[subscription_id]],
      subscriptions[subscription_id],
      subscriptions[subscription_id]
    )
  ),
  0,
  1
)</f>
        <v>1</v>
      </c>
      <c r="F1424" s="1">
        <f>_xlfn.XLOOKUP(payments_raw[[#This Row],[subscription_id]], subscriptions[subscription_id], subscriptions[start_date])</f>
        <v>45414</v>
      </c>
      <c r="G14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4" s="2">
        <f>IF(payments_raw[[#This Row],[payment_date]] &lt; payments_raw[[#This Row],[sub_start_date]], 1, 0)</f>
        <v>0</v>
      </c>
      <c r="I1424" s="2">
        <f>IF(AND(payments_raw[[#This Row],[sub_end_date]]&lt;&gt;"", payments_raw[[#This Row],[payment_date]] &gt; payments_raw[[#This Row],[sub_end_date]]), 1, 0)</f>
        <v>0</v>
      </c>
      <c r="J1424" s="2">
        <f>IF(payments_raw[[#This Row],[amount]] &lt;= 0, 1, 0)</f>
        <v>0</v>
      </c>
      <c r="K14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5" spans="1:11" x14ac:dyDescent="0.3">
      <c r="A1425">
        <v>33740098</v>
      </c>
      <c r="B1425">
        <v>2223258</v>
      </c>
      <c r="C1425" s="1">
        <v>45209</v>
      </c>
      <c r="D1425">
        <v>390</v>
      </c>
      <c r="E1425">
        <f>IF(
  ISNA(
    _xlfn.XLOOKUP(
      payments_raw[[#This Row],[subscription_id]],
      subscriptions[subscription_id],
      subscriptions[subscription_id]
    )
  ),
  0,
  1
)</f>
        <v>1</v>
      </c>
      <c r="F1425" s="1">
        <f>_xlfn.XLOOKUP(payments_raw[[#This Row],[subscription_id]], subscriptions[subscription_id], subscriptions[start_date])</f>
        <v>44634</v>
      </c>
      <c r="G14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5" s="2">
        <f>IF(payments_raw[[#This Row],[payment_date]] &lt; payments_raw[[#This Row],[sub_start_date]], 1, 0)</f>
        <v>0</v>
      </c>
      <c r="I1425" s="2">
        <f>IF(AND(payments_raw[[#This Row],[sub_end_date]]&lt;&gt;"", payments_raw[[#This Row],[payment_date]] &gt; payments_raw[[#This Row],[sub_end_date]]), 1, 0)</f>
        <v>0</v>
      </c>
      <c r="J1425" s="2">
        <f>IF(payments_raw[[#This Row],[amount]] &lt;= 0, 1, 0)</f>
        <v>0</v>
      </c>
      <c r="K14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6" spans="1:11" x14ac:dyDescent="0.3">
      <c r="A1426">
        <v>23410324</v>
      </c>
      <c r="B1426">
        <v>3919201</v>
      </c>
      <c r="C1426" s="1">
        <v>45371</v>
      </c>
      <c r="D1426">
        <v>79</v>
      </c>
      <c r="E1426">
        <f>IF(
  ISNA(
    _xlfn.XLOOKUP(
      payments_raw[[#This Row],[subscription_id]],
      subscriptions[subscription_id],
      subscriptions[subscription_id]
    )
  ),
  0,
  1
)</f>
        <v>1</v>
      </c>
      <c r="F1426" s="1">
        <f>_xlfn.XLOOKUP(payments_raw[[#This Row],[subscription_id]], subscriptions[subscription_id], subscriptions[start_date])</f>
        <v>45348</v>
      </c>
      <c r="G14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45593</v>
      </c>
      <c r="H1426" s="2">
        <f>IF(payments_raw[[#This Row],[payment_date]] &lt; payments_raw[[#This Row],[sub_start_date]], 1, 0)</f>
        <v>0</v>
      </c>
      <c r="I1426" s="2">
        <f>IF(AND(payments_raw[[#This Row],[sub_end_date]]&lt;&gt;"", payments_raw[[#This Row],[payment_date]] &gt; payments_raw[[#This Row],[sub_end_date]]), 1, 0)</f>
        <v>0</v>
      </c>
      <c r="J1426" s="2">
        <f>IF(payments_raw[[#This Row],[amount]] &lt;= 0, 1, 0)</f>
        <v>0</v>
      </c>
      <c r="K14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7" spans="1:11" x14ac:dyDescent="0.3">
      <c r="A1427">
        <v>77559901</v>
      </c>
      <c r="B1427">
        <v>1950399</v>
      </c>
      <c r="C1427" s="1">
        <v>45623</v>
      </c>
      <c r="D1427">
        <v>149</v>
      </c>
      <c r="E1427">
        <f>IF(
  ISNA(
    _xlfn.XLOOKUP(
      payments_raw[[#This Row],[subscription_id]],
      subscriptions[subscription_id],
      subscriptions[subscription_id]
    )
  ),
  0,
  1
)</f>
        <v>1</v>
      </c>
      <c r="F1427" s="1">
        <f>_xlfn.XLOOKUP(payments_raw[[#This Row],[subscription_id]], subscriptions[subscription_id], subscriptions[start_date])</f>
        <v>44789</v>
      </c>
      <c r="G14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7" s="2">
        <f>IF(payments_raw[[#This Row],[payment_date]] &lt; payments_raw[[#This Row],[sub_start_date]], 1, 0)</f>
        <v>0</v>
      </c>
      <c r="I1427" s="2">
        <f>IF(AND(payments_raw[[#This Row],[sub_end_date]]&lt;&gt;"", payments_raw[[#This Row],[payment_date]] &gt; payments_raw[[#This Row],[sub_end_date]]), 1, 0)</f>
        <v>0</v>
      </c>
      <c r="J1427" s="2">
        <f>IF(payments_raw[[#This Row],[amount]] &lt;= 0, 1, 0)</f>
        <v>0</v>
      </c>
      <c r="K14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8" spans="1:11" x14ac:dyDescent="0.3">
      <c r="A1428">
        <v>81592930</v>
      </c>
      <c r="B1428">
        <v>8680087</v>
      </c>
      <c r="C1428" s="1">
        <v>45449</v>
      </c>
      <c r="D1428">
        <v>19</v>
      </c>
      <c r="E1428">
        <f>IF(
  ISNA(
    _xlfn.XLOOKUP(
      payments_raw[[#This Row],[subscription_id]],
      subscriptions[subscription_id],
      subscriptions[subscription_id]
    )
  ),
  0,
  1
)</f>
        <v>1</v>
      </c>
      <c r="F1428" s="1">
        <f>_xlfn.XLOOKUP(payments_raw[[#This Row],[subscription_id]], subscriptions[subscription_id], subscriptions[start_date])</f>
        <v>45317</v>
      </c>
      <c r="G14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45469</v>
      </c>
      <c r="H1428" s="2">
        <f>IF(payments_raw[[#This Row],[payment_date]] &lt; payments_raw[[#This Row],[sub_start_date]], 1, 0)</f>
        <v>0</v>
      </c>
      <c r="I1428" s="2">
        <f>IF(AND(payments_raw[[#This Row],[sub_end_date]]&lt;&gt;"", payments_raw[[#This Row],[payment_date]] &gt; payments_raw[[#This Row],[sub_end_date]]), 1, 0)</f>
        <v>0</v>
      </c>
      <c r="J1428" s="2">
        <f>IF(payments_raw[[#This Row],[amount]] &lt;= 0, 1, 0)</f>
        <v>0</v>
      </c>
      <c r="K14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29" spans="1:11" x14ac:dyDescent="0.3">
      <c r="A1429">
        <v>18048851</v>
      </c>
      <c r="B1429">
        <v>4796768</v>
      </c>
      <c r="C1429" s="1">
        <v>45133</v>
      </c>
      <c r="D1429">
        <v>2990</v>
      </c>
      <c r="E1429">
        <f>IF(
  ISNA(
    _xlfn.XLOOKUP(
      payments_raw[[#This Row],[subscription_id]],
      subscriptions[subscription_id],
      subscriptions[subscription_id]
    )
  ),
  0,
  1
)</f>
        <v>1</v>
      </c>
      <c r="F1429" s="1">
        <f>_xlfn.XLOOKUP(payments_raw[[#This Row],[subscription_id]], subscriptions[subscription_id], subscriptions[start_date])</f>
        <v>45127</v>
      </c>
      <c r="G14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29" s="2">
        <f>IF(payments_raw[[#This Row],[payment_date]] &lt; payments_raw[[#This Row],[sub_start_date]], 1, 0)</f>
        <v>0</v>
      </c>
      <c r="I1429" s="2">
        <f>IF(AND(payments_raw[[#This Row],[sub_end_date]]&lt;&gt;"", payments_raw[[#This Row],[payment_date]] &gt; payments_raw[[#This Row],[sub_end_date]]), 1, 0)</f>
        <v>0</v>
      </c>
      <c r="J1429" s="2">
        <f>IF(payments_raw[[#This Row],[amount]] &lt;= 0, 1, 0)</f>
        <v>0</v>
      </c>
      <c r="K14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0" spans="1:11" x14ac:dyDescent="0.3">
      <c r="A1430">
        <v>82054847</v>
      </c>
      <c r="B1430">
        <v>3999685</v>
      </c>
      <c r="C1430" s="1">
        <v>44703</v>
      </c>
      <c r="D1430">
        <v>1490</v>
      </c>
      <c r="E1430">
        <f>IF(
  ISNA(
    _xlfn.XLOOKUP(
      payments_raw[[#This Row],[subscription_id]],
      subscriptions[subscription_id],
      subscriptions[subscription_id]
    )
  ),
  0,
  1
)</f>
        <v>1</v>
      </c>
      <c r="F1430" s="1">
        <f>_xlfn.XLOOKUP(payments_raw[[#This Row],[subscription_id]], subscriptions[subscription_id], subscriptions[start_date])</f>
        <v>44696</v>
      </c>
      <c r="G14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1430" s="2">
        <f>IF(payments_raw[[#This Row],[payment_date]] &lt; payments_raw[[#This Row],[sub_start_date]], 1, 0)</f>
        <v>0</v>
      </c>
      <c r="I1430" s="2">
        <f>IF(AND(payments_raw[[#This Row],[sub_end_date]]&lt;&gt;"", payments_raw[[#This Row],[payment_date]] &gt; payments_raw[[#This Row],[sub_end_date]]), 1, 0)</f>
        <v>0</v>
      </c>
      <c r="J1430" s="2">
        <f>IF(payments_raw[[#This Row],[amount]] &lt;= 0, 1, 0)</f>
        <v>0</v>
      </c>
      <c r="K14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1" spans="1:11" x14ac:dyDescent="0.3">
      <c r="A1431">
        <v>89028730</v>
      </c>
      <c r="B1431">
        <v>6385308</v>
      </c>
      <c r="C1431" s="1">
        <v>45305</v>
      </c>
      <c r="D1431">
        <v>79</v>
      </c>
      <c r="E1431">
        <f>IF(
  ISNA(
    _xlfn.XLOOKUP(
      payments_raw[[#This Row],[subscription_id]],
      subscriptions[subscription_id],
      subscriptions[subscription_id]
    )
  ),
  0,
  1
)</f>
        <v>1</v>
      </c>
      <c r="F1431" s="1">
        <f>_xlfn.XLOOKUP(payments_raw[[#This Row],[subscription_id]], subscriptions[subscription_id], subscriptions[start_date])</f>
        <v>45103</v>
      </c>
      <c r="G14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1431" s="2">
        <f>IF(payments_raw[[#This Row],[payment_date]] &lt; payments_raw[[#This Row],[sub_start_date]], 1, 0)</f>
        <v>0</v>
      </c>
      <c r="I1431" s="2">
        <f>IF(AND(payments_raw[[#This Row],[sub_end_date]]&lt;&gt;"", payments_raw[[#This Row],[payment_date]] &gt; payments_raw[[#This Row],[sub_end_date]]), 1, 0)</f>
        <v>0</v>
      </c>
      <c r="J1431" s="2">
        <f>IF(payments_raw[[#This Row],[amount]] &lt;= 0, 1, 0)</f>
        <v>0</v>
      </c>
      <c r="K14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2" spans="1:11" x14ac:dyDescent="0.3">
      <c r="A1432">
        <v>76375258</v>
      </c>
      <c r="B1432">
        <v>7364768</v>
      </c>
      <c r="C1432" s="1">
        <v>45609</v>
      </c>
      <c r="D1432">
        <v>19</v>
      </c>
      <c r="E1432">
        <f>IF(
  ISNA(
    _xlfn.XLOOKUP(
      payments_raw[[#This Row],[subscription_id]],
      subscriptions[subscription_id],
      subscriptions[subscription_id]
    )
  ),
  0,
  1
)</f>
        <v>1</v>
      </c>
      <c r="F1432" s="1">
        <f>_xlfn.XLOOKUP(payments_raw[[#This Row],[subscription_id]], subscriptions[subscription_id], subscriptions[start_date])</f>
        <v>45538</v>
      </c>
      <c r="G14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2" s="2">
        <f>IF(payments_raw[[#This Row],[payment_date]] &lt; payments_raw[[#This Row],[sub_start_date]], 1, 0)</f>
        <v>0</v>
      </c>
      <c r="I1432" s="2">
        <f>IF(AND(payments_raw[[#This Row],[sub_end_date]]&lt;&gt;"", payments_raw[[#This Row],[payment_date]] &gt; payments_raw[[#This Row],[sub_end_date]]), 1, 0)</f>
        <v>0</v>
      </c>
      <c r="J1432" s="2">
        <f>IF(payments_raw[[#This Row],[amount]] &lt;= 0, 1, 0)</f>
        <v>0</v>
      </c>
      <c r="K14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3" spans="1:11" x14ac:dyDescent="0.3">
      <c r="A1433">
        <v>20620936</v>
      </c>
      <c r="B1433">
        <v>8244130</v>
      </c>
      <c r="C1433" s="1">
        <v>44942</v>
      </c>
      <c r="D1433">
        <v>39</v>
      </c>
      <c r="E1433">
        <f>IF(
  ISNA(
    _xlfn.XLOOKUP(
      payments_raw[[#This Row],[subscription_id]],
      subscriptions[subscription_id],
      subscriptions[subscription_id]
    )
  ),
  0,
  1
)</f>
        <v>1</v>
      </c>
      <c r="F1433" s="1">
        <f>_xlfn.XLOOKUP(payments_raw[[#This Row],[subscription_id]], subscriptions[subscription_id], subscriptions[start_date])</f>
        <v>44931</v>
      </c>
      <c r="G143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44973</v>
      </c>
      <c r="H1433" s="2">
        <f>IF(payments_raw[[#This Row],[payment_date]] &lt; payments_raw[[#This Row],[sub_start_date]], 1, 0)</f>
        <v>0</v>
      </c>
      <c r="I1433" s="2">
        <f>IF(AND(payments_raw[[#This Row],[sub_end_date]]&lt;&gt;"", payments_raw[[#This Row],[payment_date]] &gt; payments_raw[[#This Row],[sub_end_date]]), 1, 0)</f>
        <v>0</v>
      </c>
      <c r="J1433" s="2">
        <f>IF(payments_raw[[#This Row],[amount]] &lt;= 0, 1, 0)</f>
        <v>0</v>
      </c>
      <c r="K14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4" spans="1:11" x14ac:dyDescent="0.3">
      <c r="A1434">
        <v>58098925</v>
      </c>
      <c r="B1434">
        <v>5629621</v>
      </c>
      <c r="C1434" s="1">
        <v>45446</v>
      </c>
      <c r="D1434">
        <v>2990</v>
      </c>
      <c r="E1434">
        <f>IF(
  ISNA(
    _xlfn.XLOOKUP(
      payments_raw[[#This Row],[subscription_id]],
      subscriptions[subscription_id],
      subscriptions[subscription_id]
    )
  ),
  0,
  1
)</f>
        <v>1</v>
      </c>
      <c r="F1434" s="1">
        <f>_xlfn.XLOOKUP(payments_raw[[#This Row],[subscription_id]], subscriptions[subscription_id], subscriptions[start_date])</f>
        <v>44992</v>
      </c>
      <c r="G14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4" s="2">
        <f>IF(payments_raw[[#This Row],[payment_date]] &lt; payments_raw[[#This Row],[sub_start_date]], 1, 0)</f>
        <v>0</v>
      </c>
      <c r="I1434" s="2">
        <f>IF(AND(payments_raw[[#This Row],[sub_end_date]]&lt;&gt;"", payments_raw[[#This Row],[payment_date]] &gt; payments_raw[[#This Row],[sub_end_date]]), 1, 0)</f>
        <v>0</v>
      </c>
      <c r="J1434" s="2">
        <f>IF(payments_raw[[#This Row],[amount]] &lt;= 0, 1, 0)</f>
        <v>0</v>
      </c>
      <c r="K14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5" spans="1:11" x14ac:dyDescent="0.3">
      <c r="A1435">
        <v>11828041</v>
      </c>
      <c r="B1435">
        <v>1733836</v>
      </c>
      <c r="C1435" s="1">
        <v>45653</v>
      </c>
      <c r="D1435">
        <v>19</v>
      </c>
      <c r="E1435">
        <f>IF(
  ISNA(
    _xlfn.XLOOKUP(
      payments_raw[[#This Row],[subscription_id]],
      subscriptions[subscription_id],
      subscriptions[subscription_id]
    )
  ),
  0,
  1
)</f>
        <v>1</v>
      </c>
      <c r="F1435" s="1">
        <f>_xlfn.XLOOKUP(payments_raw[[#This Row],[subscription_id]], subscriptions[subscription_id], subscriptions[start_date])</f>
        <v>44832</v>
      </c>
      <c r="G14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5" s="2">
        <f>IF(payments_raw[[#This Row],[payment_date]] &lt; payments_raw[[#This Row],[sub_start_date]], 1, 0)</f>
        <v>0</v>
      </c>
      <c r="I1435" s="2">
        <f>IF(AND(payments_raw[[#This Row],[sub_end_date]]&lt;&gt;"", payments_raw[[#This Row],[payment_date]] &gt; payments_raw[[#This Row],[sub_end_date]]), 1, 0)</f>
        <v>0</v>
      </c>
      <c r="J1435" s="2">
        <f>IF(payments_raw[[#This Row],[amount]] &lt;= 0, 1, 0)</f>
        <v>0</v>
      </c>
      <c r="K14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6" spans="1:11" x14ac:dyDescent="0.3">
      <c r="A1436">
        <v>28107315</v>
      </c>
      <c r="B1436">
        <v>2696557</v>
      </c>
      <c r="C1436" s="1">
        <v>45553</v>
      </c>
      <c r="D1436">
        <v>790</v>
      </c>
      <c r="E1436">
        <f>IF(
  ISNA(
    _xlfn.XLOOKUP(
      payments_raw[[#This Row],[subscription_id]],
      subscriptions[subscription_id],
      subscriptions[subscription_id]
    )
  ),
  0,
  1
)</f>
        <v>1</v>
      </c>
      <c r="F1436" s="1">
        <f>_xlfn.XLOOKUP(payments_raw[[#This Row],[subscription_id]], subscriptions[subscription_id], subscriptions[start_date])</f>
        <v>45344</v>
      </c>
      <c r="G14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6" s="2">
        <f>IF(payments_raw[[#This Row],[payment_date]] &lt; payments_raw[[#This Row],[sub_start_date]], 1, 0)</f>
        <v>0</v>
      </c>
      <c r="I1436" s="2">
        <f>IF(AND(payments_raw[[#This Row],[sub_end_date]]&lt;&gt;"", payments_raw[[#This Row],[payment_date]] &gt; payments_raw[[#This Row],[sub_end_date]]), 1, 0)</f>
        <v>0</v>
      </c>
      <c r="J1436" s="2">
        <f>IF(payments_raw[[#This Row],[amount]] &lt;= 0, 1, 0)</f>
        <v>0</v>
      </c>
      <c r="K14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7" spans="1:11" x14ac:dyDescent="0.3">
      <c r="A1437">
        <v>32026463</v>
      </c>
      <c r="B1437">
        <v>1121243</v>
      </c>
      <c r="C1437" s="1">
        <v>45300</v>
      </c>
      <c r="D1437">
        <v>79</v>
      </c>
      <c r="E1437">
        <f>IF(
  ISNA(
    _xlfn.XLOOKUP(
      payments_raw[[#This Row],[subscription_id]],
      subscriptions[subscription_id],
      subscriptions[subscription_id]
    )
  ),
  0,
  1
)</f>
        <v>1</v>
      </c>
      <c r="F1437" s="1">
        <f>_xlfn.XLOOKUP(payments_raw[[#This Row],[subscription_id]], subscriptions[subscription_id], subscriptions[start_date])</f>
        <v>44647</v>
      </c>
      <c r="G14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7" s="2">
        <f>IF(payments_raw[[#This Row],[payment_date]] &lt; payments_raw[[#This Row],[sub_start_date]], 1, 0)</f>
        <v>0</v>
      </c>
      <c r="I1437" s="2">
        <f>IF(AND(payments_raw[[#This Row],[sub_end_date]]&lt;&gt;"", payments_raw[[#This Row],[payment_date]] &gt; payments_raw[[#This Row],[sub_end_date]]), 1, 0)</f>
        <v>0</v>
      </c>
      <c r="J1437" s="2">
        <f>IF(payments_raw[[#This Row],[amount]] &lt;= 0, 1, 0)</f>
        <v>0</v>
      </c>
      <c r="K14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8" spans="1:11" x14ac:dyDescent="0.3">
      <c r="A1438">
        <v>20219296</v>
      </c>
      <c r="B1438">
        <v>4026182</v>
      </c>
      <c r="C1438" s="1">
        <v>45242</v>
      </c>
      <c r="D1438">
        <v>1490</v>
      </c>
      <c r="E1438">
        <f>IF(
  ISNA(
    _xlfn.XLOOKUP(
      payments_raw[[#This Row],[subscription_id]],
      subscriptions[subscription_id],
      subscriptions[subscription_id]
    )
  ),
  0,
  1
)</f>
        <v>1</v>
      </c>
      <c r="F1438" s="1">
        <f>_xlfn.XLOOKUP(payments_raw[[#This Row],[subscription_id]], subscriptions[subscription_id], subscriptions[start_date])</f>
        <v>45092</v>
      </c>
      <c r="G14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8" s="2">
        <f>IF(payments_raw[[#This Row],[payment_date]] &lt; payments_raw[[#This Row],[sub_start_date]], 1, 0)</f>
        <v>0</v>
      </c>
      <c r="I1438" s="2">
        <f>IF(AND(payments_raw[[#This Row],[sub_end_date]]&lt;&gt;"", payments_raw[[#This Row],[payment_date]] &gt; payments_raw[[#This Row],[sub_end_date]]), 1, 0)</f>
        <v>0</v>
      </c>
      <c r="J1438" s="2">
        <f>IF(payments_raw[[#This Row],[amount]] &lt;= 0, 1, 0)</f>
        <v>0</v>
      </c>
      <c r="K14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39" spans="1:11" x14ac:dyDescent="0.3">
      <c r="A1439">
        <v>32095445</v>
      </c>
      <c r="B1439">
        <v>9303529</v>
      </c>
      <c r="C1439" s="1">
        <v>44876</v>
      </c>
      <c r="D1439">
        <v>390</v>
      </c>
      <c r="E1439">
        <f>IF(
  ISNA(
    _xlfn.XLOOKUP(
      payments_raw[[#This Row],[subscription_id]],
      subscriptions[subscription_id],
      subscriptions[subscription_id]
    )
  ),
  0,
  1
)</f>
        <v>1</v>
      </c>
      <c r="F1439" s="1">
        <f>_xlfn.XLOOKUP(payments_raw[[#This Row],[subscription_id]], subscriptions[subscription_id], subscriptions[start_date])</f>
        <v>44822</v>
      </c>
      <c r="G14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39" s="2">
        <f>IF(payments_raw[[#This Row],[payment_date]] &lt; payments_raw[[#This Row],[sub_start_date]], 1, 0)</f>
        <v>0</v>
      </c>
      <c r="I1439" s="2">
        <f>IF(AND(payments_raw[[#This Row],[sub_end_date]]&lt;&gt;"", payments_raw[[#This Row],[payment_date]] &gt; payments_raw[[#This Row],[sub_end_date]]), 1, 0)</f>
        <v>0</v>
      </c>
      <c r="J1439" s="2">
        <f>IF(payments_raw[[#This Row],[amount]] &lt;= 0, 1, 0)</f>
        <v>0</v>
      </c>
      <c r="K14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0" spans="1:11" x14ac:dyDescent="0.3">
      <c r="A1440">
        <v>43719321</v>
      </c>
      <c r="B1440">
        <v>2300646</v>
      </c>
      <c r="C1440" s="1">
        <v>45349</v>
      </c>
      <c r="D1440">
        <v>2990</v>
      </c>
      <c r="E1440">
        <f>IF(
  ISNA(
    _xlfn.XLOOKUP(
      payments_raw[[#This Row],[subscription_id]],
      subscriptions[subscription_id],
      subscriptions[subscription_id]
    )
  ),
  0,
  1
)</f>
        <v>1</v>
      </c>
      <c r="F1440" s="1">
        <f>_xlfn.XLOOKUP(payments_raw[[#This Row],[subscription_id]], subscriptions[subscription_id], subscriptions[start_date])</f>
        <v>45115</v>
      </c>
      <c r="G14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0" s="2">
        <f>IF(payments_raw[[#This Row],[payment_date]] &lt; payments_raw[[#This Row],[sub_start_date]], 1, 0)</f>
        <v>0</v>
      </c>
      <c r="I1440" s="2">
        <f>IF(AND(payments_raw[[#This Row],[sub_end_date]]&lt;&gt;"", payments_raw[[#This Row],[payment_date]] &gt; payments_raw[[#This Row],[sub_end_date]]), 1, 0)</f>
        <v>0</v>
      </c>
      <c r="J1440" s="2">
        <f>IF(payments_raw[[#This Row],[amount]] &lt;= 0, 1, 0)</f>
        <v>0</v>
      </c>
      <c r="K14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1" spans="1:11" x14ac:dyDescent="0.3">
      <c r="A1441">
        <v>74252953</v>
      </c>
      <c r="B1441">
        <v>9116934</v>
      </c>
      <c r="C1441" s="1">
        <v>45005</v>
      </c>
      <c r="D1441">
        <v>1490</v>
      </c>
      <c r="E1441">
        <f>IF(
  ISNA(
    _xlfn.XLOOKUP(
      payments_raw[[#This Row],[subscription_id]],
      subscriptions[subscription_id],
      subscriptions[subscription_id]
    )
  ),
  0,
  1
)</f>
        <v>1</v>
      </c>
      <c r="F1441" s="1">
        <f>_xlfn.XLOOKUP(payments_raw[[#This Row],[subscription_id]], subscriptions[subscription_id], subscriptions[start_date])</f>
        <v>44655</v>
      </c>
      <c r="G14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1" s="2">
        <f>IF(payments_raw[[#This Row],[payment_date]] &lt; payments_raw[[#This Row],[sub_start_date]], 1, 0)</f>
        <v>0</v>
      </c>
      <c r="I1441" s="2">
        <f>IF(AND(payments_raw[[#This Row],[sub_end_date]]&lt;&gt;"", payments_raw[[#This Row],[payment_date]] &gt; payments_raw[[#This Row],[sub_end_date]]), 1, 0)</f>
        <v>0</v>
      </c>
      <c r="J1441" s="2">
        <f>IF(payments_raw[[#This Row],[amount]] &lt;= 0, 1, 0)</f>
        <v>0</v>
      </c>
      <c r="K14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2" spans="1:11" x14ac:dyDescent="0.3">
      <c r="A1442">
        <v>56401649</v>
      </c>
      <c r="B1442">
        <v>8753576</v>
      </c>
      <c r="C1442" s="1">
        <v>45197</v>
      </c>
      <c r="D1442">
        <v>79</v>
      </c>
      <c r="E1442">
        <f>IF(
  ISNA(
    _xlfn.XLOOKUP(
      payments_raw[[#This Row],[subscription_id]],
      subscriptions[subscription_id],
      subscriptions[subscription_id]
    )
  ),
  0,
  1
)</f>
        <v>1</v>
      </c>
      <c r="F1442" s="1">
        <f>_xlfn.XLOOKUP(payments_raw[[#This Row],[subscription_id]], subscriptions[subscription_id], subscriptions[start_date])</f>
        <v>45108</v>
      </c>
      <c r="G14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45205</v>
      </c>
      <c r="H1442" s="2">
        <f>IF(payments_raw[[#This Row],[payment_date]] &lt; payments_raw[[#This Row],[sub_start_date]], 1, 0)</f>
        <v>0</v>
      </c>
      <c r="I1442" s="2">
        <f>IF(AND(payments_raw[[#This Row],[sub_end_date]]&lt;&gt;"", payments_raw[[#This Row],[payment_date]] &gt; payments_raw[[#This Row],[sub_end_date]]), 1, 0)</f>
        <v>0</v>
      </c>
      <c r="J1442" s="2">
        <f>IF(payments_raw[[#This Row],[amount]] &lt;= 0, 1, 0)</f>
        <v>0</v>
      </c>
      <c r="K14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3" spans="1:11" x14ac:dyDescent="0.3">
      <c r="A1443">
        <v>61790520</v>
      </c>
      <c r="B1443">
        <v>7325627</v>
      </c>
      <c r="C1443" s="1">
        <v>45454</v>
      </c>
      <c r="D1443">
        <v>35.1</v>
      </c>
      <c r="E1443">
        <f>IF(
  ISNA(
    _xlfn.XLOOKUP(
      payments_raw[[#This Row],[subscription_id]],
      subscriptions[subscription_id],
      subscriptions[subscription_id]
    )
  ),
  0,
  1
)</f>
        <v>1</v>
      </c>
      <c r="F1443" s="1">
        <f>_xlfn.XLOOKUP(payments_raw[[#This Row],[subscription_id]], subscriptions[subscription_id], subscriptions[start_date])</f>
        <v>44909</v>
      </c>
      <c r="G14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3" s="2">
        <f>IF(payments_raw[[#This Row],[payment_date]] &lt; payments_raw[[#This Row],[sub_start_date]], 1, 0)</f>
        <v>0</v>
      </c>
      <c r="I1443" s="2">
        <f>IF(AND(payments_raw[[#This Row],[sub_end_date]]&lt;&gt;"", payments_raw[[#This Row],[payment_date]] &gt; payments_raw[[#This Row],[sub_end_date]]), 1, 0)</f>
        <v>0</v>
      </c>
      <c r="J1443" s="2">
        <f>IF(payments_raw[[#This Row],[amount]] &lt;= 0, 1, 0)</f>
        <v>0</v>
      </c>
      <c r="K14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4" spans="1:11" x14ac:dyDescent="0.3">
      <c r="A1444">
        <v>57023772</v>
      </c>
      <c r="B1444">
        <v>3908477</v>
      </c>
      <c r="C1444" s="1">
        <v>45290</v>
      </c>
      <c r="D1444">
        <v>1490</v>
      </c>
      <c r="E1444">
        <f>IF(
  ISNA(
    _xlfn.XLOOKUP(
      payments_raw[[#This Row],[subscription_id]],
      subscriptions[subscription_id],
      subscriptions[subscription_id]
    )
  ),
  0,
  1
)</f>
        <v>1</v>
      </c>
      <c r="F1444" s="1">
        <f>_xlfn.XLOOKUP(payments_raw[[#This Row],[subscription_id]], subscriptions[subscription_id], subscriptions[start_date])</f>
        <v>45204</v>
      </c>
      <c r="G14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45507</v>
      </c>
      <c r="H1444" s="2">
        <f>IF(payments_raw[[#This Row],[payment_date]] &lt; payments_raw[[#This Row],[sub_start_date]], 1, 0)</f>
        <v>0</v>
      </c>
      <c r="I1444" s="2">
        <f>IF(AND(payments_raw[[#This Row],[sub_end_date]]&lt;&gt;"", payments_raw[[#This Row],[payment_date]] &gt; payments_raw[[#This Row],[sub_end_date]]), 1, 0)</f>
        <v>0</v>
      </c>
      <c r="J1444" s="2">
        <f>IF(payments_raw[[#This Row],[amount]] &lt;= 0, 1, 0)</f>
        <v>0</v>
      </c>
      <c r="K14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5" spans="1:11" x14ac:dyDescent="0.3">
      <c r="A1445">
        <v>45531069</v>
      </c>
      <c r="B1445">
        <v>9597975</v>
      </c>
      <c r="C1445" s="1">
        <v>45467</v>
      </c>
      <c r="D1445">
        <v>2990</v>
      </c>
      <c r="E1445">
        <f>IF(
  ISNA(
    _xlfn.XLOOKUP(
      payments_raw[[#This Row],[subscription_id]],
      subscriptions[subscription_id],
      subscriptions[subscription_id]
    )
  ),
  0,
  1
)</f>
        <v>1</v>
      </c>
      <c r="F1445" s="1">
        <f>_xlfn.XLOOKUP(payments_raw[[#This Row],[subscription_id]], subscriptions[subscription_id], subscriptions[start_date])</f>
        <v>45204</v>
      </c>
      <c r="G14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5" s="2">
        <f>IF(payments_raw[[#This Row],[payment_date]] &lt; payments_raw[[#This Row],[sub_start_date]], 1, 0)</f>
        <v>0</v>
      </c>
      <c r="I1445" s="2">
        <f>IF(AND(payments_raw[[#This Row],[sub_end_date]]&lt;&gt;"", payments_raw[[#This Row],[payment_date]] &gt; payments_raw[[#This Row],[sub_end_date]]), 1, 0)</f>
        <v>0</v>
      </c>
      <c r="J1445" s="2">
        <f>IF(payments_raw[[#This Row],[amount]] &lt;= 0, 1, 0)</f>
        <v>0</v>
      </c>
      <c r="K14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6" spans="1:11" x14ac:dyDescent="0.3">
      <c r="A1446">
        <v>27168689</v>
      </c>
      <c r="B1446">
        <v>7426442</v>
      </c>
      <c r="C1446" s="1">
        <v>45472</v>
      </c>
      <c r="D1446">
        <v>2990</v>
      </c>
      <c r="E1446">
        <f>IF(
  ISNA(
    _xlfn.XLOOKUP(
      payments_raw[[#This Row],[subscription_id]],
      subscriptions[subscription_id],
      subscriptions[subscription_id]
    )
  ),
  0,
  1
)</f>
        <v>1</v>
      </c>
      <c r="F1446" s="1">
        <f>_xlfn.XLOOKUP(payments_raw[[#This Row],[subscription_id]], subscriptions[subscription_id], subscriptions[start_date])</f>
        <v>45441</v>
      </c>
      <c r="G14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6" s="2">
        <f>IF(payments_raw[[#This Row],[payment_date]] &lt; payments_raw[[#This Row],[sub_start_date]], 1, 0)</f>
        <v>0</v>
      </c>
      <c r="I1446" s="2">
        <f>IF(AND(payments_raw[[#This Row],[sub_end_date]]&lt;&gt;"", payments_raw[[#This Row],[payment_date]] &gt; payments_raw[[#This Row],[sub_end_date]]), 1, 0)</f>
        <v>0</v>
      </c>
      <c r="J1446" s="2">
        <f>IF(payments_raw[[#This Row],[amount]] &lt;= 0, 1, 0)</f>
        <v>0</v>
      </c>
      <c r="K14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7" spans="1:11" x14ac:dyDescent="0.3">
      <c r="A1447">
        <v>41213772</v>
      </c>
      <c r="B1447">
        <v>8070014</v>
      </c>
      <c r="C1447" s="1">
        <v>45611</v>
      </c>
      <c r="D1447">
        <v>190</v>
      </c>
      <c r="E1447">
        <f>IF(
  ISNA(
    _xlfn.XLOOKUP(
      payments_raw[[#This Row],[subscription_id]],
      subscriptions[subscription_id],
      subscriptions[subscription_id]
    )
  ),
  0,
  1
)</f>
        <v>1</v>
      </c>
      <c r="F1447" s="1">
        <f>_xlfn.XLOOKUP(payments_raw[[#This Row],[subscription_id]], subscriptions[subscription_id], subscriptions[start_date])</f>
        <v>45096</v>
      </c>
      <c r="G14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7" s="2">
        <f>IF(payments_raw[[#This Row],[payment_date]] &lt; payments_raw[[#This Row],[sub_start_date]], 1, 0)</f>
        <v>0</v>
      </c>
      <c r="I1447" s="2">
        <f>IF(AND(payments_raw[[#This Row],[sub_end_date]]&lt;&gt;"", payments_raw[[#This Row],[payment_date]] &gt; payments_raw[[#This Row],[sub_end_date]]), 1, 0)</f>
        <v>0</v>
      </c>
      <c r="J1447" s="2">
        <f>IF(payments_raw[[#This Row],[amount]] &lt;= 0, 1, 0)</f>
        <v>0</v>
      </c>
      <c r="K14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8" spans="1:11" x14ac:dyDescent="0.3">
      <c r="A1448">
        <v>43986317</v>
      </c>
      <c r="B1448">
        <v>6907545</v>
      </c>
      <c r="C1448" s="1">
        <v>45176</v>
      </c>
      <c r="D1448">
        <v>390</v>
      </c>
      <c r="E1448">
        <f>IF(
  ISNA(
    _xlfn.XLOOKUP(
      payments_raw[[#This Row],[subscription_id]],
      subscriptions[subscription_id],
      subscriptions[subscription_id]
    )
  ),
  0,
  1
)</f>
        <v>1</v>
      </c>
      <c r="F1448" s="1">
        <f>_xlfn.XLOOKUP(payments_raw[[#This Row],[subscription_id]], subscriptions[subscription_id], subscriptions[start_date])</f>
        <v>44991</v>
      </c>
      <c r="G14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1448" s="2">
        <f>IF(payments_raw[[#This Row],[payment_date]] &lt; payments_raw[[#This Row],[sub_start_date]], 1, 0)</f>
        <v>0</v>
      </c>
      <c r="I1448" s="2">
        <f>IF(AND(payments_raw[[#This Row],[sub_end_date]]&lt;&gt;"", payments_raw[[#This Row],[payment_date]] &gt; payments_raw[[#This Row],[sub_end_date]]), 1, 0)</f>
        <v>0</v>
      </c>
      <c r="J1448" s="2">
        <f>IF(payments_raw[[#This Row],[amount]] &lt;= 0, 1, 0)</f>
        <v>0</v>
      </c>
      <c r="K14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49" spans="1:11" x14ac:dyDescent="0.3">
      <c r="A1449">
        <v>46017965</v>
      </c>
      <c r="B1449">
        <v>5595368</v>
      </c>
      <c r="C1449" s="1">
        <v>45415</v>
      </c>
      <c r="D1449">
        <v>592.5</v>
      </c>
      <c r="E1449">
        <f>IF(
  ISNA(
    _xlfn.XLOOKUP(
      payments_raw[[#This Row],[subscription_id]],
      subscriptions[subscription_id],
      subscriptions[subscription_id]
    )
  ),
  0,
  1
)</f>
        <v>1</v>
      </c>
      <c r="F1449" s="1">
        <f>_xlfn.XLOOKUP(payments_raw[[#This Row],[subscription_id]], subscriptions[subscription_id], subscriptions[start_date])</f>
        <v>45391</v>
      </c>
      <c r="G14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49" s="2">
        <f>IF(payments_raw[[#This Row],[payment_date]] &lt; payments_raw[[#This Row],[sub_start_date]], 1, 0)</f>
        <v>0</v>
      </c>
      <c r="I1449" s="2">
        <f>IF(AND(payments_raw[[#This Row],[sub_end_date]]&lt;&gt;"", payments_raw[[#This Row],[payment_date]] &gt; payments_raw[[#This Row],[sub_end_date]]), 1, 0)</f>
        <v>0</v>
      </c>
      <c r="J1449" s="2">
        <f>IF(payments_raw[[#This Row],[amount]] &lt;= 0, 1, 0)</f>
        <v>0</v>
      </c>
      <c r="K14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0" spans="1:11" x14ac:dyDescent="0.3">
      <c r="A1450">
        <v>44153671</v>
      </c>
      <c r="B1450">
        <v>6587015</v>
      </c>
      <c r="C1450" s="1">
        <v>45125</v>
      </c>
      <c r="D1450">
        <v>790</v>
      </c>
      <c r="E1450">
        <f>IF(
  ISNA(
    _xlfn.XLOOKUP(
      payments_raw[[#This Row],[subscription_id]],
      subscriptions[subscription_id],
      subscriptions[subscription_id]
    )
  ),
  0,
  1
)</f>
        <v>1</v>
      </c>
      <c r="F1450" s="1">
        <f>_xlfn.XLOOKUP(payments_raw[[#This Row],[subscription_id]], subscriptions[subscription_id], subscriptions[start_date])</f>
        <v>44969</v>
      </c>
      <c r="G14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45359</v>
      </c>
      <c r="H1450" s="2">
        <f>IF(payments_raw[[#This Row],[payment_date]] &lt; payments_raw[[#This Row],[sub_start_date]], 1, 0)</f>
        <v>0</v>
      </c>
      <c r="I1450" s="2">
        <f>IF(AND(payments_raw[[#This Row],[sub_end_date]]&lt;&gt;"", payments_raw[[#This Row],[payment_date]] &gt; payments_raw[[#This Row],[sub_end_date]]), 1, 0)</f>
        <v>0</v>
      </c>
      <c r="J1450" s="2">
        <f>IF(payments_raw[[#This Row],[amount]] &lt;= 0, 1, 0)</f>
        <v>0</v>
      </c>
      <c r="K14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1" spans="1:11" x14ac:dyDescent="0.3">
      <c r="A1451">
        <v>48279828</v>
      </c>
      <c r="B1451">
        <v>2422780</v>
      </c>
      <c r="C1451" s="1">
        <v>44733</v>
      </c>
      <c r="D1451">
        <v>39</v>
      </c>
      <c r="E1451">
        <f>IF(
  ISNA(
    _xlfn.XLOOKUP(
      payments_raw[[#This Row],[subscription_id]],
      subscriptions[subscription_id],
      subscriptions[subscription_id]
    )
  ),
  0,
  1
)</f>
        <v>1</v>
      </c>
      <c r="F1451" s="1">
        <f>_xlfn.XLOOKUP(payments_raw[[#This Row],[subscription_id]], subscriptions[subscription_id], subscriptions[start_date])</f>
        <v>44650</v>
      </c>
      <c r="G1451" s="1">
        <f>IF(_xlfn.XLOOKUP(payments_raw[[#This Row],[subscription_id]], subscriptions[subscription_id], subscriptions[end_date])=0,"",_xlfn.XLOOKUP(payments_raw[[#This Row],[subscription_id]], subscriptions[subscription_id], subscriptions[end_date]))</f>
        <v>44771</v>
      </c>
      <c r="H1451" s="2">
        <f>IF(payments_raw[[#This Row],[payment_date]] &lt; payments_raw[[#This Row],[sub_start_date]], 1, 0)</f>
        <v>0</v>
      </c>
      <c r="I1451" s="2">
        <f>IF(AND(payments_raw[[#This Row],[sub_end_date]]&lt;&gt;"", payments_raw[[#This Row],[payment_date]] &gt; payments_raw[[#This Row],[sub_end_date]]), 1, 0)</f>
        <v>0</v>
      </c>
      <c r="J1451" s="2">
        <f>IF(payments_raw[[#This Row],[amount]] &lt;= 0, 1, 0)</f>
        <v>0</v>
      </c>
      <c r="K14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2" spans="1:11" x14ac:dyDescent="0.3">
      <c r="A1452">
        <v>29547737</v>
      </c>
      <c r="B1452">
        <v>4032275</v>
      </c>
      <c r="C1452" s="1">
        <v>44661</v>
      </c>
      <c r="D1452">
        <v>790</v>
      </c>
      <c r="E1452">
        <f>IF(
  ISNA(
    _xlfn.XLOOKUP(
      payments_raw[[#This Row],[subscription_id]],
      subscriptions[subscription_id],
      subscriptions[subscription_id]
    )
  ),
  0,
  1
)</f>
        <v>1</v>
      </c>
      <c r="F1452" s="1">
        <f>_xlfn.XLOOKUP(payments_raw[[#This Row],[subscription_id]], subscriptions[subscription_id], subscriptions[start_date])</f>
        <v>44611</v>
      </c>
      <c r="G145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44809</v>
      </c>
      <c r="H1452" s="2">
        <f>IF(payments_raw[[#This Row],[payment_date]] &lt; payments_raw[[#This Row],[sub_start_date]], 1, 0)</f>
        <v>0</v>
      </c>
      <c r="I1452" s="2">
        <f>IF(AND(payments_raw[[#This Row],[sub_end_date]]&lt;&gt;"", payments_raw[[#This Row],[payment_date]] &gt; payments_raw[[#This Row],[sub_end_date]]), 1, 0)</f>
        <v>0</v>
      </c>
      <c r="J1452" s="2">
        <f>IF(payments_raw[[#This Row],[amount]] &lt;= 0, 1, 0)</f>
        <v>0</v>
      </c>
      <c r="K14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3" spans="1:11" x14ac:dyDescent="0.3">
      <c r="A1453">
        <v>20295008</v>
      </c>
      <c r="B1453">
        <v>5366631</v>
      </c>
      <c r="C1453" s="1">
        <v>45489</v>
      </c>
      <c r="D1453">
        <v>390</v>
      </c>
      <c r="E1453">
        <f>IF(
  ISNA(
    _xlfn.XLOOKUP(
      payments_raw[[#This Row],[subscription_id]],
      subscriptions[subscription_id],
      subscriptions[subscription_id]
    )
  ),
  0,
  1
)</f>
        <v>1</v>
      </c>
      <c r="F1453" s="1">
        <f>_xlfn.XLOOKUP(payments_raw[[#This Row],[subscription_id]], subscriptions[subscription_id], subscriptions[start_date])</f>
        <v>45461</v>
      </c>
      <c r="G14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453" s="2">
        <f>IF(payments_raw[[#This Row],[payment_date]] &lt; payments_raw[[#This Row],[sub_start_date]], 1, 0)</f>
        <v>0</v>
      </c>
      <c r="I1453" s="2">
        <f>IF(AND(payments_raw[[#This Row],[sub_end_date]]&lt;&gt;"", payments_raw[[#This Row],[payment_date]] &gt; payments_raw[[#This Row],[sub_end_date]]), 1, 0)</f>
        <v>0</v>
      </c>
      <c r="J1453" s="2">
        <f>IF(payments_raw[[#This Row],[amount]] &lt;= 0, 1, 0)</f>
        <v>0</v>
      </c>
      <c r="K14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4" spans="1:11" x14ac:dyDescent="0.3">
      <c r="A1454">
        <v>35977719</v>
      </c>
      <c r="B1454">
        <v>4295478</v>
      </c>
      <c r="C1454" s="1">
        <v>45560</v>
      </c>
      <c r="D1454">
        <v>390</v>
      </c>
      <c r="E1454">
        <f>IF(
  ISNA(
    _xlfn.XLOOKUP(
      payments_raw[[#This Row],[subscription_id]],
      subscriptions[subscription_id],
      subscriptions[subscription_id]
    )
  ),
  0,
  1
)</f>
        <v>1</v>
      </c>
      <c r="F1454" s="1">
        <f>_xlfn.XLOOKUP(payments_raw[[#This Row],[subscription_id]], subscriptions[subscription_id], subscriptions[start_date])</f>
        <v>45541</v>
      </c>
      <c r="G14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54" s="2">
        <f>IF(payments_raw[[#This Row],[payment_date]] &lt; payments_raw[[#This Row],[sub_start_date]], 1, 0)</f>
        <v>0</v>
      </c>
      <c r="I1454" s="2">
        <f>IF(AND(payments_raw[[#This Row],[sub_end_date]]&lt;&gt;"", payments_raw[[#This Row],[payment_date]] &gt; payments_raw[[#This Row],[sub_end_date]]), 1, 0)</f>
        <v>0</v>
      </c>
      <c r="J1454" s="2">
        <f>IF(payments_raw[[#This Row],[amount]] &lt;= 0, 1, 0)</f>
        <v>0</v>
      </c>
      <c r="K14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5" spans="1:11" x14ac:dyDescent="0.3">
      <c r="A1455">
        <v>70055642</v>
      </c>
      <c r="B1455">
        <v>8685433</v>
      </c>
      <c r="C1455" s="1">
        <v>45018</v>
      </c>
      <c r="D1455">
        <v>299</v>
      </c>
      <c r="E1455">
        <f>IF(
  ISNA(
    _xlfn.XLOOKUP(
      payments_raw[[#This Row],[subscription_id]],
      subscriptions[subscription_id],
      subscriptions[subscription_id]
    )
  ),
  0,
  1
)</f>
        <v>1</v>
      </c>
      <c r="F1455" s="1">
        <f>_xlfn.XLOOKUP(payments_raw[[#This Row],[subscription_id]], subscriptions[subscription_id], subscriptions[start_date])</f>
        <v>44726</v>
      </c>
      <c r="G14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55" s="2">
        <f>IF(payments_raw[[#This Row],[payment_date]] &lt; payments_raw[[#This Row],[sub_start_date]], 1, 0)</f>
        <v>0</v>
      </c>
      <c r="I1455" s="2">
        <f>IF(AND(payments_raw[[#This Row],[sub_end_date]]&lt;&gt;"", payments_raw[[#This Row],[payment_date]] &gt; payments_raw[[#This Row],[sub_end_date]]), 1, 0)</f>
        <v>0</v>
      </c>
      <c r="J1455" s="2">
        <f>IF(payments_raw[[#This Row],[amount]] &lt;= 0, 1, 0)</f>
        <v>0</v>
      </c>
      <c r="K14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6" spans="1:11" x14ac:dyDescent="0.3">
      <c r="A1456">
        <v>92513920</v>
      </c>
      <c r="B1456">
        <v>4654207</v>
      </c>
      <c r="C1456" s="1">
        <v>44831</v>
      </c>
      <c r="D1456">
        <v>190</v>
      </c>
      <c r="E1456">
        <f>IF(
  ISNA(
    _xlfn.XLOOKUP(
      payments_raw[[#This Row],[subscription_id]],
      subscriptions[subscription_id],
      subscriptions[subscription_id]
    )
  ),
  0,
  1
)</f>
        <v>1</v>
      </c>
      <c r="F1456" s="1">
        <f>_xlfn.XLOOKUP(payments_raw[[#This Row],[subscription_id]], subscriptions[subscription_id], subscriptions[start_date])</f>
        <v>44580</v>
      </c>
      <c r="G145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44872</v>
      </c>
      <c r="H1456" s="2">
        <f>IF(payments_raw[[#This Row],[payment_date]] &lt; payments_raw[[#This Row],[sub_start_date]], 1, 0)</f>
        <v>0</v>
      </c>
      <c r="I1456" s="2">
        <f>IF(AND(payments_raw[[#This Row],[sub_end_date]]&lt;&gt;"", payments_raw[[#This Row],[payment_date]] &gt; payments_raw[[#This Row],[sub_end_date]]), 1, 0)</f>
        <v>0</v>
      </c>
      <c r="J1456" s="2">
        <f>IF(payments_raw[[#This Row],[amount]] &lt;= 0, 1, 0)</f>
        <v>0</v>
      </c>
      <c r="K14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7" spans="1:11" x14ac:dyDescent="0.3">
      <c r="A1457">
        <v>93321027</v>
      </c>
      <c r="B1457">
        <v>2386477</v>
      </c>
      <c r="C1457" s="1">
        <v>45281</v>
      </c>
      <c r="D1457">
        <v>79</v>
      </c>
      <c r="E1457">
        <f>IF(
  ISNA(
    _xlfn.XLOOKUP(
      payments_raw[[#This Row],[subscription_id]],
      subscriptions[subscription_id],
      subscriptions[subscription_id]
    )
  ),
  0,
  1
)</f>
        <v>1</v>
      </c>
      <c r="F1457" s="1">
        <f>_xlfn.XLOOKUP(payments_raw[[#This Row],[subscription_id]], subscriptions[subscription_id], subscriptions[start_date])</f>
        <v>45271</v>
      </c>
      <c r="G14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45352</v>
      </c>
      <c r="H1457" s="2">
        <f>IF(payments_raw[[#This Row],[payment_date]] &lt; payments_raw[[#This Row],[sub_start_date]], 1, 0)</f>
        <v>0</v>
      </c>
      <c r="I1457" s="2">
        <f>IF(AND(payments_raw[[#This Row],[sub_end_date]]&lt;&gt;"", payments_raw[[#This Row],[payment_date]] &gt; payments_raw[[#This Row],[sub_end_date]]), 1, 0)</f>
        <v>0</v>
      </c>
      <c r="J1457" s="2">
        <f>IF(payments_raw[[#This Row],[amount]] &lt;= 0, 1, 0)</f>
        <v>0</v>
      </c>
      <c r="K14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8" spans="1:11" x14ac:dyDescent="0.3">
      <c r="A1458">
        <v>63437980</v>
      </c>
      <c r="B1458">
        <v>5617358</v>
      </c>
      <c r="C1458" s="1">
        <v>45525</v>
      </c>
      <c r="D1458">
        <v>190</v>
      </c>
      <c r="E1458">
        <f>IF(
  ISNA(
    _xlfn.XLOOKUP(
      payments_raw[[#This Row],[subscription_id]],
      subscriptions[subscription_id],
      subscriptions[subscription_id]
    )
  ),
  0,
  1
)</f>
        <v>1</v>
      </c>
      <c r="F1458" s="1">
        <f>_xlfn.XLOOKUP(payments_raw[[#This Row],[subscription_id]], subscriptions[subscription_id], subscriptions[start_date])</f>
        <v>45473</v>
      </c>
      <c r="G14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58" s="2">
        <f>IF(payments_raw[[#This Row],[payment_date]] &lt; payments_raw[[#This Row],[sub_start_date]], 1, 0)</f>
        <v>0</v>
      </c>
      <c r="I1458" s="2">
        <f>IF(AND(payments_raw[[#This Row],[sub_end_date]]&lt;&gt;"", payments_raw[[#This Row],[payment_date]] &gt; payments_raw[[#This Row],[sub_end_date]]), 1, 0)</f>
        <v>0</v>
      </c>
      <c r="J1458" s="2">
        <f>IF(payments_raw[[#This Row],[amount]] &lt;= 0, 1, 0)</f>
        <v>0</v>
      </c>
      <c r="K14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59" spans="1:11" x14ac:dyDescent="0.3">
      <c r="A1459">
        <v>49388853</v>
      </c>
      <c r="B1459">
        <v>8940001</v>
      </c>
      <c r="C1459" s="1">
        <v>45171</v>
      </c>
      <c r="D1459">
        <v>790</v>
      </c>
      <c r="E1459">
        <f>IF(
  ISNA(
    _xlfn.XLOOKUP(
      payments_raw[[#This Row],[subscription_id]],
      subscriptions[subscription_id],
      subscriptions[subscription_id]
    )
  ),
  0,
  1
)</f>
        <v>1</v>
      </c>
      <c r="F1459" s="1">
        <f>_xlfn.XLOOKUP(payments_raw[[#This Row],[subscription_id]], subscriptions[subscription_id], subscriptions[start_date])</f>
        <v>45086</v>
      </c>
      <c r="G14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45342</v>
      </c>
      <c r="H1459" s="2">
        <f>IF(payments_raw[[#This Row],[payment_date]] &lt; payments_raw[[#This Row],[sub_start_date]], 1, 0)</f>
        <v>0</v>
      </c>
      <c r="I1459" s="2">
        <f>IF(AND(payments_raw[[#This Row],[sub_end_date]]&lt;&gt;"", payments_raw[[#This Row],[payment_date]] &gt; payments_raw[[#This Row],[sub_end_date]]), 1, 0)</f>
        <v>0</v>
      </c>
      <c r="J1459" s="2">
        <f>IF(payments_raw[[#This Row],[amount]] &lt;= 0, 1, 0)</f>
        <v>0</v>
      </c>
      <c r="K14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0" spans="1:11" x14ac:dyDescent="0.3">
      <c r="A1460">
        <v>14121168</v>
      </c>
      <c r="B1460">
        <v>6290495</v>
      </c>
      <c r="C1460" s="1">
        <v>45498</v>
      </c>
      <c r="D1460">
        <v>190</v>
      </c>
      <c r="E1460">
        <f>IF(
  ISNA(
    _xlfn.XLOOKUP(
      payments_raw[[#This Row],[subscription_id]],
      subscriptions[subscription_id],
      subscriptions[subscription_id]
    )
  ),
  0,
  1
)</f>
        <v>1</v>
      </c>
      <c r="F1460" s="1">
        <f>_xlfn.XLOOKUP(payments_raw[[#This Row],[subscription_id]], subscriptions[subscription_id], subscriptions[start_date])</f>
        <v>45486</v>
      </c>
      <c r="G14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1460" s="2">
        <f>IF(payments_raw[[#This Row],[payment_date]] &lt; payments_raw[[#This Row],[sub_start_date]], 1, 0)</f>
        <v>0</v>
      </c>
      <c r="I1460" s="2">
        <f>IF(AND(payments_raw[[#This Row],[sub_end_date]]&lt;&gt;"", payments_raw[[#This Row],[payment_date]] &gt; payments_raw[[#This Row],[sub_end_date]]), 1, 0)</f>
        <v>0</v>
      </c>
      <c r="J1460" s="2">
        <f>IF(payments_raw[[#This Row],[amount]] &lt;= 0, 1, 0)</f>
        <v>0</v>
      </c>
      <c r="K14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1" spans="1:11" x14ac:dyDescent="0.3">
      <c r="A1461">
        <v>84502763</v>
      </c>
      <c r="B1461">
        <v>2670640</v>
      </c>
      <c r="C1461" s="1">
        <v>45371</v>
      </c>
      <c r="D1461">
        <v>790</v>
      </c>
      <c r="E1461">
        <f>IF(
  ISNA(
    _xlfn.XLOOKUP(
      payments_raw[[#This Row],[subscription_id]],
      subscriptions[subscription_id],
      subscriptions[subscription_id]
    )
  ),
  0,
  1
)</f>
        <v>1</v>
      </c>
      <c r="F1461" s="1">
        <f>_xlfn.XLOOKUP(payments_raw[[#This Row],[subscription_id]], subscriptions[subscription_id], subscriptions[start_date])</f>
        <v>44820</v>
      </c>
      <c r="G14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1" s="2">
        <f>IF(payments_raw[[#This Row],[payment_date]] &lt; payments_raw[[#This Row],[sub_start_date]], 1, 0)</f>
        <v>0</v>
      </c>
      <c r="I1461" s="2">
        <f>IF(AND(payments_raw[[#This Row],[sub_end_date]]&lt;&gt;"", payments_raw[[#This Row],[payment_date]] &gt; payments_raw[[#This Row],[sub_end_date]]), 1, 0)</f>
        <v>0</v>
      </c>
      <c r="J1461" s="2">
        <f>IF(payments_raw[[#This Row],[amount]] &lt;= 0, 1, 0)</f>
        <v>0</v>
      </c>
      <c r="K14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2" spans="1:11" x14ac:dyDescent="0.3">
      <c r="A1462">
        <v>32778889</v>
      </c>
      <c r="B1462">
        <v>2438647</v>
      </c>
      <c r="C1462" s="1">
        <v>44754</v>
      </c>
      <c r="D1462">
        <v>299</v>
      </c>
      <c r="E1462">
        <f>IF(
  ISNA(
    _xlfn.XLOOKUP(
      payments_raw[[#This Row],[subscription_id]],
      subscriptions[subscription_id],
      subscriptions[subscription_id]
    )
  ),
  0,
  1
)</f>
        <v>1</v>
      </c>
      <c r="F1462" s="1">
        <f>_xlfn.XLOOKUP(payments_raw[[#This Row],[subscription_id]], subscriptions[subscription_id], subscriptions[start_date])</f>
        <v>44605</v>
      </c>
      <c r="G14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2" s="2">
        <f>IF(payments_raw[[#This Row],[payment_date]] &lt; payments_raw[[#This Row],[sub_start_date]], 1, 0)</f>
        <v>0</v>
      </c>
      <c r="I1462" s="2">
        <f>IF(AND(payments_raw[[#This Row],[sub_end_date]]&lt;&gt;"", payments_raw[[#This Row],[payment_date]] &gt; payments_raw[[#This Row],[sub_end_date]]), 1, 0)</f>
        <v>0</v>
      </c>
      <c r="J1462" s="2">
        <f>IF(payments_raw[[#This Row],[amount]] &lt;= 0, 1, 0)</f>
        <v>0</v>
      </c>
      <c r="K14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3" spans="1:11" x14ac:dyDescent="0.3">
      <c r="A1463">
        <v>57463440</v>
      </c>
      <c r="B1463">
        <v>2901872</v>
      </c>
      <c r="C1463" s="1">
        <v>44863</v>
      </c>
      <c r="D1463">
        <v>19</v>
      </c>
      <c r="E1463">
        <f>IF(
  ISNA(
    _xlfn.XLOOKUP(
      payments_raw[[#This Row],[subscription_id]],
      subscriptions[subscription_id],
      subscriptions[subscription_id]
    )
  ),
  0,
  1
)</f>
        <v>1</v>
      </c>
      <c r="F1463" s="1">
        <f>_xlfn.XLOOKUP(payments_raw[[#This Row],[subscription_id]], subscriptions[subscription_id], subscriptions[start_date])</f>
        <v>44862</v>
      </c>
      <c r="G146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44941</v>
      </c>
      <c r="H1463" s="2">
        <f>IF(payments_raw[[#This Row],[payment_date]] &lt; payments_raw[[#This Row],[sub_start_date]], 1, 0)</f>
        <v>0</v>
      </c>
      <c r="I1463" s="2">
        <f>IF(AND(payments_raw[[#This Row],[sub_end_date]]&lt;&gt;"", payments_raw[[#This Row],[payment_date]] &gt; payments_raw[[#This Row],[sub_end_date]]), 1, 0)</f>
        <v>0</v>
      </c>
      <c r="J1463" s="2">
        <f>IF(payments_raw[[#This Row],[amount]] &lt;= 0, 1, 0)</f>
        <v>0</v>
      </c>
      <c r="K14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4" spans="1:11" x14ac:dyDescent="0.3">
      <c r="A1464">
        <v>18157513</v>
      </c>
      <c r="B1464">
        <v>7680763</v>
      </c>
      <c r="C1464" s="1">
        <v>45213</v>
      </c>
      <c r="D1464">
        <v>190</v>
      </c>
      <c r="E1464">
        <f>IF(
  ISNA(
    _xlfn.XLOOKUP(
      payments_raw[[#This Row],[subscription_id]],
      subscriptions[subscription_id],
      subscriptions[subscription_id]
    )
  ),
  0,
  1
)</f>
        <v>1</v>
      </c>
      <c r="F1464" s="1">
        <f>_xlfn.XLOOKUP(payments_raw[[#This Row],[subscription_id]], subscriptions[subscription_id], subscriptions[start_date])</f>
        <v>45145</v>
      </c>
      <c r="G14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4" s="2">
        <f>IF(payments_raw[[#This Row],[payment_date]] &lt; payments_raw[[#This Row],[sub_start_date]], 1, 0)</f>
        <v>0</v>
      </c>
      <c r="I1464" s="2">
        <f>IF(AND(payments_raw[[#This Row],[sub_end_date]]&lt;&gt;"", payments_raw[[#This Row],[payment_date]] &gt; payments_raw[[#This Row],[sub_end_date]]), 1, 0)</f>
        <v>0</v>
      </c>
      <c r="J1464" s="2">
        <f>IF(payments_raw[[#This Row],[amount]] &lt;= 0, 1, 0)</f>
        <v>0</v>
      </c>
      <c r="K14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5" spans="1:11" x14ac:dyDescent="0.3">
      <c r="A1465">
        <v>61945598</v>
      </c>
      <c r="B1465">
        <v>6992727</v>
      </c>
      <c r="C1465" s="1">
        <v>45612</v>
      </c>
      <c r="D1465">
        <v>190</v>
      </c>
      <c r="E1465">
        <f>IF(
  ISNA(
    _xlfn.XLOOKUP(
      payments_raw[[#This Row],[subscription_id]],
      subscriptions[subscription_id],
      subscriptions[subscription_id]
    )
  ),
  0,
  1
)</f>
        <v>1</v>
      </c>
      <c r="F1465" s="1">
        <f>_xlfn.XLOOKUP(payments_raw[[#This Row],[subscription_id]], subscriptions[subscription_id], subscriptions[start_date])</f>
        <v>45581</v>
      </c>
      <c r="G14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5" s="2">
        <f>IF(payments_raw[[#This Row],[payment_date]] &lt; payments_raw[[#This Row],[sub_start_date]], 1, 0)</f>
        <v>0</v>
      </c>
      <c r="I1465" s="2">
        <f>IF(AND(payments_raw[[#This Row],[sub_end_date]]&lt;&gt;"", payments_raw[[#This Row],[payment_date]] &gt; payments_raw[[#This Row],[sub_end_date]]), 1, 0)</f>
        <v>0</v>
      </c>
      <c r="J1465" s="2">
        <f>IF(payments_raw[[#This Row],[amount]] &lt;= 0, 1, 0)</f>
        <v>0</v>
      </c>
      <c r="K14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6" spans="1:11" x14ac:dyDescent="0.3">
      <c r="A1466">
        <v>44216114</v>
      </c>
      <c r="B1466">
        <v>1660659</v>
      </c>
      <c r="C1466" s="1">
        <v>45007</v>
      </c>
      <c r="D1466">
        <v>19</v>
      </c>
      <c r="E1466">
        <f>IF(
  ISNA(
    _xlfn.XLOOKUP(
      payments_raw[[#This Row],[subscription_id]],
      subscriptions[subscription_id],
      subscriptions[subscription_id]
    )
  ),
  0,
  1
)</f>
        <v>1</v>
      </c>
      <c r="F1466" s="1">
        <f>_xlfn.XLOOKUP(payments_raw[[#This Row],[subscription_id]], subscriptions[subscription_id], subscriptions[start_date])</f>
        <v>44839</v>
      </c>
      <c r="G14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45111</v>
      </c>
      <c r="H1466" s="2">
        <f>IF(payments_raw[[#This Row],[payment_date]] &lt; payments_raw[[#This Row],[sub_start_date]], 1, 0)</f>
        <v>0</v>
      </c>
      <c r="I1466" s="2">
        <f>IF(AND(payments_raw[[#This Row],[sub_end_date]]&lt;&gt;"", payments_raw[[#This Row],[payment_date]] &gt; payments_raw[[#This Row],[sub_end_date]]), 1, 0)</f>
        <v>0</v>
      </c>
      <c r="J1466" s="2">
        <f>IF(payments_raw[[#This Row],[amount]] &lt;= 0, 1, 0)</f>
        <v>0</v>
      </c>
      <c r="K14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7" spans="1:11" x14ac:dyDescent="0.3">
      <c r="A1467">
        <v>36086815</v>
      </c>
      <c r="B1467">
        <v>7606809</v>
      </c>
      <c r="C1467" s="1">
        <v>45566</v>
      </c>
      <c r="D1467">
        <v>190</v>
      </c>
      <c r="E1467">
        <f>IF(
  ISNA(
    _xlfn.XLOOKUP(
      payments_raw[[#This Row],[subscription_id]],
      subscriptions[subscription_id],
      subscriptions[subscription_id]
    )
  ),
  0,
  1
)</f>
        <v>1</v>
      </c>
      <c r="F1467" s="1">
        <f>_xlfn.XLOOKUP(payments_raw[[#This Row],[subscription_id]], subscriptions[subscription_id], subscriptions[start_date])</f>
        <v>45562</v>
      </c>
      <c r="G14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7" s="2">
        <f>IF(payments_raw[[#This Row],[payment_date]] &lt; payments_raw[[#This Row],[sub_start_date]], 1, 0)</f>
        <v>0</v>
      </c>
      <c r="I1467" s="2">
        <f>IF(AND(payments_raw[[#This Row],[sub_end_date]]&lt;&gt;"", payments_raw[[#This Row],[payment_date]] &gt; payments_raw[[#This Row],[sub_end_date]]), 1, 0)</f>
        <v>0</v>
      </c>
      <c r="J1467" s="2">
        <f>IF(payments_raw[[#This Row],[amount]] &lt;= 0, 1, 0)</f>
        <v>0</v>
      </c>
      <c r="K14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8" spans="1:11" x14ac:dyDescent="0.3">
      <c r="A1468">
        <v>40808928</v>
      </c>
      <c r="B1468">
        <v>3358248</v>
      </c>
      <c r="C1468" s="1">
        <v>45237</v>
      </c>
      <c r="D1468">
        <v>39</v>
      </c>
      <c r="E1468">
        <f>IF(
  ISNA(
    _xlfn.XLOOKUP(
      payments_raw[[#This Row],[subscription_id]],
      subscriptions[subscription_id],
      subscriptions[subscription_id]
    )
  ),
  0,
  1
)</f>
        <v>1</v>
      </c>
      <c r="F1468" s="1">
        <f>_xlfn.XLOOKUP(payments_raw[[#This Row],[subscription_id]], subscriptions[subscription_id], subscriptions[start_date])</f>
        <v>44572</v>
      </c>
      <c r="G14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8" s="2">
        <f>IF(payments_raw[[#This Row],[payment_date]] &lt; payments_raw[[#This Row],[sub_start_date]], 1, 0)</f>
        <v>0</v>
      </c>
      <c r="I1468" s="2">
        <f>IF(AND(payments_raw[[#This Row],[sub_end_date]]&lt;&gt;"", payments_raw[[#This Row],[payment_date]] &gt; payments_raw[[#This Row],[sub_end_date]]), 1, 0)</f>
        <v>0</v>
      </c>
      <c r="J1468" s="2">
        <f>IF(payments_raw[[#This Row],[amount]] &lt;= 0, 1, 0)</f>
        <v>0</v>
      </c>
      <c r="K14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69" spans="1:11" x14ac:dyDescent="0.3">
      <c r="A1469">
        <v>77517062</v>
      </c>
      <c r="B1469">
        <v>7994575</v>
      </c>
      <c r="C1469" s="1">
        <v>45261</v>
      </c>
      <c r="D1469">
        <v>390</v>
      </c>
      <c r="E1469">
        <f>IF(
  ISNA(
    _xlfn.XLOOKUP(
      payments_raw[[#This Row],[subscription_id]],
      subscriptions[subscription_id],
      subscriptions[subscription_id]
    )
  ),
  0,
  1
)</f>
        <v>1</v>
      </c>
      <c r="F1469" s="1">
        <f>_xlfn.XLOOKUP(payments_raw[[#This Row],[subscription_id]], subscriptions[subscription_id], subscriptions[start_date])</f>
        <v>45113</v>
      </c>
      <c r="G14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69" s="2">
        <f>IF(payments_raw[[#This Row],[payment_date]] &lt; payments_raw[[#This Row],[sub_start_date]], 1, 0)</f>
        <v>0</v>
      </c>
      <c r="I1469" s="2">
        <f>IF(AND(payments_raw[[#This Row],[sub_end_date]]&lt;&gt;"", payments_raw[[#This Row],[payment_date]] &gt; payments_raw[[#This Row],[sub_end_date]]), 1, 0)</f>
        <v>0</v>
      </c>
      <c r="J1469" s="2">
        <f>IF(payments_raw[[#This Row],[amount]] &lt;= 0, 1, 0)</f>
        <v>0</v>
      </c>
      <c r="K14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0" spans="1:11" x14ac:dyDescent="0.3">
      <c r="A1470">
        <v>40794547</v>
      </c>
      <c r="B1470">
        <v>2120966</v>
      </c>
      <c r="C1470" s="1">
        <v>44725</v>
      </c>
      <c r="D1470">
        <v>1490</v>
      </c>
      <c r="E1470">
        <f>IF(
  ISNA(
    _xlfn.XLOOKUP(
      payments_raw[[#This Row],[subscription_id]],
      subscriptions[subscription_id],
      subscriptions[subscription_id]
    )
  ),
  0,
  1
)</f>
        <v>1</v>
      </c>
      <c r="F1470" s="1">
        <f>_xlfn.XLOOKUP(payments_raw[[#This Row],[subscription_id]], subscriptions[subscription_id], subscriptions[start_date])</f>
        <v>44683</v>
      </c>
      <c r="G1470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44784</v>
      </c>
      <c r="H1470" s="2">
        <f>IF(payments_raw[[#This Row],[payment_date]] &lt; payments_raw[[#This Row],[sub_start_date]], 1, 0)</f>
        <v>0</v>
      </c>
      <c r="I1470" s="2">
        <f>IF(AND(payments_raw[[#This Row],[sub_end_date]]&lt;&gt;"", payments_raw[[#This Row],[payment_date]] &gt; payments_raw[[#This Row],[sub_end_date]]), 1, 0)</f>
        <v>0</v>
      </c>
      <c r="J1470" s="2">
        <f>IF(payments_raw[[#This Row],[amount]] &lt;= 0, 1, 0)</f>
        <v>0</v>
      </c>
      <c r="K14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1" spans="1:11" x14ac:dyDescent="0.3">
      <c r="A1471">
        <v>51014748</v>
      </c>
      <c r="B1471">
        <v>2548634</v>
      </c>
      <c r="C1471" s="1">
        <v>45355</v>
      </c>
      <c r="D1471">
        <v>71.099999999999994</v>
      </c>
      <c r="E1471">
        <f>IF(
  ISNA(
    _xlfn.XLOOKUP(
      payments_raw[[#This Row],[subscription_id]],
      subscriptions[subscription_id],
      subscriptions[subscription_id]
    )
  ),
  0,
  1
)</f>
        <v>1</v>
      </c>
      <c r="F1471" s="1">
        <f>_xlfn.XLOOKUP(payments_raw[[#This Row],[subscription_id]], subscriptions[subscription_id], subscriptions[start_date])</f>
        <v>45349</v>
      </c>
      <c r="G14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1" s="2">
        <f>IF(payments_raw[[#This Row],[payment_date]] &lt; payments_raw[[#This Row],[sub_start_date]], 1, 0)</f>
        <v>0</v>
      </c>
      <c r="I1471" s="2">
        <f>IF(AND(payments_raw[[#This Row],[sub_end_date]]&lt;&gt;"", payments_raw[[#This Row],[payment_date]] &gt; payments_raw[[#This Row],[sub_end_date]]), 1, 0)</f>
        <v>0</v>
      </c>
      <c r="J1471" s="2">
        <f>IF(payments_raw[[#This Row],[amount]] &lt;= 0, 1, 0)</f>
        <v>0</v>
      </c>
      <c r="K14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2" spans="1:11" x14ac:dyDescent="0.3">
      <c r="A1472">
        <v>95143591</v>
      </c>
      <c r="B1472">
        <v>5404568</v>
      </c>
      <c r="C1472" s="1">
        <v>45194</v>
      </c>
      <c r="D1472">
        <v>299</v>
      </c>
      <c r="E1472">
        <f>IF(
  ISNA(
    _xlfn.XLOOKUP(
      payments_raw[[#This Row],[subscription_id]],
      subscriptions[subscription_id],
      subscriptions[subscription_id]
    )
  ),
  0,
  1
)</f>
        <v>1</v>
      </c>
      <c r="F1472" s="1">
        <f>_xlfn.XLOOKUP(payments_raw[[#This Row],[subscription_id]], subscriptions[subscription_id], subscriptions[start_date])</f>
        <v>45005</v>
      </c>
      <c r="G14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45209</v>
      </c>
      <c r="H1472" s="2">
        <f>IF(payments_raw[[#This Row],[payment_date]] &lt; payments_raw[[#This Row],[sub_start_date]], 1, 0)</f>
        <v>0</v>
      </c>
      <c r="I1472" s="2">
        <f>IF(AND(payments_raw[[#This Row],[sub_end_date]]&lt;&gt;"", payments_raw[[#This Row],[payment_date]] &gt; payments_raw[[#This Row],[sub_end_date]]), 1, 0)</f>
        <v>0</v>
      </c>
      <c r="J1472" s="2">
        <f>IF(payments_raw[[#This Row],[amount]] &lt;= 0, 1, 0)</f>
        <v>0</v>
      </c>
      <c r="K14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3" spans="1:11" x14ac:dyDescent="0.3">
      <c r="A1473">
        <v>19277609</v>
      </c>
      <c r="B1473">
        <v>2945459</v>
      </c>
      <c r="C1473" s="1">
        <v>45585</v>
      </c>
      <c r="D1473">
        <v>1490</v>
      </c>
      <c r="E1473">
        <f>IF(
  ISNA(
    _xlfn.XLOOKUP(
      payments_raw[[#This Row],[subscription_id]],
      subscriptions[subscription_id],
      subscriptions[subscription_id]
    )
  ),
  0,
  1
)</f>
        <v>1</v>
      </c>
      <c r="F1473" s="1">
        <f>_xlfn.XLOOKUP(payments_raw[[#This Row],[subscription_id]], subscriptions[subscription_id], subscriptions[start_date])</f>
        <v>45484</v>
      </c>
      <c r="G14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3" s="2">
        <f>IF(payments_raw[[#This Row],[payment_date]] &lt; payments_raw[[#This Row],[sub_start_date]], 1, 0)</f>
        <v>0</v>
      </c>
      <c r="I1473" s="2">
        <f>IF(AND(payments_raw[[#This Row],[sub_end_date]]&lt;&gt;"", payments_raw[[#This Row],[payment_date]] &gt; payments_raw[[#This Row],[sub_end_date]]), 1, 0)</f>
        <v>0</v>
      </c>
      <c r="J1473" s="2">
        <f>IF(payments_raw[[#This Row],[amount]] &lt;= 0, 1, 0)</f>
        <v>0</v>
      </c>
      <c r="K14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4" spans="1:11" x14ac:dyDescent="0.3">
      <c r="A1474">
        <v>77800955</v>
      </c>
      <c r="B1474">
        <v>8075570</v>
      </c>
      <c r="C1474" s="1">
        <v>45222</v>
      </c>
      <c r="D1474">
        <v>190</v>
      </c>
      <c r="E1474">
        <f>IF(
  ISNA(
    _xlfn.XLOOKUP(
      payments_raw[[#This Row],[subscription_id]],
      subscriptions[subscription_id],
      subscriptions[subscription_id]
    )
  ),
  0,
  1
)</f>
        <v>1</v>
      </c>
      <c r="F1474" s="1">
        <f>_xlfn.XLOOKUP(payments_raw[[#This Row],[subscription_id]], subscriptions[subscription_id], subscriptions[start_date])</f>
        <v>44929</v>
      </c>
      <c r="G14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4" s="2">
        <f>IF(payments_raw[[#This Row],[payment_date]] &lt; payments_raw[[#This Row],[sub_start_date]], 1, 0)</f>
        <v>0</v>
      </c>
      <c r="I1474" s="2">
        <f>IF(AND(payments_raw[[#This Row],[sub_end_date]]&lt;&gt;"", payments_raw[[#This Row],[payment_date]] &gt; payments_raw[[#This Row],[sub_end_date]]), 1, 0)</f>
        <v>0</v>
      </c>
      <c r="J1474" s="2">
        <f>IF(payments_raw[[#This Row],[amount]] &lt;= 0, 1, 0)</f>
        <v>0</v>
      </c>
      <c r="K14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5" spans="1:11" x14ac:dyDescent="0.3">
      <c r="A1475">
        <v>18987335</v>
      </c>
      <c r="B1475">
        <v>1211031</v>
      </c>
      <c r="C1475" s="1">
        <v>45441</v>
      </c>
      <c r="D1475">
        <v>299</v>
      </c>
      <c r="E1475">
        <f>IF(
  ISNA(
    _xlfn.XLOOKUP(
      payments_raw[[#This Row],[subscription_id]],
      subscriptions[subscription_id],
      subscriptions[subscription_id]
    )
  ),
  0,
  1
)</f>
        <v>1</v>
      </c>
      <c r="F1475" s="1">
        <f>_xlfn.XLOOKUP(payments_raw[[#This Row],[subscription_id]], subscriptions[subscription_id], subscriptions[start_date])</f>
        <v>44571</v>
      </c>
      <c r="G14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5" s="2">
        <f>IF(payments_raw[[#This Row],[payment_date]] &lt; payments_raw[[#This Row],[sub_start_date]], 1, 0)</f>
        <v>0</v>
      </c>
      <c r="I1475" s="2">
        <f>IF(AND(payments_raw[[#This Row],[sub_end_date]]&lt;&gt;"", payments_raw[[#This Row],[payment_date]] &gt; payments_raw[[#This Row],[sub_end_date]]), 1, 0)</f>
        <v>0</v>
      </c>
      <c r="J1475" s="2">
        <f>IF(payments_raw[[#This Row],[amount]] &lt;= 0, 1, 0)</f>
        <v>0</v>
      </c>
      <c r="K14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6" spans="1:11" x14ac:dyDescent="0.3">
      <c r="A1476">
        <v>33119000</v>
      </c>
      <c r="B1476">
        <v>6556840</v>
      </c>
      <c r="C1476" s="1">
        <v>45197</v>
      </c>
      <c r="D1476">
        <v>149</v>
      </c>
      <c r="E1476">
        <f>IF(
  ISNA(
    _xlfn.XLOOKUP(
      payments_raw[[#This Row],[subscription_id]],
      subscriptions[subscription_id],
      subscriptions[subscription_id]
    )
  ),
  0,
  1
)</f>
        <v>1</v>
      </c>
      <c r="F1476" s="1">
        <f>_xlfn.XLOOKUP(payments_raw[[#This Row],[subscription_id]], subscriptions[subscription_id], subscriptions[start_date])</f>
        <v>44626</v>
      </c>
      <c r="G14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6" s="2">
        <f>IF(payments_raw[[#This Row],[payment_date]] &lt; payments_raw[[#This Row],[sub_start_date]], 1, 0)</f>
        <v>0</v>
      </c>
      <c r="I1476" s="2">
        <f>IF(AND(payments_raw[[#This Row],[sub_end_date]]&lt;&gt;"", payments_raw[[#This Row],[payment_date]] &gt; payments_raw[[#This Row],[sub_end_date]]), 1, 0)</f>
        <v>0</v>
      </c>
      <c r="J1476" s="2">
        <f>IF(payments_raw[[#This Row],[amount]] &lt;= 0, 1, 0)</f>
        <v>0</v>
      </c>
      <c r="K14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7" spans="1:11" x14ac:dyDescent="0.3">
      <c r="A1477">
        <v>99929358</v>
      </c>
      <c r="B1477">
        <v>3864666</v>
      </c>
      <c r="C1477" s="1">
        <v>45305</v>
      </c>
      <c r="D1477">
        <v>790</v>
      </c>
      <c r="E1477">
        <f>IF(
  ISNA(
    _xlfn.XLOOKUP(
      payments_raw[[#This Row],[subscription_id]],
      subscriptions[subscription_id],
      subscriptions[subscription_id]
    )
  ),
  0,
  1
)</f>
        <v>1</v>
      </c>
      <c r="F1477" s="1">
        <f>_xlfn.XLOOKUP(payments_raw[[#This Row],[subscription_id]], subscriptions[subscription_id], subscriptions[start_date])</f>
        <v>45213</v>
      </c>
      <c r="G14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45442</v>
      </c>
      <c r="H1477" s="2">
        <f>IF(payments_raw[[#This Row],[payment_date]] &lt; payments_raw[[#This Row],[sub_start_date]], 1, 0)</f>
        <v>0</v>
      </c>
      <c r="I1477" s="2">
        <f>IF(AND(payments_raw[[#This Row],[sub_end_date]]&lt;&gt;"", payments_raw[[#This Row],[payment_date]] &gt; payments_raw[[#This Row],[sub_end_date]]), 1, 0)</f>
        <v>0</v>
      </c>
      <c r="J1477" s="2">
        <f>IF(payments_raw[[#This Row],[amount]] &lt;= 0, 1, 0)</f>
        <v>0</v>
      </c>
      <c r="K14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8" spans="1:11" x14ac:dyDescent="0.3">
      <c r="A1478">
        <v>67377740</v>
      </c>
      <c r="B1478">
        <v>8039619</v>
      </c>
      <c r="C1478" s="1">
        <v>45490</v>
      </c>
      <c r="D1478">
        <v>1490</v>
      </c>
      <c r="E1478">
        <f>IF(
  ISNA(
    _xlfn.XLOOKUP(
      payments_raw[[#This Row],[subscription_id]],
      subscriptions[subscription_id],
      subscriptions[subscription_id]
    )
  ),
  0,
  1
)</f>
        <v>1</v>
      </c>
      <c r="F1478" s="1">
        <f>_xlfn.XLOOKUP(payments_raw[[#This Row],[subscription_id]], subscriptions[subscription_id], subscriptions[start_date])</f>
        <v>45477</v>
      </c>
      <c r="G14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8" s="2">
        <f>IF(payments_raw[[#This Row],[payment_date]] &lt; payments_raw[[#This Row],[sub_start_date]], 1, 0)</f>
        <v>0</v>
      </c>
      <c r="I1478" s="2">
        <f>IF(AND(payments_raw[[#This Row],[sub_end_date]]&lt;&gt;"", payments_raw[[#This Row],[payment_date]] &gt; payments_raw[[#This Row],[sub_end_date]]), 1, 0)</f>
        <v>0</v>
      </c>
      <c r="J1478" s="2">
        <f>IF(payments_raw[[#This Row],[amount]] &lt;= 0, 1, 0)</f>
        <v>0</v>
      </c>
      <c r="K14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79" spans="1:11" x14ac:dyDescent="0.3">
      <c r="A1479">
        <v>38221426</v>
      </c>
      <c r="B1479">
        <v>1722698</v>
      </c>
      <c r="C1479" s="1">
        <v>45627</v>
      </c>
      <c r="D1479">
        <v>1490</v>
      </c>
      <c r="E1479">
        <f>IF(
  ISNA(
    _xlfn.XLOOKUP(
      payments_raw[[#This Row],[subscription_id]],
      subscriptions[subscription_id],
      subscriptions[subscription_id]
    )
  ),
  0,
  1
)</f>
        <v>1</v>
      </c>
      <c r="F1479" s="1">
        <f>_xlfn.XLOOKUP(payments_raw[[#This Row],[subscription_id]], subscriptions[subscription_id], subscriptions[start_date])</f>
        <v>44788</v>
      </c>
      <c r="G14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79" s="2">
        <f>IF(payments_raw[[#This Row],[payment_date]] &lt; payments_raw[[#This Row],[sub_start_date]], 1, 0)</f>
        <v>0</v>
      </c>
      <c r="I1479" s="2">
        <f>IF(AND(payments_raw[[#This Row],[sub_end_date]]&lt;&gt;"", payments_raw[[#This Row],[payment_date]] &gt; payments_raw[[#This Row],[sub_end_date]]), 1, 0)</f>
        <v>0</v>
      </c>
      <c r="J1479" s="2">
        <f>IF(payments_raw[[#This Row],[amount]] &lt;= 0, 1, 0)</f>
        <v>0</v>
      </c>
      <c r="K14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0" spans="1:11" x14ac:dyDescent="0.3">
      <c r="A1480">
        <v>58537393</v>
      </c>
      <c r="B1480">
        <v>2151576</v>
      </c>
      <c r="C1480" s="1">
        <v>45198</v>
      </c>
      <c r="D1480">
        <v>149</v>
      </c>
      <c r="E1480">
        <f>IF(
  ISNA(
    _xlfn.XLOOKUP(
      payments_raw[[#This Row],[subscription_id]],
      subscriptions[subscription_id],
      subscriptions[subscription_id]
    )
  ),
  0,
  1
)</f>
        <v>1</v>
      </c>
      <c r="F1480" s="1">
        <f>_xlfn.XLOOKUP(payments_raw[[#This Row],[subscription_id]], subscriptions[subscription_id], subscriptions[start_date])</f>
        <v>45131</v>
      </c>
      <c r="G14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0" s="2">
        <f>IF(payments_raw[[#This Row],[payment_date]] &lt; payments_raw[[#This Row],[sub_start_date]], 1, 0)</f>
        <v>0</v>
      </c>
      <c r="I1480" s="2">
        <f>IF(AND(payments_raw[[#This Row],[sub_end_date]]&lt;&gt;"", payments_raw[[#This Row],[payment_date]] &gt; payments_raw[[#This Row],[sub_end_date]]), 1, 0)</f>
        <v>0</v>
      </c>
      <c r="J1480" s="2">
        <f>IF(payments_raw[[#This Row],[amount]] &lt;= 0, 1, 0)</f>
        <v>0</v>
      </c>
      <c r="K14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1" spans="1:11" x14ac:dyDescent="0.3">
      <c r="A1481">
        <v>93153396</v>
      </c>
      <c r="B1481">
        <v>9122764</v>
      </c>
      <c r="C1481" s="1">
        <v>45255</v>
      </c>
      <c r="D1481">
        <v>790</v>
      </c>
      <c r="E1481">
        <f>IF(
  ISNA(
    _xlfn.XLOOKUP(
      payments_raw[[#This Row],[subscription_id]],
      subscriptions[subscription_id],
      subscriptions[subscription_id]
    )
  ),
  0,
  1
)</f>
        <v>1</v>
      </c>
      <c r="F1481" s="1">
        <f>_xlfn.XLOOKUP(payments_raw[[#This Row],[subscription_id]], subscriptions[subscription_id], subscriptions[start_date])</f>
        <v>45033</v>
      </c>
      <c r="G14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1" s="2">
        <f>IF(payments_raw[[#This Row],[payment_date]] &lt; payments_raw[[#This Row],[sub_start_date]], 1, 0)</f>
        <v>0</v>
      </c>
      <c r="I1481" s="2">
        <f>IF(AND(payments_raw[[#This Row],[sub_end_date]]&lt;&gt;"", payments_raw[[#This Row],[payment_date]] &gt; payments_raw[[#This Row],[sub_end_date]]), 1, 0)</f>
        <v>0</v>
      </c>
      <c r="J1481" s="2">
        <f>IF(payments_raw[[#This Row],[amount]] &lt;= 0, 1, 0)</f>
        <v>0</v>
      </c>
      <c r="K14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2" spans="1:11" x14ac:dyDescent="0.3">
      <c r="A1482">
        <v>84151411</v>
      </c>
      <c r="B1482">
        <v>4771933</v>
      </c>
      <c r="C1482" s="1">
        <v>44626</v>
      </c>
      <c r="D1482">
        <v>1341</v>
      </c>
      <c r="E1482">
        <f>IF(
  ISNA(
    _xlfn.XLOOKUP(
      payments_raw[[#This Row],[subscription_id]],
      subscriptions[subscription_id],
      subscriptions[subscription_id]
    )
  ),
  0,
  1
)</f>
        <v>1</v>
      </c>
      <c r="F1482" s="1">
        <f>_xlfn.XLOOKUP(payments_raw[[#This Row],[subscription_id]], subscriptions[subscription_id], subscriptions[start_date])</f>
        <v>44599</v>
      </c>
      <c r="G14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44742</v>
      </c>
      <c r="H1482" s="2">
        <f>IF(payments_raw[[#This Row],[payment_date]] &lt; payments_raw[[#This Row],[sub_start_date]], 1, 0)</f>
        <v>0</v>
      </c>
      <c r="I1482" s="2">
        <f>IF(AND(payments_raw[[#This Row],[sub_end_date]]&lt;&gt;"", payments_raw[[#This Row],[payment_date]] &gt; payments_raw[[#This Row],[sub_end_date]]), 1, 0)</f>
        <v>0</v>
      </c>
      <c r="J1482" s="2">
        <f>IF(payments_raw[[#This Row],[amount]] &lt;= 0, 1, 0)</f>
        <v>0</v>
      </c>
      <c r="K14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3" spans="1:11" x14ac:dyDescent="0.3">
      <c r="A1483">
        <v>97363788</v>
      </c>
      <c r="B1483">
        <v>2204993</v>
      </c>
      <c r="C1483" s="1">
        <v>45469</v>
      </c>
      <c r="D1483">
        <v>19</v>
      </c>
      <c r="E1483">
        <f>IF(
  ISNA(
    _xlfn.XLOOKUP(
      payments_raw[[#This Row],[subscription_id]],
      subscriptions[subscription_id],
      subscriptions[subscription_id]
    )
  ),
  0,
  1
)</f>
        <v>1</v>
      </c>
      <c r="F1483" s="1">
        <f>_xlfn.XLOOKUP(payments_raw[[#This Row],[subscription_id]], subscriptions[subscription_id], subscriptions[start_date])</f>
        <v>45141</v>
      </c>
      <c r="G14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3" s="2">
        <f>IF(payments_raw[[#This Row],[payment_date]] &lt; payments_raw[[#This Row],[sub_start_date]], 1, 0)</f>
        <v>0</v>
      </c>
      <c r="I1483" s="2">
        <f>IF(AND(payments_raw[[#This Row],[sub_end_date]]&lt;&gt;"", payments_raw[[#This Row],[payment_date]] &gt; payments_raw[[#This Row],[sub_end_date]]), 1, 0)</f>
        <v>0</v>
      </c>
      <c r="J1483" s="2">
        <f>IF(payments_raw[[#This Row],[amount]] &lt;= 0, 1, 0)</f>
        <v>0</v>
      </c>
      <c r="K14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4" spans="1:11" x14ac:dyDescent="0.3">
      <c r="A1484">
        <v>89961073</v>
      </c>
      <c r="B1484">
        <v>3455003</v>
      </c>
      <c r="C1484" s="1">
        <v>45150</v>
      </c>
      <c r="D1484">
        <v>79</v>
      </c>
      <c r="E1484">
        <f>IF(
  ISNA(
    _xlfn.XLOOKUP(
      payments_raw[[#This Row],[subscription_id]],
      subscriptions[subscription_id],
      subscriptions[subscription_id]
    )
  ),
  0,
  1
)</f>
        <v>1</v>
      </c>
      <c r="F1484" s="1">
        <f>_xlfn.XLOOKUP(payments_raw[[#This Row],[subscription_id]], subscriptions[subscription_id], subscriptions[start_date])</f>
        <v>45024</v>
      </c>
      <c r="G14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4" s="2">
        <f>IF(payments_raw[[#This Row],[payment_date]] &lt; payments_raw[[#This Row],[sub_start_date]], 1, 0)</f>
        <v>0</v>
      </c>
      <c r="I1484" s="2">
        <f>IF(AND(payments_raw[[#This Row],[sub_end_date]]&lt;&gt;"", payments_raw[[#This Row],[payment_date]] &gt; payments_raw[[#This Row],[sub_end_date]]), 1, 0)</f>
        <v>0</v>
      </c>
      <c r="J1484" s="2">
        <f>IF(payments_raw[[#This Row],[amount]] &lt;= 0, 1, 0)</f>
        <v>0</v>
      </c>
      <c r="K14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5" spans="1:11" x14ac:dyDescent="0.3">
      <c r="A1485">
        <v>71269496</v>
      </c>
      <c r="B1485">
        <v>5003283</v>
      </c>
      <c r="C1485" s="1">
        <v>45557</v>
      </c>
      <c r="D1485">
        <v>790</v>
      </c>
      <c r="E1485">
        <f>IF(
  ISNA(
    _xlfn.XLOOKUP(
      payments_raw[[#This Row],[subscription_id]],
      subscriptions[subscription_id],
      subscriptions[subscription_id]
    )
  ),
  0,
  1
)</f>
        <v>1</v>
      </c>
      <c r="F1485" s="1">
        <f>_xlfn.XLOOKUP(payments_raw[[#This Row],[subscription_id]], subscriptions[subscription_id], subscriptions[start_date])</f>
        <v>45300</v>
      </c>
      <c r="G14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5" s="2">
        <f>IF(payments_raw[[#This Row],[payment_date]] &lt; payments_raw[[#This Row],[sub_start_date]], 1, 0)</f>
        <v>0</v>
      </c>
      <c r="I1485" s="2">
        <f>IF(AND(payments_raw[[#This Row],[sub_end_date]]&lt;&gt;"", payments_raw[[#This Row],[payment_date]] &gt; payments_raw[[#This Row],[sub_end_date]]), 1, 0)</f>
        <v>0</v>
      </c>
      <c r="J1485" s="2">
        <f>IF(payments_raw[[#This Row],[amount]] &lt;= 0, 1, 0)</f>
        <v>0</v>
      </c>
      <c r="K14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6" spans="1:11" x14ac:dyDescent="0.3">
      <c r="A1486">
        <v>44286827</v>
      </c>
      <c r="B1486">
        <v>7831393</v>
      </c>
      <c r="C1486" s="1">
        <v>45537</v>
      </c>
      <c r="D1486">
        <v>790</v>
      </c>
      <c r="E1486">
        <f>IF(
  ISNA(
    _xlfn.XLOOKUP(
      payments_raw[[#This Row],[subscription_id]],
      subscriptions[subscription_id],
      subscriptions[subscription_id]
    )
  ),
  0,
  1
)</f>
        <v>1</v>
      </c>
      <c r="F1486" s="1">
        <f>_xlfn.XLOOKUP(payments_raw[[#This Row],[subscription_id]], subscriptions[subscription_id], subscriptions[start_date])</f>
        <v>44986</v>
      </c>
      <c r="G14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6" s="2">
        <f>IF(payments_raw[[#This Row],[payment_date]] &lt; payments_raw[[#This Row],[sub_start_date]], 1, 0)</f>
        <v>0</v>
      </c>
      <c r="I1486" s="2">
        <f>IF(AND(payments_raw[[#This Row],[sub_end_date]]&lt;&gt;"", payments_raw[[#This Row],[payment_date]] &gt; payments_raw[[#This Row],[sub_end_date]]), 1, 0)</f>
        <v>0</v>
      </c>
      <c r="J1486" s="2">
        <f>IF(payments_raw[[#This Row],[amount]] &lt;= 0, 1, 0)</f>
        <v>0</v>
      </c>
      <c r="K14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7" spans="1:11" x14ac:dyDescent="0.3">
      <c r="A1487">
        <v>93496702</v>
      </c>
      <c r="B1487">
        <v>5316874</v>
      </c>
      <c r="C1487" s="1">
        <v>45609</v>
      </c>
      <c r="D1487">
        <v>299</v>
      </c>
      <c r="E1487">
        <f>IF(
  ISNA(
    _xlfn.XLOOKUP(
      payments_raw[[#This Row],[subscription_id]],
      subscriptions[subscription_id],
      subscriptions[subscription_id]
    )
  ),
  0,
  1
)</f>
        <v>1</v>
      </c>
      <c r="F1487" s="1">
        <f>_xlfn.XLOOKUP(payments_raw[[#This Row],[subscription_id]], subscriptions[subscription_id], subscriptions[start_date])</f>
        <v>45028</v>
      </c>
      <c r="G14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7" s="2">
        <f>IF(payments_raw[[#This Row],[payment_date]] &lt; payments_raw[[#This Row],[sub_start_date]], 1, 0)</f>
        <v>0</v>
      </c>
      <c r="I1487" s="2">
        <f>IF(AND(payments_raw[[#This Row],[sub_end_date]]&lt;&gt;"", payments_raw[[#This Row],[payment_date]] &gt; payments_raw[[#This Row],[sub_end_date]]), 1, 0)</f>
        <v>0</v>
      </c>
      <c r="J1487" s="2">
        <f>IF(payments_raw[[#This Row],[amount]] &lt;= 0, 1, 0)</f>
        <v>0</v>
      </c>
      <c r="K14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8" spans="1:11" x14ac:dyDescent="0.3">
      <c r="A1488">
        <v>88695322</v>
      </c>
      <c r="B1488">
        <v>3740044</v>
      </c>
      <c r="C1488" s="1">
        <v>45651</v>
      </c>
      <c r="D1488">
        <v>390</v>
      </c>
      <c r="E1488">
        <f>IF(
  ISNA(
    _xlfn.XLOOKUP(
      payments_raw[[#This Row],[subscription_id]],
      subscriptions[subscription_id],
      subscriptions[subscription_id]
    )
  ),
  0,
  1
)</f>
        <v>1</v>
      </c>
      <c r="F1488" s="1">
        <f>_xlfn.XLOOKUP(payments_raw[[#This Row],[subscription_id]], subscriptions[subscription_id], subscriptions[start_date])</f>
        <v>45381</v>
      </c>
      <c r="G14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8" s="2">
        <f>IF(payments_raw[[#This Row],[payment_date]] &lt; payments_raw[[#This Row],[sub_start_date]], 1, 0)</f>
        <v>0</v>
      </c>
      <c r="I1488" s="2">
        <f>IF(AND(payments_raw[[#This Row],[sub_end_date]]&lt;&gt;"", payments_raw[[#This Row],[payment_date]] &gt; payments_raw[[#This Row],[sub_end_date]]), 1, 0)</f>
        <v>0</v>
      </c>
      <c r="J1488" s="2">
        <f>IF(payments_raw[[#This Row],[amount]] &lt;= 0, 1, 0)</f>
        <v>0</v>
      </c>
      <c r="K14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89" spans="1:11" x14ac:dyDescent="0.3">
      <c r="A1489">
        <v>30804224</v>
      </c>
      <c r="B1489">
        <v>3864241</v>
      </c>
      <c r="C1489" s="1">
        <v>45656</v>
      </c>
      <c r="D1489">
        <v>2990</v>
      </c>
      <c r="E1489">
        <f>IF(
  ISNA(
    _xlfn.XLOOKUP(
      payments_raw[[#This Row],[subscription_id]],
      subscriptions[subscription_id],
      subscriptions[subscription_id]
    )
  ),
  0,
  1
)</f>
        <v>1</v>
      </c>
      <c r="F1489" s="1">
        <f>_xlfn.XLOOKUP(payments_raw[[#This Row],[subscription_id]], subscriptions[subscription_id], subscriptions[start_date])</f>
        <v>45559</v>
      </c>
      <c r="G14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89" s="2">
        <f>IF(payments_raw[[#This Row],[payment_date]] &lt; payments_raw[[#This Row],[sub_start_date]], 1, 0)</f>
        <v>0</v>
      </c>
      <c r="I1489" s="2">
        <f>IF(AND(payments_raw[[#This Row],[sub_end_date]]&lt;&gt;"", payments_raw[[#This Row],[payment_date]] &gt; payments_raw[[#This Row],[sub_end_date]]), 1, 0)</f>
        <v>0</v>
      </c>
      <c r="J1489" s="2">
        <f>IF(payments_raw[[#This Row],[amount]] &lt;= 0, 1, 0)</f>
        <v>0</v>
      </c>
      <c r="K14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0" spans="1:11" x14ac:dyDescent="0.3">
      <c r="A1490">
        <v>18176660</v>
      </c>
      <c r="B1490">
        <v>3984802</v>
      </c>
      <c r="C1490" s="1">
        <v>45416</v>
      </c>
      <c r="D1490">
        <v>390</v>
      </c>
      <c r="E1490">
        <f>IF(
  ISNA(
    _xlfn.XLOOKUP(
      payments_raw[[#This Row],[subscription_id]],
      subscriptions[subscription_id],
      subscriptions[subscription_id]
    )
  ),
  0,
  1
)</f>
        <v>1</v>
      </c>
      <c r="F1490" s="1">
        <f>_xlfn.XLOOKUP(payments_raw[[#This Row],[subscription_id]], subscriptions[subscription_id], subscriptions[start_date])</f>
        <v>45377</v>
      </c>
      <c r="G14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45445</v>
      </c>
      <c r="H1490" s="2">
        <f>IF(payments_raw[[#This Row],[payment_date]] &lt; payments_raw[[#This Row],[sub_start_date]], 1, 0)</f>
        <v>0</v>
      </c>
      <c r="I1490" s="2">
        <f>IF(AND(payments_raw[[#This Row],[sub_end_date]]&lt;&gt;"", payments_raw[[#This Row],[payment_date]] &gt; payments_raw[[#This Row],[sub_end_date]]), 1, 0)</f>
        <v>0</v>
      </c>
      <c r="J1490" s="2">
        <f>IF(payments_raw[[#This Row],[amount]] &lt;= 0, 1, 0)</f>
        <v>0</v>
      </c>
      <c r="K14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1" spans="1:11" x14ac:dyDescent="0.3">
      <c r="A1491">
        <v>52211754</v>
      </c>
      <c r="B1491">
        <v>8633369</v>
      </c>
      <c r="C1491" s="1">
        <v>45604</v>
      </c>
      <c r="D1491">
        <v>79</v>
      </c>
      <c r="E1491">
        <f>IF(
  ISNA(
    _xlfn.XLOOKUP(
      payments_raw[[#This Row],[subscription_id]],
      subscriptions[subscription_id],
      subscriptions[subscription_id]
    )
  ),
  0,
  1
)</f>
        <v>1</v>
      </c>
      <c r="F1491" s="1">
        <f>_xlfn.XLOOKUP(payments_raw[[#This Row],[subscription_id]], subscriptions[subscription_id], subscriptions[start_date])</f>
        <v>45543</v>
      </c>
      <c r="G14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45651</v>
      </c>
      <c r="H1491" s="2">
        <f>IF(payments_raw[[#This Row],[payment_date]] &lt; payments_raw[[#This Row],[sub_start_date]], 1, 0)</f>
        <v>0</v>
      </c>
      <c r="I1491" s="2">
        <f>IF(AND(payments_raw[[#This Row],[sub_end_date]]&lt;&gt;"", payments_raw[[#This Row],[payment_date]] &gt; payments_raw[[#This Row],[sub_end_date]]), 1, 0)</f>
        <v>0</v>
      </c>
      <c r="J1491" s="2">
        <f>IF(payments_raw[[#This Row],[amount]] &lt;= 0, 1, 0)</f>
        <v>0</v>
      </c>
      <c r="K14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2" spans="1:11" x14ac:dyDescent="0.3">
      <c r="A1492">
        <v>27830140</v>
      </c>
      <c r="B1492">
        <v>9181335</v>
      </c>
      <c r="C1492" s="1">
        <v>45633</v>
      </c>
      <c r="D1492">
        <v>39</v>
      </c>
      <c r="E1492">
        <f>IF(
  ISNA(
    _xlfn.XLOOKUP(
      payments_raw[[#This Row],[subscription_id]],
      subscriptions[subscription_id],
      subscriptions[subscription_id]
    )
  ),
  0,
  1
)</f>
        <v>1</v>
      </c>
      <c r="F1492" s="1">
        <f>_xlfn.XLOOKUP(payments_raw[[#This Row],[subscription_id]], subscriptions[subscription_id], subscriptions[start_date])</f>
        <v>44776</v>
      </c>
      <c r="G14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2" s="2">
        <f>IF(payments_raw[[#This Row],[payment_date]] &lt; payments_raw[[#This Row],[sub_start_date]], 1, 0)</f>
        <v>0</v>
      </c>
      <c r="I1492" s="2">
        <f>IF(AND(payments_raw[[#This Row],[sub_end_date]]&lt;&gt;"", payments_raw[[#This Row],[payment_date]] &gt; payments_raw[[#This Row],[sub_end_date]]), 1, 0)</f>
        <v>0</v>
      </c>
      <c r="J1492" s="2">
        <f>IF(payments_raw[[#This Row],[amount]] &lt;= 0, 1, 0)</f>
        <v>0</v>
      </c>
      <c r="K14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3" spans="1:11" x14ac:dyDescent="0.3">
      <c r="A1493">
        <v>46807983</v>
      </c>
      <c r="B1493">
        <v>9024252</v>
      </c>
      <c r="C1493" s="1">
        <v>45463</v>
      </c>
      <c r="D1493">
        <v>790</v>
      </c>
      <c r="E1493">
        <f>IF(
  ISNA(
    _xlfn.XLOOKUP(
      payments_raw[[#This Row],[subscription_id]],
      subscriptions[subscription_id],
      subscriptions[subscription_id]
    )
  ),
  0,
  1
)</f>
        <v>1</v>
      </c>
      <c r="F1493" s="1">
        <f>_xlfn.XLOOKUP(payments_raw[[#This Row],[subscription_id]], subscriptions[subscription_id], subscriptions[start_date])</f>
        <v>45003</v>
      </c>
      <c r="G14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3" s="2">
        <f>IF(payments_raw[[#This Row],[payment_date]] &lt; payments_raw[[#This Row],[sub_start_date]], 1, 0)</f>
        <v>0</v>
      </c>
      <c r="I1493" s="2">
        <f>IF(AND(payments_raw[[#This Row],[sub_end_date]]&lt;&gt;"", payments_raw[[#This Row],[payment_date]] &gt; payments_raw[[#This Row],[sub_end_date]]), 1, 0)</f>
        <v>0</v>
      </c>
      <c r="J1493" s="2">
        <f>IF(payments_raw[[#This Row],[amount]] &lt;= 0, 1, 0)</f>
        <v>0</v>
      </c>
      <c r="K14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4" spans="1:11" x14ac:dyDescent="0.3">
      <c r="A1494">
        <v>44063535</v>
      </c>
      <c r="B1494">
        <v>2742939</v>
      </c>
      <c r="C1494" s="1">
        <v>45025</v>
      </c>
      <c r="D1494">
        <v>149</v>
      </c>
      <c r="E1494">
        <f>IF(
  ISNA(
    _xlfn.XLOOKUP(
      payments_raw[[#This Row],[subscription_id]],
      subscriptions[subscription_id],
      subscriptions[subscription_id]
    )
  ),
  0,
  1
)</f>
        <v>1</v>
      </c>
      <c r="F1494" s="1">
        <f>_xlfn.XLOOKUP(payments_raw[[#This Row],[subscription_id]], subscriptions[subscription_id], subscriptions[start_date])</f>
        <v>44640</v>
      </c>
      <c r="G14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4" s="2">
        <f>IF(payments_raw[[#This Row],[payment_date]] &lt; payments_raw[[#This Row],[sub_start_date]], 1, 0)</f>
        <v>0</v>
      </c>
      <c r="I1494" s="2">
        <f>IF(AND(payments_raw[[#This Row],[sub_end_date]]&lt;&gt;"", payments_raw[[#This Row],[payment_date]] &gt; payments_raw[[#This Row],[sub_end_date]]), 1, 0)</f>
        <v>0</v>
      </c>
      <c r="J1494" s="2">
        <f>IF(payments_raw[[#This Row],[amount]] &lt;= 0, 1, 0)</f>
        <v>0</v>
      </c>
      <c r="K14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5" spans="1:11" x14ac:dyDescent="0.3">
      <c r="A1495">
        <v>22018085</v>
      </c>
      <c r="B1495">
        <v>2237362</v>
      </c>
      <c r="C1495" s="1">
        <v>45508</v>
      </c>
      <c r="D1495">
        <v>2990</v>
      </c>
      <c r="E1495">
        <f>IF(
  ISNA(
    _xlfn.XLOOKUP(
      payments_raw[[#This Row],[subscription_id]],
      subscriptions[subscription_id],
      subscriptions[subscription_id]
    )
  ),
  0,
  1
)</f>
        <v>1</v>
      </c>
      <c r="F1495" s="1">
        <f>_xlfn.XLOOKUP(payments_raw[[#This Row],[subscription_id]], subscriptions[subscription_id], subscriptions[start_date])</f>
        <v>45288</v>
      </c>
      <c r="G14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1495" s="2">
        <f>IF(payments_raw[[#This Row],[payment_date]] &lt; payments_raw[[#This Row],[sub_start_date]], 1, 0)</f>
        <v>0</v>
      </c>
      <c r="I1495" s="2">
        <f>IF(AND(payments_raw[[#This Row],[sub_end_date]]&lt;&gt;"", payments_raw[[#This Row],[payment_date]] &gt; payments_raw[[#This Row],[sub_end_date]]), 1, 0)</f>
        <v>0</v>
      </c>
      <c r="J1495" s="2">
        <f>IF(payments_raw[[#This Row],[amount]] &lt;= 0, 1, 0)</f>
        <v>0</v>
      </c>
      <c r="K14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6" spans="1:11" x14ac:dyDescent="0.3">
      <c r="A1496">
        <v>90291375</v>
      </c>
      <c r="B1496">
        <v>9445000</v>
      </c>
      <c r="C1496" s="1">
        <v>45279</v>
      </c>
      <c r="D1496">
        <v>19</v>
      </c>
      <c r="E1496">
        <f>IF(
  ISNA(
    _xlfn.XLOOKUP(
      payments_raw[[#This Row],[subscription_id]],
      subscriptions[subscription_id],
      subscriptions[subscription_id]
    )
  ),
  0,
  1
)</f>
        <v>1</v>
      </c>
      <c r="F1496" s="1">
        <f>_xlfn.XLOOKUP(payments_raw[[#This Row],[subscription_id]], subscriptions[subscription_id], subscriptions[start_date])</f>
        <v>44726</v>
      </c>
      <c r="G14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6" s="2">
        <f>IF(payments_raw[[#This Row],[payment_date]] &lt; payments_raw[[#This Row],[sub_start_date]], 1, 0)</f>
        <v>0</v>
      </c>
      <c r="I1496" s="2">
        <f>IF(AND(payments_raw[[#This Row],[sub_end_date]]&lt;&gt;"", payments_raw[[#This Row],[payment_date]] &gt; payments_raw[[#This Row],[sub_end_date]]), 1, 0)</f>
        <v>0</v>
      </c>
      <c r="J1496" s="2">
        <f>IF(payments_raw[[#This Row],[amount]] &lt;= 0, 1, 0)</f>
        <v>0</v>
      </c>
      <c r="K14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7" spans="1:11" x14ac:dyDescent="0.3">
      <c r="A1497">
        <v>61182388</v>
      </c>
      <c r="B1497">
        <v>8887227</v>
      </c>
      <c r="C1497" s="1">
        <v>45599</v>
      </c>
      <c r="D1497">
        <v>390</v>
      </c>
      <c r="E1497">
        <f>IF(
  ISNA(
    _xlfn.XLOOKUP(
      payments_raw[[#This Row],[subscription_id]],
      subscriptions[subscription_id],
      subscriptions[subscription_id]
    )
  ),
  0,
  1
)</f>
        <v>1</v>
      </c>
      <c r="F1497" s="1">
        <f>_xlfn.XLOOKUP(payments_raw[[#This Row],[subscription_id]], subscriptions[subscription_id], subscriptions[start_date])</f>
        <v>44872</v>
      </c>
      <c r="G14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7" s="2">
        <f>IF(payments_raw[[#This Row],[payment_date]] &lt; payments_raw[[#This Row],[sub_start_date]], 1, 0)</f>
        <v>0</v>
      </c>
      <c r="I1497" s="2">
        <f>IF(AND(payments_raw[[#This Row],[sub_end_date]]&lt;&gt;"", payments_raw[[#This Row],[payment_date]] &gt; payments_raw[[#This Row],[sub_end_date]]), 1, 0)</f>
        <v>0</v>
      </c>
      <c r="J1497" s="2">
        <f>IF(payments_raw[[#This Row],[amount]] &lt;= 0, 1, 0)</f>
        <v>0</v>
      </c>
      <c r="K14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8" spans="1:11" x14ac:dyDescent="0.3">
      <c r="A1498">
        <v>45943456</v>
      </c>
      <c r="B1498">
        <v>5066006</v>
      </c>
      <c r="C1498" s="1">
        <v>45556</v>
      </c>
      <c r="D1498">
        <v>19</v>
      </c>
      <c r="E1498">
        <f>IF(
  ISNA(
    _xlfn.XLOOKUP(
      payments_raw[[#This Row],[subscription_id]],
      subscriptions[subscription_id],
      subscriptions[subscription_id]
    )
  ),
  0,
  1
)</f>
        <v>1</v>
      </c>
      <c r="F1498" s="1">
        <f>_xlfn.XLOOKUP(payments_raw[[#This Row],[subscription_id]], subscriptions[subscription_id], subscriptions[start_date])</f>
        <v>45540</v>
      </c>
      <c r="G14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498" s="2">
        <f>IF(payments_raw[[#This Row],[payment_date]] &lt; payments_raw[[#This Row],[sub_start_date]], 1, 0)</f>
        <v>0</v>
      </c>
      <c r="I1498" s="2">
        <f>IF(AND(payments_raw[[#This Row],[sub_end_date]]&lt;&gt;"", payments_raw[[#This Row],[payment_date]] &gt; payments_raw[[#This Row],[sub_end_date]]), 1, 0)</f>
        <v>0</v>
      </c>
      <c r="J1498" s="2">
        <f>IF(payments_raw[[#This Row],[amount]] &lt;= 0, 1, 0)</f>
        <v>0</v>
      </c>
      <c r="K14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499" spans="1:11" x14ac:dyDescent="0.3">
      <c r="A1499">
        <v>84725325</v>
      </c>
      <c r="B1499">
        <v>7012107</v>
      </c>
      <c r="C1499" s="1">
        <v>44835</v>
      </c>
      <c r="D1499">
        <v>39</v>
      </c>
      <c r="E1499">
        <f>IF(
  ISNA(
    _xlfn.XLOOKUP(
      payments_raw[[#This Row],[subscription_id]],
      subscriptions[subscription_id],
      subscriptions[subscription_id]
    )
  ),
  0,
  1
)</f>
        <v>1</v>
      </c>
      <c r="F1499" s="1">
        <f>_xlfn.XLOOKUP(payments_raw[[#This Row],[subscription_id]], subscriptions[subscription_id], subscriptions[start_date])</f>
        <v>44807</v>
      </c>
      <c r="G149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1499" s="2">
        <f>IF(payments_raw[[#This Row],[payment_date]] &lt; payments_raw[[#This Row],[sub_start_date]], 1, 0)</f>
        <v>0</v>
      </c>
      <c r="I1499" s="2">
        <f>IF(AND(payments_raw[[#This Row],[sub_end_date]]&lt;&gt;"", payments_raw[[#This Row],[payment_date]] &gt; payments_raw[[#This Row],[sub_end_date]]), 1, 0)</f>
        <v>0</v>
      </c>
      <c r="J1499" s="2">
        <f>IF(payments_raw[[#This Row],[amount]] &lt;= 0, 1, 0)</f>
        <v>0</v>
      </c>
      <c r="K14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0" spans="1:11" x14ac:dyDescent="0.3">
      <c r="A1500">
        <v>31841792</v>
      </c>
      <c r="B1500">
        <v>4148361</v>
      </c>
      <c r="C1500" s="1">
        <v>45488</v>
      </c>
      <c r="D1500">
        <v>2990</v>
      </c>
      <c r="E1500">
        <f>IF(
  ISNA(
    _xlfn.XLOOKUP(
      payments_raw[[#This Row],[subscription_id]],
      subscriptions[subscription_id],
      subscriptions[subscription_id]
    )
  ),
  0,
  1
)</f>
        <v>1</v>
      </c>
      <c r="F1500" s="1">
        <f>_xlfn.XLOOKUP(payments_raw[[#This Row],[subscription_id]], subscriptions[subscription_id], subscriptions[start_date])</f>
        <v>45422</v>
      </c>
      <c r="G15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45537</v>
      </c>
      <c r="H1500" s="2">
        <f>IF(payments_raw[[#This Row],[payment_date]] &lt; payments_raw[[#This Row],[sub_start_date]], 1, 0)</f>
        <v>0</v>
      </c>
      <c r="I1500" s="2">
        <f>IF(AND(payments_raw[[#This Row],[sub_end_date]]&lt;&gt;"", payments_raw[[#This Row],[payment_date]] &gt; payments_raw[[#This Row],[sub_end_date]]), 1, 0)</f>
        <v>0</v>
      </c>
      <c r="J1500" s="2">
        <f>IF(payments_raw[[#This Row],[amount]] &lt;= 0, 1, 0)</f>
        <v>0</v>
      </c>
      <c r="K15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1" spans="1:11" x14ac:dyDescent="0.3">
      <c r="A1501">
        <v>86237437</v>
      </c>
      <c r="B1501">
        <v>6740356</v>
      </c>
      <c r="C1501" s="1">
        <v>44833</v>
      </c>
      <c r="D1501">
        <v>19</v>
      </c>
      <c r="E1501">
        <f>IF(
  ISNA(
    _xlfn.XLOOKUP(
      payments_raw[[#This Row],[subscription_id]],
      subscriptions[subscription_id],
      subscriptions[subscription_id]
    )
  ),
  0,
  1
)</f>
        <v>1</v>
      </c>
      <c r="F1501" s="1">
        <f>_xlfn.XLOOKUP(payments_raw[[#This Row],[subscription_id]], subscriptions[subscription_id], subscriptions[start_date])</f>
        <v>44622</v>
      </c>
      <c r="G15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01" s="2">
        <f>IF(payments_raw[[#This Row],[payment_date]] &lt; payments_raw[[#This Row],[sub_start_date]], 1, 0)</f>
        <v>0</v>
      </c>
      <c r="I1501" s="2">
        <f>IF(AND(payments_raw[[#This Row],[sub_end_date]]&lt;&gt;"", payments_raw[[#This Row],[payment_date]] &gt; payments_raw[[#This Row],[sub_end_date]]), 1, 0)</f>
        <v>0</v>
      </c>
      <c r="J1501" s="2">
        <f>IF(payments_raw[[#This Row],[amount]] &lt;= 0, 1, 0)</f>
        <v>0</v>
      </c>
      <c r="K15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2" spans="1:11" x14ac:dyDescent="0.3">
      <c r="A1502">
        <v>25130312</v>
      </c>
      <c r="B1502">
        <v>3156762</v>
      </c>
      <c r="C1502" s="1">
        <v>45027</v>
      </c>
      <c r="D1502">
        <v>2990</v>
      </c>
      <c r="E1502">
        <f>IF(
  ISNA(
    _xlfn.XLOOKUP(
      payments_raw[[#This Row],[subscription_id]],
      subscriptions[subscription_id],
      subscriptions[subscription_id]
    )
  ),
  0,
  1
)</f>
        <v>1</v>
      </c>
      <c r="F1502" s="1">
        <f>_xlfn.XLOOKUP(payments_raw[[#This Row],[subscription_id]], subscriptions[subscription_id], subscriptions[start_date])</f>
        <v>44862</v>
      </c>
      <c r="G15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45088</v>
      </c>
      <c r="H1502" s="2">
        <f>IF(payments_raw[[#This Row],[payment_date]] &lt; payments_raw[[#This Row],[sub_start_date]], 1, 0)</f>
        <v>0</v>
      </c>
      <c r="I1502" s="2">
        <f>IF(AND(payments_raw[[#This Row],[sub_end_date]]&lt;&gt;"", payments_raw[[#This Row],[payment_date]] &gt; payments_raw[[#This Row],[sub_end_date]]), 1, 0)</f>
        <v>0</v>
      </c>
      <c r="J1502" s="2">
        <f>IF(payments_raw[[#This Row],[amount]] &lt;= 0, 1, 0)</f>
        <v>0</v>
      </c>
      <c r="K15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3" spans="1:11" x14ac:dyDescent="0.3">
      <c r="A1503">
        <v>77104727</v>
      </c>
      <c r="B1503">
        <v>9232431</v>
      </c>
      <c r="C1503" s="1">
        <v>44990</v>
      </c>
      <c r="D1503">
        <v>790</v>
      </c>
      <c r="E1503">
        <f>IF(
  ISNA(
    _xlfn.XLOOKUP(
      payments_raw[[#This Row],[subscription_id]],
      subscriptions[subscription_id],
      subscriptions[subscription_id]
    )
  ),
  0,
  1
)</f>
        <v>1</v>
      </c>
      <c r="F1503" s="1">
        <f>_xlfn.XLOOKUP(payments_raw[[#This Row],[subscription_id]], subscriptions[subscription_id], subscriptions[start_date])</f>
        <v>44989</v>
      </c>
      <c r="G15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45038</v>
      </c>
      <c r="H1503" s="2">
        <f>IF(payments_raw[[#This Row],[payment_date]] &lt; payments_raw[[#This Row],[sub_start_date]], 1, 0)</f>
        <v>0</v>
      </c>
      <c r="I1503" s="2">
        <f>IF(AND(payments_raw[[#This Row],[sub_end_date]]&lt;&gt;"", payments_raw[[#This Row],[payment_date]] &gt; payments_raw[[#This Row],[sub_end_date]]), 1, 0)</f>
        <v>0</v>
      </c>
      <c r="J1503" s="2">
        <f>IF(payments_raw[[#This Row],[amount]] &lt;= 0, 1, 0)</f>
        <v>0</v>
      </c>
      <c r="K15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4" spans="1:11" x14ac:dyDescent="0.3">
      <c r="A1504">
        <v>31087800</v>
      </c>
      <c r="B1504">
        <v>2728894</v>
      </c>
      <c r="C1504" s="1">
        <v>45033</v>
      </c>
      <c r="D1504">
        <v>19</v>
      </c>
      <c r="E1504">
        <f>IF(
  ISNA(
    _xlfn.XLOOKUP(
      payments_raw[[#This Row],[subscription_id]],
      subscriptions[subscription_id],
      subscriptions[subscription_id]
    )
  ),
  0,
  1
)</f>
        <v>1</v>
      </c>
      <c r="F1504" s="1">
        <f>_xlfn.XLOOKUP(payments_raw[[#This Row],[subscription_id]], subscriptions[subscription_id], subscriptions[start_date])</f>
        <v>44743</v>
      </c>
      <c r="G15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45081</v>
      </c>
      <c r="H1504" s="2">
        <f>IF(payments_raw[[#This Row],[payment_date]] &lt; payments_raw[[#This Row],[sub_start_date]], 1, 0)</f>
        <v>0</v>
      </c>
      <c r="I1504" s="2">
        <f>IF(AND(payments_raw[[#This Row],[sub_end_date]]&lt;&gt;"", payments_raw[[#This Row],[payment_date]] &gt; payments_raw[[#This Row],[sub_end_date]]), 1, 0)</f>
        <v>0</v>
      </c>
      <c r="J1504" s="2">
        <f>IF(payments_raw[[#This Row],[amount]] &lt;= 0, 1, 0)</f>
        <v>0</v>
      </c>
      <c r="K15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5" spans="1:11" x14ac:dyDescent="0.3">
      <c r="A1505">
        <v>33139468</v>
      </c>
      <c r="B1505">
        <v>5831713</v>
      </c>
      <c r="C1505" s="1">
        <v>45217</v>
      </c>
      <c r="D1505">
        <v>790</v>
      </c>
      <c r="E1505">
        <f>IF(
  ISNA(
    _xlfn.XLOOKUP(
      payments_raw[[#This Row],[subscription_id]],
      subscriptions[subscription_id],
      subscriptions[subscription_id]
    )
  ),
  0,
  1
)</f>
        <v>1</v>
      </c>
      <c r="F1505" s="1">
        <f>_xlfn.XLOOKUP(payments_raw[[#This Row],[subscription_id]], subscriptions[subscription_id], subscriptions[start_date])</f>
        <v>45151</v>
      </c>
      <c r="G15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45229</v>
      </c>
      <c r="H1505" s="2">
        <f>IF(payments_raw[[#This Row],[payment_date]] &lt; payments_raw[[#This Row],[sub_start_date]], 1, 0)</f>
        <v>0</v>
      </c>
      <c r="I1505" s="2">
        <f>IF(AND(payments_raw[[#This Row],[sub_end_date]]&lt;&gt;"", payments_raw[[#This Row],[payment_date]] &gt; payments_raw[[#This Row],[sub_end_date]]), 1, 0)</f>
        <v>0</v>
      </c>
      <c r="J1505" s="2">
        <f>IF(payments_raw[[#This Row],[amount]] &lt;= 0, 1, 0)</f>
        <v>0</v>
      </c>
      <c r="K15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6" spans="1:11" x14ac:dyDescent="0.3">
      <c r="A1506">
        <v>16627148</v>
      </c>
      <c r="B1506">
        <v>9600949</v>
      </c>
      <c r="C1506" s="1">
        <v>45528</v>
      </c>
      <c r="D1506">
        <v>2990</v>
      </c>
      <c r="E1506">
        <f>IF(
  ISNA(
    _xlfn.XLOOKUP(
      payments_raw[[#This Row],[subscription_id]],
      subscriptions[subscription_id],
      subscriptions[subscription_id]
    )
  ),
  0,
  1
)</f>
        <v>1</v>
      </c>
      <c r="F1506" s="1">
        <f>_xlfn.XLOOKUP(payments_raw[[#This Row],[subscription_id]], subscriptions[subscription_id], subscriptions[start_date])</f>
        <v>45381</v>
      </c>
      <c r="G15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45539</v>
      </c>
      <c r="H1506" s="2">
        <f>IF(payments_raw[[#This Row],[payment_date]] &lt; payments_raw[[#This Row],[sub_start_date]], 1, 0)</f>
        <v>0</v>
      </c>
      <c r="I1506" s="2">
        <f>IF(AND(payments_raw[[#This Row],[sub_end_date]]&lt;&gt;"", payments_raw[[#This Row],[payment_date]] &gt; payments_raw[[#This Row],[sub_end_date]]), 1, 0)</f>
        <v>0</v>
      </c>
      <c r="J1506" s="2">
        <f>IF(payments_raw[[#This Row],[amount]] &lt;= 0, 1, 0)</f>
        <v>0</v>
      </c>
      <c r="K15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7" spans="1:11" x14ac:dyDescent="0.3">
      <c r="A1507">
        <v>38466389</v>
      </c>
      <c r="B1507">
        <v>5352802</v>
      </c>
      <c r="C1507" s="1">
        <v>44959</v>
      </c>
      <c r="D1507">
        <v>39</v>
      </c>
      <c r="E1507">
        <f>IF(
  ISNA(
    _xlfn.XLOOKUP(
      payments_raw[[#This Row],[subscription_id]],
      subscriptions[subscription_id],
      subscriptions[subscription_id]
    )
  ),
  0,
  1
)</f>
        <v>1</v>
      </c>
      <c r="F1507" s="1">
        <f>_xlfn.XLOOKUP(payments_raw[[#This Row],[subscription_id]], subscriptions[subscription_id], subscriptions[start_date])</f>
        <v>44938</v>
      </c>
      <c r="G15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45015</v>
      </c>
      <c r="H1507" s="2">
        <f>IF(payments_raw[[#This Row],[payment_date]] &lt; payments_raw[[#This Row],[sub_start_date]], 1, 0)</f>
        <v>0</v>
      </c>
      <c r="I1507" s="2">
        <f>IF(AND(payments_raw[[#This Row],[sub_end_date]]&lt;&gt;"", payments_raw[[#This Row],[payment_date]] &gt; payments_raw[[#This Row],[sub_end_date]]), 1, 0)</f>
        <v>0</v>
      </c>
      <c r="J1507" s="2">
        <f>IF(payments_raw[[#This Row],[amount]] &lt;= 0, 1, 0)</f>
        <v>0</v>
      </c>
      <c r="K15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8" spans="1:11" x14ac:dyDescent="0.3">
      <c r="A1508">
        <v>16010551</v>
      </c>
      <c r="B1508">
        <v>2204993</v>
      </c>
      <c r="C1508" s="1">
        <v>45260</v>
      </c>
      <c r="D1508">
        <v>9.5</v>
      </c>
      <c r="E1508">
        <f>IF(
  ISNA(
    _xlfn.XLOOKUP(
      payments_raw[[#This Row],[subscription_id]],
      subscriptions[subscription_id],
      subscriptions[subscription_id]
    )
  ),
  0,
  1
)</f>
        <v>1</v>
      </c>
      <c r="F1508" s="1">
        <f>_xlfn.XLOOKUP(payments_raw[[#This Row],[subscription_id]], subscriptions[subscription_id], subscriptions[start_date])</f>
        <v>45141</v>
      </c>
      <c r="G15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08" s="2">
        <f>IF(payments_raw[[#This Row],[payment_date]] &lt; payments_raw[[#This Row],[sub_start_date]], 1, 0)</f>
        <v>0</v>
      </c>
      <c r="I1508" s="2">
        <f>IF(AND(payments_raw[[#This Row],[sub_end_date]]&lt;&gt;"", payments_raw[[#This Row],[payment_date]] &gt; payments_raw[[#This Row],[sub_end_date]]), 1, 0)</f>
        <v>0</v>
      </c>
      <c r="J1508" s="2">
        <f>IF(payments_raw[[#This Row],[amount]] &lt;= 0, 1, 0)</f>
        <v>0</v>
      </c>
      <c r="K15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09" spans="1:11" x14ac:dyDescent="0.3">
      <c r="A1509">
        <v>33585966</v>
      </c>
      <c r="B1509">
        <v>1115482</v>
      </c>
      <c r="C1509" s="1">
        <v>44855</v>
      </c>
      <c r="D1509">
        <v>149.5</v>
      </c>
      <c r="E1509">
        <f>IF(
  ISNA(
    _xlfn.XLOOKUP(
      payments_raw[[#This Row],[subscription_id]],
      subscriptions[subscription_id],
      subscriptions[subscription_id]
    )
  ),
  0,
  1
)</f>
        <v>1</v>
      </c>
      <c r="F1509" s="1">
        <f>_xlfn.XLOOKUP(payments_raw[[#This Row],[subscription_id]], subscriptions[subscription_id], subscriptions[start_date])</f>
        <v>44628</v>
      </c>
      <c r="G150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1509" s="2">
        <f>IF(payments_raw[[#This Row],[payment_date]] &lt; payments_raw[[#This Row],[sub_start_date]], 1, 0)</f>
        <v>0</v>
      </c>
      <c r="I1509" s="2">
        <f>IF(AND(payments_raw[[#This Row],[sub_end_date]]&lt;&gt;"", payments_raw[[#This Row],[payment_date]] &gt; payments_raw[[#This Row],[sub_end_date]]), 1, 0)</f>
        <v>0</v>
      </c>
      <c r="J1509" s="2">
        <f>IF(payments_raw[[#This Row],[amount]] &lt;= 0, 1, 0)</f>
        <v>0</v>
      </c>
      <c r="K15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0" spans="1:11" x14ac:dyDescent="0.3">
      <c r="A1510">
        <v>80064547</v>
      </c>
      <c r="B1510">
        <v>4064939</v>
      </c>
      <c r="C1510" s="1">
        <v>45458</v>
      </c>
      <c r="D1510">
        <v>190</v>
      </c>
      <c r="E1510">
        <f>IF(
  ISNA(
    _xlfn.XLOOKUP(
      payments_raw[[#This Row],[subscription_id]],
      subscriptions[subscription_id],
      subscriptions[subscription_id]
    )
  ),
  0,
  1
)</f>
        <v>1</v>
      </c>
      <c r="F1510" s="1">
        <f>_xlfn.XLOOKUP(payments_raw[[#This Row],[subscription_id]], subscriptions[subscription_id], subscriptions[start_date])</f>
        <v>45063</v>
      </c>
      <c r="G15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0" s="2">
        <f>IF(payments_raw[[#This Row],[payment_date]] &lt; payments_raw[[#This Row],[sub_start_date]], 1, 0)</f>
        <v>0</v>
      </c>
      <c r="I1510" s="2">
        <f>IF(AND(payments_raw[[#This Row],[sub_end_date]]&lt;&gt;"", payments_raw[[#This Row],[payment_date]] &gt; payments_raw[[#This Row],[sub_end_date]]), 1, 0)</f>
        <v>0</v>
      </c>
      <c r="J1510" s="2">
        <f>IF(payments_raw[[#This Row],[amount]] &lt;= 0, 1, 0)</f>
        <v>0</v>
      </c>
      <c r="K15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1" spans="1:11" x14ac:dyDescent="0.3">
      <c r="A1511">
        <v>60922531</v>
      </c>
      <c r="B1511">
        <v>5529825</v>
      </c>
      <c r="C1511" s="1">
        <v>44852</v>
      </c>
      <c r="D1511">
        <v>74.5</v>
      </c>
      <c r="E1511">
        <f>IF(
  ISNA(
    _xlfn.XLOOKUP(
      payments_raw[[#This Row],[subscription_id]],
      subscriptions[subscription_id],
      subscriptions[subscription_id]
    )
  ),
  0,
  1
)</f>
        <v>1</v>
      </c>
      <c r="F1511" s="1">
        <f>_xlfn.XLOOKUP(payments_raw[[#This Row],[subscription_id]], subscriptions[subscription_id], subscriptions[start_date])</f>
        <v>44735</v>
      </c>
      <c r="G15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1" s="2">
        <f>IF(payments_raw[[#This Row],[payment_date]] &lt; payments_raw[[#This Row],[sub_start_date]], 1, 0)</f>
        <v>0</v>
      </c>
      <c r="I1511" s="2">
        <f>IF(AND(payments_raw[[#This Row],[sub_end_date]]&lt;&gt;"", payments_raw[[#This Row],[payment_date]] &gt; payments_raw[[#This Row],[sub_end_date]]), 1, 0)</f>
        <v>0</v>
      </c>
      <c r="J1511" s="2">
        <f>IF(payments_raw[[#This Row],[amount]] &lt;= 0, 1, 0)</f>
        <v>0</v>
      </c>
      <c r="K15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2" spans="1:11" x14ac:dyDescent="0.3">
      <c r="A1512">
        <v>78172295</v>
      </c>
      <c r="B1512">
        <v>4610191</v>
      </c>
      <c r="C1512" s="1">
        <v>45646</v>
      </c>
      <c r="D1512">
        <v>1490</v>
      </c>
      <c r="E1512">
        <f>IF(
  ISNA(
    _xlfn.XLOOKUP(
      payments_raw[[#This Row],[subscription_id]],
      subscriptions[subscription_id],
      subscriptions[subscription_id]
    )
  ),
  0,
  1
)</f>
        <v>1</v>
      </c>
      <c r="F1512" s="1">
        <f>_xlfn.XLOOKUP(payments_raw[[#This Row],[subscription_id]], subscriptions[subscription_id], subscriptions[start_date])</f>
        <v>45323</v>
      </c>
      <c r="G15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2" s="2">
        <f>IF(payments_raw[[#This Row],[payment_date]] &lt; payments_raw[[#This Row],[sub_start_date]], 1, 0)</f>
        <v>0</v>
      </c>
      <c r="I1512" s="2">
        <f>IF(AND(payments_raw[[#This Row],[sub_end_date]]&lt;&gt;"", payments_raw[[#This Row],[payment_date]] &gt; payments_raw[[#This Row],[sub_end_date]]), 1, 0)</f>
        <v>0</v>
      </c>
      <c r="J1512" s="2">
        <f>IF(payments_raw[[#This Row],[amount]] &lt;= 0, 1, 0)</f>
        <v>0</v>
      </c>
      <c r="K15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3" spans="1:11" x14ac:dyDescent="0.3">
      <c r="A1513">
        <v>84908042</v>
      </c>
      <c r="B1513">
        <v>3449200</v>
      </c>
      <c r="C1513" s="1">
        <v>45345</v>
      </c>
      <c r="D1513">
        <v>19</v>
      </c>
      <c r="E1513">
        <f>IF(
  ISNA(
    _xlfn.XLOOKUP(
      payments_raw[[#This Row],[subscription_id]],
      subscriptions[subscription_id],
      subscriptions[subscription_id]
    )
  ),
  0,
  1
)</f>
        <v>1</v>
      </c>
      <c r="F1513" s="1">
        <f>_xlfn.XLOOKUP(payments_raw[[#This Row],[subscription_id]], subscriptions[subscription_id], subscriptions[start_date])</f>
        <v>45099</v>
      </c>
      <c r="G15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1513" s="2">
        <f>IF(payments_raw[[#This Row],[payment_date]] &lt; payments_raw[[#This Row],[sub_start_date]], 1, 0)</f>
        <v>0</v>
      </c>
      <c r="I1513" s="2">
        <f>IF(AND(payments_raw[[#This Row],[sub_end_date]]&lt;&gt;"", payments_raw[[#This Row],[payment_date]] &gt; payments_raw[[#This Row],[sub_end_date]]), 1, 0)</f>
        <v>0</v>
      </c>
      <c r="J1513" s="2">
        <f>IF(payments_raw[[#This Row],[amount]] &lt;= 0, 1, 0)</f>
        <v>0</v>
      </c>
      <c r="K15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4" spans="1:11" x14ac:dyDescent="0.3">
      <c r="A1514">
        <v>26334661</v>
      </c>
      <c r="B1514">
        <v>2438647</v>
      </c>
      <c r="C1514" s="1">
        <v>44627</v>
      </c>
      <c r="D1514">
        <v>299</v>
      </c>
      <c r="E1514">
        <f>IF(
  ISNA(
    _xlfn.XLOOKUP(
      payments_raw[[#This Row],[subscription_id]],
      subscriptions[subscription_id],
      subscriptions[subscription_id]
    )
  ),
  0,
  1
)</f>
        <v>1</v>
      </c>
      <c r="F1514" s="1">
        <f>_xlfn.XLOOKUP(payments_raw[[#This Row],[subscription_id]], subscriptions[subscription_id], subscriptions[start_date])</f>
        <v>44605</v>
      </c>
      <c r="G15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4" s="2">
        <f>IF(payments_raw[[#This Row],[payment_date]] &lt; payments_raw[[#This Row],[sub_start_date]], 1, 0)</f>
        <v>0</v>
      </c>
      <c r="I1514" s="2">
        <f>IF(AND(payments_raw[[#This Row],[sub_end_date]]&lt;&gt;"", payments_raw[[#This Row],[payment_date]] &gt; payments_raw[[#This Row],[sub_end_date]]), 1, 0)</f>
        <v>0</v>
      </c>
      <c r="J1514" s="2">
        <f>IF(payments_raw[[#This Row],[amount]] &lt;= 0, 1, 0)</f>
        <v>0</v>
      </c>
      <c r="K15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5" spans="1:11" x14ac:dyDescent="0.3">
      <c r="A1515">
        <v>49657541</v>
      </c>
      <c r="B1515">
        <v>1218011</v>
      </c>
      <c r="C1515" s="1">
        <v>45314</v>
      </c>
      <c r="D1515">
        <v>149</v>
      </c>
      <c r="E1515">
        <f>IF(
  ISNA(
    _xlfn.XLOOKUP(
      payments_raw[[#This Row],[subscription_id]],
      subscriptions[subscription_id],
      subscriptions[subscription_id]
    )
  ),
  0,
  1
)</f>
        <v>1</v>
      </c>
      <c r="F1515" s="1">
        <f>_xlfn.XLOOKUP(payments_raw[[#This Row],[subscription_id]], subscriptions[subscription_id], subscriptions[start_date])</f>
        <v>45121</v>
      </c>
      <c r="G15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5" s="2">
        <f>IF(payments_raw[[#This Row],[payment_date]] &lt; payments_raw[[#This Row],[sub_start_date]], 1, 0)</f>
        <v>0</v>
      </c>
      <c r="I1515" s="2">
        <f>IF(AND(payments_raw[[#This Row],[sub_end_date]]&lt;&gt;"", payments_raw[[#This Row],[payment_date]] &gt; payments_raw[[#This Row],[sub_end_date]]), 1, 0)</f>
        <v>0</v>
      </c>
      <c r="J1515" s="2">
        <f>IF(payments_raw[[#This Row],[amount]] &lt;= 0, 1, 0)</f>
        <v>0</v>
      </c>
      <c r="K15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6" spans="1:11" x14ac:dyDescent="0.3">
      <c r="A1516">
        <v>22474259</v>
      </c>
      <c r="B1516">
        <v>6998844</v>
      </c>
      <c r="C1516" s="1">
        <v>45594</v>
      </c>
      <c r="D1516">
        <v>171</v>
      </c>
      <c r="E1516">
        <f>IF(
  ISNA(
    _xlfn.XLOOKUP(
      payments_raw[[#This Row],[subscription_id]],
      subscriptions[subscription_id],
      subscriptions[subscription_id]
    )
  ),
  0,
  1
)</f>
        <v>1</v>
      </c>
      <c r="F1516" s="1">
        <f>_xlfn.XLOOKUP(payments_raw[[#This Row],[subscription_id]], subscriptions[subscription_id], subscriptions[start_date])</f>
        <v>45521</v>
      </c>
      <c r="G15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6" s="2">
        <f>IF(payments_raw[[#This Row],[payment_date]] &lt; payments_raw[[#This Row],[sub_start_date]], 1, 0)</f>
        <v>0</v>
      </c>
      <c r="I1516" s="2">
        <f>IF(AND(payments_raw[[#This Row],[sub_end_date]]&lt;&gt;"", payments_raw[[#This Row],[payment_date]] &gt; payments_raw[[#This Row],[sub_end_date]]), 1, 0)</f>
        <v>0</v>
      </c>
      <c r="J1516" s="2">
        <f>IF(payments_raw[[#This Row],[amount]] &lt;= 0, 1, 0)</f>
        <v>0</v>
      </c>
      <c r="K15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7" spans="1:11" x14ac:dyDescent="0.3">
      <c r="A1517">
        <v>41572277</v>
      </c>
      <c r="B1517">
        <v>7480045</v>
      </c>
      <c r="C1517" s="1">
        <v>45656</v>
      </c>
      <c r="D1517">
        <v>299</v>
      </c>
      <c r="E1517">
        <f>IF(
  ISNA(
    _xlfn.XLOOKUP(
      payments_raw[[#This Row],[subscription_id]],
      subscriptions[subscription_id],
      subscriptions[subscription_id]
    )
  ),
  0,
  1
)</f>
        <v>1</v>
      </c>
      <c r="F1517" s="1">
        <f>_xlfn.XLOOKUP(payments_raw[[#This Row],[subscription_id]], subscriptions[subscription_id], subscriptions[start_date])</f>
        <v>45427</v>
      </c>
      <c r="G15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7" s="2">
        <f>IF(payments_raw[[#This Row],[payment_date]] &lt; payments_raw[[#This Row],[sub_start_date]], 1, 0)</f>
        <v>0</v>
      </c>
      <c r="I1517" s="2">
        <f>IF(AND(payments_raw[[#This Row],[sub_end_date]]&lt;&gt;"", payments_raw[[#This Row],[payment_date]] &gt; payments_raw[[#This Row],[sub_end_date]]), 1, 0)</f>
        <v>0</v>
      </c>
      <c r="J1517" s="2">
        <f>IF(payments_raw[[#This Row],[amount]] &lt;= 0, 1, 0)</f>
        <v>0</v>
      </c>
      <c r="K15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8" spans="1:11" x14ac:dyDescent="0.3">
      <c r="A1518">
        <v>52859035</v>
      </c>
      <c r="B1518">
        <v>3059370</v>
      </c>
      <c r="C1518" s="1">
        <v>45407</v>
      </c>
      <c r="D1518">
        <v>39</v>
      </c>
      <c r="E1518">
        <f>IF(
  ISNA(
    _xlfn.XLOOKUP(
      payments_raw[[#This Row],[subscription_id]],
      subscriptions[subscription_id],
      subscriptions[subscription_id]
    )
  ),
  0,
  1
)</f>
        <v>1</v>
      </c>
      <c r="F1518" s="1">
        <f>_xlfn.XLOOKUP(payments_raw[[#This Row],[subscription_id]], subscriptions[subscription_id], subscriptions[start_date])</f>
        <v>45324</v>
      </c>
      <c r="G15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1518" s="2">
        <f>IF(payments_raw[[#This Row],[payment_date]] &lt; payments_raw[[#This Row],[sub_start_date]], 1, 0)</f>
        <v>0</v>
      </c>
      <c r="I1518" s="2">
        <f>IF(AND(payments_raw[[#This Row],[sub_end_date]]&lt;&gt;"", payments_raw[[#This Row],[payment_date]] &gt; payments_raw[[#This Row],[sub_end_date]]), 1, 0)</f>
        <v>0</v>
      </c>
      <c r="J1518" s="2">
        <f>IF(payments_raw[[#This Row],[amount]] &lt;= 0, 1, 0)</f>
        <v>0</v>
      </c>
      <c r="K15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19" spans="1:11" x14ac:dyDescent="0.3">
      <c r="A1519">
        <v>21415537</v>
      </c>
      <c r="B1519">
        <v>7334348</v>
      </c>
      <c r="C1519" s="1">
        <v>45607</v>
      </c>
      <c r="D1519">
        <v>149</v>
      </c>
      <c r="E1519">
        <f>IF(
  ISNA(
    _xlfn.XLOOKUP(
      payments_raw[[#This Row],[subscription_id]],
      subscriptions[subscription_id],
      subscriptions[subscription_id]
    )
  ),
  0,
  1
)</f>
        <v>1</v>
      </c>
      <c r="F1519" s="1">
        <f>_xlfn.XLOOKUP(payments_raw[[#This Row],[subscription_id]], subscriptions[subscription_id], subscriptions[start_date])</f>
        <v>45004</v>
      </c>
      <c r="G15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19" s="2">
        <f>IF(payments_raw[[#This Row],[payment_date]] &lt; payments_raw[[#This Row],[sub_start_date]], 1, 0)</f>
        <v>0</v>
      </c>
      <c r="I1519" s="2">
        <f>IF(AND(payments_raw[[#This Row],[sub_end_date]]&lt;&gt;"", payments_raw[[#This Row],[payment_date]] &gt; payments_raw[[#This Row],[sub_end_date]]), 1, 0)</f>
        <v>0</v>
      </c>
      <c r="J1519" s="2">
        <f>IF(payments_raw[[#This Row],[amount]] &lt;= 0, 1, 0)</f>
        <v>0</v>
      </c>
      <c r="K15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0" spans="1:11" x14ac:dyDescent="0.3">
      <c r="A1520">
        <v>16357179</v>
      </c>
      <c r="B1520">
        <v>1715977</v>
      </c>
      <c r="C1520" s="1">
        <v>44801</v>
      </c>
      <c r="D1520">
        <v>19</v>
      </c>
      <c r="E1520">
        <f>IF(
  ISNA(
    _xlfn.XLOOKUP(
      payments_raw[[#This Row],[subscription_id]],
      subscriptions[subscription_id],
      subscriptions[subscription_id]
    )
  ),
  0,
  1
)</f>
        <v>1</v>
      </c>
      <c r="F1520" s="1">
        <f>_xlfn.XLOOKUP(payments_raw[[#This Row],[subscription_id]], subscriptions[subscription_id], subscriptions[start_date])</f>
        <v>44678</v>
      </c>
      <c r="G15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44833</v>
      </c>
      <c r="H1520" s="2">
        <f>IF(payments_raw[[#This Row],[payment_date]] &lt; payments_raw[[#This Row],[sub_start_date]], 1, 0)</f>
        <v>0</v>
      </c>
      <c r="I1520" s="2">
        <f>IF(AND(payments_raw[[#This Row],[sub_end_date]]&lt;&gt;"", payments_raw[[#This Row],[payment_date]] &gt; payments_raw[[#This Row],[sub_end_date]]), 1, 0)</f>
        <v>0</v>
      </c>
      <c r="J1520" s="2">
        <f>IF(payments_raw[[#This Row],[amount]] &lt;= 0, 1, 0)</f>
        <v>0</v>
      </c>
      <c r="K15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1" spans="1:11" x14ac:dyDescent="0.3">
      <c r="A1521">
        <v>83864238</v>
      </c>
      <c r="B1521">
        <v>7004652</v>
      </c>
      <c r="C1521" s="1">
        <v>44783</v>
      </c>
      <c r="D1521">
        <v>149</v>
      </c>
      <c r="E1521">
        <f>IF(
  ISNA(
    _xlfn.XLOOKUP(
      payments_raw[[#This Row],[subscription_id]],
      subscriptions[subscription_id],
      subscriptions[subscription_id]
    )
  ),
  0,
  1
)</f>
        <v>1</v>
      </c>
      <c r="F1521" s="1">
        <f>_xlfn.XLOOKUP(payments_raw[[#This Row],[subscription_id]], subscriptions[subscription_id], subscriptions[start_date])</f>
        <v>44701</v>
      </c>
      <c r="G15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44811</v>
      </c>
      <c r="H1521" s="2">
        <f>IF(payments_raw[[#This Row],[payment_date]] &lt; payments_raw[[#This Row],[sub_start_date]], 1, 0)</f>
        <v>0</v>
      </c>
      <c r="I1521" s="2">
        <f>IF(AND(payments_raw[[#This Row],[sub_end_date]]&lt;&gt;"", payments_raw[[#This Row],[payment_date]] &gt; payments_raw[[#This Row],[sub_end_date]]), 1, 0)</f>
        <v>0</v>
      </c>
      <c r="J1521" s="2">
        <f>IF(payments_raw[[#This Row],[amount]] &lt;= 0, 1, 0)</f>
        <v>0</v>
      </c>
      <c r="K15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2" spans="1:11" x14ac:dyDescent="0.3">
      <c r="A1522">
        <v>52260040</v>
      </c>
      <c r="B1522">
        <v>3481016</v>
      </c>
      <c r="C1522" s="1">
        <v>44731</v>
      </c>
      <c r="D1522">
        <v>299</v>
      </c>
      <c r="E1522">
        <f>IF(
  ISNA(
    _xlfn.XLOOKUP(
      payments_raw[[#This Row],[subscription_id]],
      subscriptions[subscription_id],
      subscriptions[subscription_id]
    )
  ),
  0,
  1
)</f>
        <v>1</v>
      </c>
      <c r="F1522" s="1">
        <f>_xlfn.XLOOKUP(payments_raw[[#This Row],[subscription_id]], subscriptions[subscription_id], subscriptions[start_date])</f>
        <v>44692</v>
      </c>
      <c r="G1522" s="1">
        <f>IF(_xlfn.XLOOKUP(payments_raw[[#This Row],[subscription_id]], subscriptions[subscription_id], subscriptions[end_date])=0,"",_xlfn.XLOOKUP(payments_raw[[#This Row],[subscription_id]], subscriptions[subscription_id], subscriptions[end_date]))</f>
        <v>44755</v>
      </c>
      <c r="H1522" s="2">
        <f>IF(payments_raw[[#This Row],[payment_date]] &lt; payments_raw[[#This Row],[sub_start_date]], 1, 0)</f>
        <v>0</v>
      </c>
      <c r="I1522" s="2">
        <f>IF(AND(payments_raw[[#This Row],[sub_end_date]]&lt;&gt;"", payments_raw[[#This Row],[payment_date]] &gt; payments_raw[[#This Row],[sub_end_date]]), 1, 0)</f>
        <v>0</v>
      </c>
      <c r="J1522" s="2">
        <f>IF(payments_raw[[#This Row],[amount]] &lt;= 0, 1, 0)</f>
        <v>0</v>
      </c>
      <c r="K15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3" spans="1:11" x14ac:dyDescent="0.3">
      <c r="A1523">
        <v>89014190</v>
      </c>
      <c r="B1523">
        <v>3553581</v>
      </c>
      <c r="C1523" s="1">
        <v>45399</v>
      </c>
      <c r="D1523">
        <v>149</v>
      </c>
      <c r="E1523">
        <f>IF(
  ISNA(
    _xlfn.XLOOKUP(
      payments_raw[[#This Row],[subscription_id]],
      subscriptions[subscription_id],
      subscriptions[subscription_id]
    )
  ),
  0,
  1
)</f>
        <v>1</v>
      </c>
      <c r="F1523" s="1">
        <f>_xlfn.XLOOKUP(payments_raw[[#This Row],[subscription_id]], subscriptions[subscription_id], subscriptions[start_date])</f>
        <v>45238</v>
      </c>
      <c r="G15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23" s="2">
        <f>IF(payments_raw[[#This Row],[payment_date]] &lt; payments_raw[[#This Row],[sub_start_date]], 1, 0)</f>
        <v>0</v>
      </c>
      <c r="I1523" s="2">
        <f>IF(AND(payments_raw[[#This Row],[sub_end_date]]&lt;&gt;"", payments_raw[[#This Row],[payment_date]] &gt; payments_raw[[#This Row],[sub_end_date]]), 1, 0)</f>
        <v>0</v>
      </c>
      <c r="J1523" s="2">
        <f>IF(payments_raw[[#This Row],[amount]] &lt;= 0, 1, 0)</f>
        <v>0</v>
      </c>
      <c r="K15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4" spans="1:11" x14ac:dyDescent="0.3">
      <c r="A1524">
        <v>23107454</v>
      </c>
      <c r="B1524">
        <v>3251636</v>
      </c>
      <c r="C1524" s="1">
        <v>45039</v>
      </c>
      <c r="D1524">
        <v>134.1</v>
      </c>
      <c r="E1524">
        <f>IF(
  ISNA(
    _xlfn.XLOOKUP(
      payments_raw[[#This Row],[subscription_id]],
      subscriptions[subscription_id],
      subscriptions[subscription_id]
    )
  ),
  0,
  1
)</f>
        <v>1</v>
      </c>
      <c r="F1524" s="1">
        <f>_xlfn.XLOOKUP(payments_raw[[#This Row],[subscription_id]], subscriptions[subscription_id], subscriptions[start_date])</f>
        <v>45004</v>
      </c>
      <c r="G15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24" s="2">
        <f>IF(payments_raw[[#This Row],[payment_date]] &lt; payments_raw[[#This Row],[sub_start_date]], 1, 0)</f>
        <v>0</v>
      </c>
      <c r="I1524" s="2">
        <f>IF(AND(payments_raw[[#This Row],[sub_end_date]]&lt;&gt;"", payments_raw[[#This Row],[payment_date]] &gt; payments_raw[[#This Row],[sub_end_date]]), 1, 0)</f>
        <v>0</v>
      </c>
      <c r="J1524" s="2">
        <f>IF(payments_raw[[#This Row],[amount]] &lt;= 0, 1, 0)</f>
        <v>0</v>
      </c>
      <c r="K15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5" spans="1:11" x14ac:dyDescent="0.3">
      <c r="A1525">
        <v>12268507</v>
      </c>
      <c r="B1525">
        <v>7932248</v>
      </c>
      <c r="C1525" s="1">
        <v>45627</v>
      </c>
      <c r="D1525">
        <v>790</v>
      </c>
      <c r="E1525">
        <f>IF(
  ISNA(
    _xlfn.XLOOKUP(
      payments_raw[[#This Row],[subscription_id]],
      subscriptions[subscription_id],
      subscriptions[subscription_id]
    )
  ),
  0,
  1
)</f>
        <v>1</v>
      </c>
      <c r="F1525" s="1">
        <f>_xlfn.XLOOKUP(payments_raw[[#This Row],[subscription_id]], subscriptions[subscription_id], subscriptions[start_date])</f>
        <v>45598</v>
      </c>
      <c r="G15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25" s="2">
        <f>IF(payments_raw[[#This Row],[payment_date]] &lt; payments_raw[[#This Row],[sub_start_date]], 1, 0)</f>
        <v>0</v>
      </c>
      <c r="I1525" s="2">
        <f>IF(AND(payments_raw[[#This Row],[sub_end_date]]&lt;&gt;"", payments_raw[[#This Row],[payment_date]] &gt; payments_raw[[#This Row],[sub_end_date]]), 1, 0)</f>
        <v>0</v>
      </c>
      <c r="J1525" s="2">
        <f>IF(payments_raw[[#This Row],[amount]] &lt;= 0, 1, 0)</f>
        <v>0</v>
      </c>
      <c r="K15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6" spans="1:11" x14ac:dyDescent="0.3">
      <c r="A1526">
        <v>64261234</v>
      </c>
      <c r="B1526">
        <v>1487227</v>
      </c>
      <c r="C1526" s="1">
        <v>45207</v>
      </c>
      <c r="D1526">
        <v>592.5</v>
      </c>
      <c r="E1526">
        <f>IF(
  ISNA(
    _xlfn.XLOOKUP(
      payments_raw[[#This Row],[subscription_id]],
      subscriptions[subscription_id],
      subscriptions[subscription_id]
    )
  ),
  0,
  1
)</f>
        <v>1</v>
      </c>
      <c r="F1526" s="1">
        <f>_xlfn.XLOOKUP(payments_raw[[#This Row],[subscription_id]], subscriptions[subscription_id], subscriptions[start_date])</f>
        <v>45021</v>
      </c>
      <c r="G15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26" s="2">
        <f>IF(payments_raw[[#This Row],[payment_date]] &lt; payments_raw[[#This Row],[sub_start_date]], 1, 0)</f>
        <v>0</v>
      </c>
      <c r="I1526" s="2">
        <f>IF(AND(payments_raw[[#This Row],[sub_end_date]]&lt;&gt;"", payments_raw[[#This Row],[payment_date]] &gt; payments_raw[[#This Row],[sub_end_date]]), 1, 0)</f>
        <v>0</v>
      </c>
      <c r="J1526" s="2">
        <f>IF(payments_raw[[#This Row],[amount]] &lt;= 0, 1, 0)</f>
        <v>0</v>
      </c>
      <c r="K15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7" spans="1:11" x14ac:dyDescent="0.3">
      <c r="A1527">
        <v>54214537</v>
      </c>
      <c r="B1527">
        <v>3426274</v>
      </c>
      <c r="C1527" s="1">
        <v>45415</v>
      </c>
      <c r="D1527">
        <v>79</v>
      </c>
      <c r="E1527">
        <f>IF(
  ISNA(
    _xlfn.XLOOKUP(
      payments_raw[[#This Row],[subscription_id]],
      subscriptions[subscription_id],
      subscriptions[subscription_id]
    )
  ),
  0,
  1
)</f>
        <v>1</v>
      </c>
      <c r="F1527" s="1">
        <f>_xlfn.XLOOKUP(payments_raw[[#This Row],[subscription_id]], subscriptions[subscription_id], subscriptions[start_date])</f>
        <v>45225</v>
      </c>
      <c r="G15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45417</v>
      </c>
      <c r="H1527" s="2">
        <f>IF(payments_raw[[#This Row],[payment_date]] &lt; payments_raw[[#This Row],[sub_start_date]], 1, 0)</f>
        <v>0</v>
      </c>
      <c r="I1527" s="2">
        <f>IF(AND(payments_raw[[#This Row],[sub_end_date]]&lt;&gt;"", payments_raw[[#This Row],[payment_date]] &gt; payments_raw[[#This Row],[sub_end_date]]), 1, 0)</f>
        <v>0</v>
      </c>
      <c r="J1527" s="2">
        <f>IF(payments_raw[[#This Row],[amount]] &lt;= 0, 1, 0)</f>
        <v>0</v>
      </c>
      <c r="K15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8" spans="1:11" x14ac:dyDescent="0.3">
      <c r="A1528">
        <v>68724936</v>
      </c>
      <c r="B1528">
        <v>9860239</v>
      </c>
      <c r="C1528" s="1">
        <v>44754</v>
      </c>
      <c r="D1528">
        <v>74.5</v>
      </c>
      <c r="E1528">
        <f>IF(
  ISNA(
    _xlfn.XLOOKUP(
      payments_raw[[#This Row],[subscription_id]],
      subscriptions[subscription_id],
      subscriptions[subscription_id]
    )
  ),
  0,
  1
)</f>
        <v>1</v>
      </c>
      <c r="F1528" s="1">
        <f>_xlfn.XLOOKUP(payments_raw[[#This Row],[subscription_id]], subscriptions[subscription_id], subscriptions[start_date])</f>
        <v>44648</v>
      </c>
      <c r="G15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44764</v>
      </c>
      <c r="H1528" s="2">
        <f>IF(payments_raw[[#This Row],[payment_date]] &lt; payments_raw[[#This Row],[sub_start_date]], 1, 0)</f>
        <v>0</v>
      </c>
      <c r="I1528" s="2">
        <f>IF(AND(payments_raw[[#This Row],[sub_end_date]]&lt;&gt;"", payments_raw[[#This Row],[payment_date]] &gt; payments_raw[[#This Row],[sub_end_date]]), 1, 0)</f>
        <v>0</v>
      </c>
      <c r="J1528" s="2">
        <f>IF(payments_raw[[#This Row],[amount]] &lt;= 0, 1, 0)</f>
        <v>0</v>
      </c>
      <c r="K15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29" spans="1:11" x14ac:dyDescent="0.3">
      <c r="A1529">
        <v>16184377</v>
      </c>
      <c r="B1529">
        <v>7566239</v>
      </c>
      <c r="C1529" s="1">
        <v>45578</v>
      </c>
      <c r="D1529">
        <v>149</v>
      </c>
      <c r="E1529">
        <f>IF(
  ISNA(
    _xlfn.XLOOKUP(
      payments_raw[[#This Row],[subscription_id]],
      subscriptions[subscription_id],
      subscriptions[subscription_id]
    )
  ),
  0,
  1
)</f>
        <v>1</v>
      </c>
      <c r="F1529" s="1">
        <f>_xlfn.XLOOKUP(payments_raw[[#This Row],[subscription_id]], subscriptions[subscription_id], subscriptions[start_date])</f>
        <v>45467</v>
      </c>
      <c r="G15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29" s="2">
        <f>IF(payments_raw[[#This Row],[payment_date]] &lt; payments_raw[[#This Row],[sub_start_date]], 1, 0)</f>
        <v>0</v>
      </c>
      <c r="I1529" s="2">
        <f>IF(AND(payments_raw[[#This Row],[sub_end_date]]&lt;&gt;"", payments_raw[[#This Row],[payment_date]] &gt; payments_raw[[#This Row],[sub_end_date]]), 1, 0)</f>
        <v>0</v>
      </c>
      <c r="J1529" s="2">
        <f>IF(payments_raw[[#This Row],[amount]] &lt;= 0, 1, 0)</f>
        <v>0</v>
      </c>
      <c r="K15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0" spans="1:11" x14ac:dyDescent="0.3">
      <c r="A1530">
        <v>99716761</v>
      </c>
      <c r="B1530">
        <v>4192453</v>
      </c>
      <c r="C1530" s="1">
        <v>45428</v>
      </c>
      <c r="D1530">
        <v>149</v>
      </c>
      <c r="E1530">
        <f>IF(
  ISNA(
    _xlfn.XLOOKUP(
      payments_raw[[#This Row],[subscription_id]],
      subscriptions[subscription_id],
      subscriptions[subscription_id]
    )
  ),
  0,
  1
)</f>
        <v>1</v>
      </c>
      <c r="F1530" s="1">
        <f>_xlfn.XLOOKUP(payments_raw[[#This Row],[subscription_id]], subscriptions[subscription_id], subscriptions[start_date])</f>
        <v>45029</v>
      </c>
      <c r="G15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0" s="2">
        <f>IF(payments_raw[[#This Row],[payment_date]] &lt; payments_raw[[#This Row],[sub_start_date]], 1, 0)</f>
        <v>0</v>
      </c>
      <c r="I1530" s="2">
        <f>IF(AND(payments_raw[[#This Row],[sub_end_date]]&lt;&gt;"", payments_raw[[#This Row],[payment_date]] &gt; payments_raw[[#This Row],[sub_end_date]]), 1, 0)</f>
        <v>0</v>
      </c>
      <c r="J1530" s="2">
        <f>IF(payments_raw[[#This Row],[amount]] &lt;= 0, 1, 0)</f>
        <v>0</v>
      </c>
      <c r="K15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1" spans="1:11" x14ac:dyDescent="0.3">
      <c r="A1531">
        <v>22351726</v>
      </c>
      <c r="B1531">
        <v>5440600</v>
      </c>
      <c r="C1531" s="1">
        <v>45565</v>
      </c>
      <c r="D1531">
        <v>351</v>
      </c>
      <c r="E1531">
        <f>IF(
  ISNA(
    _xlfn.XLOOKUP(
      payments_raw[[#This Row],[subscription_id]],
      subscriptions[subscription_id],
      subscriptions[subscription_id]
    )
  ),
  0,
  1
)</f>
        <v>1</v>
      </c>
      <c r="F1531" s="1">
        <f>_xlfn.XLOOKUP(payments_raw[[#This Row],[subscription_id]], subscriptions[subscription_id], subscriptions[start_date])</f>
        <v>45556</v>
      </c>
      <c r="G15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1" s="2">
        <f>IF(payments_raw[[#This Row],[payment_date]] &lt; payments_raw[[#This Row],[sub_start_date]], 1, 0)</f>
        <v>0</v>
      </c>
      <c r="I1531" s="2">
        <f>IF(AND(payments_raw[[#This Row],[sub_end_date]]&lt;&gt;"", payments_raw[[#This Row],[payment_date]] &gt; payments_raw[[#This Row],[sub_end_date]]), 1, 0)</f>
        <v>0</v>
      </c>
      <c r="J1531" s="2">
        <f>IF(payments_raw[[#This Row],[amount]] &lt;= 0, 1, 0)</f>
        <v>0</v>
      </c>
      <c r="K15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2" spans="1:11" x14ac:dyDescent="0.3">
      <c r="A1532">
        <v>62745872</v>
      </c>
      <c r="B1532">
        <v>2084084</v>
      </c>
      <c r="C1532" s="1">
        <v>45634</v>
      </c>
      <c r="D1532">
        <v>2990</v>
      </c>
      <c r="E1532">
        <f>IF(
  ISNA(
    _xlfn.XLOOKUP(
      payments_raw[[#This Row],[subscription_id]],
      subscriptions[subscription_id],
      subscriptions[subscription_id]
    )
  ),
  0,
  1
)</f>
        <v>1</v>
      </c>
      <c r="F1532" s="1">
        <f>_xlfn.XLOOKUP(payments_raw[[#This Row],[subscription_id]], subscriptions[subscription_id], subscriptions[start_date])</f>
        <v>45165</v>
      </c>
      <c r="G15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2" s="2">
        <f>IF(payments_raw[[#This Row],[payment_date]] &lt; payments_raw[[#This Row],[sub_start_date]], 1, 0)</f>
        <v>0</v>
      </c>
      <c r="I1532" s="2">
        <f>IF(AND(payments_raw[[#This Row],[sub_end_date]]&lt;&gt;"", payments_raw[[#This Row],[payment_date]] &gt; payments_raw[[#This Row],[sub_end_date]]), 1, 0)</f>
        <v>0</v>
      </c>
      <c r="J1532" s="2">
        <f>IF(payments_raw[[#This Row],[amount]] &lt;= 0, 1, 0)</f>
        <v>0</v>
      </c>
      <c r="K15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3" spans="1:11" x14ac:dyDescent="0.3">
      <c r="A1533">
        <v>21615436</v>
      </c>
      <c r="B1533">
        <v>9135271</v>
      </c>
      <c r="C1533" s="1">
        <v>45373</v>
      </c>
      <c r="D1533">
        <v>19.5</v>
      </c>
      <c r="E1533">
        <f>IF(
  ISNA(
    _xlfn.XLOOKUP(
      payments_raw[[#This Row],[subscription_id]],
      subscriptions[subscription_id],
      subscriptions[subscription_id]
    )
  ),
  0,
  1
)</f>
        <v>1</v>
      </c>
      <c r="F1533" s="1">
        <f>_xlfn.XLOOKUP(payments_raw[[#This Row],[subscription_id]], subscriptions[subscription_id], subscriptions[start_date])</f>
        <v>44648</v>
      </c>
      <c r="G15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3" s="2">
        <f>IF(payments_raw[[#This Row],[payment_date]] &lt; payments_raw[[#This Row],[sub_start_date]], 1, 0)</f>
        <v>0</v>
      </c>
      <c r="I1533" s="2">
        <f>IF(AND(payments_raw[[#This Row],[sub_end_date]]&lt;&gt;"", payments_raw[[#This Row],[payment_date]] &gt; payments_raw[[#This Row],[sub_end_date]]), 1, 0)</f>
        <v>0</v>
      </c>
      <c r="J1533" s="2">
        <f>IF(payments_raw[[#This Row],[amount]] &lt;= 0, 1, 0)</f>
        <v>0</v>
      </c>
      <c r="K15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4" spans="1:11" x14ac:dyDescent="0.3">
      <c r="A1534">
        <v>47875241</v>
      </c>
      <c r="B1534">
        <v>9064003</v>
      </c>
      <c r="C1534" s="1">
        <v>44636</v>
      </c>
      <c r="D1534">
        <v>19</v>
      </c>
      <c r="E1534">
        <f>IF(
  ISNA(
    _xlfn.XLOOKUP(
      payments_raw[[#This Row],[subscription_id]],
      subscriptions[subscription_id],
      subscriptions[subscription_id]
    )
  ),
  0,
  1
)</f>
        <v>1</v>
      </c>
      <c r="F1534" s="1">
        <f>_xlfn.XLOOKUP(payments_raw[[#This Row],[subscription_id]], subscriptions[subscription_id], subscriptions[start_date])</f>
        <v>44633</v>
      </c>
      <c r="G15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4" s="2">
        <f>IF(payments_raw[[#This Row],[payment_date]] &lt; payments_raw[[#This Row],[sub_start_date]], 1, 0)</f>
        <v>0</v>
      </c>
      <c r="I1534" s="2">
        <f>IF(AND(payments_raw[[#This Row],[sub_end_date]]&lt;&gt;"", payments_raw[[#This Row],[payment_date]] &gt; payments_raw[[#This Row],[sub_end_date]]), 1, 0)</f>
        <v>0</v>
      </c>
      <c r="J1534" s="2">
        <f>IF(payments_raw[[#This Row],[amount]] &lt;= 0, 1, 0)</f>
        <v>0</v>
      </c>
      <c r="K15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5" spans="1:11" x14ac:dyDescent="0.3">
      <c r="A1535">
        <v>82699548</v>
      </c>
      <c r="B1535">
        <v>3146616</v>
      </c>
      <c r="C1535" s="1">
        <v>45211</v>
      </c>
      <c r="D1535">
        <v>79</v>
      </c>
      <c r="E1535">
        <f>IF(
  ISNA(
    _xlfn.XLOOKUP(
      payments_raw[[#This Row],[subscription_id]],
      subscriptions[subscription_id],
      subscriptions[subscription_id]
    )
  ),
  0,
  1
)</f>
        <v>1</v>
      </c>
      <c r="F1535" s="1">
        <f>_xlfn.XLOOKUP(payments_raw[[#This Row],[subscription_id]], subscriptions[subscription_id], subscriptions[start_date])</f>
        <v>44880</v>
      </c>
      <c r="G15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5" s="2">
        <f>IF(payments_raw[[#This Row],[payment_date]] &lt; payments_raw[[#This Row],[sub_start_date]], 1, 0)</f>
        <v>0</v>
      </c>
      <c r="I1535" s="2">
        <f>IF(AND(payments_raw[[#This Row],[sub_end_date]]&lt;&gt;"", payments_raw[[#This Row],[payment_date]] &gt; payments_raw[[#This Row],[sub_end_date]]), 1, 0)</f>
        <v>0</v>
      </c>
      <c r="J1535" s="2">
        <f>IF(payments_raw[[#This Row],[amount]] &lt;= 0, 1, 0)</f>
        <v>0</v>
      </c>
      <c r="K15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6" spans="1:11" x14ac:dyDescent="0.3">
      <c r="A1536">
        <v>92425589</v>
      </c>
      <c r="B1536">
        <v>5088275</v>
      </c>
      <c r="C1536" s="1">
        <v>44741</v>
      </c>
      <c r="D1536">
        <v>2990</v>
      </c>
      <c r="E1536">
        <f>IF(
  ISNA(
    _xlfn.XLOOKUP(
      payments_raw[[#This Row],[subscription_id]],
      subscriptions[subscription_id],
      subscriptions[subscription_id]
    )
  ),
  0,
  1
)</f>
        <v>1</v>
      </c>
      <c r="F1536" s="1">
        <f>_xlfn.XLOOKUP(payments_raw[[#This Row],[subscription_id]], subscriptions[subscription_id], subscriptions[start_date])</f>
        <v>44604</v>
      </c>
      <c r="G153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44881</v>
      </c>
      <c r="H1536" s="2">
        <f>IF(payments_raw[[#This Row],[payment_date]] &lt; payments_raw[[#This Row],[sub_start_date]], 1, 0)</f>
        <v>0</v>
      </c>
      <c r="I1536" s="2">
        <f>IF(AND(payments_raw[[#This Row],[sub_end_date]]&lt;&gt;"", payments_raw[[#This Row],[payment_date]] &gt; payments_raw[[#This Row],[sub_end_date]]), 1, 0)</f>
        <v>0</v>
      </c>
      <c r="J1536" s="2">
        <f>IF(payments_raw[[#This Row],[amount]] &lt;= 0, 1, 0)</f>
        <v>0</v>
      </c>
      <c r="K15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7" spans="1:11" x14ac:dyDescent="0.3">
      <c r="A1537">
        <v>73006335</v>
      </c>
      <c r="B1537">
        <v>4240681</v>
      </c>
      <c r="C1537" s="1">
        <v>44889</v>
      </c>
      <c r="D1537">
        <v>1490</v>
      </c>
      <c r="E1537">
        <f>IF(
  ISNA(
    _xlfn.XLOOKUP(
      payments_raw[[#This Row],[subscription_id]],
      subscriptions[subscription_id],
      subscriptions[subscription_id]
    )
  ),
  0,
  1
)</f>
        <v>1</v>
      </c>
      <c r="F1537" s="1">
        <f>_xlfn.XLOOKUP(payments_raw[[#This Row],[subscription_id]], subscriptions[subscription_id], subscriptions[start_date])</f>
        <v>44879</v>
      </c>
      <c r="G15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45081</v>
      </c>
      <c r="H1537" s="2">
        <f>IF(payments_raw[[#This Row],[payment_date]] &lt; payments_raw[[#This Row],[sub_start_date]], 1, 0)</f>
        <v>0</v>
      </c>
      <c r="I1537" s="2">
        <f>IF(AND(payments_raw[[#This Row],[sub_end_date]]&lt;&gt;"", payments_raw[[#This Row],[payment_date]] &gt; payments_raw[[#This Row],[sub_end_date]]), 1, 0)</f>
        <v>0</v>
      </c>
      <c r="J1537" s="2">
        <f>IF(payments_raw[[#This Row],[amount]] &lt;= 0, 1, 0)</f>
        <v>0</v>
      </c>
      <c r="K15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8" spans="1:11" x14ac:dyDescent="0.3">
      <c r="A1538">
        <v>12019224</v>
      </c>
      <c r="B1538">
        <v>5762844</v>
      </c>
      <c r="C1538" s="1">
        <v>45590</v>
      </c>
      <c r="D1538">
        <v>2990</v>
      </c>
      <c r="E1538">
        <f>IF(
  ISNA(
    _xlfn.XLOOKUP(
      payments_raw[[#This Row],[subscription_id]],
      subscriptions[subscription_id],
      subscriptions[subscription_id]
    )
  ),
  0,
  1
)</f>
        <v>1</v>
      </c>
      <c r="F1538" s="1">
        <f>_xlfn.XLOOKUP(payments_raw[[#This Row],[subscription_id]], subscriptions[subscription_id], subscriptions[start_date])</f>
        <v>45567</v>
      </c>
      <c r="G15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1538" s="2">
        <f>IF(payments_raw[[#This Row],[payment_date]] &lt; payments_raw[[#This Row],[sub_start_date]], 1, 0)</f>
        <v>0</v>
      </c>
      <c r="I1538" s="2">
        <f>IF(AND(payments_raw[[#This Row],[sub_end_date]]&lt;&gt;"", payments_raw[[#This Row],[payment_date]] &gt; payments_raw[[#This Row],[sub_end_date]]), 1, 0)</f>
        <v>0</v>
      </c>
      <c r="J1538" s="2">
        <f>IF(payments_raw[[#This Row],[amount]] &lt;= 0, 1, 0)</f>
        <v>0</v>
      </c>
      <c r="K15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39" spans="1:11" x14ac:dyDescent="0.3">
      <c r="A1539">
        <v>36125123</v>
      </c>
      <c r="B1539">
        <v>8272245</v>
      </c>
      <c r="C1539" s="1">
        <v>45603</v>
      </c>
      <c r="D1539">
        <v>149</v>
      </c>
      <c r="E1539">
        <f>IF(
  ISNA(
    _xlfn.XLOOKUP(
      payments_raw[[#This Row],[subscription_id]],
      subscriptions[subscription_id],
      subscriptions[subscription_id]
    )
  ),
  0,
  1
)</f>
        <v>1</v>
      </c>
      <c r="F1539" s="1">
        <f>_xlfn.XLOOKUP(payments_raw[[#This Row],[subscription_id]], subscriptions[subscription_id], subscriptions[start_date])</f>
        <v>45493</v>
      </c>
      <c r="G15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39" s="2">
        <f>IF(payments_raw[[#This Row],[payment_date]] &lt; payments_raw[[#This Row],[sub_start_date]], 1, 0)</f>
        <v>0</v>
      </c>
      <c r="I1539" s="2">
        <f>IF(AND(payments_raw[[#This Row],[sub_end_date]]&lt;&gt;"", payments_raw[[#This Row],[payment_date]] &gt; payments_raw[[#This Row],[sub_end_date]]), 1, 0)</f>
        <v>0</v>
      </c>
      <c r="J1539" s="2">
        <f>IF(payments_raw[[#This Row],[amount]] &lt;= 0, 1, 0)</f>
        <v>0</v>
      </c>
      <c r="K15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0" spans="1:11" x14ac:dyDescent="0.3">
      <c r="A1540">
        <v>37152527</v>
      </c>
      <c r="B1540">
        <v>4349443</v>
      </c>
      <c r="C1540" s="1">
        <v>45599</v>
      </c>
      <c r="D1540">
        <v>39</v>
      </c>
      <c r="E1540">
        <f>IF(
  ISNA(
    _xlfn.XLOOKUP(
      payments_raw[[#This Row],[subscription_id]],
      subscriptions[subscription_id],
      subscriptions[subscription_id]
    )
  ),
  0,
  1
)</f>
        <v>1</v>
      </c>
      <c r="F1540" s="1">
        <f>_xlfn.XLOOKUP(payments_raw[[#This Row],[subscription_id]], subscriptions[subscription_id], subscriptions[start_date])</f>
        <v>45524</v>
      </c>
      <c r="G15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0" s="2">
        <f>IF(payments_raw[[#This Row],[payment_date]] &lt; payments_raw[[#This Row],[sub_start_date]], 1, 0)</f>
        <v>0</v>
      </c>
      <c r="I1540" s="2">
        <f>IF(AND(payments_raw[[#This Row],[sub_end_date]]&lt;&gt;"", payments_raw[[#This Row],[payment_date]] &gt; payments_raw[[#This Row],[sub_end_date]]), 1, 0)</f>
        <v>0</v>
      </c>
      <c r="J1540" s="2">
        <f>IF(payments_raw[[#This Row],[amount]] &lt;= 0, 1, 0)</f>
        <v>0</v>
      </c>
      <c r="K15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1" spans="1:11" x14ac:dyDescent="0.3">
      <c r="A1541">
        <v>60723650</v>
      </c>
      <c r="B1541">
        <v>3405239</v>
      </c>
      <c r="C1541" s="1">
        <v>45485</v>
      </c>
      <c r="D1541">
        <v>39</v>
      </c>
      <c r="E1541">
        <f>IF(
  ISNA(
    _xlfn.XLOOKUP(
      payments_raw[[#This Row],[subscription_id]],
      subscriptions[subscription_id],
      subscriptions[subscription_id]
    )
  ),
  0,
  1
)</f>
        <v>1</v>
      </c>
      <c r="F1541" s="1">
        <f>_xlfn.XLOOKUP(payments_raw[[#This Row],[subscription_id]], subscriptions[subscription_id], subscriptions[start_date])</f>
        <v>45212</v>
      </c>
      <c r="G15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1" s="2">
        <f>IF(payments_raw[[#This Row],[payment_date]] &lt; payments_raw[[#This Row],[sub_start_date]], 1, 0)</f>
        <v>0</v>
      </c>
      <c r="I1541" s="2">
        <f>IF(AND(payments_raw[[#This Row],[sub_end_date]]&lt;&gt;"", payments_raw[[#This Row],[payment_date]] &gt; payments_raw[[#This Row],[sub_end_date]]), 1, 0)</f>
        <v>0</v>
      </c>
      <c r="J1541" s="2">
        <f>IF(payments_raw[[#This Row],[amount]] &lt;= 0, 1, 0)</f>
        <v>0</v>
      </c>
      <c r="K15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2" spans="1:11" x14ac:dyDescent="0.3">
      <c r="A1542">
        <v>85779559</v>
      </c>
      <c r="B1542">
        <v>8637262</v>
      </c>
      <c r="C1542" s="1">
        <v>45170</v>
      </c>
      <c r="D1542">
        <v>790</v>
      </c>
      <c r="E1542">
        <f>IF(
  ISNA(
    _xlfn.XLOOKUP(
      payments_raw[[#This Row],[subscription_id]],
      subscriptions[subscription_id],
      subscriptions[subscription_id]
    )
  ),
  0,
  1
)</f>
        <v>1</v>
      </c>
      <c r="F1542" s="1">
        <f>_xlfn.XLOOKUP(payments_raw[[#This Row],[subscription_id]], subscriptions[subscription_id], subscriptions[start_date])</f>
        <v>44852</v>
      </c>
      <c r="G15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45223</v>
      </c>
      <c r="H1542" s="2">
        <f>IF(payments_raw[[#This Row],[payment_date]] &lt; payments_raw[[#This Row],[sub_start_date]], 1, 0)</f>
        <v>0</v>
      </c>
      <c r="I1542" s="2">
        <f>IF(AND(payments_raw[[#This Row],[sub_end_date]]&lt;&gt;"", payments_raw[[#This Row],[payment_date]] &gt; payments_raw[[#This Row],[sub_end_date]]), 1, 0)</f>
        <v>0</v>
      </c>
      <c r="J1542" s="2">
        <f>IF(payments_raw[[#This Row],[amount]] &lt;= 0, 1, 0)</f>
        <v>0</v>
      </c>
      <c r="K15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3" spans="1:11" x14ac:dyDescent="0.3">
      <c r="A1543">
        <v>62132081</v>
      </c>
      <c r="B1543">
        <v>8596473</v>
      </c>
      <c r="C1543" s="1">
        <v>45222</v>
      </c>
      <c r="D1543">
        <v>149</v>
      </c>
      <c r="E1543">
        <f>IF(
  ISNA(
    _xlfn.XLOOKUP(
      payments_raw[[#This Row],[subscription_id]],
      subscriptions[subscription_id],
      subscriptions[subscription_id]
    )
  ),
  0,
  1
)</f>
        <v>1</v>
      </c>
      <c r="F1543" s="1">
        <f>_xlfn.XLOOKUP(payments_raw[[#This Row],[subscription_id]], subscriptions[subscription_id], subscriptions[start_date])</f>
        <v>44912</v>
      </c>
      <c r="G15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1543" s="2">
        <f>IF(payments_raw[[#This Row],[payment_date]] &lt; payments_raw[[#This Row],[sub_start_date]], 1, 0)</f>
        <v>0</v>
      </c>
      <c r="I1543" s="2">
        <f>IF(AND(payments_raw[[#This Row],[sub_end_date]]&lt;&gt;"", payments_raw[[#This Row],[payment_date]] &gt; payments_raw[[#This Row],[sub_end_date]]), 1, 0)</f>
        <v>0</v>
      </c>
      <c r="J1543" s="2">
        <f>IF(payments_raw[[#This Row],[amount]] &lt;= 0, 1, 0)</f>
        <v>0</v>
      </c>
      <c r="K15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4" spans="1:11" x14ac:dyDescent="0.3">
      <c r="A1544">
        <v>12070527</v>
      </c>
      <c r="B1544">
        <v>2069085</v>
      </c>
      <c r="C1544" s="1">
        <v>45421</v>
      </c>
      <c r="D1544">
        <v>149</v>
      </c>
      <c r="E1544">
        <f>IF(
  ISNA(
    _xlfn.XLOOKUP(
      payments_raw[[#This Row],[subscription_id]],
      subscriptions[subscription_id],
      subscriptions[subscription_id]
    )
  ),
  0,
  1
)</f>
        <v>1</v>
      </c>
      <c r="F1544" s="1">
        <f>_xlfn.XLOOKUP(payments_raw[[#This Row],[subscription_id]], subscriptions[subscription_id], subscriptions[start_date])</f>
        <v>45151</v>
      </c>
      <c r="G15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45492</v>
      </c>
      <c r="H1544" s="2">
        <f>IF(payments_raw[[#This Row],[payment_date]] &lt; payments_raw[[#This Row],[sub_start_date]], 1, 0)</f>
        <v>0</v>
      </c>
      <c r="I1544" s="2">
        <f>IF(AND(payments_raw[[#This Row],[sub_end_date]]&lt;&gt;"", payments_raw[[#This Row],[payment_date]] &gt; payments_raw[[#This Row],[sub_end_date]]), 1, 0)</f>
        <v>0</v>
      </c>
      <c r="J1544" s="2">
        <f>IF(payments_raw[[#This Row],[amount]] &lt;= 0, 1, 0)</f>
        <v>0</v>
      </c>
      <c r="K15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5" spans="1:11" x14ac:dyDescent="0.3">
      <c r="A1545">
        <v>68176544</v>
      </c>
      <c r="B1545">
        <v>3186206</v>
      </c>
      <c r="C1545" s="1">
        <v>45525</v>
      </c>
      <c r="D1545">
        <v>190</v>
      </c>
      <c r="E1545">
        <f>IF(
  ISNA(
    _xlfn.XLOOKUP(
      payments_raw[[#This Row],[subscription_id]],
      subscriptions[subscription_id],
      subscriptions[subscription_id]
    )
  ),
  0,
  1
)</f>
        <v>1</v>
      </c>
      <c r="F1545" s="1">
        <f>_xlfn.XLOOKUP(payments_raw[[#This Row],[subscription_id]], subscriptions[subscription_id], subscriptions[start_date])</f>
        <v>45240</v>
      </c>
      <c r="G15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5" s="2">
        <f>IF(payments_raw[[#This Row],[payment_date]] &lt; payments_raw[[#This Row],[sub_start_date]], 1, 0)</f>
        <v>0</v>
      </c>
      <c r="I1545" s="2">
        <f>IF(AND(payments_raw[[#This Row],[sub_end_date]]&lt;&gt;"", payments_raw[[#This Row],[payment_date]] &gt; payments_raw[[#This Row],[sub_end_date]]), 1, 0)</f>
        <v>0</v>
      </c>
      <c r="J1545" s="2">
        <f>IF(payments_raw[[#This Row],[amount]] &lt;= 0, 1, 0)</f>
        <v>0</v>
      </c>
      <c r="K15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6" spans="1:11" x14ac:dyDescent="0.3">
      <c r="A1546">
        <v>95265713</v>
      </c>
      <c r="B1546">
        <v>6539453</v>
      </c>
      <c r="C1546" s="1">
        <v>45418</v>
      </c>
      <c r="D1546">
        <v>299</v>
      </c>
      <c r="E1546">
        <f>IF(
  ISNA(
    _xlfn.XLOOKUP(
      payments_raw[[#This Row],[subscription_id]],
      subscriptions[subscription_id],
      subscriptions[subscription_id]
    )
  ),
  0,
  1
)</f>
        <v>1</v>
      </c>
      <c r="F1546" s="1">
        <f>_xlfn.XLOOKUP(payments_raw[[#This Row],[subscription_id]], subscriptions[subscription_id], subscriptions[start_date])</f>
        <v>44839</v>
      </c>
      <c r="G15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6" s="2">
        <f>IF(payments_raw[[#This Row],[payment_date]] &lt; payments_raw[[#This Row],[sub_start_date]], 1, 0)</f>
        <v>0</v>
      </c>
      <c r="I1546" s="2">
        <f>IF(AND(payments_raw[[#This Row],[sub_end_date]]&lt;&gt;"", payments_raw[[#This Row],[payment_date]] &gt; payments_raw[[#This Row],[sub_end_date]]), 1, 0)</f>
        <v>0</v>
      </c>
      <c r="J1546" s="2">
        <f>IF(payments_raw[[#This Row],[amount]] &lt;= 0, 1, 0)</f>
        <v>0</v>
      </c>
      <c r="K15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7" spans="1:11" x14ac:dyDescent="0.3">
      <c r="A1547">
        <v>81019783</v>
      </c>
      <c r="B1547">
        <v>1527651</v>
      </c>
      <c r="C1547" s="1">
        <v>44976</v>
      </c>
      <c r="D1547">
        <v>299</v>
      </c>
      <c r="E1547">
        <f>IF(
  ISNA(
    _xlfn.XLOOKUP(
      payments_raw[[#This Row],[subscription_id]],
      subscriptions[subscription_id],
      subscriptions[subscription_id]
    )
  ),
  0,
  1
)</f>
        <v>1</v>
      </c>
      <c r="F1547" s="1">
        <f>_xlfn.XLOOKUP(payments_raw[[#This Row],[subscription_id]], subscriptions[subscription_id], subscriptions[start_date])</f>
        <v>44802</v>
      </c>
      <c r="G15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45009</v>
      </c>
      <c r="H1547" s="2">
        <f>IF(payments_raw[[#This Row],[payment_date]] &lt; payments_raw[[#This Row],[sub_start_date]], 1, 0)</f>
        <v>0</v>
      </c>
      <c r="I1547" s="2">
        <f>IF(AND(payments_raw[[#This Row],[sub_end_date]]&lt;&gt;"", payments_raw[[#This Row],[payment_date]] &gt; payments_raw[[#This Row],[sub_end_date]]), 1, 0)</f>
        <v>0</v>
      </c>
      <c r="J1547" s="2">
        <f>IF(payments_raw[[#This Row],[amount]] &lt;= 0, 1, 0)</f>
        <v>0</v>
      </c>
      <c r="K15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8" spans="1:11" x14ac:dyDescent="0.3">
      <c r="A1548">
        <v>75135201</v>
      </c>
      <c r="B1548">
        <v>2561327</v>
      </c>
      <c r="C1548" s="1">
        <v>45331</v>
      </c>
      <c r="D1548">
        <v>19.5</v>
      </c>
      <c r="E1548">
        <f>IF(
  ISNA(
    _xlfn.XLOOKUP(
      payments_raw[[#This Row],[subscription_id]],
      subscriptions[subscription_id],
      subscriptions[subscription_id]
    )
  ),
  0,
  1
)</f>
        <v>1</v>
      </c>
      <c r="F1548" s="1">
        <f>_xlfn.XLOOKUP(payments_raw[[#This Row],[subscription_id]], subscriptions[subscription_id], subscriptions[start_date])</f>
        <v>45017</v>
      </c>
      <c r="G15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45334</v>
      </c>
      <c r="H1548" s="2">
        <f>IF(payments_raw[[#This Row],[payment_date]] &lt; payments_raw[[#This Row],[sub_start_date]], 1, 0)</f>
        <v>0</v>
      </c>
      <c r="I1548" s="2">
        <f>IF(AND(payments_raw[[#This Row],[sub_end_date]]&lt;&gt;"", payments_raw[[#This Row],[payment_date]] &gt; payments_raw[[#This Row],[sub_end_date]]), 1, 0)</f>
        <v>0</v>
      </c>
      <c r="J1548" s="2">
        <f>IF(payments_raw[[#This Row],[amount]] &lt;= 0, 1, 0)</f>
        <v>0</v>
      </c>
      <c r="K15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49" spans="1:11" x14ac:dyDescent="0.3">
      <c r="A1549">
        <v>59794206</v>
      </c>
      <c r="B1549">
        <v>4006909</v>
      </c>
      <c r="C1549" s="1">
        <v>45474</v>
      </c>
      <c r="D1549">
        <v>790</v>
      </c>
      <c r="E1549">
        <f>IF(
  ISNA(
    _xlfn.XLOOKUP(
      payments_raw[[#This Row],[subscription_id]],
      subscriptions[subscription_id],
      subscriptions[subscription_id]
    )
  ),
  0,
  1
)</f>
        <v>1</v>
      </c>
      <c r="F1549" s="1">
        <f>_xlfn.XLOOKUP(payments_raw[[#This Row],[subscription_id]], subscriptions[subscription_id], subscriptions[start_date])</f>
        <v>44869</v>
      </c>
      <c r="G15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49" s="2">
        <f>IF(payments_raw[[#This Row],[payment_date]] &lt; payments_raw[[#This Row],[sub_start_date]], 1, 0)</f>
        <v>0</v>
      </c>
      <c r="I1549" s="2">
        <f>IF(AND(payments_raw[[#This Row],[sub_end_date]]&lt;&gt;"", payments_raw[[#This Row],[payment_date]] &gt; payments_raw[[#This Row],[sub_end_date]]), 1, 0)</f>
        <v>0</v>
      </c>
      <c r="J1549" s="2">
        <f>IF(payments_raw[[#This Row],[amount]] &lt;= 0, 1, 0)</f>
        <v>0</v>
      </c>
      <c r="K15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0" spans="1:11" x14ac:dyDescent="0.3">
      <c r="A1550">
        <v>58723900</v>
      </c>
      <c r="B1550">
        <v>6326787</v>
      </c>
      <c r="C1550" s="1">
        <v>44632</v>
      </c>
      <c r="D1550">
        <v>190</v>
      </c>
      <c r="E1550">
        <f>IF(
  ISNA(
    _xlfn.XLOOKUP(
      payments_raw[[#This Row],[subscription_id]],
      subscriptions[subscription_id],
      subscriptions[subscription_id]
    )
  ),
  0,
  1
)</f>
        <v>1</v>
      </c>
      <c r="F1550" s="1">
        <f>_xlfn.XLOOKUP(payments_raw[[#This Row],[subscription_id]], subscriptions[subscription_id], subscriptions[start_date])</f>
        <v>44603</v>
      </c>
      <c r="G1550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1550" s="2">
        <f>IF(payments_raw[[#This Row],[payment_date]] &lt; payments_raw[[#This Row],[sub_start_date]], 1, 0)</f>
        <v>0</v>
      </c>
      <c r="I1550" s="2">
        <f>IF(AND(payments_raw[[#This Row],[sub_end_date]]&lt;&gt;"", payments_raw[[#This Row],[payment_date]] &gt; payments_raw[[#This Row],[sub_end_date]]), 1, 0)</f>
        <v>0</v>
      </c>
      <c r="J1550" s="2">
        <f>IF(payments_raw[[#This Row],[amount]] &lt;= 0, 1, 0)</f>
        <v>0</v>
      </c>
      <c r="K15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1" spans="1:11" x14ac:dyDescent="0.3">
      <c r="A1551">
        <v>86416822</v>
      </c>
      <c r="B1551">
        <v>6905993</v>
      </c>
      <c r="C1551" s="1">
        <v>45472</v>
      </c>
      <c r="D1551">
        <v>149</v>
      </c>
      <c r="E1551">
        <f>IF(
  ISNA(
    _xlfn.XLOOKUP(
      payments_raw[[#This Row],[subscription_id]],
      subscriptions[subscription_id],
      subscriptions[subscription_id]
    )
  ),
  0,
  1
)</f>
        <v>1</v>
      </c>
      <c r="F1551" s="1">
        <f>_xlfn.XLOOKUP(payments_raw[[#This Row],[subscription_id]], subscriptions[subscription_id], subscriptions[start_date])</f>
        <v>45007</v>
      </c>
      <c r="G15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1" s="2">
        <f>IF(payments_raw[[#This Row],[payment_date]] &lt; payments_raw[[#This Row],[sub_start_date]], 1, 0)</f>
        <v>0</v>
      </c>
      <c r="I1551" s="2">
        <f>IF(AND(payments_raw[[#This Row],[sub_end_date]]&lt;&gt;"", payments_raw[[#This Row],[payment_date]] &gt; payments_raw[[#This Row],[sub_end_date]]), 1, 0)</f>
        <v>0</v>
      </c>
      <c r="J1551" s="2">
        <f>IF(payments_raw[[#This Row],[amount]] &lt;= 0, 1, 0)</f>
        <v>0</v>
      </c>
      <c r="K15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2" spans="1:11" x14ac:dyDescent="0.3">
      <c r="A1552">
        <v>13137155</v>
      </c>
      <c r="B1552">
        <v>6829443</v>
      </c>
      <c r="C1552" s="1">
        <v>45621</v>
      </c>
      <c r="D1552">
        <v>39</v>
      </c>
      <c r="E1552">
        <f>IF(
  ISNA(
    _xlfn.XLOOKUP(
      payments_raw[[#This Row],[subscription_id]],
      subscriptions[subscription_id],
      subscriptions[subscription_id]
    )
  ),
  0,
  1
)</f>
        <v>1</v>
      </c>
      <c r="F1552" s="1">
        <f>_xlfn.XLOOKUP(payments_raw[[#This Row],[subscription_id]], subscriptions[subscription_id], subscriptions[start_date])</f>
        <v>45317</v>
      </c>
      <c r="G15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2" s="2">
        <f>IF(payments_raw[[#This Row],[payment_date]] &lt; payments_raw[[#This Row],[sub_start_date]], 1, 0)</f>
        <v>0</v>
      </c>
      <c r="I1552" s="2">
        <f>IF(AND(payments_raw[[#This Row],[sub_end_date]]&lt;&gt;"", payments_raw[[#This Row],[payment_date]] &gt; payments_raw[[#This Row],[sub_end_date]]), 1, 0)</f>
        <v>0</v>
      </c>
      <c r="J1552" s="2">
        <f>IF(payments_raw[[#This Row],[amount]] &lt;= 0, 1, 0)</f>
        <v>0</v>
      </c>
      <c r="K15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3" spans="1:11" x14ac:dyDescent="0.3">
      <c r="A1553">
        <v>12989960</v>
      </c>
      <c r="B1553">
        <v>1940329</v>
      </c>
      <c r="C1553" s="1">
        <v>45530</v>
      </c>
      <c r="D1553">
        <v>111.75</v>
      </c>
      <c r="E1553">
        <f>IF(
  ISNA(
    _xlfn.XLOOKUP(
      payments_raw[[#This Row],[subscription_id]],
      subscriptions[subscription_id],
      subscriptions[subscription_id]
    )
  ),
  0,
  1
)</f>
        <v>1</v>
      </c>
      <c r="F1553" s="1">
        <f>_xlfn.XLOOKUP(payments_raw[[#This Row],[subscription_id]], subscriptions[subscription_id], subscriptions[start_date])</f>
        <v>45470</v>
      </c>
      <c r="G15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1553" s="2">
        <f>IF(payments_raw[[#This Row],[payment_date]] &lt; payments_raw[[#This Row],[sub_start_date]], 1, 0)</f>
        <v>0</v>
      </c>
      <c r="I1553" s="2">
        <f>IF(AND(payments_raw[[#This Row],[sub_end_date]]&lt;&gt;"", payments_raw[[#This Row],[payment_date]] &gt; payments_raw[[#This Row],[sub_end_date]]), 1, 0)</f>
        <v>0</v>
      </c>
      <c r="J1553" s="2">
        <f>IF(payments_raw[[#This Row],[amount]] &lt;= 0, 1, 0)</f>
        <v>0</v>
      </c>
      <c r="K15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4" spans="1:11" x14ac:dyDescent="0.3">
      <c r="A1554">
        <v>58117953</v>
      </c>
      <c r="B1554">
        <v>6479245</v>
      </c>
      <c r="C1554" s="1">
        <v>45557</v>
      </c>
      <c r="D1554">
        <v>79</v>
      </c>
      <c r="E1554">
        <f>IF(
  ISNA(
    _xlfn.XLOOKUP(
      payments_raw[[#This Row],[subscription_id]],
      subscriptions[subscription_id],
      subscriptions[subscription_id]
    )
  ),
  0,
  1
)</f>
        <v>1</v>
      </c>
      <c r="F1554" s="1">
        <f>_xlfn.XLOOKUP(payments_raw[[#This Row],[subscription_id]], subscriptions[subscription_id], subscriptions[start_date])</f>
        <v>45325</v>
      </c>
      <c r="G15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4" s="2">
        <f>IF(payments_raw[[#This Row],[payment_date]] &lt; payments_raw[[#This Row],[sub_start_date]], 1, 0)</f>
        <v>0</v>
      </c>
      <c r="I1554" s="2">
        <f>IF(AND(payments_raw[[#This Row],[sub_end_date]]&lt;&gt;"", payments_raw[[#This Row],[payment_date]] &gt; payments_raw[[#This Row],[sub_end_date]]), 1, 0)</f>
        <v>0</v>
      </c>
      <c r="J1554" s="2">
        <f>IF(payments_raw[[#This Row],[amount]] &lt;= 0, 1, 0)</f>
        <v>0</v>
      </c>
      <c r="K15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5" spans="1:11" x14ac:dyDescent="0.3">
      <c r="A1555">
        <v>94699404</v>
      </c>
      <c r="B1555">
        <v>3046457</v>
      </c>
      <c r="C1555" s="1">
        <v>44724</v>
      </c>
      <c r="D1555">
        <v>1490</v>
      </c>
      <c r="E1555">
        <f>IF(
  ISNA(
    _xlfn.XLOOKUP(
      payments_raw[[#This Row],[subscription_id]],
      subscriptions[subscription_id],
      subscriptions[subscription_id]
    )
  ),
  0,
  1
)</f>
        <v>1</v>
      </c>
      <c r="F1555" s="1">
        <f>_xlfn.XLOOKUP(payments_raw[[#This Row],[subscription_id]], subscriptions[subscription_id], subscriptions[start_date])</f>
        <v>44677</v>
      </c>
      <c r="G155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44809</v>
      </c>
      <c r="H1555" s="2">
        <f>IF(payments_raw[[#This Row],[payment_date]] &lt; payments_raw[[#This Row],[sub_start_date]], 1, 0)</f>
        <v>0</v>
      </c>
      <c r="I1555" s="2">
        <f>IF(AND(payments_raw[[#This Row],[sub_end_date]]&lt;&gt;"", payments_raw[[#This Row],[payment_date]] &gt; payments_raw[[#This Row],[sub_end_date]]), 1, 0)</f>
        <v>0</v>
      </c>
      <c r="J1555" s="2">
        <f>IF(payments_raw[[#This Row],[amount]] &lt;= 0, 1, 0)</f>
        <v>0</v>
      </c>
      <c r="K15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6" spans="1:11" x14ac:dyDescent="0.3">
      <c r="A1556">
        <v>50631151</v>
      </c>
      <c r="B1556">
        <v>4273103</v>
      </c>
      <c r="C1556" s="1">
        <v>45408</v>
      </c>
      <c r="D1556">
        <v>790</v>
      </c>
      <c r="E1556">
        <f>IF(
  ISNA(
    _xlfn.XLOOKUP(
      payments_raw[[#This Row],[subscription_id]],
      subscriptions[subscription_id],
      subscriptions[subscription_id]
    )
  ),
  0,
  1
)</f>
        <v>1</v>
      </c>
      <c r="F1556" s="1">
        <f>_xlfn.XLOOKUP(payments_raw[[#This Row],[subscription_id]], subscriptions[subscription_id], subscriptions[start_date])</f>
        <v>45368</v>
      </c>
      <c r="G15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6" s="2">
        <f>IF(payments_raw[[#This Row],[payment_date]] &lt; payments_raw[[#This Row],[sub_start_date]], 1, 0)</f>
        <v>0</v>
      </c>
      <c r="I1556" s="2">
        <f>IF(AND(payments_raw[[#This Row],[sub_end_date]]&lt;&gt;"", payments_raw[[#This Row],[payment_date]] &gt; payments_raw[[#This Row],[sub_end_date]]), 1, 0)</f>
        <v>0</v>
      </c>
      <c r="J1556" s="2">
        <f>IF(payments_raw[[#This Row],[amount]] &lt;= 0, 1, 0)</f>
        <v>0</v>
      </c>
      <c r="K15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7" spans="1:11" x14ac:dyDescent="0.3">
      <c r="A1557">
        <v>10784416</v>
      </c>
      <c r="B1557">
        <v>7550021</v>
      </c>
      <c r="C1557" s="1">
        <v>45502</v>
      </c>
      <c r="D1557">
        <v>190</v>
      </c>
      <c r="E1557">
        <f>IF(
  ISNA(
    _xlfn.XLOOKUP(
      payments_raw[[#This Row],[subscription_id]],
      subscriptions[subscription_id],
      subscriptions[subscription_id]
    )
  ),
  0,
  1
)</f>
        <v>1</v>
      </c>
      <c r="F1557" s="1">
        <f>_xlfn.XLOOKUP(payments_raw[[#This Row],[subscription_id]], subscriptions[subscription_id], subscriptions[start_date])</f>
        <v>44917</v>
      </c>
      <c r="G15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7" s="2">
        <f>IF(payments_raw[[#This Row],[payment_date]] &lt; payments_raw[[#This Row],[sub_start_date]], 1, 0)</f>
        <v>0</v>
      </c>
      <c r="I1557" s="2">
        <f>IF(AND(payments_raw[[#This Row],[sub_end_date]]&lt;&gt;"", payments_raw[[#This Row],[payment_date]] &gt; payments_raw[[#This Row],[sub_end_date]]), 1, 0)</f>
        <v>0</v>
      </c>
      <c r="J1557" s="2">
        <f>IF(payments_raw[[#This Row],[amount]] &lt;= 0, 1, 0)</f>
        <v>0</v>
      </c>
      <c r="K15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8" spans="1:11" x14ac:dyDescent="0.3">
      <c r="A1558">
        <v>28683135</v>
      </c>
      <c r="B1558">
        <v>9513036</v>
      </c>
      <c r="C1558" s="1">
        <v>44773</v>
      </c>
      <c r="D1558">
        <v>79</v>
      </c>
      <c r="E1558">
        <f>IF(
  ISNA(
    _xlfn.XLOOKUP(
      payments_raw[[#This Row],[subscription_id]],
      subscriptions[subscription_id],
      subscriptions[subscription_id]
    )
  ),
  0,
  1
)</f>
        <v>1</v>
      </c>
      <c r="F1558" s="1">
        <f>_xlfn.XLOOKUP(payments_raw[[#This Row],[subscription_id]], subscriptions[subscription_id], subscriptions[start_date])</f>
        <v>44699</v>
      </c>
      <c r="G15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58" s="2">
        <f>IF(payments_raw[[#This Row],[payment_date]] &lt; payments_raw[[#This Row],[sub_start_date]], 1, 0)</f>
        <v>0</v>
      </c>
      <c r="I1558" s="2">
        <f>IF(AND(payments_raw[[#This Row],[sub_end_date]]&lt;&gt;"", payments_raw[[#This Row],[payment_date]] &gt; payments_raw[[#This Row],[sub_end_date]]), 1, 0)</f>
        <v>0</v>
      </c>
      <c r="J1558" s="2">
        <f>IF(payments_raw[[#This Row],[amount]] &lt;= 0, 1, 0)</f>
        <v>0</v>
      </c>
      <c r="K15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59" spans="1:11" x14ac:dyDescent="0.3">
      <c r="A1559">
        <v>58480371</v>
      </c>
      <c r="B1559">
        <v>3240199</v>
      </c>
      <c r="C1559" s="1">
        <v>45465</v>
      </c>
      <c r="D1559">
        <v>190</v>
      </c>
      <c r="E1559">
        <f>IF(
  ISNA(
    _xlfn.XLOOKUP(
      payments_raw[[#This Row],[subscription_id]],
      subscriptions[subscription_id],
      subscriptions[subscription_id]
    )
  ),
  0,
  1
)</f>
        <v>1</v>
      </c>
      <c r="F1559" s="1">
        <f>_xlfn.XLOOKUP(payments_raw[[#This Row],[subscription_id]], subscriptions[subscription_id], subscriptions[start_date])</f>
        <v>45380</v>
      </c>
      <c r="G15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1559" s="2">
        <f>IF(payments_raw[[#This Row],[payment_date]] &lt; payments_raw[[#This Row],[sub_start_date]], 1, 0)</f>
        <v>0</v>
      </c>
      <c r="I1559" s="2">
        <f>IF(AND(payments_raw[[#This Row],[sub_end_date]]&lt;&gt;"", payments_raw[[#This Row],[payment_date]] &gt; payments_raw[[#This Row],[sub_end_date]]), 1, 0)</f>
        <v>0</v>
      </c>
      <c r="J1559" s="2">
        <f>IF(payments_raw[[#This Row],[amount]] &lt;= 0, 1, 0)</f>
        <v>0</v>
      </c>
      <c r="K15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0" spans="1:11" x14ac:dyDescent="0.3">
      <c r="A1560">
        <v>25807969</v>
      </c>
      <c r="B1560">
        <v>4534335</v>
      </c>
      <c r="C1560" s="1">
        <v>45567</v>
      </c>
      <c r="D1560">
        <v>1490</v>
      </c>
      <c r="E1560">
        <f>IF(
  ISNA(
    _xlfn.XLOOKUP(
      payments_raw[[#This Row],[subscription_id]],
      subscriptions[subscription_id],
      subscriptions[subscription_id]
    )
  ),
  0,
  1
)</f>
        <v>1</v>
      </c>
      <c r="F1560" s="1">
        <f>_xlfn.XLOOKUP(payments_raw[[#This Row],[subscription_id]], subscriptions[subscription_id], subscriptions[start_date])</f>
        <v>45450</v>
      </c>
      <c r="G15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0" s="2">
        <f>IF(payments_raw[[#This Row],[payment_date]] &lt; payments_raw[[#This Row],[sub_start_date]], 1, 0)</f>
        <v>0</v>
      </c>
      <c r="I1560" s="2">
        <f>IF(AND(payments_raw[[#This Row],[sub_end_date]]&lt;&gt;"", payments_raw[[#This Row],[payment_date]] &gt; payments_raw[[#This Row],[sub_end_date]]), 1, 0)</f>
        <v>0</v>
      </c>
      <c r="J1560" s="2">
        <f>IF(payments_raw[[#This Row],[amount]] &lt;= 0, 1, 0)</f>
        <v>0</v>
      </c>
      <c r="K15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1" spans="1:11" x14ac:dyDescent="0.3">
      <c r="A1561">
        <v>49028814</v>
      </c>
      <c r="B1561">
        <v>8707287</v>
      </c>
      <c r="C1561" s="1">
        <v>45030</v>
      </c>
      <c r="D1561">
        <v>17.100000000000001</v>
      </c>
      <c r="E1561">
        <f>IF(
  ISNA(
    _xlfn.XLOOKUP(
      payments_raw[[#This Row],[subscription_id]],
      subscriptions[subscription_id],
      subscriptions[subscription_id]
    )
  ),
  0,
  1
)</f>
        <v>1</v>
      </c>
      <c r="F1561" s="1">
        <f>_xlfn.XLOOKUP(payments_raw[[#This Row],[subscription_id]], subscriptions[subscription_id], subscriptions[start_date])</f>
        <v>44940</v>
      </c>
      <c r="G15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45060</v>
      </c>
      <c r="H1561" s="2">
        <f>IF(payments_raw[[#This Row],[payment_date]] &lt; payments_raw[[#This Row],[sub_start_date]], 1, 0)</f>
        <v>0</v>
      </c>
      <c r="I1561" s="2">
        <f>IF(AND(payments_raw[[#This Row],[sub_end_date]]&lt;&gt;"", payments_raw[[#This Row],[payment_date]] &gt; payments_raw[[#This Row],[sub_end_date]]), 1, 0)</f>
        <v>0</v>
      </c>
      <c r="J1561" s="2">
        <f>IF(payments_raw[[#This Row],[amount]] &lt;= 0, 1, 0)</f>
        <v>0</v>
      </c>
      <c r="K15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2" spans="1:11" x14ac:dyDescent="0.3">
      <c r="A1562">
        <v>28517985</v>
      </c>
      <c r="B1562">
        <v>7095636</v>
      </c>
      <c r="C1562" s="1">
        <v>45534</v>
      </c>
      <c r="D1562">
        <v>190</v>
      </c>
      <c r="E1562">
        <f>IF(
  ISNA(
    _xlfn.XLOOKUP(
      payments_raw[[#This Row],[subscription_id]],
      subscriptions[subscription_id],
      subscriptions[subscription_id]
    )
  ),
  0,
  1
)</f>
        <v>1</v>
      </c>
      <c r="F1562" s="1">
        <f>_xlfn.XLOOKUP(payments_raw[[#This Row],[subscription_id]], subscriptions[subscription_id], subscriptions[start_date])</f>
        <v>45285</v>
      </c>
      <c r="G15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2" s="2">
        <f>IF(payments_raw[[#This Row],[payment_date]] &lt; payments_raw[[#This Row],[sub_start_date]], 1, 0)</f>
        <v>0</v>
      </c>
      <c r="I1562" s="2">
        <f>IF(AND(payments_raw[[#This Row],[sub_end_date]]&lt;&gt;"", payments_raw[[#This Row],[payment_date]] &gt; payments_raw[[#This Row],[sub_end_date]]), 1, 0)</f>
        <v>0</v>
      </c>
      <c r="J1562" s="2">
        <f>IF(payments_raw[[#This Row],[amount]] &lt;= 0, 1, 0)</f>
        <v>0</v>
      </c>
      <c r="K15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3" spans="1:11" x14ac:dyDescent="0.3">
      <c r="A1563">
        <v>90815605</v>
      </c>
      <c r="B1563">
        <v>6415010</v>
      </c>
      <c r="C1563" s="1">
        <v>44972</v>
      </c>
      <c r="D1563">
        <v>79</v>
      </c>
      <c r="E1563">
        <f>IF(
  ISNA(
    _xlfn.XLOOKUP(
      payments_raw[[#This Row],[subscription_id]],
      subscriptions[subscription_id],
      subscriptions[subscription_id]
    )
  ),
  0,
  1
)</f>
        <v>1</v>
      </c>
      <c r="F1563" s="1">
        <f>_xlfn.XLOOKUP(payments_raw[[#This Row],[subscription_id]], subscriptions[subscription_id], subscriptions[start_date])</f>
        <v>44594</v>
      </c>
      <c r="G15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3" s="2">
        <f>IF(payments_raw[[#This Row],[payment_date]] &lt; payments_raw[[#This Row],[sub_start_date]], 1, 0)</f>
        <v>0</v>
      </c>
      <c r="I1563" s="2">
        <f>IF(AND(payments_raw[[#This Row],[sub_end_date]]&lt;&gt;"", payments_raw[[#This Row],[payment_date]] &gt; payments_raw[[#This Row],[sub_end_date]]), 1, 0)</f>
        <v>0</v>
      </c>
      <c r="J1563" s="2">
        <f>IF(payments_raw[[#This Row],[amount]] &lt;= 0, 1, 0)</f>
        <v>0</v>
      </c>
      <c r="K15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4" spans="1:11" x14ac:dyDescent="0.3">
      <c r="A1564">
        <v>22961673</v>
      </c>
      <c r="B1564">
        <v>1238014</v>
      </c>
      <c r="C1564" s="1">
        <v>44939</v>
      </c>
      <c r="D1564">
        <v>1490</v>
      </c>
      <c r="E1564">
        <f>IF(
  ISNA(
    _xlfn.XLOOKUP(
      payments_raw[[#This Row],[subscription_id]],
      subscriptions[subscription_id],
      subscriptions[subscription_id]
    )
  ),
  0,
  1
)</f>
        <v>1</v>
      </c>
      <c r="F1564" s="1">
        <f>_xlfn.XLOOKUP(payments_raw[[#This Row],[subscription_id]], subscriptions[subscription_id], subscriptions[start_date])</f>
        <v>44870</v>
      </c>
      <c r="G156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1564" s="2">
        <f>IF(payments_raw[[#This Row],[payment_date]] &lt; payments_raw[[#This Row],[sub_start_date]], 1, 0)</f>
        <v>0</v>
      </c>
      <c r="I1564" s="2">
        <f>IF(AND(payments_raw[[#This Row],[sub_end_date]]&lt;&gt;"", payments_raw[[#This Row],[payment_date]] &gt; payments_raw[[#This Row],[sub_end_date]]), 1, 0)</f>
        <v>0</v>
      </c>
      <c r="J1564" s="2">
        <f>IF(payments_raw[[#This Row],[amount]] &lt;= 0, 1, 0)</f>
        <v>0</v>
      </c>
      <c r="K15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5" spans="1:11" x14ac:dyDescent="0.3">
      <c r="A1565">
        <v>96567889</v>
      </c>
      <c r="B1565">
        <v>6773384</v>
      </c>
      <c r="C1565" s="1">
        <v>45656</v>
      </c>
      <c r="D1565">
        <v>190</v>
      </c>
      <c r="E1565">
        <f>IF(
  ISNA(
    _xlfn.XLOOKUP(
      payments_raw[[#This Row],[subscription_id]],
      subscriptions[subscription_id],
      subscriptions[subscription_id]
    )
  ),
  0,
  1
)</f>
        <v>1</v>
      </c>
      <c r="F1565" s="1">
        <f>_xlfn.XLOOKUP(payments_raw[[#This Row],[subscription_id]], subscriptions[subscription_id], subscriptions[start_date])</f>
        <v>45586</v>
      </c>
      <c r="G15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5" s="2">
        <f>IF(payments_raw[[#This Row],[payment_date]] &lt; payments_raw[[#This Row],[sub_start_date]], 1, 0)</f>
        <v>0</v>
      </c>
      <c r="I1565" s="2">
        <f>IF(AND(payments_raw[[#This Row],[sub_end_date]]&lt;&gt;"", payments_raw[[#This Row],[payment_date]] &gt; payments_raw[[#This Row],[sub_end_date]]), 1, 0)</f>
        <v>0</v>
      </c>
      <c r="J1565" s="2">
        <f>IF(payments_raw[[#This Row],[amount]] &lt;= 0, 1, 0)</f>
        <v>0</v>
      </c>
      <c r="K15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6" spans="1:11" x14ac:dyDescent="0.3">
      <c r="A1566">
        <v>22334885</v>
      </c>
      <c r="B1566">
        <v>7320122</v>
      </c>
      <c r="C1566" s="1">
        <v>44837</v>
      </c>
      <c r="D1566">
        <v>299</v>
      </c>
      <c r="E1566">
        <f>IF(
  ISNA(
    _xlfn.XLOOKUP(
      payments_raw[[#This Row],[subscription_id]],
      subscriptions[subscription_id],
      subscriptions[subscription_id]
    )
  ),
  0,
  1
)</f>
        <v>1</v>
      </c>
      <c r="F1566" s="1">
        <f>_xlfn.XLOOKUP(payments_raw[[#This Row],[subscription_id]], subscriptions[subscription_id], subscriptions[start_date])</f>
        <v>44682</v>
      </c>
      <c r="G156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1566" s="2">
        <f>IF(payments_raw[[#This Row],[payment_date]] &lt; payments_raw[[#This Row],[sub_start_date]], 1, 0)</f>
        <v>0</v>
      </c>
      <c r="I1566" s="2">
        <f>IF(AND(payments_raw[[#This Row],[sub_end_date]]&lt;&gt;"", payments_raw[[#This Row],[payment_date]] &gt; payments_raw[[#This Row],[sub_end_date]]), 1, 0)</f>
        <v>0</v>
      </c>
      <c r="J1566" s="2">
        <f>IF(payments_raw[[#This Row],[amount]] &lt;= 0, 1, 0)</f>
        <v>0</v>
      </c>
      <c r="K15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7" spans="1:11" x14ac:dyDescent="0.3">
      <c r="A1567">
        <v>64064636</v>
      </c>
      <c r="B1567">
        <v>2797914</v>
      </c>
      <c r="C1567" s="1">
        <v>44854</v>
      </c>
      <c r="D1567">
        <v>79</v>
      </c>
      <c r="E1567">
        <f>IF(
  ISNA(
    _xlfn.XLOOKUP(
      payments_raw[[#This Row],[subscription_id]],
      subscriptions[subscription_id],
      subscriptions[subscription_id]
    )
  ),
  0,
  1
)</f>
        <v>1</v>
      </c>
      <c r="F1567" s="1">
        <f>_xlfn.XLOOKUP(payments_raw[[#This Row],[subscription_id]], subscriptions[subscription_id], subscriptions[start_date])</f>
        <v>44572</v>
      </c>
      <c r="G15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7" s="2">
        <f>IF(payments_raw[[#This Row],[payment_date]] &lt; payments_raw[[#This Row],[sub_start_date]], 1, 0)</f>
        <v>0</v>
      </c>
      <c r="I1567" s="2">
        <f>IF(AND(payments_raw[[#This Row],[sub_end_date]]&lt;&gt;"", payments_raw[[#This Row],[payment_date]] &gt; payments_raw[[#This Row],[sub_end_date]]), 1, 0)</f>
        <v>0</v>
      </c>
      <c r="J1567" s="2">
        <f>IF(payments_raw[[#This Row],[amount]] &lt;= 0, 1, 0)</f>
        <v>0</v>
      </c>
      <c r="K15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8" spans="1:11" x14ac:dyDescent="0.3">
      <c r="A1568">
        <v>33760048</v>
      </c>
      <c r="B1568">
        <v>2643275</v>
      </c>
      <c r="C1568" s="1">
        <v>45375</v>
      </c>
      <c r="D1568">
        <v>149</v>
      </c>
      <c r="E1568">
        <f>IF(
  ISNA(
    _xlfn.XLOOKUP(
      payments_raw[[#This Row],[subscription_id]],
      subscriptions[subscription_id],
      subscriptions[subscription_id]
    )
  ),
  0,
  1
)</f>
        <v>1</v>
      </c>
      <c r="F1568" s="1">
        <f>_xlfn.XLOOKUP(payments_raw[[#This Row],[subscription_id]], subscriptions[subscription_id], subscriptions[start_date])</f>
        <v>45334</v>
      </c>
      <c r="G15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1568" s="2">
        <f>IF(payments_raw[[#This Row],[payment_date]] &lt; payments_raw[[#This Row],[sub_start_date]], 1, 0)</f>
        <v>0</v>
      </c>
      <c r="I1568" s="2">
        <f>IF(AND(payments_raw[[#This Row],[sub_end_date]]&lt;&gt;"", payments_raw[[#This Row],[payment_date]] &gt; payments_raw[[#This Row],[sub_end_date]]), 1, 0)</f>
        <v>0</v>
      </c>
      <c r="J1568" s="2">
        <f>IF(payments_raw[[#This Row],[amount]] &lt;= 0, 1, 0)</f>
        <v>0</v>
      </c>
      <c r="K15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69" spans="1:11" x14ac:dyDescent="0.3">
      <c r="A1569">
        <v>74092715</v>
      </c>
      <c r="B1569">
        <v>5202915</v>
      </c>
      <c r="C1569" s="1">
        <v>45271</v>
      </c>
      <c r="D1569">
        <v>390</v>
      </c>
      <c r="E1569">
        <f>IF(
  ISNA(
    _xlfn.XLOOKUP(
      payments_raw[[#This Row],[subscription_id]],
      subscriptions[subscription_id],
      subscriptions[subscription_id]
    )
  ),
  0,
  1
)</f>
        <v>1</v>
      </c>
      <c r="F1569" s="1">
        <f>_xlfn.XLOOKUP(payments_raw[[#This Row],[subscription_id]], subscriptions[subscription_id], subscriptions[start_date])</f>
        <v>44587</v>
      </c>
      <c r="G15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69" s="2">
        <f>IF(payments_raw[[#This Row],[payment_date]] &lt; payments_raw[[#This Row],[sub_start_date]], 1, 0)</f>
        <v>0</v>
      </c>
      <c r="I1569" s="2">
        <f>IF(AND(payments_raw[[#This Row],[sub_end_date]]&lt;&gt;"", payments_raw[[#This Row],[payment_date]] &gt; payments_raw[[#This Row],[sub_end_date]]), 1, 0)</f>
        <v>0</v>
      </c>
      <c r="J1569" s="2">
        <f>IF(payments_raw[[#This Row],[amount]] &lt;= 0, 1, 0)</f>
        <v>0</v>
      </c>
      <c r="K15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0" spans="1:11" x14ac:dyDescent="0.3">
      <c r="A1570">
        <v>19992259</v>
      </c>
      <c r="B1570">
        <v>5346875</v>
      </c>
      <c r="C1570" s="1">
        <v>45258</v>
      </c>
      <c r="D1570">
        <v>711</v>
      </c>
      <c r="E1570">
        <f>IF(
  ISNA(
    _xlfn.XLOOKUP(
      payments_raw[[#This Row],[subscription_id]],
      subscriptions[subscription_id],
      subscriptions[subscription_id]
    )
  ),
  0,
  1
)</f>
        <v>1</v>
      </c>
      <c r="F1570" s="1">
        <f>_xlfn.XLOOKUP(payments_raw[[#This Row],[subscription_id]], subscriptions[subscription_id], subscriptions[start_date])</f>
        <v>44798</v>
      </c>
      <c r="G15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70" s="2">
        <f>IF(payments_raw[[#This Row],[payment_date]] &lt; payments_raw[[#This Row],[sub_start_date]], 1, 0)</f>
        <v>0</v>
      </c>
      <c r="I1570" s="2">
        <f>IF(AND(payments_raw[[#This Row],[sub_end_date]]&lt;&gt;"", payments_raw[[#This Row],[payment_date]] &gt; payments_raw[[#This Row],[sub_end_date]]), 1, 0)</f>
        <v>0</v>
      </c>
      <c r="J1570" s="2">
        <f>IF(payments_raw[[#This Row],[amount]] &lt;= 0, 1, 0)</f>
        <v>0</v>
      </c>
      <c r="K15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1" spans="1:11" x14ac:dyDescent="0.3">
      <c r="A1571">
        <v>45478283</v>
      </c>
      <c r="B1571">
        <v>2574505</v>
      </c>
      <c r="C1571" s="1">
        <v>45594</v>
      </c>
      <c r="D1571">
        <v>790</v>
      </c>
      <c r="E1571">
        <f>IF(
  ISNA(
    _xlfn.XLOOKUP(
      payments_raw[[#This Row],[subscription_id]],
      subscriptions[subscription_id],
      subscriptions[subscription_id]
    )
  ),
  0,
  1
)</f>
        <v>1</v>
      </c>
      <c r="F1571" s="1">
        <f>_xlfn.XLOOKUP(payments_raw[[#This Row],[subscription_id]], subscriptions[subscription_id], subscriptions[start_date])</f>
        <v>45501</v>
      </c>
      <c r="G15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71" s="2">
        <f>IF(payments_raw[[#This Row],[payment_date]] &lt; payments_raw[[#This Row],[sub_start_date]], 1, 0)</f>
        <v>0</v>
      </c>
      <c r="I1571" s="2">
        <f>IF(AND(payments_raw[[#This Row],[sub_end_date]]&lt;&gt;"", payments_raw[[#This Row],[payment_date]] &gt; payments_raw[[#This Row],[sub_end_date]]), 1, 0)</f>
        <v>0</v>
      </c>
      <c r="J1571" s="2">
        <f>IF(payments_raw[[#This Row],[amount]] &lt;= 0, 1, 0)</f>
        <v>0</v>
      </c>
      <c r="K15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2" spans="1:11" x14ac:dyDescent="0.3">
      <c r="A1572">
        <v>27702023</v>
      </c>
      <c r="B1572">
        <v>1267689</v>
      </c>
      <c r="C1572" s="1">
        <v>45443</v>
      </c>
      <c r="D1572">
        <v>190</v>
      </c>
      <c r="E1572">
        <f>IF(
  ISNA(
    _xlfn.XLOOKUP(
      payments_raw[[#This Row],[subscription_id]],
      subscriptions[subscription_id],
      subscriptions[subscription_id]
    )
  ),
  0,
  1
)</f>
        <v>1</v>
      </c>
      <c r="F1572" s="1">
        <f>_xlfn.XLOOKUP(payments_raw[[#This Row],[subscription_id]], subscriptions[subscription_id], subscriptions[start_date])</f>
        <v>45417</v>
      </c>
      <c r="G15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572" s="2">
        <f>IF(payments_raw[[#This Row],[payment_date]] &lt; payments_raw[[#This Row],[sub_start_date]], 1, 0)</f>
        <v>0</v>
      </c>
      <c r="I1572" s="2">
        <f>IF(AND(payments_raw[[#This Row],[sub_end_date]]&lt;&gt;"", payments_raw[[#This Row],[payment_date]] &gt; payments_raw[[#This Row],[sub_end_date]]), 1, 0)</f>
        <v>0</v>
      </c>
      <c r="J1572" s="2">
        <f>IF(payments_raw[[#This Row],[amount]] &lt;= 0, 1, 0)</f>
        <v>0</v>
      </c>
      <c r="K15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3" spans="1:11" x14ac:dyDescent="0.3">
      <c r="A1573">
        <v>56521400</v>
      </c>
      <c r="B1573">
        <v>5033031</v>
      </c>
      <c r="C1573" s="1">
        <v>45413</v>
      </c>
      <c r="D1573">
        <v>1490</v>
      </c>
      <c r="E1573">
        <f>IF(
  ISNA(
    _xlfn.XLOOKUP(
      payments_raw[[#This Row],[subscription_id]],
      subscriptions[subscription_id],
      subscriptions[subscription_id]
    )
  ),
  0,
  1
)</f>
        <v>1</v>
      </c>
      <c r="F1573" s="1">
        <f>_xlfn.XLOOKUP(payments_raw[[#This Row],[subscription_id]], subscriptions[subscription_id], subscriptions[start_date])</f>
        <v>45239</v>
      </c>
      <c r="G15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1573" s="2">
        <f>IF(payments_raw[[#This Row],[payment_date]] &lt; payments_raw[[#This Row],[sub_start_date]], 1, 0)</f>
        <v>0</v>
      </c>
      <c r="I1573" s="2">
        <f>IF(AND(payments_raw[[#This Row],[sub_end_date]]&lt;&gt;"", payments_raw[[#This Row],[payment_date]] &gt; payments_raw[[#This Row],[sub_end_date]]), 1, 0)</f>
        <v>0</v>
      </c>
      <c r="J1573" s="2">
        <f>IF(payments_raw[[#This Row],[amount]] &lt;= 0, 1, 0)</f>
        <v>0</v>
      </c>
      <c r="K15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4" spans="1:11" x14ac:dyDescent="0.3">
      <c r="A1574">
        <v>75244118</v>
      </c>
      <c r="B1574">
        <v>5782125</v>
      </c>
      <c r="C1574" s="1">
        <v>44621</v>
      </c>
      <c r="D1574">
        <v>390</v>
      </c>
      <c r="E1574">
        <f>IF(
  ISNA(
    _xlfn.XLOOKUP(
      payments_raw[[#This Row],[subscription_id]],
      subscriptions[subscription_id],
      subscriptions[subscription_id]
    )
  ),
  0,
  1
)</f>
        <v>1</v>
      </c>
      <c r="F1574" s="1">
        <f>_xlfn.XLOOKUP(payments_raw[[#This Row],[subscription_id]], subscriptions[subscription_id], subscriptions[start_date])</f>
        <v>44598</v>
      </c>
      <c r="G157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44922</v>
      </c>
      <c r="H1574" s="2">
        <f>IF(payments_raw[[#This Row],[payment_date]] &lt; payments_raw[[#This Row],[sub_start_date]], 1, 0)</f>
        <v>0</v>
      </c>
      <c r="I1574" s="2">
        <f>IF(AND(payments_raw[[#This Row],[sub_end_date]]&lt;&gt;"", payments_raw[[#This Row],[payment_date]] &gt; payments_raw[[#This Row],[sub_end_date]]), 1, 0)</f>
        <v>0</v>
      </c>
      <c r="J1574" s="2">
        <f>IF(payments_raw[[#This Row],[amount]] &lt;= 0, 1, 0)</f>
        <v>0</v>
      </c>
      <c r="K15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5" spans="1:11" x14ac:dyDescent="0.3">
      <c r="A1575">
        <v>77887006</v>
      </c>
      <c r="B1575">
        <v>3058301</v>
      </c>
      <c r="C1575" s="1">
        <v>44910</v>
      </c>
      <c r="D1575">
        <v>171</v>
      </c>
      <c r="E1575">
        <f>IF(
  ISNA(
    _xlfn.XLOOKUP(
      payments_raw[[#This Row],[subscription_id]],
      subscriptions[subscription_id],
      subscriptions[subscription_id]
    )
  ),
  0,
  1
)</f>
        <v>1</v>
      </c>
      <c r="F1575" s="1">
        <f>_xlfn.XLOOKUP(payments_raw[[#This Row],[subscription_id]], subscriptions[subscription_id], subscriptions[start_date])</f>
        <v>44781</v>
      </c>
      <c r="G15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75" s="2">
        <f>IF(payments_raw[[#This Row],[payment_date]] &lt; payments_raw[[#This Row],[sub_start_date]], 1, 0)</f>
        <v>0</v>
      </c>
      <c r="I1575" s="2">
        <f>IF(AND(payments_raw[[#This Row],[sub_end_date]]&lt;&gt;"", payments_raw[[#This Row],[payment_date]] &gt; payments_raw[[#This Row],[sub_end_date]]), 1, 0)</f>
        <v>0</v>
      </c>
      <c r="J1575" s="2">
        <f>IF(payments_raw[[#This Row],[amount]] &lt;= 0, 1, 0)</f>
        <v>0</v>
      </c>
      <c r="K15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6" spans="1:11" x14ac:dyDescent="0.3">
      <c r="A1576">
        <v>28996632</v>
      </c>
      <c r="B1576">
        <v>9513036</v>
      </c>
      <c r="C1576" s="1">
        <v>44828</v>
      </c>
      <c r="D1576">
        <v>79</v>
      </c>
      <c r="E1576">
        <f>IF(
  ISNA(
    _xlfn.XLOOKUP(
      payments_raw[[#This Row],[subscription_id]],
      subscriptions[subscription_id],
      subscriptions[subscription_id]
    )
  ),
  0,
  1
)</f>
        <v>1</v>
      </c>
      <c r="F1576" s="1">
        <f>_xlfn.XLOOKUP(payments_raw[[#This Row],[subscription_id]], subscriptions[subscription_id], subscriptions[start_date])</f>
        <v>44699</v>
      </c>
      <c r="G15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76" s="2">
        <f>IF(payments_raw[[#This Row],[payment_date]] &lt; payments_raw[[#This Row],[sub_start_date]], 1, 0)</f>
        <v>0</v>
      </c>
      <c r="I1576" s="2">
        <f>IF(AND(payments_raw[[#This Row],[sub_end_date]]&lt;&gt;"", payments_raw[[#This Row],[payment_date]] &gt; payments_raw[[#This Row],[sub_end_date]]), 1, 0)</f>
        <v>0</v>
      </c>
      <c r="J1576" s="2">
        <f>IF(payments_raw[[#This Row],[amount]] &lt;= 0, 1, 0)</f>
        <v>0</v>
      </c>
      <c r="K15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7" spans="1:11" x14ac:dyDescent="0.3">
      <c r="A1577">
        <v>59280571</v>
      </c>
      <c r="B1577">
        <v>7611016</v>
      </c>
      <c r="C1577" s="1">
        <v>45251</v>
      </c>
      <c r="D1577">
        <v>2990</v>
      </c>
      <c r="E1577">
        <f>IF(
  ISNA(
    _xlfn.XLOOKUP(
      payments_raw[[#This Row],[subscription_id]],
      subscriptions[subscription_id],
      subscriptions[subscription_id]
    )
  ),
  0,
  1
)</f>
        <v>1</v>
      </c>
      <c r="F1577" s="1">
        <f>_xlfn.XLOOKUP(payments_raw[[#This Row],[subscription_id]], subscriptions[subscription_id], subscriptions[start_date])</f>
        <v>44997</v>
      </c>
      <c r="G15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45369</v>
      </c>
      <c r="H1577" s="2">
        <f>IF(payments_raw[[#This Row],[payment_date]] &lt; payments_raw[[#This Row],[sub_start_date]], 1, 0)</f>
        <v>0</v>
      </c>
      <c r="I1577" s="2">
        <f>IF(AND(payments_raw[[#This Row],[sub_end_date]]&lt;&gt;"", payments_raw[[#This Row],[payment_date]] &gt; payments_raw[[#This Row],[sub_end_date]]), 1, 0)</f>
        <v>0</v>
      </c>
      <c r="J1577" s="2">
        <f>IF(payments_raw[[#This Row],[amount]] &lt;= 0, 1, 0)</f>
        <v>0</v>
      </c>
      <c r="K15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8" spans="1:11" x14ac:dyDescent="0.3">
      <c r="A1578">
        <v>87111120</v>
      </c>
      <c r="B1578">
        <v>6583476</v>
      </c>
      <c r="C1578" s="1">
        <v>45029</v>
      </c>
      <c r="D1578">
        <v>299</v>
      </c>
      <c r="E1578">
        <f>IF(
  ISNA(
    _xlfn.XLOOKUP(
      payments_raw[[#This Row],[subscription_id]],
      subscriptions[subscription_id],
      subscriptions[subscription_id]
    )
  ),
  0,
  1
)</f>
        <v>1</v>
      </c>
      <c r="F1578" s="1">
        <f>_xlfn.XLOOKUP(payments_raw[[#This Row],[subscription_id]], subscriptions[subscription_id], subscriptions[start_date])</f>
        <v>45020</v>
      </c>
      <c r="G15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1578" s="2">
        <f>IF(payments_raw[[#This Row],[payment_date]] &lt; payments_raw[[#This Row],[sub_start_date]], 1, 0)</f>
        <v>0</v>
      </c>
      <c r="I1578" s="2">
        <f>IF(AND(payments_raw[[#This Row],[sub_end_date]]&lt;&gt;"", payments_raw[[#This Row],[payment_date]] &gt; payments_raw[[#This Row],[sub_end_date]]), 1, 0)</f>
        <v>0</v>
      </c>
      <c r="J1578" s="2">
        <f>IF(payments_raw[[#This Row],[amount]] &lt;= 0, 1, 0)</f>
        <v>0</v>
      </c>
      <c r="K15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79" spans="1:11" x14ac:dyDescent="0.3">
      <c r="A1579">
        <v>16681498</v>
      </c>
      <c r="B1579">
        <v>5432538</v>
      </c>
      <c r="C1579" s="1">
        <v>45135</v>
      </c>
      <c r="D1579">
        <v>149</v>
      </c>
      <c r="E1579">
        <f>IF(
  ISNA(
    _xlfn.XLOOKUP(
      payments_raw[[#This Row],[subscription_id]],
      subscriptions[subscription_id],
      subscriptions[subscription_id]
    )
  ),
  0,
  1
)</f>
        <v>1</v>
      </c>
      <c r="F1579" s="1">
        <f>_xlfn.XLOOKUP(payments_raw[[#This Row],[subscription_id]], subscriptions[subscription_id], subscriptions[start_date])</f>
        <v>45071</v>
      </c>
      <c r="G15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79" s="2">
        <f>IF(payments_raw[[#This Row],[payment_date]] &lt; payments_raw[[#This Row],[sub_start_date]], 1, 0)</f>
        <v>0</v>
      </c>
      <c r="I1579" s="2">
        <f>IF(AND(payments_raw[[#This Row],[sub_end_date]]&lt;&gt;"", payments_raw[[#This Row],[payment_date]] &gt; payments_raw[[#This Row],[sub_end_date]]), 1, 0)</f>
        <v>0</v>
      </c>
      <c r="J1579" s="2">
        <f>IF(payments_raw[[#This Row],[amount]] &lt;= 0, 1, 0)</f>
        <v>0</v>
      </c>
      <c r="K15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0" spans="1:11" x14ac:dyDescent="0.3">
      <c r="A1580">
        <v>39468480</v>
      </c>
      <c r="B1580">
        <v>1386001</v>
      </c>
      <c r="C1580" s="1">
        <v>44868</v>
      </c>
      <c r="D1580">
        <v>1490</v>
      </c>
      <c r="E1580">
        <f>IF(
  ISNA(
    _xlfn.XLOOKUP(
      payments_raw[[#This Row],[subscription_id]],
      subscriptions[subscription_id],
      subscriptions[subscription_id]
    )
  ),
  0,
  1
)</f>
        <v>1</v>
      </c>
      <c r="F1580" s="1">
        <f>_xlfn.XLOOKUP(payments_raw[[#This Row],[subscription_id]], subscriptions[subscription_id], subscriptions[start_date])</f>
        <v>44825</v>
      </c>
      <c r="G158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44909</v>
      </c>
      <c r="H1580" s="2">
        <f>IF(payments_raw[[#This Row],[payment_date]] &lt; payments_raw[[#This Row],[sub_start_date]], 1, 0)</f>
        <v>0</v>
      </c>
      <c r="I1580" s="2">
        <f>IF(AND(payments_raw[[#This Row],[sub_end_date]]&lt;&gt;"", payments_raw[[#This Row],[payment_date]] &gt; payments_raw[[#This Row],[sub_end_date]]), 1, 0)</f>
        <v>0</v>
      </c>
      <c r="J1580" s="2">
        <f>IF(payments_raw[[#This Row],[amount]] &lt;= 0, 1, 0)</f>
        <v>0</v>
      </c>
      <c r="K15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1" spans="1:11" x14ac:dyDescent="0.3">
      <c r="A1581">
        <v>17092217</v>
      </c>
      <c r="B1581">
        <v>2025218</v>
      </c>
      <c r="C1581" s="1">
        <v>45638</v>
      </c>
      <c r="D1581">
        <v>299</v>
      </c>
      <c r="E1581">
        <f>IF(
  ISNA(
    _xlfn.XLOOKUP(
      payments_raw[[#This Row],[subscription_id]],
      subscriptions[subscription_id],
      subscriptions[subscription_id]
    )
  ),
  0,
  1
)</f>
        <v>1</v>
      </c>
      <c r="F1581" s="1">
        <f>_xlfn.XLOOKUP(payments_raw[[#This Row],[subscription_id]], subscriptions[subscription_id], subscriptions[start_date])</f>
        <v>45521</v>
      </c>
      <c r="G15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1" s="2">
        <f>IF(payments_raw[[#This Row],[payment_date]] &lt; payments_raw[[#This Row],[sub_start_date]], 1, 0)</f>
        <v>0</v>
      </c>
      <c r="I1581" s="2">
        <f>IF(AND(payments_raw[[#This Row],[sub_end_date]]&lt;&gt;"", payments_raw[[#This Row],[payment_date]] &gt; payments_raw[[#This Row],[sub_end_date]]), 1, 0)</f>
        <v>0</v>
      </c>
      <c r="J1581" s="2">
        <f>IF(payments_raw[[#This Row],[amount]] &lt;= 0, 1, 0)</f>
        <v>0</v>
      </c>
      <c r="K15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2" spans="1:11" x14ac:dyDescent="0.3">
      <c r="A1582">
        <v>28255279</v>
      </c>
      <c r="B1582">
        <v>4366336</v>
      </c>
      <c r="C1582" s="1">
        <v>44962</v>
      </c>
      <c r="D1582">
        <v>190</v>
      </c>
      <c r="E1582">
        <f>IF(
  ISNA(
    _xlfn.XLOOKUP(
      payments_raw[[#This Row],[subscription_id]],
      subscriptions[subscription_id],
      subscriptions[subscription_id]
    )
  ),
  0,
  1
)</f>
        <v>1</v>
      </c>
      <c r="F1582" s="1">
        <f>_xlfn.XLOOKUP(payments_raw[[#This Row],[subscription_id]], subscriptions[subscription_id], subscriptions[start_date])</f>
        <v>44677</v>
      </c>
      <c r="G15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2" s="2">
        <f>IF(payments_raw[[#This Row],[payment_date]] &lt; payments_raw[[#This Row],[sub_start_date]], 1, 0)</f>
        <v>0</v>
      </c>
      <c r="I1582" s="2">
        <f>IF(AND(payments_raw[[#This Row],[sub_end_date]]&lt;&gt;"", payments_raw[[#This Row],[payment_date]] &gt; payments_raw[[#This Row],[sub_end_date]]), 1, 0)</f>
        <v>0</v>
      </c>
      <c r="J1582" s="2">
        <f>IF(payments_raw[[#This Row],[amount]] &lt;= 0, 1, 0)</f>
        <v>0</v>
      </c>
      <c r="K15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3" spans="1:11" x14ac:dyDescent="0.3">
      <c r="A1583">
        <v>73082694</v>
      </c>
      <c r="B1583">
        <v>6793159</v>
      </c>
      <c r="C1583" s="1">
        <v>44913</v>
      </c>
      <c r="D1583">
        <v>790</v>
      </c>
      <c r="E1583">
        <f>IF(
  ISNA(
    _xlfn.XLOOKUP(
      payments_raw[[#This Row],[subscription_id]],
      subscriptions[subscription_id],
      subscriptions[subscription_id]
    )
  ),
  0,
  1
)</f>
        <v>1</v>
      </c>
      <c r="F1583" s="1">
        <f>_xlfn.XLOOKUP(payments_raw[[#This Row],[subscription_id]], subscriptions[subscription_id], subscriptions[start_date])</f>
        <v>44732</v>
      </c>
      <c r="G15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3" s="2">
        <f>IF(payments_raw[[#This Row],[payment_date]] &lt; payments_raw[[#This Row],[sub_start_date]], 1, 0)</f>
        <v>0</v>
      </c>
      <c r="I1583" s="2">
        <f>IF(AND(payments_raw[[#This Row],[sub_end_date]]&lt;&gt;"", payments_raw[[#This Row],[payment_date]] &gt; payments_raw[[#This Row],[sub_end_date]]), 1, 0)</f>
        <v>0</v>
      </c>
      <c r="J1583" s="2">
        <f>IF(payments_raw[[#This Row],[amount]] &lt;= 0, 1, 0)</f>
        <v>0</v>
      </c>
      <c r="K15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4" spans="1:11" x14ac:dyDescent="0.3">
      <c r="A1584">
        <v>85160586</v>
      </c>
      <c r="B1584">
        <v>9347047</v>
      </c>
      <c r="C1584" s="1">
        <v>44839</v>
      </c>
      <c r="D1584">
        <v>390</v>
      </c>
      <c r="E1584">
        <f>IF(
  ISNA(
    _xlfn.XLOOKUP(
      payments_raw[[#This Row],[subscription_id]],
      subscriptions[subscription_id],
      subscriptions[subscription_id]
    )
  ),
  0,
  1
)</f>
        <v>1</v>
      </c>
      <c r="F1584" s="1">
        <f>_xlfn.XLOOKUP(payments_raw[[#This Row],[subscription_id]], subscriptions[subscription_id], subscriptions[start_date])</f>
        <v>44761</v>
      </c>
      <c r="G158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1584" s="2">
        <f>IF(payments_raw[[#This Row],[payment_date]] &lt; payments_raw[[#This Row],[sub_start_date]], 1, 0)</f>
        <v>0</v>
      </c>
      <c r="I1584" s="2">
        <f>IF(AND(payments_raw[[#This Row],[sub_end_date]]&lt;&gt;"", payments_raw[[#This Row],[payment_date]] &gt; payments_raw[[#This Row],[sub_end_date]]), 1, 0)</f>
        <v>0</v>
      </c>
      <c r="J1584" s="2">
        <f>IF(payments_raw[[#This Row],[amount]] &lt;= 0, 1, 0)</f>
        <v>0</v>
      </c>
      <c r="K15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5" spans="1:11" x14ac:dyDescent="0.3">
      <c r="A1585">
        <v>47580770</v>
      </c>
      <c r="B1585">
        <v>6777952</v>
      </c>
      <c r="C1585" s="1">
        <v>44859</v>
      </c>
      <c r="D1585">
        <v>142.5</v>
      </c>
      <c r="E1585">
        <f>IF(
  ISNA(
    _xlfn.XLOOKUP(
      payments_raw[[#This Row],[subscription_id]],
      subscriptions[subscription_id],
      subscriptions[subscription_id]
    )
  ),
  0,
  1
)</f>
        <v>1</v>
      </c>
      <c r="F1585" s="1">
        <f>_xlfn.XLOOKUP(payments_raw[[#This Row],[subscription_id]], subscriptions[subscription_id], subscriptions[start_date])</f>
        <v>44854</v>
      </c>
      <c r="G15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5" s="2">
        <f>IF(payments_raw[[#This Row],[payment_date]] &lt; payments_raw[[#This Row],[sub_start_date]], 1, 0)</f>
        <v>0</v>
      </c>
      <c r="I1585" s="2">
        <f>IF(AND(payments_raw[[#This Row],[sub_end_date]]&lt;&gt;"", payments_raw[[#This Row],[payment_date]] &gt; payments_raw[[#This Row],[sub_end_date]]), 1, 0)</f>
        <v>0</v>
      </c>
      <c r="J1585" s="2">
        <f>IF(payments_raw[[#This Row],[amount]] &lt;= 0, 1, 0)</f>
        <v>0</v>
      </c>
      <c r="K15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6" spans="1:11" x14ac:dyDescent="0.3">
      <c r="A1586">
        <v>79816122</v>
      </c>
      <c r="B1586">
        <v>4026182</v>
      </c>
      <c r="C1586" s="1">
        <v>45621</v>
      </c>
      <c r="D1586">
        <v>1490</v>
      </c>
      <c r="E1586">
        <f>IF(
  ISNA(
    _xlfn.XLOOKUP(
      payments_raw[[#This Row],[subscription_id]],
      subscriptions[subscription_id],
      subscriptions[subscription_id]
    )
  ),
  0,
  1
)</f>
        <v>1</v>
      </c>
      <c r="F1586" s="1">
        <f>_xlfn.XLOOKUP(payments_raw[[#This Row],[subscription_id]], subscriptions[subscription_id], subscriptions[start_date])</f>
        <v>45092</v>
      </c>
      <c r="G15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6" s="2">
        <f>IF(payments_raw[[#This Row],[payment_date]] &lt; payments_raw[[#This Row],[sub_start_date]], 1, 0)</f>
        <v>0</v>
      </c>
      <c r="I1586" s="2">
        <f>IF(AND(payments_raw[[#This Row],[sub_end_date]]&lt;&gt;"", payments_raw[[#This Row],[payment_date]] &gt; payments_raw[[#This Row],[sub_end_date]]), 1, 0)</f>
        <v>0</v>
      </c>
      <c r="J1586" s="2">
        <f>IF(payments_raw[[#This Row],[amount]] &lt;= 0, 1, 0)</f>
        <v>0</v>
      </c>
      <c r="K15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7" spans="1:11" x14ac:dyDescent="0.3">
      <c r="A1587">
        <v>45140558</v>
      </c>
      <c r="B1587">
        <v>5832995</v>
      </c>
      <c r="C1587" s="1">
        <v>45449</v>
      </c>
      <c r="D1587">
        <v>39</v>
      </c>
      <c r="E1587">
        <f>IF(
  ISNA(
    _xlfn.XLOOKUP(
      payments_raw[[#This Row],[subscription_id]],
      subscriptions[subscription_id],
      subscriptions[subscription_id]
    )
  ),
  0,
  1
)</f>
        <v>1</v>
      </c>
      <c r="F1587" s="1">
        <f>_xlfn.XLOOKUP(payments_raw[[#This Row],[subscription_id]], subscriptions[subscription_id], subscriptions[start_date])</f>
        <v>44715</v>
      </c>
      <c r="G15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7" s="2">
        <f>IF(payments_raw[[#This Row],[payment_date]] &lt; payments_raw[[#This Row],[sub_start_date]], 1, 0)</f>
        <v>0</v>
      </c>
      <c r="I1587" s="2">
        <f>IF(AND(payments_raw[[#This Row],[sub_end_date]]&lt;&gt;"", payments_raw[[#This Row],[payment_date]] &gt; payments_raw[[#This Row],[sub_end_date]]), 1, 0)</f>
        <v>0</v>
      </c>
      <c r="J1587" s="2">
        <f>IF(payments_raw[[#This Row],[amount]] &lt;= 0, 1, 0)</f>
        <v>0</v>
      </c>
      <c r="K15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8" spans="1:11" x14ac:dyDescent="0.3">
      <c r="A1588">
        <v>22091603</v>
      </c>
      <c r="B1588">
        <v>2130790</v>
      </c>
      <c r="C1588" s="1">
        <v>45196</v>
      </c>
      <c r="D1588">
        <v>79</v>
      </c>
      <c r="E1588">
        <f>IF(
  ISNA(
    _xlfn.XLOOKUP(
      payments_raw[[#This Row],[subscription_id]],
      subscriptions[subscription_id],
      subscriptions[subscription_id]
    )
  ),
  0,
  1
)</f>
        <v>1</v>
      </c>
      <c r="F1588" s="1">
        <f>_xlfn.XLOOKUP(payments_raw[[#This Row],[subscription_id]], subscriptions[subscription_id], subscriptions[start_date])</f>
        <v>45057</v>
      </c>
      <c r="G15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8" s="2">
        <f>IF(payments_raw[[#This Row],[payment_date]] &lt; payments_raw[[#This Row],[sub_start_date]], 1, 0)</f>
        <v>0</v>
      </c>
      <c r="I1588" s="2">
        <f>IF(AND(payments_raw[[#This Row],[sub_end_date]]&lt;&gt;"", payments_raw[[#This Row],[payment_date]] &gt; payments_raw[[#This Row],[sub_end_date]]), 1, 0)</f>
        <v>0</v>
      </c>
      <c r="J1588" s="2">
        <f>IF(payments_raw[[#This Row],[amount]] &lt;= 0, 1, 0)</f>
        <v>0</v>
      </c>
      <c r="K15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89" spans="1:11" x14ac:dyDescent="0.3">
      <c r="A1589">
        <v>19729173</v>
      </c>
      <c r="B1589">
        <v>8944257</v>
      </c>
      <c r="C1589" s="1">
        <v>45436</v>
      </c>
      <c r="D1589">
        <v>39</v>
      </c>
      <c r="E1589">
        <f>IF(
  ISNA(
    _xlfn.XLOOKUP(
      payments_raw[[#This Row],[subscription_id]],
      subscriptions[subscription_id],
      subscriptions[subscription_id]
    )
  ),
  0,
  1
)</f>
        <v>1</v>
      </c>
      <c r="F1589" s="1">
        <f>_xlfn.XLOOKUP(payments_raw[[#This Row],[subscription_id]], subscriptions[subscription_id], subscriptions[start_date])</f>
        <v>45038</v>
      </c>
      <c r="G15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89" s="2">
        <f>IF(payments_raw[[#This Row],[payment_date]] &lt; payments_raw[[#This Row],[sub_start_date]], 1, 0)</f>
        <v>0</v>
      </c>
      <c r="I1589" s="2">
        <f>IF(AND(payments_raw[[#This Row],[sub_end_date]]&lt;&gt;"", payments_raw[[#This Row],[payment_date]] &gt; payments_raw[[#This Row],[sub_end_date]]), 1, 0)</f>
        <v>0</v>
      </c>
      <c r="J1589" s="2">
        <f>IF(payments_raw[[#This Row],[amount]] &lt;= 0, 1, 0)</f>
        <v>0</v>
      </c>
      <c r="K15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0" spans="1:11" x14ac:dyDescent="0.3">
      <c r="A1590">
        <v>82778882</v>
      </c>
      <c r="B1590">
        <v>6827390</v>
      </c>
      <c r="C1590" s="1">
        <v>45502</v>
      </c>
      <c r="D1590">
        <v>149.5</v>
      </c>
      <c r="E1590">
        <f>IF(
  ISNA(
    _xlfn.XLOOKUP(
      payments_raw[[#This Row],[subscription_id]],
      subscriptions[subscription_id],
      subscriptions[subscription_id]
    )
  ),
  0,
  1
)</f>
        <v>1</v>
      </c>
      <c r="F1590" s="1">
        <f>_xlfn.XLOOKUP(payments_raw[[#This Row],[subscription_id]], subscriptions[subscription_id], subscriptions[start_date])</f>
        <v>45311</v>
      </c>
      <c r="G15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0" s="2">
        <f>IF(payments_raw[[#This Row],[payment_date]] &lt; payments_raw[[#This Row],[sub_start_date]], 1, 0)</f>
        <v>0</v>
      </c>
      <c r="I1590" s="2">
        <f>IF(AND(payments_raw[[#This Row],[sub_end_date]]&lt;&gt;"", payments_raw[[#This Row],[payment_date]] &gt; payments_raw[[#This Row],[sub_end_date]]), 1, 0)</f>
        <v>0</v>
      </c>
      <c r="J1590" s="2">
        <f>IF(payments_raw[[#This Row],[amount]] &lt;= 0, 1, 0)</f>
        <v>0</v>
      </c>
      <c r="K15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1" spans="1:11" x14ac:dyDescent="0.3">
      <c r="A1591">
        <v>17907766</v>
      </c>
      <c r="B1591">
        <v>8413578</v>
      </c>
      <c r="C1591" s="1">
        <v>45650</v>
      </c>
      <c r="D1591">
        <v>79</v>
      </c>
      <c r="E1591">
        <f>IF(
  ISNA(
    _xlfn.XLOOKUP(
      payments_raw[[#This Row],[subscription_id]],
      subscriptions[subscription_id],
      subscriptions[subscription_id]
    )
  ),
  0,
  1
)</f>
        <v>1</v>
      </c>
      <c r="F1591" s="1">
        <f>_xlfn.XLOOKUP(payments_raw[[#This Row],[subscription_id]], subscriptions[subscription_id], subscriptions[start_date])</f>
        <v>45550</v>
      </c>
      <c r="G15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1" s="2">
        <f>IF(payments_raw[[#This Row],[payment_date]] &lt; payments_raw[[#This Row],[sub_start_date]], 1, 0)</f>
        <v>0</v>
      </c>
      <c r="I1591" s="2">
        <f>IF(AND(payments_raw[[#This Row],[sub_end_date]]&lt;&gt;"", payments_raw[[#This Row],[payment_date]] &gt; payments_raw[[#This Row],[sub_end_date]]), 1, 0)</f>
        <v>0</v>
      </c>
      <c r="J1591" s="2">
        <f>IF(payments_raw[[#This Row],[amount]] &lt;= 0, 1, 0)</f>
        <v>0</v>
      </c>
      <c r="K15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2" spans="1:11" x14ac:dyDescent="0.3">
      <c r="A1592">
        <v>85491870</v>
      </c>
      <c r="B1592">
        <v>8481497</v>
      </c>
      <c r="C1592" s="1">
        <v>44914</v>
      </c>
      <c r="D1592">
        <v>19</v>
      </c>
      <c r="E1592">
        <f>IF(
  ISNA(
    _xlfn.XLOOKUP(
      payments_raw[[#This Row],[subscription_id]],
      subscriptions[subscription_id],
      subscriptions[subscription_id]
    )
  ),
  0,
  1
)</f>
        <v>1</v>
      </c>
      <c r="F1592" s="1">
        <f>_xlfn.XLOOKUP(payments_raw[[#This Row],[subscription_id]], subscriptions[subscription_id], subscriptions[start_date])</f>
        <v>44586</v>
      </c>
      <c r="G159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1592" s="2">
        <f>IF(payments_raw[[#This Row],[payment_date]] &lt; payments_raw[[#This Row],[sub_start_date]], 1, 0)</f>
        <v>0</v>
      </c>
      <c r="I1592" s="2">
        <f>IF(AND(payments_raw[[#This Row],[sub_end_date]]&lt;&gt;"", payments_raw[[#This Row],[payment_date]] &gt; payments_raw[[#This Row],[sub_end_date]]), 1, 0)</f>
        <v>0</v>
      </c>
      <c r="J1592" s="2">
        <f>IF(payments_raw[[#This Row],[amount]] &lt;= 0, 1, 0)</f>
        <v>0</v>
      </c>
      <c r="K15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3" spans="1:11" x14ac:dyDescent="0.3">
      <c r="A1593">
        <v>17919095</v>
      </c>
      <c r="B1593">
        <v>7279004</v>
      </c>
      <c r="C1593" s="1">
        <v>44759</v>
      </c>
      <c r="D1593">
        <v>149</v>
      </c>
      <c r="E1593">
        <f>IF(
  ISNA(
    _xlfn.XLOOKUP(
      payments_raw[[#This Row],[subscription_id]],
      subscriptions[subscription_id],
      subscriptions[subscription_id]
    )
  ),
  0,
  1
)</f>
        <v>1</v>
      </c>
      <c r="F1593" s="1">
        <f>_xlfn.XLOOKUP(payments_raw[[#This Row],[subscription_id]], subscriptions[subscription_id], subscriptions[start_date])</f>
        <v>44572</v>
      </c>
      <c r="G15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3" s="2">
        <f>IF(payments_raw[[#This Row],[payment_date]] &lt; payments_raw[[#This Row],[sub_start_date]], 1, 0)</f>
        <v>0</v>
      </c>
      <c r="I1593" s="2">
        <f>IF(AND(payments_raw[[#This Row],[sub_end_date]]&lt;&gt;"", payments_raw[[#This Row],[payment_date]] &gt; payments_raw[[#This Row],[sub_end_date]]), 1, 0)</f>
        <v>0</v>
      </c>
      <c r="J1593" s="2">
        <f>IF(payments_raw[[#This Row],[amount]] &lt;= 0, 1, 0)</f>
        <v>0</v>
      </c>
      <c r="K15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4" spans="1:11" x14ac:dyDescent="0.3">
      <c r="A1594">
        <v>59902352</v>
      </c>
      <c r="B1594">
        <v>3007261</v>
      </c>
      <c r="C1594" s="1">
        <v>45021</v>
      </c>
      <c r="D1594">
        <v>299</v>
      </c>
      <c r="E1594">
        <f>IF(
  ISNA(
    _xlfn.XLOOKUP(
      payments_raw[[#This Row],[subscription_id]],
      subscriptions[subscription_id],
      subscriptions[subscription_id]
    )
  ),
  0,
  1
)</f>
        <v>1</v>
      </c>
      <c r="F1594" s="1">
        <f>_xlfn.XLOOKUP(payments_raw[[#This Row],[subscription_id]], subscriptions[subscription_id], subscriptions[start_date])</f>
        <v>45021</v>
      </c>
      <c r="G15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1594" s="2">
        <f>IF(payments_raw[[#This Row],[payment_date]] &lt; payments_raw[[#This Row],[sub_start_date]], 1, 0)</f>
        <v>0</v>
      </c>
      <c r="I1594" s="2">
        <f>IF(AND(payments_raw[[#This Row],[sub_end_date]]&lt;&gt;"", payments_raw[[#This Row],[payment_date]] &gt; payments_raw[[#This Row],[sub_end_date]]), 1, 0)</f>
        <v>0</v>
      </c>
      <c r="J1594" s="2">
        <f>IF(payments_raw[[#This Row],[amount]] &lt;= 0, 1, 0)</f>
        <v>0</v>
      </c>
      <c r="K15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5" spans="1:11" x14ac:dyDescent="0.3">
      <c r="A1595">
        <v>72253115</v>
      </c>
      <c r="B1595">
        <v>6293212</v>
      </c>
      <c r="C1595" s="1">
        <v>45503</v>
      </c>
      <c r="D1595">
        <v>299</v>
      </c>
      <c r="E1595">
        <f>IF(
  ISNA(
    _xlfn.XLOOKUP(
      payments_raw[[#This Row],[subscription_id]],
      subscriptions[subscription_id],
      subscriptions[subscription_id]
    )
  ),
  0,
  1
)</f>
        <v>1</v>
      </c>
      <c r="F1595" s="1">
        <f>_xlfn.XLOOKUP(payments_raw[[#This Row],[subscription_id]], subscriptions[subscription_id], subscriptions[start_date])</f>
        <v>45476</v>
      </c>
      <c r="G15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5" s="2">
        <f>IF(payments_raw[[#This Row],[payment_date]] &lt; payments_raw[[#This Row],[sub_start_date]], 1, 0)</f>
        <v>0</v>
      </c>
      <c r="I1595" s="2">
        <f>IF(AND(payments_raw[[#This Row],[sub_end_date]]&lt;&gt;"", payments_raw[[#This Row],[payment_date]] &gt; payments_raw[[#This Row],[sub_end_date]]), 1, 0)</f>
        <v>0</v>
      </c>
      <c r="J1595" s="2">
        <f>IF(payments_raw[[#This Row],[amount]] &lt;= 0, 1, 0)</f>
        <v>0</v>
      </c>
      <c r="K15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6" spans="1:11" x14ac:dyDescent="0.3">
      <c r="A1596">
        <v>98172626</v>
      </c>
      <c r="B1596">
        <v>4041045</v>
      </c>
      <c r="C1596" s="1">
        <v>45233</v>
      </c>
      <c r="D1596">
        <v>299</v>
      </c>
      <c r="E1596">
        <f>IF(
  ISNA(
    _xlfn.XLOOKUP(
      payments_raw[[#This Row],[subscription_id]],
      subscriptions[subscription_id],
      subscriptions[subscription_id]
    )
  ),
  0,
  1
)</f>
        <v>1</v>
      </c>
      <c r="F1596" s="1">
        <f>_xlfn.XLOOKUP(payments_raw[[#This Row],[subscription_id]], subscriptions[subscription_id], subscriptions[start_date])</f>
        <v>45145</v>
      </c>
      <c r="G15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6" s="2">
        <f>IF(payments_raw[[#This Row],[payment_date]] &lt; payments_raw[[#This Row],[sub_start_date]], 1, 0)</f>
        <v>0</v>
      </c>
      <c r="I1596" s="2">
        <f>IF(AND(payments_raw[[#This Row],[sub_end_date]]&lt;&gt;"", payments_raw[[#This Row],[payment_date]] &gt; payments_raw[[#This Row],[sub_end_date]]), 1, 0)</f>
        <v>0</v>
      </c>
      <c r="J1596" s="2">
        <f>IF(payments_raw[[#This Row],[amount]] &lt;= 0, 1, 0)</f>
        <v>0</v>
      </c>
      <c r="K15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7" spans="1:11" x14ac:dyDescent="0.3">
      <c r="A1597">
        <v>67365150</v>
      </c>
      <c r="B1597">
        <v>9019156</v>
      </c>
      <c r="C1597" s="1">
        <v>45166</v>
      </c>
      <c r="D1597">
        <v>190</v>
      </c>
      <c r="E1597">
        <f>IF(
  ISNA(
    _xlfn.XLOOKUP(
      payments_raw[[#This Row],[subscription_id]],
      subscriptions[subscription_id],
      subscriptions[subscription_id]
    )
  ),
  0,
  1
)</f>
        <v>1</v>
      </c>
      <c r="F1597" s="1">
        <f>_xlfn.XLOOKUP(payments_raw[[#This Row],[subscription_id]], subscriptions[subscription_id], subscriptions[start_date])</f>
        <v>45084</v>
      </c>
      <c r="G15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7" s="2">
        <f>IF(payments_raw[[#This Row],[payment_date]] &lt; payments_raw[[#This Row],[sub_start_date]], 1, 0)</f>
        <v>0</v>
      </c>
      <c r="I1597" s="2">
        <f>IF(AND(payments_raw[[#This Row],[sub_end_date]]&lt;&gt;"", payments_raw[[#This Row],[payment_date]] &gt; payments_raw[[#This Row],[sub_end_date]]), 1, 0)</f>
        <v>0</v>
      </c>
      <c r="J1597" s="2">
        <f>IF(payments_raw[[#This Row],[amount]] &lt;= 0, 1, 0)</f>
        <v>0</v>
      </c>
      <c r="K15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8" spans="1:11" x14ac:dyDescent="0.3">
      <c r="A1598">
        <v>15854522</v>
      </c>
      <c r="B1598">
        <v>2402500</v>
      </c>
      <c r="C1598" s="1">
        <v>45481</v>
      </c>
      <c r="D1598">
        <v>1490</v>
      </c>
      <c r="E1598">
        <f>IF(
  ISNA(
    _xlfn.XLOOKUP(
      payments_raw[[#This Row],[subscription_id]],
      subscriptions[subscription_id],
      subscriptions[subscription_id]
    )
  ),
  0,
  1
)</f>
        <v>1</v>
      </c>
      <c r="F1598" s="1">
        <f>_xlfn.XLOOKUP(payments_raw[[#This Row],[subscription_id]], subscriptions[subscription_id], subscriptions[start_date])</f>
        <v>45110</v>
      </c>
      <c r="G15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8" s="2">
        <f>IF(payments_raw[[#This Row],[payment_date]] &lt; payments_raw[[#This Row],[sub_start_date]], 1, 0)</f>
        <v>0</v>
      </c>
      <c r="I1598" s="2">
        <f>IF(AND(payments_raw[[#This Row],[sub_end_date]]&lt;&gt;"", payments_raw[[#This Row],[payment_date]] &gt; payments_raw[[#This Row],[sub_end_date]]), 1, 0)</f>
        <v>0</v>
      </c>
      <c r="J1598" s="2">
        <f>IF(payments_raw[[#This Row],[amount]] &lt;= 0, 1, 0)</f>
        <v>0</v>
      </c>
      <c r="K15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599" spans="1:11" x14ac:dyDescent="0.3">
      <c r="A1599">
        <v>69134843</v>
      </c>
      <c r="B1599">
        <v>7095636</v>
      </c>
      <c r="C1599" s="1">
        <v>45312</v>
      </c>
      <c r="D1599">
        <v>190</v>
      </c>
      <c r="E1599">
        <f>IF(
  ISNA(
    _xlfn.XLOOKUP(
      payments_raw[[#This Row],[subscription_id]],
      subscriptions[subscription_id],
      subscriptions[subscription_id]
    )
  ),
  0,
  1
)</f>
        <v>1</v>
      </c>
      <c r="F1599" s="1">
        <f>_xlfn.XLOOKUP(payments_raw[[#This Row],[subscription_id]], subscriptions[subscription_id], subscriptions[start_date])</f>
        <v>45285</v>
      </c>
      <c r="G15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599" s="2">
        <f>IF(payments_raw[[#This Row],[payment_date]] &lt; payments_raw[[#This Row],[sub_start_date]], 1, 0)</f>
        <v>0</v>
      </c>
      <c r="I1599" s="2">
        <f>IF(AND(payments_raw[[#This Row],[sub_end_date]]&lt;&gt;"", payments_raw[[#This Row],[payment_date]] &gt; payments_raw[[#This Row],[sub_end_date]]), 1, 0)</f>
        <v>0</v>
      </c>
      <c r="J1599" s="2">
        <f>IF(payments_raw[[#This Row],[amount]] &lt;= 0, 1, 0)</f>
        <v>0</v>
      </c>
      <c r="K15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0" spans="1:11" x14ac:dyDescent="0.3">
      <c r="A1600">
        <v>28275660</v>
      </c>
      <c r="B1600">
        <v>1881916</v>
      </c>
      <c r="C1600" s="1">
        <v>44979</v>
      </c>
      <c r="D1600">
        <v>14.25</v>
      </c>
      <c r="E1600">
        <f>IF(
  ISNA(
    _xlfn.XLOOKUP(
      payments_raw[[#This Row],[subscription_id]],
      subscriptions[subscription_id],
      subscriptions[subscription_id]
    )
  ),
  0,
  1
)</f>
        <v>1</v>
      </c>
      <c r="F1600" s="1">
        <f>_xlfn.XLOOKUP(payments_raw[[#This Row],[subscription_id]], subscriptions[subscription_id], subscriptions[start_date])</f>
        <v>44928</v>
      </c>
      <c r="G16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45158</v>
      </c>
      <c r="H1600" s="2">
        <f>IF(payments_raw[[#This Row],[payment_date]] &lt; payments_raw[[#This Row],[sub_start_date]], 1, 0)</f>
        <v>0</v>
      </c>
      <c r="I1600" s="2">
        <f>IF(AND(payments_raw[[#This Row],[sub_end_date]]&lt;&gt;"", payments_raw[[#This Row],[payment_date]] &gt; payments_raw[[#This Row],[sub_end_date]]), 1, 0)</f>
        <v>0</v>
      </c>
      <c r="J1600" s="2">
        <f>IF(payments_raw[[#This Row],[amount]] &lt;= 0, 1, 0)</f>
        <v>0</v>
      </c>
      <c r="K16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1" spans="1:11" x14ac:dyDescent="0.3">
      <c r="A1601">
        <v>19513375</v>
      </c>
      <c r="B1601">
        <v>2402500</v>
      </c>
      <c r="C1601" s="1">
        <v>45550</v>
      </c>
      <c r="D1601">
        <v>1490</v>
      </c>
      <c r="E1601">
        <f>IF(
  ISNA(
    _xlfn.XLOOKUP(
      payments_raw[[#This Row],[subscription_id]],
      subscriptions[subscription_id],
      subscriptions[subscription_id]
    )
  ),
  0,
  1
)</f>
        <v>1</v>
      </c>
      <c r="F1601" s="1">
        <f>_xlfn.XLOOKUP(payments_raw[[#This Row],[subscription_id]], subscriptions[subscription_id], subscriptions[start_date])</f>
        <v>45110</v>
      </c>
      <c r="G16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01" s="2">
        <f>IF(payments_raw[[#This Row],[payment_date]] &lt; payments_raw[[#This Row],[sub_start_date]], 1, 0)</f>
        <v>0</v>
      </c>
      <c r="I1601" s="2">
        <f>IF(AND(payments_raw[[#This Row],[sub_end_date]]&lt;&gt;"", payments_raw[[#This Row],[payment_date]] &gt; payments_raw[[#This Row],[sub_end_date]]), 1, 0)</f>
        <v>0</v>
      </c>
      <c r="J1601" s="2">
        <f>IF(payments_raw[[#This Row],[amount]] &lt;= 0, 1, 0)</f>
        <v>0</v>
      </c>
      <c r="K16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2" spans="1:11" x14ac:dyDescent="0.3">
      <c r="A1602">
        <v>11973784</v>
      </c>
      <c r="B1602">
        <v>7096391</v>
      </c>
      <c r="C1602" s="1">
        <v>45382</v>
      </c>
      <c r="D1602">
        <v>79</v>
      </c>
      <c r="E1602">
        <f>IF(
  ISNA(
    _xlfn.XLOOKUP(
      payments_raw[[#This Row],[subscription_id]],
      subscriptions[subscription_id],
      subscriptions[subscription_id]
    )
  ),
  0,
  1
)</f>
        <v>1</v>
      </c>
      <c r="F1602" s="1">
        <f>_xlfn.XLOOKUP(payments_raw[[#This Row],[subscription_id]], subscriptions[subscription_id], subscriptions[start_date])</f>
        <v>45380</v>
      </c>
      <c r="G16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1602" s="2">
        <f>IF(payments_raw[[#This Row],[payment_date]] &lt; payments_raw[[#This Row],[sub_start_date]], 1, 0)</f>
        <v>0</v>
      </c>
      <c r="I1602" s="2">
        <f>IF(AND(payments_raw[[#This Row],[sub_end_date]]&lt;&gt;"", payments_raw[[#This Row],[payment_date]] &gt; payments_raw[[#This Row],[sub_end_date]]), 1, 0)</f>
        <v>0</v>
      </c>
      <c r="J1602" s="2">
        <f>IF(payments_raw[[#This Row],[amount]] &lt;= 0, 1, 0)</f>
        <v>0</v>
      </c>
      <c r="K16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3" spans="1:11" x14ac:dyDescent="0.3">
      <c r="A1603">
        <v>44416872</v>
      </c>
      <c r="B1603">
        <v>7291774</v>
      </c>
      <c r="C1603" s="1">
        <v>45610</v>
      </c>
      <c r="D1603">
        <v>149</v>
      </c>
      <c r="E1603">
        <f>IF(
  ISNA(
    _xlfn.XLOOKUP(
      payments_raw[[#This Row],[subscription_id]],
      subscriptions[subscription_id],
      subscriptions[subscription_id]
    )
  ),
  0,
  1
)</f>
        <v>1</v>
      </c>
      <c r="F1603" s="1">
        <f>_xlfn.XLOOKUP(payments_raw[[#This Row],[subscription_id]], subscriptions[subscription_id], subscriptions[start_date])</f>
        <v>44683</v>
      </c>
      <c r="G16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03" s="2">
        <f>IF(payments_raw[[#This Row],[payment_date]] &lt; payments_raw[[#This Row],[sub_start_date]], 1, 0)</f>
        <v>0</v>
      </c>
      <c r="I1603" s="2">
        <f>IF(AND(payments_raw[[#This Row],[sub_end_date]]&lt;&gt;"", payments_raw[[#This Row],[payment_date]] &gt; payments_raw[[#This Row],[sub_end_date]]), 1, 0)</f>
        <v>0</v>
      </c>
      <c r="J1603" s="2">
        <f>IF(payments_raw[[#This Row],[amount]] &lt;= 0, 1, 0)</f>
        <v>0</v>
      </c>
      <c r="K16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4" spans="1:11" x14ac:dyDescent="0.3">
      <c r="A1604">
        <v>97730855</v>
      </c>
      <c r="B1604">
        <v>1810137</v>
      </c>
      <c r="C1604" s="1">
        <v>45457</v>
      </c>
      <c r="D1604">
        <v>39</v>
      </c>
      <c r="E1604">
        <f>IF(
  ISNA(
    _xlfn.XLOOKUP(
      payments_raw[[#This Row],[subscription_id]],
      subscriptions[subscription_id],
      subscriptions[subscription_id]
    )
  ),
  0,
  1
)</f>
        <v>1</v>
      </c>
      <c r="F1604" s="1">
        <f>_xlfn.XLOOKUP(payments_raw[[#This Row],[subscription_id]], subscriptions[subscription_id], subscriptions[start_date])</f>
        <v>45435</v>
      </c>
      <c r="G16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04" s="2">
        <f>IF(payments_raw[[#This Row],[payment_date]] &lt; payments_raw[[#This Row],[sub_start_date]], 1, 0)</f>
        <v>0</v>
      </c>
      <c r="I1604" s="2">
        <f>IF(AND(payments_raw[[#This Row],[sub_end_date]]&lt;&gt;"", payments_raw[[#This Row],[payment_date]] &gt; payments_raw[[#This Row],[sub_end_date]]), 1, 0)</f>
        <v>0</v>
      </c>
      <c r="J1604" s="2">
        <f>IF(payments_raw[[#This Row],[amount]] &lt;= 0, 1, 0)</f>
        <v>0</v>
      </c>
      <c r="K16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5" spans="1:11" x14ac:dyDescent="0.3">
      <c r="A1605">
        <v>87041310</v>
      </c>
      <c r="B1605">
        <v>5021865</v>
      </c>
      <c r="C1605" s="1">
        <v>45335</v>
      </c>
      <c r="D1605">
        <v>39</v>
      </c>
      <c r="E1605">
        <f>IF(
  ISNA(
    _xlfn.XLOOKUP(
      payments_raw[[#This Row],[subscription_id]],
      subscriptions[subscription_id],
      subscriptions[subscription_id]
    )
  ),
  0,
  1
)</f>
        <v>1</v>
      </c>
      <c r="F1605" s="1">
        <f>_xlfn.XLOOKUP(payments_raw[[#This Row],[subscription_id]], subscriptions[subscription_id], subscriptions[start_date])</f>
        <v>45016</v>
      </c>
      <c r="G16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05" s="2">
        <f>IF(payments_raw[[#This Row],[payment_date]] &lt; payments_raw[[#This Row],[sub_start_date]], 1, 0)</f>
        <v>0</v>
      </c>
      <c r="I1605" s="2">
        <f>IF(AND(payments_raw[[#This Row],[sub_end_date]]&lt;&gt;"", payments_raw[[#This Row],[payment_date]] &gt; payments_raw[[#This Row],[sub_end_date]]), 1, 0)</f>
        <v>0</v>
      </c>
      <c r="J1605" s="2">
        <f>IF(payments_raw[[#This Row],[amount]] &lt;= 0, 1, 0)</f>
        <v>0</v>
      </c>
      <c r="K16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6" spans="1:11" x14ac:dyDescent="0.3">
      <c r="A1606">
        <v>53919906</v>
      </c>
      <c r="B1606">
        <v>3156762</v>
      </c>
      <c r="C1606" s="1">
        <v>45040</v>
      </c>
      <c r="D1606">
        <v>2990</v>
      </c>
      <c r="E1606">
        <f>IF(
  ISNA(
    _xlfn.XLOOKUP(
      payments_raw[[#This Row],[subscription_id]],
      subscriptions[subscription_id],
      subscriptions[subscription_id]
    )
  ),
  0,
  1
)</f>
        <v>1</v>
      </c>
      <c r="F1606" s="1">
        <f>_xlfn.XLOOKUP(payments_raw[[#This Row],[subscription_id]], subscriptions[subscription_id], subscriptions[start_date])</f>
        <v>44862</v>
      </c>
      <c r="G16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45088</v>
      </c>
      <c r="H1606" s="2">
        <f>IF(payments_raw[[#This Row],[payment_date]] &lt; payments_raw[[#This Row],[sub_start_date]], 1, 0)</f>
        <v>0</v>
      </c>
      <c r="I1606" s="2">
        <f>IF(AND(payments_raw[[#This Row],[sub_end_date]]&lt;&gt;"", payments_raw[[#This Row],[payment_date]] &gt; payments_raw[[#This Row],[sub_end_date]]), 1, 0)</f>
        <v>0</v>
      </c>
      <c r="J1606" s="2">
        <f>IF(payments_raw[[#This Row],[amount]] &lt;= 0, 1, 0)</f>
        <v>0</v>
      </c>
      <c r="K16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7" spans="1:11" x14ac:dyDescent="0.3">
      <c r="A1607">
        <v>96685825</v>
      </c>
      <c r="B1607">
        <v>7779356</v>
      </c>
      <c r="C1607" s="1">
        <v>44711</v>
      </c>
      <c r="D1607">
        <v>1490</v>
      </c>
      <c r="E1607">
        <f>IF(
  ISNA(
    _xlfn.XLOOKUP(
      payments_raw[[#This Row],[subscription_id]],
      subscriptions[subscription_id],
      subscriptions[subscription_id]
    )
  ),
  0,
  1
)</f>
        <v>1</v>
      </c>
      <c r="F1607" s="1">
        <f>_xlfn.XLOOKUP(payments_raw[[#This Row],[subscription_id]], subscriptions[subscription_id], subscriptions[start_date])</f>
        <v>44675</v>
      </c>
      <c r="G160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44886</v>
      </c>
      <c r="H1607" s="2">
        <f>IF(payments_raw[[#This Row],[payment_date]] &lt; payments_raw[[#This Row],[sub_start_date]], 1, 0)</f>
        <v>0</v>
      </c>
      <c r="I1607" s="2">
        <f>IF(AND(payments_raw[[#This Row],[sub_end_date]]&lt;&gt;"", payments_raw[[#This Row],[payment_date]] &gt; payments_raw[[#This Row],[sub_end_date]]), 1, 0)</f>
        <v>0</v>
      </c>
      <c r="J1607" s="2">
        <f>IF(payments_raw[[#This Row],[amount]] &lt;= 0, 1, 0)</f>
        <v>0</v>
      </c>
      <c r="K16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8" spans="1:11" x14ac:dyDescent="0.3">
      <c r="A1608">
        <v>80048631</v>
      </c>
      <c r="B1608">
        <v>8544230</v>
      </c>
      <c r="C1608" s="1">
        <v>45287</v>
      </c>
      <c r="D1608">
        <v>149</v>
      </c>
      <c r="E1608">
        <f>IF(
  ISNA(
    _xlfn.XLOOKUP(
      payments_raw[[#This Row],[subscription_id]],
      subscriptions[subscription_id],
      subscriptions[subscription_id]
    )
  ),
  0,
  1
)</f>
        <v>1</v>
      </c>
      <c r="F1608" s="1">
        <f>_xlfn.XLOOKUP(payments_raw[[#This Row],[subscription_id]], subscriptions[subscription_id], subscriptions[start_date])</f>
        <v>45048</v>
      </c>
      <c r="G16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45391</v>
      </c>
      <c r="H1608" s="2">
        <f>IF(payments_raw[[#This Row],[payment_date]] &lt; payments_raw[[#This Row],[sub_start_date]], 1, 0)</f>
        <v>0</v>
      </c>
      <c r="I1608" s="2">
        <f>IF(AND(payments_raw[[#This Row],[sub_end_date]]&lt;&gt;"", payments_raw[[#This Row],[payment_date]] &gt; payments_raw[[#This Row],[sub_end_date]]), 1, 0)</f>
        <v>0</v>
      </c>
      <c r="J1608" s="2">
        <f>IF(payments_raw[[#This Row],[amount]] &lt;= 0, 1, 0)</f>
        <v>0</v>
      </c>
      <c r="K16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09" spans="1:11" x14ac:dyDescent="0.3">
      <c r="A1609">
        <v>84535522</v>
      </c>
      <c r="B1609">
        <v>6034918</v>
      </c>
      <c r="C1609" s="1">
        <v>45441</v>
      </c>
      <c r="D1609">
        <v>149</v>
      </c>
      <c r="E1609">
        <f>IF(
  ISNA(
    _xlfn.XLOOKUP(
      payments_raw[[#This Row],[subscription_id]],
      subscriptions[subscription_id],
      subscriptions[subscription_id]
    )
  ),
  0,
  1
)</f>
        <v>1</v>
      </c>
      <c r="F1609" s="1">
        <f>_xlfn.XLOOKUP(payments_raw[[#This Row],[subscription_id]], subscriptions[subscription_id], subscriptions[start_date])</f>
        <v>45368</v>
      </c>
      <c r="G16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45454</v>
      </c>
      <c r="H1609" s="2">
        <f>IF(payments_raw[[#This Row],[payment_date]] &lt; payments_raw[[#This Row],[sub_start_date]], 1, 0)</f>
        <v>0</v>
      </c>
      <c r="I1609" s="2">
        <f>IF(AND(payments_raw[[#This Row],[sub_end_date]]&lt;&gt;"", payments_raw[[#This Row],[payment_date]] &gt; payments_raw[[#This Row],[sub_end_date]]), 1, 0)</f>
        <v>0</v>
      </c>
      <c r="J1609" s="2">
        <f>IF(payments_raw[[#This Row],[amount]] &lt;= 0, 1, 0)</f>
        <v>0</v>
      </c>
      <c r="K16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0" spans="1:11" x14ac:dyDescent="0.3">
      <c r="A1610">
        <v>65314483</v>
      </c>
      <c r="B1610">
        <v>6883514</v>
      </c>
      <c r="C1610" s="1">
        <v>45155</v>
      </c>
      <c r="D1610">
        <v>79</v>
      </c>
      <c r="E1610">
        <f>IF(
  ISNA(
    _xlfn.XLOOKUP(
      payments_raw[[#This Row],[subscription_id]],
      subscriptions[subscription_id],
      subscriptions[subscription_id]
    )
  ),
  0,
  1
)</f>
        <v>1</v>
      </c>
      <c r="F1610" s="1">
        <f>_xlfn.XLOOKUP(payments_raw[[#This Row],[subscription_id]], subscriptions[subscription_id], subscriptions[start_date])</f>
        <v>44803</v>
      </c>
      <c r="G16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0" s="2">
        <f>IF(payments_raw[[#This Row],[payment_date]] &lt; payments_raw[[#This Row],[sub_start_date]], 1, 0)</f>
        <v>0</v>
      </c>
      <c r="I1610" s="2">
        <f>IF(AND(payments_raw[[#This Row],[sub_end_date]]&lt;&gt;"", payments_raw[[#This Row],[payment_date]] &gt; payments_raw[[#This Row],[sub_end_date]]), 1, 0)</f>
        <v>0</v>
      </c>
      <c r="J1610" s="2">
        <f>IF(payments_raw[[#This Row],[amount]] &lt;= 0, 1, 0)</f>
        <v>0</v>
      </c>
      <c r="K16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1" spans="1:11" x14ac:dyDescent="0.3">
      <c r="A1611">
        <v>44506148</v>
      </c>
      <c r="B1611">
        <v>3891398</v>
      </c>
      <c r="C1611" s="1">
        <v>45263</v>
      </c>
      <c r="D1611">
        <v>79</v>
      </c>
      <c r="E1611">
        <f>IF(
  ISNA(
    _xlfn.XLOOKUP(
      payments_raw[[#This Row],[subscription_id]],
      subscriptions[subscription_id],
      subscriptions[subscription_id]
    )
  ),
  0,
  1
)</f>
        <v>1</v>
      </c>
      <c r="F1611" s="1">
        <f>_xlfn.XLOOKUP(payments_raw[[#This Row],[subscription_id]], subscriptions[subscription_id], subscriptions[start_date])</f>
        <v>45121</v>
      </c>
      <c r="G16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1611" s="2">
        <f>IF(payments_raw[[#This Row],[payment_date]] &lt; payments_raw[[#This Row],[sub_start_date]], 1, 0)</f>
        <v>0</v>
      </c>
      <c r="I1611" s="2">
        <f>IF(AND(payments_raw[[#This Row],[sub_end_date]]&lt;&gt;"", payments_raw[[#This Row],[payment_date]] &gt; payments_raw[[#This Row],[sub_end_date]]), 1, 0)</f>
        <v>0</v>
      </c>
      <c r="J1611" s="2">
        <f>IF(payments_raw[[#This Row],[amount]] &lt;= 0, 1, 0)</f>
        <v>0</v>
      </c>
      <c r="K16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2" spans="1:11" x14ac:dyDescent="0.3">
      <c r="A1612">
        <v>25511151</v>
      </c>
      <c r="B1612">
        <v>6415010</v>
      </c>
      <c r="C1612" s="1">
        <v>45440</v>
      </c>
      <c r="D1612">
        <v>79</v>
      </c>
      <c r="E1612">
        <f>IF(
  ISNA(
    _xlfn.XLOOKUP(
      payments_raw[[#This Row],[subscription_id]],
      subscriptions[subscription_id],
      subscriptions[subscription_id]
    )
  ),
  0,
  1
)</f>
        <v>1</v>
      </c>
      <c r="F1612" s="1">
        <f>_xlfn.XLOOKUP(payments_raw[[#This Row],[subscription_id]], subscriptions[subscription_id], subscriptions[start_date])</f>
        <v>44594</v>
      </c>
      <c r="G16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2" s="2">
        <f>IF(payments_raw[[#This Row],[payment_date]] &lt; payments_raw[[#This Row],[sub_start_date]], 1, 0)</f>
        <v>0</v>
      </c>
      <c r="I1612" s="2">
        <f>IF(AND(payments_raw[[#This Row],[sub_end_date]]&lt;&gt;"", payments_raw[[#This Row],[payment_date]] &gt; payments_raw[[#This Row],[sub_end_date]]), 1, 0)</f>
        <v>0</v>
      </c>
      <c r="J1612" s="2">
        <f>IF(payments_raw[[#This Row],[amount]] &lt;= 0, 1, 0)</f>
        <v>0</v>
      </c>
      <c r="K16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3" spans="1:11" x14ac:dyDescent="0.3">
      <c r="A1613">
        <v>21823343</v>
      </c>
      <c r="B1613">
        <v>9036402</v>
      </c>
      <c r="C1613" s="1">
        <v>45392</v>
      </c>
      <c r="D1613">
        <v>2990</v>
      </c>
      <c r="E1613">
        <f>IF(
  ISNA(
    _xlfn.XLOOKUP(
      payments_raw[[#This Row],[subscription_id]],
      subscriptions[subscription_id],
      subscriptions[subscription_id]
    )
  ),
  0,
  1
)</f>
        <v>1</v>
      </c>
      <c r="F1613" s="1">
        <f>_xlfn.XLOOKUP(payments_raw[[#This Row],[subscription_id]], subscriptions[subscription_id], subscriptions[start_date])</f>
        <v>44753</v>
      </c>
      <c r="G16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3" s="2">
        <f>IF(payments_raw[[#This Row],[payment_date]] &lt; payments_raw[[#This Row],[sub_start_date]], 1, 0)</f>
        <v>0</v>
      </c>
      <c r="I1613" s="2">
        <f>IF(AND(payments_raw[[#This Row],[sub_end_date]]&lt;&gt;"", payments_raw[[#This Row],[payment_date]] &gt; payments_raw[[#This Row],[sub_end_date]]), 1, 0)</f>
        <v>0</v>
      </c>
      <c r="J1613" s="2">
        <f>IF(payments_raw[[#This Row],[amount]] &lt;= 0, 1, 0)</f>
        <v>0</v>
      </c>
      <c r="K16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4" spans="1:11" x14ac:dyDescent="0.3">
      <c r="A1614">
        <v>79077891</v>
      </c>
      <c r="B1614">
        <v>7465654</v>
      </c>
      <c r="C1614" s="1">
        <v>45007</v>
      </c>
      <c r="D1614">
        <v>190</v>
      </c>
      <c r="E1614">
        <f>IF(
  ISNA(
    _xlfn.XLOOKUP(
      payments_raw[[#This Row],[subscription_id]],
      subscriptions[subscription_id],
      subscriptions[subscription_id]
    )
  ),
  0,
  1
)</f>
        <v>1</v>
      </c>
      <c r="F1614" s="1">
        <f>_xlfn.XLOOKUP(payments_raw[[#This Row],[subscription_id]], subscriptions[subscription_id], subscriptions[start_date])</f>
        <v>44863</v>
      </c>
      <c r="G16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4" s="2">
        <f>IF(payments_raw[[#This Row],[payment_date]] &lt; payments_raw[[#This Row],[sub_start_date]], 1, 0)</f>
        <v>0</v>
      </c>
      <c r="I1614" s="2">
        <f>IF(AND(payments_raw[[#This Row],[sub_end_date]]&lt;&gt;"", payments_raw[[#This Row],[payment_date]] &gt; payments_raw[[#This Row],[sub_end_date]]), 1, 0)</f>
        <v>0</v>
      </c>
      <c r="J1614" s="2">
        <f>IF(payments_raw[[#This Row],[amount]] &lt;= 0, 1, 0)</f>
        <v>0</v>
      </c>
      <c r="K16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5" spans="1:11" x14ac:dyDescent="0.3">
      <c r="A1615">
        <v>37136755</v>
      </c>
      <c r="B1615">
        <v>7951217</v>
      </c>
      <c r="C1615" s="1">
        <v>45651</v>
      </c>
      <c r="D1615">
        <v>390</v>
      </c>
      <c r="E1615">
        <f>IF(
  ISNA(
    _xlfn.XLOOKUP(
      payments_raw[[#This Row],[subscription_id]],
      subscriptions[subscription_id],
      subscriptions[subscription_id]
    )
  ),
  0,
  1
)</f>
        <v>1</v>
      </c>
      <c r="F1615" s="1">
        <f>_xlfn.XLOOKUP(payments_raw[[#This Row],[subscription_id]], subscriptions[subscription_id], subscriptions[start_date])</f>
        <v>44827</v>
      </c>
      <c r="G16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5" s="2">
        <f>IF(payments_raw[[#This Row],[payment_date]] &lt; payments_raw[[#This Row],[sub_start_date]], 1, 0)</f>
        <v>0</v>
      </c>
      <c r="I1615" s="2">
        <f>IF(AND(payments_raw[[#This Row],[sub_end_date]]&lt;&gt;"", payments_raw[[#This Row],[payment_date]] &gt; payments_raw[[#This Row],[sub_end_date]]), 1, 0)</f>
        <v>0</v>
      </c>
      <c r="J1615" s="2">
        <f>IF(payments_raw[[#This Row],[amount]] &lt;= 0, 1, 0)</f>
        <v>0</v>
      </c>
      <c r="K16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6" spans="1:11" x14ac:dyDescent="0.3">
      <c r="A1616">
        <v>82265483</v>
      </c>
      <c r="B1616">
        <v>7325627</v>
      </c>
      <c r="C1616" s="1">
        <v>44993</v>
      </c>
      <c r="D1616">
        <v>39</v>
      </c>
      <c r="E1616">
        <f>IF(
  ISNA(
    _xlfn.XLOOKUP(
      payments_raw[[#This Row],[subscription_id]],
      subscriptions[subscription_id],
      subscriptions[subscription_id]
    )
  ),
  0,
  1
)</f>
        <v>1</v>
      </c>
      <c r="F1616" s="1">
        <f>_xlfn.XLOOKUP(payments_raw[[#This Row],[subscription_id]], subscriptions[subscription_id], subscriptions[start_date])</f>
        <v>44909</v>
      </c>
      <c r="G16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6" s="2">
        <f>IF(payments_raw[[#This Row],[payment_date]] &lt; payments_raw[[#This Row],[sub_start_date]], 1, 0)</f>
        <v>0</v>
      </c>
      <c r="I1616" s="2">
        <f>IF(AND(payments_raw[[#This Row],[sub_end_date]]&lt;&gt;"", payments_raw[[#This Row],[payment_date]] &gt; payments_raw[[#This Row],[sub_end_date]]), 1, 0)</f>
        <v>0</v>
      </c>
      <c r="J1616" s="2">
        <f>IF(payments_raw[[#This Row],[amount]] &lt;= 0, 1, 0)</f>
        <v>0</v>
      </c>
      <c r="K16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7" spans="1:11" x14ac:dyDescent="0.3">
      <c r="A1617">
        <v>19492312</v>
      </c>
      <c r="B1617">
        <v>9945677</v>
      </c>
      <c r="C1617" s="1">
        <v>45098</v>
      </c>
      <c r="D1617">
        <v>149</v>
      </c>
      <c r="E1617">
        <f>IF(
  ISNA(
    _xlfn.XLOOKUP(
      payments_raw[[#This Row],[subscription_id]],
      subscriptions[subscription_id],
      subscriptions[subscription_id]
    )
  ),
  0,
  1
)</f>
        <v>1</v>
      </c>
      <c r="F1617" s="1">
        <f>_xlfn.XLOOKUP(payments_raw[[#This Row],[subscription_id]], subscriptions[subscription_id], subscriptions[start_date])</f>
        <v>45062</v>
      </c>
      <c r="G16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7" s="2">
        <f>IF(payments_raw[[#This Row],[payment_date]] &lt; payments_raw[[#This Row],[sub_start_date]], 1, 0)</f>
        <v>0</v>
      </c>
      <c r="I1617" s="2">
        <f>IF(AND(payments_raw[[#This Row],[sub_end_date]]&lt;&gt;"", payments_raw[[#This Row],[payment_date]] &gt; payments_raw[[#This Row],[sub_end_date]]), 1, 0)</f>
        <v>0</v>
      </c>
      <c r="J1617" s="2">
        <f>IF(payments_raw[[#This Row],[amount]] &lt;= 0, 1, 0)</f>
        <v>0</v>
      </c>
      <c r="K16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8" spans="1:11" x14ac:dyDescent="0.3">
      <c r="A1618">
        <v>16094013</v>
      </c>
      <c r="B1618">
        <v>7951217</v>
      </c>
      <c r="C1618" s="1">
        <v>44984</v>
      </c>
      <c r="D1618">
        <v>390</v>
      </c>
      <c r="E1618">
        <f>IF(
  ISNA(
    _xlfn.XLOOKUP(
      payments_raw[[#This Row],[subscription_id]],
      subscriptions[subscription_id],
      subscriptions[subscription_id]
    )
  ),
  0,
  1
)</f>
        <v>1</v>
      </c>
      <c r="F1618" s="1">
        <f>_xlfn.XLOOKUP(payments_raw[[#This Row],[subscription_id]], subscriptions[subscription_id], subscriptions[start_date])</f>
        <v>44827</v>
      </c>
      <c r="G16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8" s="2">
        <f>IF(payments_raw[[#This Row],[payment_date]] &lt; payments_raw[[#This Row],[sub_start_date]], 1, 0)</f>
        <v>0</v>
      </c>
      <c r="I1618" s="2">
        <f>IF(AND(payments_raw[[#This Row],[sub_end_date]]&lt;&gt;"", payments_raw[[#This Row],[payment_date]] &gt; payments_raw[[#This Row],[sub_end_date]]), 1, 0)</f>
        <v>0</v>
      </c>
      <c r="J1618" s="2">
        <f>IF(payments_raw[[#This Row],[amount]] &lt;= 0, 1, 0)</f>
        <v>0</v>
      </c>
      <c r="K16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19" spans="1:11" x14ac:dyDescent="0.3">
      <c r="A1619">
        <v>85360615</v>
      </c>
      <c r="B1619">
        <v>6598972</v>
      </c>
      <c r="C1619" s="1">
        <v>45483</v>
      </c>
      <c r="D1619">
        <v>2990</v>
      </c>
      <c r="E1619">
        <f>IF(
  ISNA(
    _xlfn.XLOOKUP(
      payments_raw[[#This Row],[subscription_id]],
      subscriptions[subscription_id],
      subscriptions[subscription_id]
    )
  ),
  0,
  1
)</f>
        <v>1</v>
      </c>
      <c r="F1619" s="1">
        <f>_xlfn.XLOOKUP(payments_raw[[#This Row],[subscription_id]], subscriptions[subscription_id], subscriptions[start_date])</f>
        <v>44804</v>
      </c>
      <c r="G16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19" s="2">
        <f>IF(payments_raw[[#This Row],[payment_date]] &lt; payments_raw[[#This Row],[sub_start_date]], 1, 0)</f>
        <v>0</v>
      </c>
      <c r="I1619" s="2">
        <f>IF(AND(payments_raw[[#This Row],[sub_end_date]]&lt;&gt;"", payments_raw[[#This Row],[payment_date]] &gt; payments_raw[[#This Row],[sub_end_date]]), 1, 0)</f>
        <v>0</v>
      </c>
      <c r="J1619" s="2">
        <f>IF(payments_raw[[#This Row],[amount]] &lt;= 0, 1, 0)</f>
        <v>0</v>
      </c>
      <c r="K16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0" spans="1:11" x14ac:dyDescent="0.3">
      <c r="A1620">
        <v>39766678</v>
      </c>
      <c r="B1620">
        <v>5629265</v>
      </c>
      <c r="C1620" s="1">
        <v>45595</v>
      </c>
      <c r="D1620">
        <v>142.5</v>
      </c>
      <c r="E1620">
        <f>IF(
  ISNA(
    _xlfn.XLOOKUP(
      payments_raw[[#This Row],[subscription_id]],
      subscriptions[subscription_id],
      subscriptions[subscription_id]
    )
  ),
  0,
  1
)</f>
        <v>1</v>
      </c>
      <c r="F1620" s="1">
        <f>_xlfn.XLOOKUP(payments_raw[[#This Row],[subscription_id]], subscriptions[subscription_id], subscriptions[start_date])</f>
        <v>45572</v>
      </c>
      <c r="G16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0" s="2">
        <f>IF(payments_raw[[#This Row],[payment_date]] &lt; payments_raw[[#This Row],[sub_start_date]], 1, 0)</f>
        <v>0</v>
      </c>
      <c r="I1620" s="2">
        <f>IF(AND(payments_raw[[#This Row],[sub_end_date]]&lt;&gt;"", payments_raw[[#This Row],[payment_date]] &gt; payments_raw[[#This Row],[sub_end_date]]), 1, 0)</f>
        <v>0</v>
      </c>
      <c r="J1620" s="2">
        <f>IF(payments_raw[[#This Row],[amount]] &lt;= 0, 1, 0)</f>
        <v>0</v>
      </c>
      <c r="K16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1" spans="1:11" x14ac:dyDescent="0.3">
      <c r="A1621">
        <v>38633439</v>
      </c>
      <c r="B1621">
        <v>3886829</v>
      </c>
      <c r="C1621" s="1">
        <v>45630</v>
      </c>
      <c r="D1621">
        <v>299</v>
      </c>
      <c r="E1621">
        <f>IF(
  ISNA(
    _xlfn.XLOOKUP(
      payments_raw[[#This Row],[subscription_id]],
      subscriptions[subscription_id],
      subscriptions[subscription_id]
    )
  ),
  0,
  1
)</f>
        <v>1</v>
      </c>
      <c r="F1621" s="1">
        <f>_xlfn.XLOOKUP(payments_raw[[#This Row],[subscription_id]], subscriptions[subscription_id], subscriptions[start_date])</f>
        <v>45179</v>
      </c>
      <c r="G16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1" s="2">
        <f>IF(payments_raw[[#This Row],[payment_date]] &lt; payments_raw[[#This Row],[sub_start_date]], 1, 0)</f>
        <v>0</v>
      </c>
      <c r="I1621" s="2">
        <f>IF(AND(payments_raw[[#This Row],[sub_end_date]]&lt;&gt;"", payments_raw[[#This Row],[payment_date]] &gt; payments_raw[[#This Row],[sub_end_date]]), 1, 0)</f>
        <v>0</v>
      </c>
      <c r="J1621" s="2">
        <f>IF(payments_raw[[#This Row],[amount]] &lt;= 0, 1, 0)</f>
        <v>0</v>
      </c>
      <c r="K16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2" spans="1:11" x14ac:dyDescent="0.3">
      <c r="A1622">
        <v>58310738</v>
      </c>
      <c r="B1622">
        <v>9232431</v>
      </c>
      <c r="C1622" s="1">
        <v>45017</v>
      </c>
      <c r="D1622">
        <v>790</v>
      </c>
      <c r="E1622">
        <f>IF(
  ISNA(
    _xlfn.XLOOKUP(
      payments_raw[[#This Row],[subscription_id]],
      subscriptions[subscription_id],
      subscriptions[subscription_id]
    )
  ),
  0,
  1
)</f>
        <v>1</v>
      </c>
      <c r="F1622" s="1">
        <f>_xlfn.XLOOKUP(payments_raw[[#This Row],[subscription_id]], subscriptions[subscription_id], subscriptions[start_date])</f>
        <v>44989</v>
      </c>
      <c r="G16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45038</v>
      </c>
      <c r="H1622" s="2">
        <f>IF(payments_raw[[#This Row],[payment_date]] &lt; payments_raw[[#This Row],[sub_start_date]], 1, 0)</f>
        <v>0</v>
      </c>
      <c r="I1622" s="2">
        <f>IF(AND(payments_raw[[#This Row],[sub_end_date]]&lt;&gt;"", payments_raw[[#This Row],[payment_date]] &gt; payments_raw[[#This Row],[sub_end_date]]), 1, 0)</f>
        <v>0</v>
      </c>
      <c r="J1622" s="2">
        <f>IF(payments_raw[[#This Row],[amount]] &lt;= 0, 1, 0)</f>
        <v>0</v>
      </c>
      <c r="K16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3" spans="1:11" x14ac:dyDescent="0.3">
      <c r="A1623">
        <v>42474862</v>
      </c>
      <c r="B1623">
        <v>9418465</v>
      </c>
      <c r="C1623" s="1">
        <v>45359</v>
      </c>
      <c r="D1623">
        <v>39</v>
      </c>
      <c r="E1623">
        <f>IF(
  ISNA(
    _xlfn.XLOOKUP(
      payments_raw[[#This Row],[subscription_id]],
      subscriptions[subscription_id],
      subscriptions[subscription_id]
    )
  ),
  0,
  1
)</f>
        <v>1</v>
      </c>
      <c r="F1623" s="1">
        <f>_xlfn.XLOOKUP(payments_raw[[#This Row],[subscription_id]], subscriptions[subscription_id], subscriptions[start_date])</f>
        <v>45187</v>
      </c>
      <c r="G16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3" s="2">
        <f>IF(payments_raw[[#This Row],[payment_date]] &lt; payments_raw[[#This Row],[sub_start_date]], 1, 0)</f>
        <v>0</v>
      </c>
      <c r="I1623" s="2">
        <f>IF(AND(payments_raw[[#This Row],[sub_end_date]]&lt;&gt;"", payments_raw[[#This Row],[payment_date]] &gt; payments_raw[[#This Row],[sub_end_date]]), 1, 0)</f>
        <v>0</v>
      </c>
      <c r="J1623" s="2">
        <f>IF(payments_raw[[#This Row],[amount]] &lt;= 0, 1, 0)</f>
        <v>0</v>
      </c>
      <c r="K16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4" spans="1:11" x14ac:dyDescent="0.3">
      <c r="A1624">
        <v>30318407</v>
      </c>
      <c r="B1624">
        <v>3893851</v>
      </c>
      <c r="C1624" s="1">
        <v>45545</v>
      </c>
      <c r="D1624">
        <v>79</v>
      </c>
      <c r="E1624">
        <f>IF(
  ISNA(
    _xlfn.XLOOKUP(
      payments_raw[[#This Row],[subscription_id]],
      subscriptions[subscription_id],
      subscriptions[subscription_id]
    )
  ),
  0,
  1
)</f>
        <v>1</v>
      </c>
      <c r="F1624" s="1">
        <f>_xlfn.XLOOKUP(payments_raw[[#This Row],[subscription_id]], subscriptions[subscription_id], subscriptions[start_date])</f>
        <v>45330</v>
      </c>
      <c r="G16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1624" s="2">
        <f>IF(payments_raw[[#This Row],[payment_date]] &lt; payments_raw[[#This Row],[sub_start_date]], 1, 0)</f>
        <v>0</v>
      </c>
      <c r="I1624" s="2">
        <f>IF(AND(payments_raw[[#This Row],[sub_end_date]]&lt;&gt;"", payments_raw[[#This Row],[payment_date]] &gt; payments_raw[[#This Row],[sub_end_date]]), 1, 0)</f>
        <v>0</v>
      </c>
      <c r="J1624" s="2">
        <f>IF(payments_raw[[#This Row],[amount]] &lt;= 0, 1, 0)</f>
        <v>0</v>
      </c>
      <c r="K16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5" spans="1:11" x14ac:dyDescent="0.3">
      <c r="A1625">
        <v>64442947</v>
      </c>
      <c r="B1625">
        <v>3070908</v>
      </c>
      <c r="C1625" s="1">
        <v>45552</v>
      </c>
      <c r="D1625">
        <v>19</v>
      </c>
      <c r="E1625">
        <f>IF(
  ISNA(
    _xlfn.XLOOKUP(
      payments_raw[[#This Row],[subscription_id]],
      subscriptions[subscription_id],
      subscriptions[subscription_id]
    )
  ),
  0,
  1
)</f>
        <v>1</v>
      </c>
      <c r="F1625" s="1">
        <f>_xlfn.XLOOKUP(payments_raw[[#This Row],[subscription_id]], subscriptions[subscription_id], subscriptions[start_date])</f>
        <v>44670</v>
      </c>
      <c r="G16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5" s="2">
        <f>IF(payments_raw[[#This Row],[payment_date]] &lt; payments_raw[[#This Row],[sub_start_date]], 1, 0)</f>
        <v>0</v>
      </c>
      <c r="I1625" s="2">
        <f>IF(AND(payments_raw[[#This Row],[sub_end_date]]&lt;&gt;"", payments_raw[[#This Row],[payment_date]] &gt; payments_raw[[#This Row],[sub_end_date]]), 1, 0)</f>
        <v>0</v>
      </c>
      <c r="J1625" s="2">
        <f>IF(payments_raw[[#This Row],[amount]] &lt;= 0, 1, 0)</f>
        <v>0</v>
      </c>
      <c r="K16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6" spans="1:11" x14ac:dyDescent="0.3">
      <c r="A1626">
        <v>83238590</v>
      </c>
      <c r="B1626">
        <v>4722144</v>
      </c>
      <c r="C1626" s="1">
        <v>45487</v>
      </c>
      <c r="D1626">
        <v>14.25</v>
      </c>
      <c r="E1626">
        <f>IF(
  ISNA(
    _xlfn.XLOOKUP(
      payments_raw[[#This Row],[subscription_id]],
      subscriptions[subscription_id],
      subscriptions[subscription_id]
    )
  ),
  0,
  1
)</f>
        <v>1</v>
      </c>
      <c r="F1626" s="1">
        <f>_xlfn.XLOOKUP(payments_raw[[#This Row],[subscription_id]], subscriptions[subscription_id], subscriptions[start_date])</f>
        <v>44596</v>
      </c>
      <c r="G16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6" s="2">
        <f>IF(payments_raw[[#This Row],[payment_date]] &lt; payments_raw[[#This Row],[sub_start_date]], 1, 0)</f>
        <v>0</v>
      </c>
      <c r="I1626" s="2">
        <f>IF(AND(payments_raw[[#This Row],[sub_end_date]]&lt;&gt;"", payments_raw[[#This Row],[payment_date]] &gt; payments_raw[[#This Row],[sub_end_date]]), 1, 0)</f>
        <v>0</v>
      </c>
      <c r="J1626" s="2">
        <f>IF(payments_raw[[#This Row],[amount]] &lt;= 0, 1, 0)</f>
        <v>0</v>
      </c>
      <c r="K16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7" spans="1:11" x14ac:dyDescent="0.3">
      <c r="A1627">
        <v>70103323</v>
      </c>
      <c r="B1627">
        <v>2295356</v>
      </c>
      <c r="C1627" s="1">
        <v>45570</v>
      </c>
      <c r="D1627">
        <v>79</v>
      </c>
      <c r="E1627">
        <f>IF(
  ISNA(
    _xlfn.XLOOKUP(
      payments_raw[[#This Row],[subscription_id]],
      subscriptions[subscription_id],
      subscriptions[subscription_id]
    )
  ),
  0,
  1
)</f>
        <v>1</v>
      </c>
      <c r="F1627" s="1">
        <f>_xlfn.XLOOKUP(payments_raw[[#This Row],[subscription_id]], subscriptions[subscription_id], subscriptions[start_date])</f>
        <v>45521</v>
      </c>
      <c r="G16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7" s="2">
        <f>IF(payments_raw[[#This Row],[payment_date]] &lt; payments_raw[[#This Row],[sub_start_date]], 1, 0)</f>
        <v>0</v>
      </c>
      <c r="I1627" s="2">
        <f>IF(AND(payments_raw[[#This Row],[sub_end_date]]&lt;&gt;"", payments_raw[[#This Row],[payment_date]] &gt; payments_raw[[#This Row],[sub_end_date]]), 1, 0)</f>
        <v>0</v>
      </c>
      <c r="J1627" s="2">
        <f>IF(payments_raw[[#This Row],[amount]] &lt;= 0, 1, 0)</f>
        <v>0</v>
      </c>
      <c r="K16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8" spans="1:11" x14ac:dyDescent="0.3">
      <c r="A1628">
        <v>39397627</v>
      </c>
      <c r="B1628">
        <v>5207762</v>
      </c>
      <c r="C1628" s="1">
        <v>45655</v>
      </c>
      <c r="D1628">
        <v>299</v>
      </c>
      <c r="E1628">
        <f>IF(
  ISNA(
    _xlfn.XLOOKUP(
      payments_raw[[#This Row],[subscription_id]],
      subscriptions[subscription_id],
      subscriptions[subscription_id]
    )
  ),
  0,
  1
)</f>
        <v>1</v>
      </c>
      <c r="F1628" s="1">
        <f>_xlfn.XLOOKUP(payments_raw[[#This Row],[subscription_id]], subscriptions[subscription_id], subscriptions[start_date])</f>
        <v>44921</v>
      </c>
      <c r="G16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28" s="2">
        <f>IF(payments_raw[[#This Row],[payment_date]] &lt; payments_raw[[#This Row],[sub_start_date]], 1, 0)</f>
        <v>0</v>
      </c>
      <c r="I1628" s="2">
        <f>IF(AND(payments_raw[[#This Row],[sub_end_date]]&lt;&gt;"", payments_raw[[#This Row],[payment_date]] &gt; payments_raw[[#This Row],[sub_end_date]]), 1, 0)</f>
        <v>0</v>
      </c>
      <c r="J1628" s="2">
        <f>IF(payments_raw[[#This Row],[amount]] &lt;= 0, 1, 0)</f>
        <v>0</v>
      </c>
      <c r="K16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29" spans="1:11" x14ac:dyDescent="0.3">
      <c r="A1629">
        <v>50208372</v>
      </c>
      <c r="B1629">
        <v>8646795</v>
      </c>
      <c r="C1629" s="1">
        <v>44932</v>
      </c>
      <c r="D1629">
        <v>79</v>
      </c>
      <c r="E1629">
        <f>IF(
  ISNA(
    _xlfn.XLOOKUP(
      payments_raw[[#This Row],[subscription_id]],
      subscriptions[subscription_id],
      subscriptions[subscription_id]
    )
  ),
  0,
  1
)</f>
        <v>1</v>
      </c>
      <c r="F1629" s="1">
        <f>_xlfn.XLOOKUP(payments_raw[[#This Row],[subscription_id]], subscriptions[subscription_id], subscriptions[start_date])</f>
        <v>44863</v>
      </c>
      <c r="G162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1629" s="2">
        <f>IF(payments_raw[[#This Row],[payment_date]] &lt; payments_raw[[#This Row],[sub_start_date]], 1, 0)</f>
        <v>0</v>
      </c>
      <c r="I1629" s="2">
        <f>IF(AND(payments_raw[[#This Row],[sub_end_date]]&lt;&gt;"", payments_raw[[#This Row],[payment_date]] &gt; payments_raw[[#This Row],[sub_end_date]]), 1, 0)</f>
        <v>0</v>
      </c>
      <c r="J1629" s="2">
        <f>IF(payments_raw[[#This Row],[amount]] &lt;= 0, 1, 0)</f>
        <v>0</v>
      </c>
      <c r="K16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0" spans="1:11" x14ac:dyDescent="0.3">
      <c r="A1630">
        <v>83438903</v>
      </c>
      <c r="B1630">
        <v>4458774</v>
      </c>
      <c r="C1630" s="1">
        <v>45544</v>
      </c>
      <c r="D1630">
        <v>299</v>
      </c>
      <c r="E1630">
        <f>IF(
  ISNA(
    _xlfn.XLOOKUP(
      payments_raw[[#This Row],[subscription_id]],
      subscriptions[subscription_id],
      subscriptions[subscription_id]
    )
  ),
  0,
  1
)</f>
        <v>1</v>
      </c>
      <c r="F1630" s="1">
        <f>_xlfn.XLOOKUP(payments_raw[[#This Row],[subscription_id]], subscriptions[subscription_id], subscriptions[start_date])</f>
        <v>45467</v>
      </c>
      <c r="G16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0" s="2">
        <f>IF(payments_raw[[#This Row],[payment_date]] &lt; payments_raw[[#This Row],[sub_start_date]], 1, 0)</f>
        <v>0</v>
      </c>
      <c r="I1630" s="2">
        <f>IF(AND(payments_raw[[#This Row],[sub_end_date]]&lt;&gt;"", payments_raw[[#This Row],[payment_date]] &gt; payments_raw[[#This Row],[sub_end_date]]), 1, 0)</f>
        <v>0</v>
      </c>
      <c r="J1630" s="2">
        <f>IF(payments_raw[[#This Row],[amount]] &lt;= 0, 1, 0)</f>
        <v>0</v>
      </c>
      <c r="K16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1" spans="1:11" x14ac:dyDescent="0.3">
      <c r="A1631">
        <v>52670431</v>
      </c>
      <c r="B1631">
        <v>9171197</v>
      </c>
      <c r="C1631" s="1">
        <v>45306</v>
      </c>
      <c r="D1631">
        <v>2990</v>
      </c>
      <c r="E1631">
        <f>IF(
  ISNA(
    _xlfn.XLOOKUP(
      payments_raw[[#This Row],[subscription_id]],
      subscriptions[subscription_id],
      subscriptions[subscription_id]
    )
  ),
  0,
  1
)</f>
        <v>1</v>
      </c>
      <c r="F1631" s="1">
        <f>_xlfn.XLOOKUP(payments_raw[[#This Row],[subscription_id]], subscriptions[subscription_id], subscriptions[start_date])</f>
        <v>45073</v>
      </c>
      <c r="G16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1" s="2">
        <f>IF(payments_raw[[#This Row],[payment_date]] &lt; payments_raw[[#This Row],[sub_start_date]], 1, 0)</f>
        <v>0</v>
      </c>
      <c r="I1631" s="2">
        <f>IF(AND(payments_raw[[#This Row],[sub_end_date]]&lt;&gt;"", payments_raw[[#This Row],[payment_date]] &gt; payments_raw[[#This Row],[sub_end_date]]), 1, 0)</f>
        <v>0</v>
      </c>
      <c r="J1631" s="2">
        <f>IF(payments_raw[[#This Row],[amount]] &lt;= 0, 1, 0)</f>
        <v>0</v>
      </c>
      <c r="K16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2" spans="1:11" x14ac:dyDescent="0.3">
      <c r="A1632">
        <v>94640648</v>
      </c>
      <c r="B1632">
        <v>8340281</v>
      </c>
      <c r="C1632" s="1">
        <v>45452</v>
      </c>
      <c r="D1632">
        <v>1490</v>
      </c>
      <c r="E1632">
        <f>IF(
  ISNA(
    _xlfn.XLOOKUP(
      payments_raw[[#This Row],[subscription_id]],
      subscriptions[subscription_id],
      subscriptions[subscription_id]
    )
  ),
  0,
  1
)</f>
        <v>1</v>
      </c>
      <c r="F1632" s="1">
        <f>_xlfn.XLOOKUP(payments_raw[[#This Row],[subscription_id]], subscriptions[subscription_id], subscriptions[start_date])</f>
        <v>45147</v>
      </c>
      <c r="G16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2" s="2">
        <f>IF(payments_raw[[#This Row],[payment_date]] &lt; payments_raw[[#This Row],[sub_start_date]], 1, 0)</f>
        <v>0</v>
      </c>
      <c r="I1632" s="2">
        <f>IF(AND(payments_raw[[#This Row],[sub_end_date]]&lt;&gt;"", payments_raw[[#This Row],[payment_date]] &gt; payments_raw[[#This Row],[sub_end_date]]), 1, 0)</f>
        <v>0</v>
      </c>
      <c r="J1632" s="2">
        <f>IF(payments_raw[[#This Row],[amount]] &lt;= 0, 1, 0)</f>
        <v>0</v>
      </c>
      <c r="K16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3" spans="1:11" x14ac:dyDescent="0.3">
      <c r="A1633">
        <v>28508590</v>
      </c>
      <c r="B1633">
        <v>1857027</v>
      </c>
      <c r="C1633" s="1">
        <v>45221</v>
      </c>
      <c r="D1633">
        <v>2990</v>
      </c>
      <c r="E1633">
        <f>IF(
  ISNA(
    _xlfn.XLOOKUP(
      payments_raw[[#This Row],[subscription_id]],
      subscriptions[subscription_id],
      subscriptions[subscription_id]
    )
  ),
  0,
  1
)</f>
        <v>1</v>
      </c>
      <c r="F1633" s="1">
        <f>_xlfn.XLOOKUP(payments_raw[[#This Row],[subscription_id]], subscriptions[subscription_id], subscriptions[start_date])</f>
        <v>45215</v>
      </c>
      <c r="G16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45282</v>
      </c>
      <c r="H1633" s="2">
        <f>IF(payments_raw[[#This Row],[payment_date]] &lt; payments_raw[[#This Row],[sub_start_date]], 1, 0)</f>
        <v>0</v>
      </c>
      <c r="I1633" s="2">
        <f>IF(AND(payments_raw[[#This Row],[sub_end_date]]&lt;&gt;"", payments_raw[[#This Row],[payment_date]] &gt; payments_raw[[#This Row],[sub_end_date]]), 1, 0)</f>
        <v>0</v>
      </c>
      <c r="J1633" s="2">
        <f>IF(payments_raw[[#This Row],[amount]] &lt;= 0, 1, 0)</f>
        <v>0</v>
      </c>
      <c r="K16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4" spans="1:11" x14ac:dyDescent="0.3">
      <c r="A1634">
        <v>17123333</v>
      </c>
      <c r="B1634">
        <v>1368376</v>
      </c>
      <c r="C1634" s="1">
        <v>45523</v>
      </c>
      <c r="D1634">
        <v>39</v>
      </c>
      <c r="E1634">
        <f>IF(
  ISNA(
    _xlfn.XLOOKUP(
      payments_raw[[#This Row],[subscription_id]],
      subscriptions[subscription_id],
      subscriptions[subscription_id]
    )
  ),
  0,
  1
)</f>
        <v>1</v>
      </c>
      <c r="F1634" s="1">
        <f>_xlfn.XLOOKUP(payments_raw[[#This Row],[subscription_id]], subscriptions[subscription_id], subscriptions[start_date])</f>
        <v>45409</v>
      </c>
      <c r="G16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4" s="2">
        <f>IF(payments_raw[[#This Row],[payment_date]] &lt; payments_raw[[#This Row],[sub_start_date]], 1, 0)</f>
        <v>0</v>
      </c>
      <c r="I1634" s="2">
        <f>IF(AND(payments_raw[[#This Row],[sub_end_date]]&lt;&gt;"", payments_raw[[#This Row],[payment_date]] &gt; payments_raw[[#This Row],[sub_end_date]]), 1, 0)</f>
        <v>0</v>
      </c>
      <c r="J1634" s="2">
        <f>IF(payments_raw[[#This Row],[amount]] &lt;= 0, 1, 0)</f>
        <v>0</v>
      </c>
      <c r="K16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5" spans="1:11" x14ac:dyDescent="0.3">
      <c r="A1635">
        <v>47138074</v>
      </c>
      <c r="B1635">
        <v>7311740</v>
      </c>
      <c r="C1635" s="1">
        <v>45024</v>
      </c>
      <c r="D1635">
        <v>19</v>
      </c>
      <c r="E1635">
        <f>IF(
  ISNA(
    _xlfn.XLOOKUP(
      payments_raw[[#This Row],[subscription_id]],
      subscriptions[subscription_id],
      subscriptions[subscription_id]
    )
  ),
  0,
  1
)</f>
        <v>1</v>
      </c>
      <c r="F1635" s="1">
        <f>_xlfn.XLOOKUP(payments_raw[[#This Row],[subscription_id]], subscriptions[subscription_id], subscriptions[start_date])</f>
        <v>45012</v>
      </c>
      <c r="G16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1635" s="2">
        <f>IF(payments_raw[[#This Row],[payment_date]] &lt; payments_raw[[#This Row],[sub_start_date]], 1, 0)</f>
        <v>0</v>
      </c>
      <c r="I1635" s="2">
        <f>IF(AND(payments_raw[[#This Row],[sub_end_date]]&lt;&gt;"", payments_raw[[#This Row],[payment_date]] &gt; payments_raw[[#This Row],[sub_end_date]]), 1, 0)</f>
        <v>0</v>
      </c>
      <c r="J1635" s="2">
        <f>IF(payments_raw[[#This Row],[amount]] &lt;= 0, 1, 0)</f>
        <v>0</v>
      </c>
      <c r="K16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6" spans="1:11" x14ac:dyDescent="0.3">
      <c r="A1636">
        <v>70261832</v>
      </c>
      <c r="B1636">
        <v>7426442</v>
      </c>
      <c r="C1636" s="1">
        <v>45599</v>
      </c>
      <c r="D1636">
        <v>2990</v>
      </c>
      <c r="E1636">
        <f>IF(
  ISNA(
    _xlfn.XLOOKUP(
      payments_raw[[#This Row],[subscription_id]],
      subscriptions[subscription_id],
      subscriptions[subscription_id]
    )
  ),
  0,
  1
)</f>
        <v>1</v>
      </c>
      <c r="F1636" s="1">
        <f>_xlfn.XLOOKUP(payments_raw[[#This Row],[subscription_id]], subscriptions[subscription_id], subscriptions[start_date])</f>
        <v>45441</v>
      </c>
      <c r="G16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36" s="2">
        <f>IF(payments_raw[[#This Row],[payment_date]] &lt; payments_raw[[#This Row],[sub_start_date]], 1, 0)</f>
        <v>0</v>
      </c>
      <c r="I1636" s="2">
        <f>IF(AND(payments_raw[[#This Row],[sub_end_date]]&lt;&gt;"", payments_raw[[#This Row],[payment_date]] &gt; payments_raw[[#This Row],[sub_end_date]]), 1, 0)</f>
        <v>0</v>
      </c>
      <c r="J1636" s="2">
        <f>IF(payments_raw[[#This Row],[amount]] &lt;= 0, 1, 0)</f>
        <v>0</v>
      </c>
      <c r="K16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7" spans="1:11" x14ac:dyDescent="0.3">
      <c r="A1637">
        <v>20745689</v>
      </c>
      <c r="B1637">
        <v>9534019</v>
      </c>
      <c r="C1637" s="1">
        <v>45180</v>
      </c>
      <c r="D1637">
        <v>79</v>
      </c>
      <c r="E1637">
        <f>IF(
  ISNA(
    _xlfn.XLOOKUP(
      payments_raw[[#This Row],[subscription_id]],
      subscriptions[subscription_id],
      subscriptions[subscription_id]
    )
  ),
  0,
  1
)</f>
        <v>1</v>
      </c>
      <c r="F1637" s="1">
        <f>_xlfn.XLOOKUP(payments_raw[[#This Row],[subscription_id]], subscriptions[subscription_id], subscriptions[start_date])</f>
        <v>45134</v>
      </c>
      <c r="G16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45213</v>
      </c>
      <c r="H1637" s="2">
        <f>IF(payments_raw[[#This Row],[payment_date]] &lt; payments_raw[[#This Row],[sub_start_date]], 1, 0)</f>
        <v>0</v>
      </c>
      <c r="I1637" s="2">
        <f>IF(AND(payments_raw[[#This Row],[sub_end_date]]&lt;&gt;"", payments_raw[[#This Row],[payment_date]] &gt; payments_raw[[#This Row],[sub_end_date]]), 1, 0)</f>
        <v>0</v>
      </c>
      <c r="J1637" s="2">
        <f>IF(payments_raw[[#This Row],[amount]] &lt;= 0, 1, 0)</f>
        <v>0</v>
      </c>
      <c r="K16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8" spans="1:11" x14ac:dyDescent="0.3">
      <c r="A1638">
        <v>31401790</v>
      </c>
      <c r="B1638">
        <v>4331501</v>
      </c>
      <c r="C1638" s="1">
        <v>44848</v>
      </c>
      <c r="D1638">
        <v>1490</v>
      </c>
      <c r="E1638">
        <f>IF(
  ISNA(
    _xlfn.XLOOKUP(
      payments_raw[[#This Row],[subscription_id]],
      subscriptions[subscription_id],
      subscriptions[subscription_id]
    )
  ),
  0,
  1
)</f>
        <v>1</v>
      </c>
      <c r="F1638" s="1">
        <f>_xlfn.XLOOKUP(payments_raw[[#This Row],[subscription_id]], subscriptions[subscription_id], subscriptions[start_date])</f>
        <v>44743</v>
      </c>
      <c r="G16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1638" s="2">
        <f>IF(payments_raw[[#This Row],[payment_date]] &lt; payments_raw[[#This Row],[sub_start_date]], 1, 0)</f>
        <v>0</v>
      </c>
      <c r="I1638" s="2">
        <f>IF(AND(payments_raw[[#This Row],[sub_end_date]]&lt;&gt;"", payments_raw[[#This Row],[payment_date]] &gt; payments_raw[[#This Row],[sub_end_date]]), 1, 0)</f>
        <v>0</v>
      </c>
      <c r="J1638" s="2">
        <f>IF(payments_raw[[#This Row],[amount]] &lt;= 0, 1, 0)</f>
        <v>0</v>
      </c>
      <c r="K16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39" spans="1:11" x14ac:dyDescent="0.3">
      <c r="A1639">
        <v>11306363</v>
      </c>
      <c r="B1639">
        <v>6492500</v>
      </c>
      <c r="C1639" s="1">
        <v>45056</v>
      </c>
      <c r="D1639">
        <v>29.25</v>
      </c>
      <c r="E1639">
        <f>IF(
  ISNA(
    _xlfn.XLOOKUP(
      payments_raw[[#This Row],[subscription_id]],
      subscriptions[subscription_id],
      subscriptions[subscription_id]
    )
  ),
  0,
  1
)</f>
        <v>1</v>
      </c>
      <c r="F1639" s="1">
        <f>_xlfn.XLOOKUP(payments_raw[[#This Row],[subscription_id]], subscriptions[subscription_id], subscriptions[start_date])</f>
        <v>44904</v>
      </c>
      <c r="G16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45065</v>
      </c>
      <c r="H1639" s="2">
        <f>IF(payments_raw[[#This Row],[payment_date]] &lt; payments_raw[[#This Row],[sub_start_date]], 1, 0)</f>
        <v>0</v>
      </c>
      <c r="I1639" s="2">
        <f>IF(AND(payments_raw[[#This Row],[sub_end_date]]&lt;&gt;"", payments_raw[[#This Row],[payment_date]] &gt; payments_raw[[#This Row],[sub_end_date]]), 1, 0)</f>
        <v>0</v>
      </c>
      <c r="J1639" s="2">
        <f>IF(payments_raw[[#This Row],[amount]] &lt;= 0, 1, 0)</f>
        <v>0</v>
      </c>
      <c r="K16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0" spans="1:11" x14ac:dyDescent="0.3">
      <c r="A1640">
        <v>53560692</v>
      </c>
      <c r="B1640">
        <v>4654207</v>
      </c>
      <c r="C1640" s="1">
        <v>44634</v>
      </c>
      <c r="D1640">
        <v>171</v>
      </c>
      <c r="E1640">
        <f>IF(
  ISNA(
    _xlfn.XLOOKUP(
      payments_raw[[#This Row],[subscription_id]],
      subscriptions[subscription_id],
      subscriptions[subscription_id]
    )
  ),
  0,
  1
)</f>
        <v>1</v>
      </c>
      <c r="F1640" s="1">
        <f>_xlfn.XLOOKUP(payments_raw[[#This Row],[subscription_id]], subscriptions[subscription_id], subscriptions[start_date])</f>
        <v>44580</v>
      </c>
      <c r="G164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44872</v>
      </c>
      <c r="H1640" s="2">
        <f>IF(payments_raw[[#This Row],[payment_date]] &lt; payments_raw[[#This Row],[sub_start_date]], 1, 0)</f>
        <v>0</v>
      </c>
      <c r="I1640" s="2">
        <f>IF(AND(payments_raw[[#This Row],[sub_end_date]]&lt;&gt;"", payments_raw[[#This Row],[payment_date]] &gt; payments_raw[[#This Row],[sub_end_date]]), 1, 0)</f>
        <v>0</v>
      </c>
      <c r="J1640" s="2">
        <f>IF(payments_raw[[#This Row],[amount]] &lt;= 0, 1, 0)</f>
        <v>0</v>
      </c>
      <c r="K16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1" spans="1:11" x14ac:dyDescent="0.3">
      <c r="A1641">
        <v>51536803</v>
      </c>
      <c r="B1641">
        <v>9214484</v>
      </c>
      <c r="C1641" s="1">
        <v>45511</v>
      </c>
      <c r="D1641">
        <v>2990</v>
      </c>
      <c r="E1641">
        <f>IF(
  ISNA(
    _xlfn.XLOOKUP(
      payments_raw[[#This Row],[subscription_id]],
      subscriptions[subscription_id],
      subscriptions[subscription_id]
    )
  ),
  0,
  1
)</f>
        <v>1</v>
      </c>
      <c r="F1641" s="1">
        <f>_xlfn.XLOOKUP(payments_raw[[#This Row],[subscription_id]], subscriptions[subscription_id], subscriptions[start_date])</f>
        <v>45504</v>
      </c>
      <c r="G16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1" s="2">
        <f>IF(payments_raw[[#This Row],[payment_date]] &lt; payments_raw[[#This Row],[sub_start_date]], 1, 0)</f>
        <v>0</v>
      </c>
      <c r="I1641" s="2">
        <f>IF(AND(payments_raw[[#This Row],[sub_end_date]]&lt;&gt;"", payments_raw[[#This Row],[payment_date]] &gt; payments_raw[[#This Row],[sub_end_date]]), 1, 0)</f>
        <v>0</v>
      </c>
      <c r="J1641" s="2">
        <f>IF(payments_raw[[#This Row],[amount]] &lt;= 0, 1, 0)</f>
        <v>0</v>
      </c>
      <c r="K16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2" spans="1:11" x14ac:dyDescent="0.3">
      <c r="A1642">
        <v>90542503</v>
      </c>
      <c r="B1642">
        <v>4831443</v>
      </c>
      <c r="C1642" s="1">
        <v>45349</v>
      </c>
      <c r="D1642">
        <v>19</v>
      </c>
      <c r="E1642">
        <f>IF(
  ISNA(
    _xlfn.XLOOKUP(
      payments_raw[[#This Row],[subscription_id]],
      subscriptions[subscription_id],
      subscriptions[subscription_id]
    )
  ),
  0,
  1
)</f>
        <v>1</v>
      </c>
      <c r="F1642" s="1">
        <f>_xlfn.XLOOKUP(payments_raw[[#This Row],[subscription_id]], subscriptions[subscription_id], subscriptions[start_date])</f>
        <v>45323</v>
      </c>
      <c r="G16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45558</v>
      </c>
      <c r="H1642" s="2">
        <f>IF(payments_raw[[#This Row],[payment_date]] &lt; payments_raw[[#This Row],[sub_start_date]], 1, 0)</f>
        <v>0</v>
      </c>
      <c r="I1642" s="2">
        <f>IF(AND(payments_raw[[#This Row],[sub_end_date]]&lt;&gt;"", payments_raw[[#This Row],[payment_date]] &gt; payments_raw[[#This Row],[sub_end_date]]), 1, 0)</f>
        <v>0</v>
      </c>
      <c r="J1642" s="2">
        <f>IF(payments_raw[[#This Row],[amount]] &lt;= 0, 1, 0)</f>
        <v>0</v>
      </c>
      <c r="K16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3" spans="1:11" x14ac:dyDescent="0.3">
      <c r="A1643">
        <v>23385516</v>
      </c>
      <c r="B1643">
        <v>8977497</v>
      </c>
      <c r="C1643" s="1">
        <v>45289</v>
      </c>
      <c r="D1643">
        <v>149</v>
      </c>
      <c r="E1643">
        <f>IF(
  ISNA(
    _xlfn.XLOOKUP(
      payments_raw[[#This Row],[subscription_id]],
      subscriptions[subscription_id],
      subscriptions[subscription_id]
    )
  ),
  0,
  1
)</f>
        <v>1</v>
      </c>
      <c r="F1643" s="1">
        <f>_xlfn.XLOOKUP(payments_raw[[#This Row],[subscription_id]], subscriptions[subscription_id], subscriptions[start_date])</f>
        <v>45247</v>
      </c>
      <c r="G16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3" s="2">
        <f>IF(payments_raw[[#This Row],[payment_date]] &lt; payments_raw[[#This Row],[sub_start_date]], 1, 0)</f>
        <v>0</v>
      </c>
      <c r="I1643" s="2">
        <f>IF(AND(payments_raw[[#This Row],[sub_end_date]]&lt;&gt;"", payments_raw[[#This Row],[payment_date]] &gt; payments_raw[[#This Row],[sub_end_date]]), 1, 0)</f>
        <v>0</v>
      </c>
      <c r="J1643" s="2">
        <f>IF(payments_raw[[#This Row],[amount]] &lt;= 0, 1, 0)</f>
        <v>0</v>
      </c>
      <c r="K16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4" spans="1:11" x14ac:dyDescent="0.3">
      <c r="A1644">
        <v>72102504</v>
      </c>
      <c r="B1644">
        <v>4831434</v>
      </c>
      <c r="C1644" s="1">
        <v>45495</v>
      </c>
      <c r="D1644">
        <v>190</v>
      </c>
      <c r="E1644">
        <f>IF(
  ISNA(
    _xlfn.XLOOKUP(
      payments_raw[[#This Row],[subscription_id]],
      subscriptions[subscription_id],
      subscriptions[subscription_id]
    )
  ),
  0,
  1
)</f>
        <v>1</v>
      </c>
      <c r="F1644" s="1">
        <f>_xlfn.XLOOKUP(payments_raw[[#This Row],[subscription_id]], subscriptions[subscription_id], subscriptions[start_date])</f>
        <v>44976</v>
      </c>
      <c r="G16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4" s="2">
        <f>IF(payments_raw[[#This Row],[payment_date]] &lt; payments_raw[[#This Row],[sub_start_date]], 1, 0)</f>
        <v>0</v>
      </c>
      <c r="I1644" s="2">
        <f>IF(AND(payments_raw[[#This Row],[sub_end_date]]&lt;&gt;"", payments_raw[[#This Row],[payment_date]] &gt; payments_raw[[#This Row],[sub_end_date]]), 1, 0)</f>
        <v>0</v>
      </c>
      <c r="J1644" s="2">
        <f>IF(payments_raw[[#This Row],[amount]] &lt;= 0, 1, 0)</f>
        <v>0</v>
      </c>
      <c r="K16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5" spans="1:11" x14ac:dyDescent="0.3">
      <c r="A1645">
        <v>22717763</v>
      </c>
      <c r="B1645">
        <v>4463711</v>
      </c>
      <c r="C1645" s="1">
        <v>45361</v>
      </c>
      <c r="D1645">
        <v>190</v>
      </c>
      <c r="E1645">
        <f>IF(
  ISNA(
    _xlfn.XLOOKUP(
      payments_raw[[#This Row],[subscription_id]],
      subscriptions[subscription_id],
      subscriptions[subscription_id]
    )
  ),
  0,
  1
)</f>
        <v>1</v>
      </c>
      <c r="F1645" s="1">
        <f>_xlfn.XLOOKUP(payments_raw[[#This Row],[subscription_id]], subscriptions[subscription_id], subscriptions[start_date])</f>
        <v>45352</v>
      </c>
      <c r="G16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5" s="2">
        <f>IF(payments_raw[[#This Row],[payment_date]] &lt; payments_raw[[#This Row],[sub_start_date]], 1, 0)</f>
        <v>0</v>
      </c>
      <c r="I1645" s="2">
        <f>IF(AND(payments_raw[[#This Row],[sub_end_date]]&lt;&gt;"", payments_raw[[#This Row],[payment_date]] &gt; payments_raw[[#This Row],[sub_end_date]]), 1, 0)</f>
        <v>0</v>
      </c>
      <c r="J1645" s="2">
        <f>IF(payments_raw[[#This Row],[amount]] &lt;= 0, 1, 0)</f>
        <v>0</v>
      </c>
      <c r="K16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6" spans="1:11" x14ac:dyDescent="0.3">
      <c r="A1646">
        <v>49585094</v>
      </c>
      <c r="B1646">
        <v>8379665</v>
      </c>
      <c r="C1646" s="1">
        <v>45525</v>
      </c>
      <c r="D1646">
        <v>299</v>
      </c>
      <c r="E1646">
        <f>IF(
  ISNA(
    _xlfn.XLOOKUP(
      payments_raw[[#This Row],[subscription_id]],
      subscriptions[subscription_id],
      subscriptions[subscription_id]
    )
  ),
  0,
  1
)</f>
        <v>1</v>
      </c>
      <c r="F1646" s="1">
        <f>_xlfn.XLOOKUP(payments_raw[[#This Row],[subscription_id]], subscriptions[subscription_id], subscriptions[start_date])</f>
        <v>45165</v>
      </c>
      <c r="G16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6" s="2">
        <f>IF(payments_raw[[#This Row],[payment_date]] &lt; payments_raw[[#This Row],[sub_start_date]], 1, 0)</f>
        <v>0</v>
      </c>
      <c r="I1646" s="2">
        <f>IF(AND(payments_raw[[#This Row],[sub_end_date]]&lt;&gt;"", payments_raw[[#This Row],[payment_date]] &gt; payments_raw[[#This Row],[sub_end_date]]), 1, 0)</f>
        <v>0</v>
      </c>
      <c r="J1646" s="2">
        <f>IF(payments_raw[[#This Row],[amount]] &lt;= 0, 1, 0)</f>
        <v>0</v>
      </c>
      <c r="K16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7" spans="1:11" x14ac:dyDescent="0.3">
      <c r="A1647">
        <v>62219432</v>
      </c>
      <c r="B1647">
        <v>7565971</v>
      </c>
      <c r="C1647" s="1">
        <v>44969</v>
      </c>
      <c r="D1647">
        <v>190</v>
      </c>
      <c r="E1647">
        <f>IF(
  ISNA(
    _xlfn.XLOOKUP(
      payments_raw[[#This Row],[subscription_id]],
      subscriptions[subscription_id],
      subscriptions[subscription_id]
    )
  ),
  0,
  1
)</f>
        <v>1</v>
      </c>
      <c r="F1647" s="1">
        <f>_xlfn.XLOOKUP(payments_raw[[#This Row],[subscription_id]], subscriptions[subscription_id], subscriptions[start_date])</f>
        <v>44956</v>
      </c>
      <c r="G16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45187</v>
      </c>
      <c r="H1647" s="2">
        <f>IF(payments_raw[[#This Row],[payment_date]] &lt; payments_raw[[#This Row],[sub_start_date]], 1, 0)</f>
        <v>0</v>
      </c>
      <c r="I1647" s="2">
        <f>IF(AND(payments_raw[[#This Row],[sub_end_date]]&lt;&gt;"", payments_raw[[#This Row],[payment_date]] &gt; payments_raw[[#This Row],[sub_end_date]]), 1, 0)</f>
        <v>0</v>
      </c>
      <c r="J1647" s="2">
        <f>IF(payments_raw[[#This Row],[amount]] &lt;= 0, 1, 0)</f>
        <v>0</v>
      </c>
      <c r="K16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8" spans="1:11" x14ac:dyDescent="0.3">
      <c r="A1648">
        <v>33776348</v>
      </c>
      <c r="B1648">
        <v>5437558</v>
      </c>
      <c r="C1648" s="1">
        <v>45234</v>
      </c>
      <c r="D1648">
        <v>390</v>
      </c>
      <c r="E1648">
        <f>IF(
  ISNA(
    _xlfn.XLOOKUP(
      payments_raw[[#This Row],[subscription_id]],
      subscriptions[subscription_id],
      subscriptions[subscription_id]
    )
  ),
  0,
  1
)</f>
        <v>1</v>
      </c>
      <c r="F1648" s="1">
        <f>_xlfn.XLOOKUP(payments_raw[[#This Row],[subscription_id]], subscriptions[subscription_id], subscriptions[start_date])</f>
        <v>45191</v>
      </c>
      <c r="G16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45433</v>
      </c>
      <c r="H1648" s="2">
        <f>IF(payments_raw[[#This Row],[payment_date]] &lt; payments_raw[[#This Row],[sub_start_date]], 1, 0)</f>
        <v>0</v>
      </c>
      <c r="I1648" s="2">
        <f>IF(AND(payments_raw[[#This Row],[sub_end_date]]&lt;&gt;"", payments_raw[[#This Row],[payment_date]] &gt; payments_raw[[#This Row],[sub_end_date]]), 1, 0)</f>
        <v>0</v>
      </c>
      <c r="J1648" s="2">
        <f>IF(payments_raw[[#This Row],[amount]] &lt;= 0, 1, 0)</f>
        <v>0</v>
      </c>
      <c r="K16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49" spans="1:11" x14ac:dyDescent="0.3">
      <c r="A1649">
        <v>64508893</v>
      </c>
      <c r="B1649">
        <v>1359758</v>
      </c>
      <c r="C1649" s="1">
        <v>45409</v>
      </c>
      <c r="D1649">
        <v>790</v>
      </c>
      <c r="E1649">
        <f>IF(
  ISNA(
    _xlfn.XLOOKUP(
      payments_raw[[#This Row],[subscription_id]],
      subscriptions[subscription_id],
      subscriptions[subscription_id]
    )
  ),
  0,
  1
)</f>
        <v>1</v>
      </c>
      <c r="F1649" s="1">
        <f>_xlfn.XLOOKUP(payments_raw[[#This Row],[subscription_id]], subscriptions[subscription_id], subscriptions[start_date])</f>
        <v>44675</v>
      </c>
      <c r="G16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49" s="2">
        <f>IF(payments_raw[[#This Row],[payment_date]] &lt; payments_raw[[#This Row],[sub_start_date]], 1, 0)</f>
        <v>0</v>
      </c>
      <c r="I1649" s="2">
        <f>IF(AND(payments_raw[[#This Row],[sub_end_date]]&lt;&gt;"", payments_raw[[#This Row],[payment_date]] &gt; payments_raw[[#This Row],[sub_end_date]]), 1, 0)</f>
        <v>0</v>
      </c>
      <c r="J1649" s="2">
        <f>IF(payments_raw[[#This Row],[amount]] &lt;= 0, 1, 0)</f>
        <v>0</v>
      </c>
      <c r="K16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0" spans="1:11" x14ac:dyDescent="0.3">
      <c r="A1650">
        <v>41381157</v>
      </c>
      <c r="B1650">
        <v>4244232</v>
      </c>
      <c r="C1650" s="1">
        <v>45111</v>
      </c>
      <c r="D1650">
        <v>790</v>
      </c>
      <c r="E1650">
        <f>IF(
  ISNA(
    _xlfn.XLOOKUP(
      payments_raw[[#This Row],[subscription_id]],
      subscriptions[subscription_id],
      subscriptions[subscription_id]
    )
  ),
  0,
  1
)</f>
        <v>1</v>
      </c>
      <c r="F1650" s="1">
        <f>_xlfn.XLOOKUP(payments_raw[[#This Row],[subscription_id]], subscriptions[subscription_id], subscriptions[start_date])</f>
        <v>45071</v>
      </c>
      <c r="G16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45137</v>
      </c>
      <c r="H1650" s="2">
        <f>IF(payments_raw[[#This Row],[payment_date]] &lt; payments_raw[[#This Row],[sub_start_date]], 1, 0)</f>
        <v>0</v>
      </c>
      <c r="I1650" s="2">
        <f>IF(AND(payments_raw[[#This Row],[sub_end_date]]&lt;&gt;"", payments_raw[[#This Row],[payment_date]] &gt; payments_raw[[#This Row],[sub_end_date]]), 1, 0)</f>
        <v>0</v>
      </c>
      <c r="J1650" s="2">
        <f>IF(payments_raw[[#This Row],[amount]] &lt;= 0, 1, 0)</f>
        <v>0</v>
      </c>
      <c r="K16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1" spans="1:11" x14ac:dyDescent="0.3">
      <c r="A1651">
        <v>45976961</v>
      </c>
      <c r="B1651">
        <v>5058134</v>
      </c>
      <c r="C1651" s="1">
        <v>44966</v>
      </c>
      <c r="D1651">
        <v>149</v>
      </c>
      <c r="E1651">
        <f>IF(
  ISNA(
    _xlfn.XLOOKUP(
      payments_raw[[#This Row],[subscription_id]],
      subscriptions[subscription_id],
      subscriptions[subscription_id]
    )
  ),
  0,
  1
)</f>
        <v>1</v>
      </c>
      <c r="F1651" s="1">
        <f>_xlfn.XLOOKUP(payments_raw[[#This Row],[subscription_id]], subscriptions[subscription_id], subscriptions[start_date])</f>
        <v>44924</v>
      </c>
      <c r="G16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45210</v>
      </c>
      <c r="H1651" s="2">
        <f>IF(payments_raw[[#This Row],[payment_date]] &lt; payments_raw[[#This Row],[sub_start_date]], 1, 0)</f>
        <v>0</v>
      </c>
      <c r="I1651" s="2">
        <f>IF(AND(payments_raw[[#This Row],[sub_end_date]]&lt;&gt;"", payments_raw[[#This Row],[payment_date]] &gt; payments_raw[[#This Row],[sub_end_date]]), 1, 0)</f>
        <v>0</v>
      </c>
      <c r="J1651" s="2">
        <f>IF(payments_raw[[#This Row],[amount]] &lt;= 0, 1, 0)</f>
        <v>0</v>
      </c>
      <c r="K16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2" spans="1:11" x14ac:dyDescent="0.3">
      <c r="A1652">
        <v>10087245</v>
      </c>
      <c r="B1652">
        <v>8027140</v>
      </c>
      <c r="C1652" s="1">
        <v>45116</v>
      </c>
      <c r="D1652">
        <v>299</v>
      </c>
      <c r="E1652">
        <f>IF(
  ISNA(
    _xlfn.XLOOKUP(
      payments_raw[[#This Row],[subscription_id]],
      subscriptions[subscription_id],
      subscriptions[subscription_id]
    )
  ),
  0,
  1
)</f>
        <v>1</v>
      </c>
      <c r="F1652" s="1">
        <f>_xlfn.XLOOKUP(payments_raw[[#This Row],[subscription_id]], subscriptions[subscription_id], subscriptions[start_date])</f>
        <v>45032</v>
      </c>
      <c r="G16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2" s="2">
        <f>IF(payments_raw[[#This Row],[payment_date]] &lt; payments_raw[[#This Row],[sub_start_date]], 1, 0)</f>
        <v>0</v>
      </c>
      <c r="I1652" s="2">
        <f>IF(AND(payments_raw[[#This Row],[sub_end_date]]&lt;&gt;"", payments_raw[[#This Row],[payment_date]] &gt; payments_raw[[#This Row],[sub_end_date]]), 1, 0)</f>
        <v>0</v>
      </c>
      <c r="J1652" s="2">
        <f>IF(payments_raw[[#This Row],[amount]] &lt;= 0, 1, 0)</f>
        <v>0</v>
      </c>
      <c r="K16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3" spans="1:11" x14ac:dyDescent="0.3">
      <c r="A1653">
        <v>34459957</v>
      </c>
      <c r="B1653">
        <v>7597584</v>
      </c>
      <c r="C1653" s="1">
        <v>45558</v>
      </c>
      <c r="D1653">
        <v>79</v>
      </c>
      <c r="E1653">
        <f>IF(
  ISNA(
    _xlfn.XLOOKUP(
      payments_raw[[#This Row],[subscription_id]],
      subscriptions[subscription_id],
      subscriptions[subscription_id]
    )
  ),
  0,
  1
)</f>
        <v>1</v>
      </c>
      <c r="F1653" s="1">
        <f>_xlfn.XLOOKUP(payments_raw[[#This Row],[subscription_id]], subscriptions[subscription_id], subscriptions[start_date])</f>
        <v>45334</v>
      </c>
      <c r="G16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1653" s="2">
        <f>IF(payments_raw[[#This Row],[payment_date]] &lt; payments_raw[[#This Row],[sub_start_date]], 1, 0)</f>
        <v>0</v>
      </c>
      <c r="I1653" s="2">
        <f>IF(AND(payments_raw[[#This Row],[sub_end_date]]&lt;&gt;"", payments_raw[[#This Row],[payment_date]] &gt; payments_raw[[#This Row],[sub_end_date]]), 1, 0)</f>
        <v>0</v>
      </c>
      <c r="J1653" s="2">
        <f>IF(payments_raw[[#This Row],[amount]] &lt;= 0, 1, 0)</f>
        <v>0</v>
      </c>
      <c r="K16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4" spans="1:11" x14ac:dyDescent="0.3">
      <c r="A1654">
        <v>85952511</v>
      </c>
      <c r="B1654">
        <v>9019156</v>
      </c>
      <c r="C1654" s="1">
        <v>45449</v>
      </c>
      <c r="D1654">
        <v>190</v>
      </c>
      <c r="E1654">
        <f>IF(
  ISNA(
    _xlfn.XLOOKUP(
      payments_raw[[#This Row],[subscription_id]],
      subscriptions[subscription_id],
      subscriptions[subscription_id]
    )
  ),
  0,
  1
)</f>
        <v>1</v>
      </c>
      <c r="F1654" s="1">
        <f>_xlfn.XLOOKUP(payments_raw[[#This Row],[subscription_id]], subscriptions[subscription_id], subscriptions[start_date])</f>
        <v>45084</v>
      </c>
      <c r="G16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4" s="2">
        <f>IF(payments_raw[[#This Row],[payment_date]] &lt; payments_raw[[#This Row],[sub_start_date]], 1, 0)</f>
        <v>0</v>
      </c>
      <c r="I1654" s="2">
        <f>IF(AND(payments_raw[[#This Row],[sub_end_date]]&lt;&gt;"", payments_raw[[#This Row],[payment_date]] &gt; payments_raw[[#This Row],[sub_end_date]]), 1, 0)</f>
        <v>0</v>
      </c>
      <c r="J1654" s="2">
        <f>IF(payments_raw[[#This Row],[amount]] &lt;= 0, 1, 0)</f>
        <v>0</v>
      </c>
      <c r="K16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5" spans="1:11" x14ac:dyDescent="0.3">
      <c r="A1655">
        <v>17988778</v>
      </c>
      <c r="B1655">
        <v>4295478</v>
      </c>
      <c r="C1655" s="1">
        <v>45542</v>
      </c>
      <c r="D1655">
        <v>390</v>
      </c>
      <c r="E1655">
        <f>IF(
  ISNA(
    _xlfn.XLOOKUP(
      payments_raw[[#This Row],[subscription_id]],
      subscriptions[subscription_id],
      subscriptions[subscription_id]
    )
  ),
  0,
  1
)</f>
        <v>1</v>
      </c>
      <c r="F1655" s="1">
        <f>_xlfn.XLOOKUP(payments_raw[[#This Row],[subscription_id]], subscriptions[subscription_id], subscriptions[start_date])</f>
        <v>45541</v>
      </c>
      <c r="G16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5" s="2">
        <f>IF(payments_raw[[#This Row],[payment_date]] &lt; payments_raw[[#This Row],[sub_start_date]], 1, 0)</f>
        <v>0</v>
      </c>
      <c r="I1655" s="2">
        <f>IF(AND(payments_raw[[#This Row],[sub_end_date]]&lt;&gt;"", payments_raw[[#This Row],[payment_date]] &gt; payments_raw[[#This Row],[sub_end_date]]), 1, 0)</f>
        <v>0</v>
      </c>
      <c r="J1655" s="2">
        <f>IF(payments_raw[[#This Row],[amount]] &lt;= 0, 1, 0)</f>
        <v>0</v>
      </c>
      <c r="K16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6" spans="1:11" x14ac:dyDescent="0.3">
      <c r="A1656">
        <v>66060162</v>
      </c>
      <c r="B1656">
        <v>7285607</v>
      </c>
      <c r="C1656" s="1">
        <v>44955</v>
      </c>
      <c r="D1656">
        <v>745</v>
      </c>
      <c r="E1656">
        <f>IF(
  ISNA(
    _xlfn.XLOOKUP(
      payments_raw[[#This Row],[subscription_id]],
      subscriptions[subscription_id],
      subscriptions[subscription_id]
    )
  ),
  0,
  1
)</f>
        <v>1</v>
      </c>
      <c r="F1656" s="1">
        <f>_xlfn.XLOOKUP(payments_raw[[#This Row],[subscription_id]], subscriptions[subscription_id], subscriptions[start_date])</f>
        <v>44943</v>
      </c>
      <c r="G16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45074</v>
      </c>
      <c r="H1656" s="2">
        <f>IF(payments_raw[[#This Row],[payment_date]] &lt; payments_raw[[#This Row],[sub_start_date]], 1, 0)</f>
        <v>0</v>
      </c>
      <c r="I1656" s="2">
        <f>IF(AND(payments_raw[[#This Row],[sub_end_date]]&lt;&gt;"", payments_raw[[#This Row],[payment_date]] &gt; payments_raw[[#This Row],[sub_end_date]]), 1, 0)</f>
        <v>0</v>
      </c>
      <c r="J1656" s="2">
        <f>IF(payments_raw[[#This Row],[amount]] &lt;= 0, 1, 0)</f>
        <v>0</v>
      </c>
      <c r="K16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7" spans="1:11" x14ac:dyDescent="0.3">
      <c r="A1657">
        <v>55266351</v>
      </c>
      <c r="B1657">
        <v>4361005</v>
      </c>
      <c r="C1657" s="1">
        <v>45397</v>
      </c>
      <c r="D1657">
        <v>190</v>
      </c>
      <c r="E1657">
        <f>IF(
  ISNA(
    _xlfn.XLOOKUP(
      payments_raw[[#This Row],[subscription_id]],
      subscriptions[subscription_id],
      subscriptions[subscription_id]
    )
  ),
  0,
  1
)</f>
        <v>1</v>
      </c>
      <c r="F1657" s="1">
        <f>_xlfn.XLOOKUP(payments_raw[[#This Row],[subscription_id]], subscriptions[subscription_id], subscriptions[start_date])</f>
        <v>45288</v>
      </c>
      <c r="G16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1657" s="2">
        <f>IF(payments_raw[[#This Row],[payment_date]] &lt; payments_raw[[#This Row],[sub_start_date]], 1, 0)</f>
        <v>0</v>
      </c>
      <c r="I1657" s="2">
        <f>IF(AND(payments_raw[[#This Row],[sub_end_date]]&lt;&gt;"", payments_raw[[#This Row],[payment_date]] &gt; payments_raw[[#This Row],[sub_end_date]]), 1, 0)</f>
        <v>0</v>
      </c>
      <c r="J1657" s="2">
        <f>IF(payments_raw[[#This Row],[amount]] &lt;= 0, 1, 0)</f>
        <v>0</v>
      </c>
      <c r="K16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8" spans="1:11" x14ac:dyDescent="0.3">
      <c r="A1658">
        <v>34574296</v>
      </c>
      <c r="B1658">
        <v>3172932</v>
      </c>
      <c r="C1658" s="1">
        <v>45116</v>
      </c>
      <c r="D1658">
        <v>190</v>
      </c>
      <c r="E1658">
        <f>IF(
  ISNA(
    _xlfn.XLOOKUP(
      payments_raw[[#This Row],[subscription_id]],
      subscriptions[subscription_id],
      subscriptions[subscription_id]
    )
  ),
  0,
  1
)</f>
        <v>1</v>
      </c>
      <c r="F1658" s="1">
        <f>_xlfn.XLOOKUP(payments_raw[[#This Row],[subscription_id]], subscriptions[subscription_id], subscriptions[start_date])</f>
        <v>44761</v>
      </c>
      <c r="G16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8" s="2">
        <f>IF(payments_raw[[#This Row],[payment_date]] &lt; payments_raw[[#This Row],[sub_start_date]], 1, 0)</f>
        <v>0</v>
      </c>
      <c r="I1658" s="2">
        <f>IF(AND(payments_raw[[#This Row],[sub_end_date]]&lt;&gt;"", payments_raw[[#This Row],[payment_date]] &gt; payments_raw[[#This Row],[sub_end_date]]), 1, 0)</f>
        <v>0</v>
      </c>
      <c r="J1658" s="2">
        <f>IF(payments_raw[[#This Row],[amount]] &lt;= 0, 1, 0)</f>
        <v>0</v>
      </c>
      <c r="K16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59" spans="1:11" x14ac:dyDescent="0.3">
      <c r="A1659">
        <v>97869173</v>
      </c>
      <c r="B1659">
        <v>9296866</v>
      </c>
      <c r="C1659" s="1">
        <v>45622</v>
      </c>
      <c r="D1659">
        <v>390</v>
      </c>
      <c r="E1659">
        <f>IF(
  ISNA(
    _xlfn.XLOOKUP(
      payments_raw[[#This Row],[subscription_id]],
      subscriptions[subscription_id],
      subscriptions[subscription_id]
    )
  ),
  0,
  1
)</f>
        <v>1</v>
      </c>
      <c r="F1659" s="1">
        <f>_xlfn.XLOOKUP(payments_raw[[#This Row],[subscription_id]], subscriptions[subscription_id], subscriptions[start_date])</f>
        <v>45447</v>
      </c>
      <c r="G16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59" s="2">
        <f>IF(payments_raw[[#This Row],[payment_date]] &lt; payments_raw[[#This Row],[sub_start_date]], 1, 0)</f>
        <v>0</v>
      </c>
      <c r="I1659" s="2">
        <f>IF(AND(payments_raw[[#This Row],[sub_end_date]]&lt;&gt;"", payments_raw[[#This Row],[payment_date]] &gt; payments_raw[[#This Row],[sub_end_date]]), 1, 0)</f>
        <v>0</v>
      </c>
      <c r="J1659" s="2">
        <f>IF(payments_raw[[#This Row],[amount]] &lt;= 0, 1, 0)</f>
        <v>0</v>
      </c>
      <c r="K16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0" spans="1:11" x14ac:dyDescent="0.3">
      <c r="A1660">
        <v>44846904</v>
      </c>
      <c r="B1660">
        <v>1880336</v>
      </c>
      <c r="C1660" s="1">
        <v>45027</v>
      </c>
      <c r="D1660">
        <v>149</v>
      </c>
      <c r="E1660">
        <f>IF(
  ISNA(
    _xlfn.XLOOKUP(
      payments_raw[[#This Row],[subscription_id]],
      subscriptions[subscription_id],
      subscriptions[subscription_id]
    )
  ),
  0,
  1
)</f>
        <v>1</v>
      </c>
      <c r="F1660" s="1">
        <f>_xlfn.XLOOKUP(payments_raw[[#This Row],[subscription_id]], subscriptions[subscription_id], subscriptions[start_date])</f>
        <v>44802</v>
      </c>
      <c r="G16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45164</v>
      </c>
      <c r="H1660" s="2">
        <f>IF(payments_raw[[#This Row],[payment_date]] &lt; payments_raw[[#This Row],[sub_start_date]], 1, 0)</f>
        <v>0</v>
      </c>
      <c r="I1660" s="2">
        <f>IF(AND(payments_raw[[#This Row],[sub_end_date]]&lt;&gt;"", payments_raw[[#This Row],[payment_date]] &gt; payments_raw[[#This Row],[sub_end_date]]), 1, 0)</f>
        <v>0</v>
      </c>
      <c r="J1660" s="2">
        <f>IF(payments_raw[[#This Row],[amount]] &lt;= 0, 1, 0)</f>
        <v>0</v>
      </c>
      <c r="K16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1" spans="1:11" x14ac:dyDescent="0.3">
      <c r="A1661">
        <v>92897594</v>
      </c>
      <c r="B1661">
        <v>8339925</v>
      </c>
      <c r="C1661" s="1">
        <v>45185</v>
      </c>
      <c r="D1661">
        <v>59.25</v>
      </c>
      <c r="E1661">
        <f>IF(
  ISNA(
    _xlfn.XLOOKUP(
      payments_raw[[#This Row],[subscription_id]],
      subscriptions[subscription_id],
      subscriptions[subscription_id]
    )
  ),
  0,
  1
)</f>
        <v>1</v>
      </c>
      <c r="F1661" s="1">
        <f>_xlfn.XLOOKUP(payments_raw[[#This Row],[subscription_id]], subscriptions[subscription_id], subscriptions[start_date])</f>
        <v>45142</v>
      </c>
      <c r="G16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45222</v>
      </c>
      <c r="H1661" s="2">
        <f>IF(payments_raw[[#This Row],[payment_date]] &lt; payments_raw[[#This Row],[sub_start_date]], 1, 0)</f>
        <v>0</v>
      </c>
      <c r="I1661" s="2">
        <f>IF(AND(payments_raw[[#This Row],[sub_end_date]]&lt;&gt;"", payments_raw[[#This Row],[payment_date]] &gt; payments_raw[[#This Row],[sub_end_date]]), 1, 0)</f>
        <v>0</v>
      </c>
      <c r="J1661" s="2">
        <f>IF(payments_raw[[#This Row],[amount]] &lt;= 0, 1, 0)</f>
        <v>0</v>
      </c>
      <c r="K16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2" spans="1:11" x14ac:dyDescent="0.3">
      <c r="A1662">
        <v>15882210</v>
      </c>
      <c r="B1662">
        <v>1810137</v>
      </c>
      <c r="C1662" s="1">
        <v>45648</v>
      </c>
      <c r="D1662">
        <v>39</v>
      </c>
      <c r="E1662">
        <f>IF(
  ISNA(
    _xlfn.XLOOKUP(
      payments_raw[[#This Row],[subscription_id]],
      subscriptions[subscription_id],
      subscriptions[subscription_id]
    )
  ),
  0,
  1
)</f>
        <v>1</v>
      </c>
      <c r="F1662" s="1">
        <f>_xlfn.XLOOKUP(payments_raw[[#This Row],[subscription_id]], subscriptions[subscription_id], subscriptions[start_date])</f>
        <v>45435</v>
      </c>
      <c r="G16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2" s="2">
        <f>IF(payments_raw[[#This Row],[payment_date]] &lt; payments_raw[[#This Row],[sub_start_date]], 1, 0)</f>
        <v>0</v>
      </c>
      <c r="I1662" s="2">
        <f>IF(AND(payments_raw[[#This Row],[sub_end_date]]&lt;&gt;"", payments_raw[[#This Row],[payment_date]] &gt; payments_raw[[#This Row],[sub_end_date]]), 1, 0)</f>
        <v>0</v>
      </c>
      <c r="J1662" s="2">
        <f>IF(payments_raw[[#This Row],[amount]] &lt;= 0, 1, 0)</f>
        <v>0</v>
      </c>
      <c r="K16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3" spans="1:11" x14ac:dyDescent="0.3">
      <c r="A1663">
        <v>69450701</v>
      </c>
      <c r="B1663">
        <v>2985184</v>
      </c>
      <c r="C1663" s="1">
        <v>45455</v>
      </c>
      <c r="D1663">
        <v>1490</v>
      </c>
      <c r="E1663">
        <f>IF(
  ISNA(
    _xlfn.XLOOKUP(
      payments_raw[[#This Row],[subscription_id]],
      subscriptions[subscription_id],
      subscriptions[subscription_id]
    )
  ),
  0,
  1
)</f>
        <v>1</v>
      </c>
      <c r="F1663" s="1">
        <f>_xlfn.XLOOKUP(payments_raw[[#This Row],[subscription_id]], subscriptions[subscription_id], subscriptions[start_date])</f>
        <v>44734</v>
      </c>
      <c r="G16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3" s="2">
        <f>IF(payments_raw[[#This Row],[payment_date]] &lt; payments_raw[[#This Row],[sub_start_date]], 1, 0)</f>
        <v>0</v>
      </c>
      <c r="I1663" s="2">
        <f>IF(AND(payments_raw[[#This Row],[sub_end_date]]&lt;&gt;"", payments_raw[[#This Row],[payment_date]] &gt; payments_raw[[#This Row],[sub_end_date]]), 1, 0)</f>
        <v>0</v>
      </c>
      <c r="J1663" s="2">
        <f>IF(payments_raw[[#This Row],[amount]] &lt;= 0, 1, 0)</f>
        <v>0</v>
      </c>
      <c r="K16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4" spans="1:11" x14ac:dyDescent="0.3">
      <c r="A1664">
        <v>27332224</v>
      </c>
      <c r="B1664">
        <v>7914190</v>
      </c>
      <c r="C1664" s="1">
        <v>45140</v>
      </c>
      <c r="D1664">
        <v>1490</v>
      </c>
      <c r="E1664">
        <f>IF(
  ISNA(
    _xlfn.XLOOKUP(
      payments_raw[[#This Row],[subscription_id]],
      subscriptions[subscription_id],
      subscriptions[subscription_id]
    )
  ),
  0,
  1
)</f>
        <v>1</v>
      </c>
      <c r="F1664" s="1">
        <f>_xlfn.XLOOKUP(payments_raw[[#This Row],[subscription_id]], subscriptions[subscription_id], subscriptions[start_date])</f>
        <v>44666</v>
      </c>
      <c r="G16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4" s="2">
        <f>IF(payments_raw[[#This Row],[payment_date]] &lt; payments_raw[[#This Row],[sub_start_date]], 1, 0)</f>
        <v>0</v>
      </c>
      <c r="I1664" s="2">
        <f>IF(AND(payments_raw[[#This Row],[sub_end_date]]&lt;&gt;"", payments_raw[[#This Row],[payment_date]] &gt; payments_raw[[#This Row],[sub_end_date]]), 1, 0)</f>
        <v>0</v>
      </c>
      <c r="J1664" s="2">
        <f>IF(payments_raw[[#This Row],[amount]] &lt;= 0, 1, 0)</f>
        <v>0</v>
      </c>
      <c r="K16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5" spans="1:11" x14ac:dyDescent="0.3">
      <c r="A1665">
        <v>16646123</v>
      </c>
      <c r="B1665">
        <v>1996431</v>
      </c>
      <c r="C1665" s="1">
        <v>45209</v>
      </c>
      <c r="D1665">
        <v>2990</v>
      </c>
      <c r="E1665">
        <f>IF(
  ISNA(
    _xlfn.XLOOKUP(
      payments_raw[[#This Row],[subscription_id]],
      subscriptions[subscription_id],
      subscriptions[subscription_id]
    )
  ),
  0,
  1
)</f>
        <v>1</v>
      </c>
      <c r="F1665" s="1">
        <f>_xlfn.XLOOKUP(payments_raw[[#This Row],[subscription_id]], subscriptions[subscription_id], subscriptions[start_date])</f>
        <v>44847</v>
      </c>
      <c r="G16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5" s="2">
        <f>IF(payments_raw[[#This Row],[payment_date]] &lt; payments_raw[[#This Row],[sub_start_date]], 1, 0)</f>
        <v>0</v>
      </c>
      <c r="I1665" s="2">
        <f>IF(AND(payments_raw[[#This Row],[sub_end_date]]&lt;&gt;"", payments_raw[[#This Row],[payment_date]] &gt; payments_raw[[#This Row],[sub_end_date]]), 1, 0)</f>
        <v>0</v>
      </c>
      <c r="J1665" s="2">
        <f>IF(payments_raw[[#This Row],[amount]] &lt;= 0, 1, 0)</f>
        <v>0</v>
      </c>
      <c r="K16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6" spans="1:11" x14ac:dyDescent="0.3">
      <c r="A1666">
        <v>89173318</v>
      </c>
      <c r="B1666">
        <v>2403154</v>
      </c>
      <c r="C1666" s="1">
        <v>45447</v>
      </c>
      <c r="D1666">
        <v>39</v>
      </c>
      <c r="E1666">
        <f>IF(
  ISNA(
    _xlfn.XLOOKUP(
      payments_raw[[#This Row],[subscription_id]],
      subscriptions[subscription_id],
      subscriptions[subscription_id]
    )
  ),
  0,
  1
)</f>
        <v>1</v>
      </c>
      <c r="F1666" s="1">
        <f>_xlfn.XLOOKUP(payments_raw[[#This Row],[subscription_id]], subscriptions[subscription_id], subscriptions[start_date])</f>
        <v>44757</v>
      </c>
      <c r="G16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6" s="2">
        <f>IF(payments_raw[[#This Row],[payment_date]] &lt; payments_raw[[#This Row],[sub_start_date]], 1, 0)</f>
        <v>0</v>
      </c>
      <c r="I1666" s="2">
        <f>IF(AND(payments_raw[[#This Row],[sub_end_date]]&lt;&gt;"", payments_raw[[#This Row],[payment_date]] &gt; payments_raw[[#This Row],[sub_end_date]]), 1, 0)</f>
        <v>0</v>
      </c>
      <c r="J1666" s="2">
        <f>IF(payments_raw[[#This Row],[amount]] &lt;= 0, 1, 0)</f>
        <v>0</v>
      </c>
      <c r="K16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7" spans="1:11" x14ac:dyDescent="0.3">
      <c r="A1667">
        <v>13764851</v>
      </c>
      <c r="B1667">
        <v>7004652</v>
      </c>
      <c r="C1667" s="1">
        <v>44730</v>
      </c>
      <c r="D1667">
        <v>149</v>
      </c>
      <c r="E1667">
        <f>IF(
  ISNA(
    _xlfn.XLOOKUP(
      payments_raw[[#This Row],[subscription_id]],
      subscriptions[subscription_id],
      subscriptions[subscription_id]
    )
  ),
  0,
  1
)</f>
        <v>1</v>
      </c>
      <c r="F1667" s="1">
        <f>_xlfn.XLOOKUP(payments_raw[[#This Row],[subscription_id]], subscriptions[subscription_id], subscriptions[start_date])</f>
        <v>44701</v>
      </c>
      <c r="G166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44811</v>
      </c>
      <c r="H1667" s="2">
        <f>IF(payments_raw[[#This Row],[payment_date]] &lt; payments_raw[[#This Row],[sub_start_date]], 1, 0)</f>
        <v>0</v>
      </c>
      <c r="I1667" s="2">
        <f>IF(AND(payments_raw[[#This Row],[sub_end_date]]&lt;&gt;"", payments_raw[[#This Row],[payment_date]] &gt; payments_raw[[#This Row],[sub_end_date]]), 1, 0)</f>
        <v>0</v>
      </c>
      <c r="J1667" s="2">
        <f>IF(payments_raw[[#This Row],[amount]] &lt;= 0, 1, 0)</f>
        <v>0</v>
      </c>
      <c r="K16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8" spans="1:11" x14ac:dyDescent="0.3">
      <c r="A1668">
        <v>18826541</v>
      </c>
      <c r="B1668">
        <v>8215793</v>
      </c>
      <c r="C1668" s="1">
        <v>44749</v>
      </c>
      <c r="D1668">
        <v>592.5</v>
      </c>
      <c r="E1668">
        <f>IF(
  ISNA(
    _xlfn.XLOOKUP(
      payments_raw[[#This Row],[subscription_id]],
      subscriptions[subscription_id],
      subscriptions[subscription_id]
    )
  ),
  0,
  1
)</f>
        <v>1</v>
      </c>
      <c r="F1668" s="1">
        <f>_xlfn.XLOOKUP(payments_raw[[#This Row],[subscription_id]], subscriptions[subscription_id], subscriptions[start_date])</f>
        <v>44725</v>
      </c>
      <c r="G16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45121</v>
      </c>
      <c r="H1668" s="2">
        <f>IF(payments_raw[[#This Row],[payment_date]] &lt; payments_raw[[#This Row],[sub_start_date]], 1, 0)</f>
        <v>0</v>
      </c>
      <c r="I1668" s="2">
        <f>IF(AND(payments_raw[[#This Row],[sub_end_date]]&lt;&gt;"", payments_raw[[#This Row],[payment_date]] &gt; payments_raw[[#This Row],[sub_end_date]]), 1, 0)</f>
        <v>0</v>
      </c>
      <c r="J1668" s="2">
        <f>IF(payments_raw[[#This Row],[amount]] &lt;= 0, 1, 0)</f>
        <v>0</v>
      </c>
      <c r="K16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69" spans="1:11" x14ac:dyDescent="0.3">
      <c r="A1669">
        <v>48633985</v>
      </c>
      <c r="B1669">
        <v>9135271</v>
      </c>
      <c r="C1669" s="1">
        <v>45628</v>
      </c>
      <c r="D1669">
        <v>39</v>
      </c>
      <c r="E1669">
        <f>IF(
  ISNA(
    _xlfn.XLOOKUP(
      payments_raw[[#This Row],[subscription_id]],
      subscriptions[subscription_id],
      subscriptions[subscription_id]
    )
  ),
  0,
  1
)</f>
        <v>1</v>
      </c>
      <c r="F1669" s="1">
        <f>_xlfn.XLOOKUP(payments_raw[[#This Row],[subscription_id]], subscriptions[subscription_id], subscriptions[start_date])</f>
        <v>44648</v>
      </c>
      <c r="G16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69" s="2">
        <f>IF(payments_raw[[#This Row],[payment_date]] &lt; payments_raw[[#This Row],[sub_start_date]], 1, 0)</f>
        <v>0</v>
      </c>
      <c r="I1669" s="2">
        <f>IF(AND(payments_raw[[#This Row],[sub_end_date]]&lt;&gt;"", payments_raw[[#This Row],[payment_date]] &gt; payments_raw[[#This Row],[sub_end_date]]), 1, 0)</f>
        <v>0</v>
      </c>
      <c r="J1669" s="2">
        <f>IF(payments_raw[[#This Row],[amount]] &lt;= 0, 1, 0)</f>
        <v>0</v>
      </c>
      <c r="K16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0" spans="1:11" x14ac:dyDescent="0.3">
      <c r="A1670">
        <v>39022140</v>
      </c>
      <c r="B1670">
        <v>2797914</v>
      </c>
      <c r="C1670" s="1">
        <v>45194</v>
      </c>
      <c r="D1670">
        <v>79</v>
      </c>
      <c r="E1670">
        <f>IF(
  ISNA(
    _xlfn.XLOOKUP(
      payments_raw[[#This Row],[subscription_id]],
      subscriptions[subscription_id],
      subscriptions[subscription_id]
    )
  ),
  0,
  1
)</f>
        <v>1</v>
      </c>
      <c r="F1670" s="1">
        <f>_xlfn.XLOOKUP(payments_raw[[#This Row],[subscription_id]], subscriptions[subscription_id], subscriptions[start_date])</f>
        <v>44572</v>
      </c>
      <c r="G16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0" s="2">
        <f>IF(payments_raw[[#This Row],[payment_date]] &lt; payments_raw[[#This Row],[sub_start_date]], 1, 0)</f>
        <v>0</v>
      </c>
      <c r="I1670" s="2">
        <f>IF(AND(payments_raw[[#This Row],[sub_end_date]]&lt;&gt;"", payments_raw[[#This Row],[payment_date]] &gt; payments_raw[[#This Row],[sub_end_date]]), 1, 0)</f>
        <v>0</v>
      </c>
      <c r="J1670" s="2">
        <f>IF(payments_raw[[#This Row],[amount]] &lt;= 0, 1, 0)</f>
        <v>0</v>
      </c>
      <c r="K16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1" spans="1:11" x14ac:dyDescent="0.3">
      <c r="A1671">
        <v>11638103</v>
      </c>
      <c r="B1671">
        <v>8364357</v>
      </c>
      <c r="C1671" s="1">
        <v>45462</v>
      </c>
      <c r="D1671">
        <v>39</v>
      </c>
      <c r="E1671">
        <f>IF(
  ISNA(
    _xlfn.XLOOKUP(
      payments_raw[[#This Row],[subscription_id]],
      subscriptions[subscription_id],
      subscriptions[subscription_id]
    )
  ),
  0,
  1
)</f>
        <v>1</v>
      </c>
      <c r="F1671" s="1">
        <f>_xlfn.XLOOKUP(payments_raw[[#This Row],[subscription_id]], subscriptions[subscription_id], subscriptions[start_date])</f>
        <v>45410</v>
      </c>
      <c r="G16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1" s="2">
        <f>IF(payments_raw[[#This Row],[payment_date]] &lt; payments_raw[[#This Row],[sub_start_date]], 1, 0)</f>
        <v>0</v>
      </c>
      <c r="I1671" s="2">
        <f>IF(AND(payments_raw[[#This Row],[sub_end_date]]&lt;&gt;"", payments_raw[[#This Row],[payment_date]] &gt; payments_raw[[#This Row],[sub_end_date]]), 1, 0)</f>
        <v>0</v>
      </c>
      <c r="J1671" s="2">
        <f>IF(payments_raw[[#This Row],[amount]] &lt;= 0, 1, 0)</f>
        <v>0</v>
      </c>
      <c r="K16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2" spans="1:11" x14ac:dyDescent="0.3">
      <c r="A1672">
        <v>87709140</v>
      </c>
      <c r="B1672">
        <v>3017925</v>
      </c>
      <c r="C1672" s="1">
        <v>45227</v>
      </c>
      <c r="D1672">
        <v>2242.5</v>
      </c>
      <c r="E1672">
        <f>IF(
  ISNA(
    _xlfn.XLOOKUP(
      payments_raw[[#This Row],[subscription_id]],
      subscriptions[subscription_id],
      subscriptions[subscription_id]
    )
  ),
  0,
  1
)</f>
        <v>1</v>
      </c>
      <c r="F1672" s="1">
        <f>_xlfn.XLOOKUP(payments_raw[[#This Row],[subscription_id]], subscriptions[subscription_id], subscriptions[start_date])</f>
        <v>45167</v>
      </c>
      <c r="G16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2" s="2">
        <f>IF(payments_raw[[#This Row],[payment_date]] &lt; payments_raw[[#This Row],[sub_start_date]], 1, 0)</f>
        <v>0</v>
      </c>
      <c r="I1672" s="2">
        <f>IF(AND(payments_raw[[#This Row],[sub_end_date]]&lt;&gt;"", payments_raw[[#This Row],[payment_date]] &gt; payments_raw[[#This Row],[sub_end_date]]), 1, 0)</f>
        <v>0</v>
      </c>
      <c r="J1672" s="2">
        <f>IF(payments_raw[[#This Row],[amount]] &lt;= 0, 1, 0)</f>
        <v>0</v>
      </c>
      <c r="K16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3" spans="1:11" x14ac:dyDescent="0.3">
      <c r="A1673">
        <v>26919017</v>
      </c>
      <c r="B1673">
        <v>7328832</v>
      </c>
      <c r="C1673" s="1">
        <v>44850</v>
      </c>
      <c r="D1673">
        <v>149</v>
      </c>
      <c r="E1673">
        <f>IF(
  ISNA(
    _xlfn.XLOOKUP(
      payments_raw[[#This Row],[subscription_id]],
      subscriptions[subscription_id],
      subscriptions[subscription_id]
    )
  ),
  0,
  1
)</f>
        <v>1</v>
      </c>
      <c r="F1673" s="1">
        <f>_xlfn.XLOOKUP(payments_raw[[#This Row],[subscription_id]], subscriptions[subscription_id], subscriptions[start_date])</f>
        <v>44818</v>
      </c>
      <c r="G16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3" s="2">
        <f>IF(payments_raw[[#This Row],[payment_date]] &lt; payments_raw[[#This Row],[sub_start_date]], 1, 0)</f>
        <v>0</v>
      </c>
      <c r="I1673" s="2">
        <f>IF(AND(payments_raw[[#This Row],[sub_end_date]]&lt;&gt;"", payments_raw[[#This Row],[payment_date]] &gt; payments_raw[[#This Row],[sub_end_date]]), 1, 0)</f>
        <v>0</v>
      </c>
      <c r="J1673" s="2">
        <f>IF(payments_raw[[#This Row],[amount]] &lt;= 0, 1, 0)</f>
        <v>0</v>
      </c>
      <c r="K16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4" spans="1:11" x14ac:dyDescent="0.3">
      <c r="A1674">
        <v>67499981</v>
      </c>
      <c r="B1674">
        <v>6793159</v>
      </c>
      <c r="C1674" s="1">
        <v>44778</v>
      </c>
      <c r="D1674">
        <v>790</v>
      </c>
      <c r="E1674">
        <f>IF(
  ISNA(
    _xlfn.XLOOKUP(
      payments_raw[[#This Row],[subscription_id]],
      subscriptions[subscription_id],
      subscriptions[subscription_id]
    )
  ),
  0,
  1
)</f>
        <v>1</v>
      </c>
      <c r="F1674" s="1">
        <f>_xlfn.XLOOKUP(payments_raw[[#This Row],[subscription_id]], subscriptions[subscription_id], subscriptions[start_date])</f>
        <v>44732</v>
      </c>
      <c r="G16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4" s="2">
        <f>IF(payments_raw[[#This Row],[payment_date]] &lt; payments_raw[[#This Row],[sub_start_date]], 1, 0)</f>
        <v>0</v>
      </c>
      <c r="I1674" s="2">
        <f>IF(AND(payments_raw[[#This Row],[sub_end_date]]&lt;&gt;"", payments_raw[[#This Row],[payment_date]] &gt; payments_raw[[#This Row],[sub_end_date]]), 1, 0)</f>
        <v>0</v>
      </c>
      <c r="J1674" s="2">
        <f>IF(payments_raw[[#This Row],[amount]] &lt;= 0, 1, 0)</f>
        <v>0</v>
      </c>
      <c r="K16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5" spans="1:11" x14ac:dyDescent="0.3">
      <c r="A1675">
        <v>48146203</v>
      </c>
      <c r="B1675">
        <v>9385863</v>
      </c>
      <c r="C1675" s="1">
        <v>44809</v>
      </c>
      <c r="D1675">
        <v>224.25</v>
      </c>
      <c r="E1675">
        <f>IF(
  ISNA(
    _xlfn.XLOOKUP(
      payments_raw[[#This Row],[subscription_id]],
      subscriptions[subscription_id],
      subscriptions[subscription_id]
    )
  ),
  0,
  1
)</f>
        <v>1</v>
      </c>
      <c r="F1675" s="1">
        <f>_xlfn.XLOOKUP(payments_raw[[#This Row],[subscription_id]], subscriptions[subscription_id], subscriptions[start_date])</f>
        <v>44744</v>
      </c>
      <c r="G16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5" s="2">
        <f>IF(payments_raw[[#This Row],[payment_date]] &lt; payments_raw[[#This Row],[sub_start_date]], 1, 0)</f>
        <v>0</v>
      </c>
      <c r="I1675" s="2">
        <f>IF(AND(payments_raw[[#This Row],[sub_end_date]]&lt;&gt;"", payments_raw[[#This Row],[payment_date]] &gt; payments_raw[[#This Row],[sub_end_date]]), 1, 0)</f>
        <v>0</v>
      </c>
      <c r="J1675" s="2">
        <f>IF(payments_raw[[#This Row],[amount]] &lt;= 0, 1, 0)</f>
        <v>0</v>
      </c>
      <c r="K16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6" spans="1:11" x14ac:dyDescent="0.3">
      <c r="A1676">
        <v>94135858</v>
      </c>
      <c r="B1676">
        <v>7410771</v>
      </c>
      <c r="C1676" s="1">
        <v>45616</v>
      </c>
      <c r="D1676">
        <v>390</v>
      </c>
      <c r="E1676">
        <f>IF(
  ISNA(
    _xlfn.XLOOKUP(
      payments_raw[[#This Row],[subscription_id]],
      subscriptions[subscription_id],
      subscriptions[subscription_id]
    )
  ),
  0,
  1
)</f>
        <v>1</v>
      </c>
      <c r="F1676" s="1">
        <f>_xlfn.XLOOKUP(payments_raw[[#This Row],[subscription_id]], subscriptions[subscription_id], subscriptions[start_date])</f>
        <v>45538</v>
      </c>
      <c r="G16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6" s="2">
        <f>IF(payments_raw[[#This Row],[payment_date]] &lt; payments_raw[[#This Row],[sub_start_date]], 1, 0)</f>
        <v>0</v>
      </c>
      <c r="I1676" s="2">
        <f>IF(AND(payments_raw[[#This Row],[sub_end_date]]&lt;&gt;"", payments_raw[[#This Row],[payment_date]] &gt; payments_raw[[#This Row],[sub_end_date]]), 1, 0)</f>
        <v>0</v>
      </c>
      <c r="J1676" s="2">
        <f>IF(payments_raw[[#This Row],[amount]] &lt;= 0, 1, 0)</f>
        <v>0</v>
      </c>
      <c r="K16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7" spans="1:11" x14ac:dyDescent="0.3">
      <c r="A1677">
        <v>39713306</v>
      </c>
      <c r="B1677">
        <v>3053134</v>
      </c>
      <c r="C1677" s="1">
        <v>45388</v>
      </c>
      <c r="D1677">
        <v>390</v>
      </c>
      <c r="E1677">
        <f>IF(
  ISNA(
    _xlfn.XLOOKUP(
      payments_raw[[#This Row],[subscription_id]],
      subscriptions[subscription_id],
      subscriptions[subscription_id]
    )
  ),
  0,
  1
)</f>
        <v>1</v>
      </c>
      <c r="F1677" s="1">
        <f>_xlfn.XLOOKUP(payments_raw[[#This Row],[subscription_id]], subscriptions[subscription_id], subscriptions[start_date])</f>
        <v>44719</v>
      </c>
      <c r="G16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7" s="2">
        <f>IF(payments_raw[[#This Row],[payment_date]] &lt; payments_raw[[#This Row],[sub_start_date]], 1, 0)</f>
        <v>0</v>
      </c>
      <c r="I1677" s="2">
        <f>IF(AND(payments_raw[[#This Row],[sub_end_date]]&lt;&gt;"", payments_raw[[#This Row],[payment_date]] &gt; payments_raw[[#This Row],[sub_end_date]]), 1, 0)</f>
        <v>0</v>
      </c>
      <c r="J1677" s="2">
        <f>IF(payments_raw[[#This Row],[amount]] &lt;= 0, 1, 0)</f>
        <v>0</v>
      </c>
      <c r="K16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8" spans="1:11" x14ac:dyDescent="0.3">
      <c r="A1678">
        <v>92594049</v>
      </c>
      <c r="B1678">
        <v>5653927</v>
      </c>
      <c r="C1678" s="1">
        <v>44982</v>
      </c>
      <c r="D1678">
        <v>39</v>
      </c>
      <c r="E1678">
        <f>IF(
  ISNA(
    _xlfn.XLOOKUP(
      payments_raw[[#This Row],[subscription_id]],
      subscriptions[subscription_id],
      subscriptions[subscription_id]
    )
  ),
  0,
  1
)</f>
        <v>1</v>
      </c>
      <c r="F1678" s="1">
        <f>_xlfn.XLOOKUP(payments_raw[[#This Row],[subscription_id]], subscriptions[subscription_id], subscriptions[start_date])</f>
        <v>44825</v>
      </c>
      <c r="G16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45071</v>
      </c>
      <c r="H1678" s="2">
        <f>IF(payments_raw[[#This Row],[payment_date]] &lt; payments_raw[[#This Row],[sub_start_date]], 1, 0)</f>
        <v>0</v>
      </c>
      <c r="I1678" s="2">
        <f>IF(AND(payments_raw[[#This Row],[sub_end_date]]&lt;&gt;"", payments_raw[[#This Row],[payment_date]] &gt; payments_raw[[#This Row],[sub_end_date]]), 1, 0)</f>
        <v>0</v>
      </c>
      <c r="J1678" s="2">
        <f>IF(payments_raw[[#This Row],[amount]] &lt;= 0, 1, 0)</f>
        <v>0</v>
      </c>
      <c r="K16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79" spans="1:11" x14ac:dyDescent="0.3">
      <c r="A1679">
        <v>83208168</v>
      </c>
      <c r="B1679">
        <v>6323988</v>
      </c>
      <c r="C1679" s="1">
        <v>45014</v>
      </c>
      <c r="D1679">
        <v>39</v>
      </c>
      <c r="E1679">
        <f>IF(
  ISNA(
    _xlfn.XLOOKUP(
      payments_raw[[#This Row],[subscription_id]],
      subscriptions[subscription_id],
      subscriptions[subscription_id]
    )
  ),
  0,
  1
)</f>
        <v>1</v>
      </c>
      <c r="F1679" s="1">
        <f>_xlfn.XLOOKUP(payments_raw[[#This Row],[subscription_id]], subscriptions[subscription_id], subscriptions[start_date])</f>
        <v>44647</v>
      </c>
      <c r="G16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79" s="2">
        <f>IF(payments_raw[[#This Row],[payment_date]] &lt; payments_raw[[#This Row],[sub_start_date]], 1, 0)</f>
        <v>0</v>
      </c>
      <c r="I1679" s="2">
        <f>IF(AND(payments_raw[[#This Row],[sub_end_date]]&lt;&gt;"", payments_raw[[#This Row],[payment_date]] &gt; payments_raw[[#This Row],[sub_end_date]]), 1, 0)</f>
        <v>0</v>
      </c>
      <c r="J1679" s="2">
        <f>IF(payments_raw[[#This Row],[amount]] &lt;= 0, 1, 0)</f>
        <v>0</v>
      </c>
      <c r="K16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0" spans="1:11" x14ac:dyDescent="0.3">
      <c r="A1680">
        <v>42699596</v>
      </c>
      <c r="B1680">
        <v>4123208</v>
      </c>
      <c r="C1680" s="1">
        <v>45576</v>
      </c>
      <c r="D1680">
        <v>2990</v>
      </c>
      <c r="E1680">
        <f>IF(
  ISNA(
    _xlfn.XLOOKUP(
      payments_raw[[#This Row],[subscription_id]],
      subscriptions[subscription_id],
      subscriptions[subscription_id]
    )
  ),
  0,
  1
)</f>
        <v>1</v>
      </c>
      <c r="F1680" s="1">
        <f>_xlfn.XLOOKUP(payments_raw[[#This Row],[subscription_id]], subscriptions[subscription_id], subscriptions[start_date])</f>
        <v>45385</v>
      </c>
      <c r="G16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80" s="2">
        <f>IF(payments_raw[[#This Row],[payment_date]] &lt; payments_raw[[#This Row],[sub_start_date]], 1, 0)</f>
        <v>0</v>
      </c>
      <c r="I1680" s="2">
        <f>IF(AND(payments_raw[[#This Row],[sub_end_date]]&lt;&gt;"", payments_raw[[#This Row],[payment_date]] &gt; payments_raw[[#This Row],[sub_end_date]]), 1, 0)</f>
        <v>0</v>
      </c>
      <c r="J1680" s="2">
        <f>IF(payments_raw[[#This Row],[amount]] &lt;= 0, 1, 0)</f>
        <v>0</v>
      </c>
      <c r="K16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1" spans="1:11" x14ac:dyDescent="0.3">
      <c r="A1681">
        <v>55696789</v>
      </c>
      <c r="B1681">
        <v>7012107</v>
      </c>
      <c r="C1681" s="1">
        <v>44825</v>
      </c>
      <c r="D1681">
        <v>29.25</v>
      </c>
      <c r="E1681">
        <f>IF(
  ISNA(
    _xlfn.XLOOKUP(
      payments_raw[[#This Row],[subscription_id]],
      subscriptions[subscription_id],
      subscriptions[subscription_id]
    )
  ),
  0,
  1
)</f>
        <v>1</v>
      </c>
      <c r="F1681" s="1">
        <f>_xlfn.XLOOKUP(payments_raw[[#This Row],[subscription_id]], subscriptions[subscription_id], subscriptions[start_date])</f>
        <v>44807</v>
      </c>
      <c r="G168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1681" s="2">
        <f>IF(payments_raw[[#This Row],[payment_date]] &lt; payments_raw[[#This Row],[sub_start_date]], 1, 0)</f>
        <v>0</v>
      </c>
      <c r="I1681" s="2">
        <f>IF(AND(payments_raw[[#This Row],[sub_end_date]]&lt;&gt;"", payments_raw[[#This Row],[payment_date]] &gt; payments_raw[[#This Row],[sub_end_date]]), 1, 0)</f>
        <v>0</v>
      </c>
      <c r="J1681" s="2">
        <f>IF(payments_raw[[#This Row],[amount]] &lt;= 0, 1, 0)</f>
        <v>0</v>
      </c>
      <c r="K16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2" spans="1:11" x14ac:dyDescent="0.3">
      <c r="A1682">
        <v>19484050</v>
      </c>
      <c r="B1682">
        <v>7443587</v>
      </c>
      <c r="C1682" s="1">
        <v>45218</v>
      </c>
      <c r="D1682">
        <v>29.25</v>
      </c>
      <c r="E1682">
        <f>IF(
  ISNA(
    _xlfn.XLOOKUP(
      payments_raw[[#This Row],[subscription_id]],
      subscriptions[subscription_id],
      subscriptions[subscription_id]
    )
  ),
  0,
  1
)</f>
        <v>1</v>
      </c>
      <c r="F1682" s="1">
        <f>_xlfn.XLOOKUP(payments_raw[[#This Row],[subscription_id]], subscriptions[subscription_id], subscriptions[start_date])</f>
        <v>45214</v>
      </c>
      <c r="G16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45317</v>
      </c>
      <c r="H1682" s="2">
        <f>IF(payments_raw[[#This Row],[payment_date]] &lt; payments_raw[[#This Row],[sub_start_date]], 1, 0)</f>
        <v>0</v>
      </c>
      <c r="I1682" s="2">
        <f>IF(AND(payments_raw[[#This Row],[sub_end_date]]&lt;&gt;"", payments_raw[[#This Row],[payment_date]] &gt; payments_raw[[#This Row],[sub_end_date]]), 1, 0)</f>
        <v>0</v>
      </c>
      <c r="J1682" s="2">
        <f>IF(payments_raw[[#This Row],[amount]] &lt;= 0, 1, 0)</f>
        <v>0</v>
      </c>
      <c r="K16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3" spans="1:11" x14ac:dyDescent="0.3">
      <c r="A1683">
        <v>86422833</v>
      </c>
      <c r="B1683">
        <v>7280082</v>
      </c>
      <c r="C1683" s="1">
        <v>44769</v>
      </c>
      <c r="D1683">
        <v>149.5</v>
      </c>
      <c r="E1683">
        <f>IF(
  ISNA(
    _xlfn.XLOOKUP(
      payments_raw[[#This Row],[subscription_id]],
      subscriptions[subscription_id],
      subscriptions[subscription_id]
    )
  ),
  0,
  1
)</f>
        <v>1</v>
      </c>
      <c r="F1683" s="1">
        <f>_xlfn.XLOOKUP(payments_raw[[#This Row],[subscription_id]], subscriptions[subscription_id], subscriptions[start_date])</f>
        <v>44622</v>
      </c>
      <c r="G168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44816</v>
      </c>
      <c r="H1683" s="2">
        <f>IF(payments_raw[[#This Row],[payment_date]] &lt; payments_raw[[#This Row],[sub_start_date]], 1, 0)</f>
        <v>0</v>
      </c>
      <c r="I1683" s="2">
        <f>IF(AND(payments_raw[[#This Row],[sub_end_date]]&lt;&gt;"", payments_raw[[#This Row],[payment_date]] &gt; payments_raw[[#This Row],[sub_end_date]]), 1, 0)</f>
        <v>0</v>
      </c>
      <c r="J1683" s="2">
        <f>IF(payments_raw[[#This Row],[amount]] &lt;= 0, 1, 0)</f>
        <v>0</v>
      </c>
      <c r="K16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4" spans="1:11" x14ac:dyDescent="0.3">
      <c r="A1684">
        <v>63389592</v>
      </c>
      <c r="B1684">
        <v>3977821</v>
      </c>
      <c r="C1684" s="1">
        <v>45085</v>
      </c>
      <c r="D1684">
        <v>2990</v>
      </c>
      <c r="E1684">
        <f>IF(
  ISNA(
    _xlfn.XLOOKUP(
      payments_raw[[#This Row],[subscription_id]],
      subscriptions[subscription_id],
      subscriptions[subscription_id]
    )
  ),
  0,
  1
)</f>
        <v>1</v>
      </c>
      <c r="F1684" s="1">
        <f>_xlfn.XLOOKUP(payments_raw[[#This Row],[subscription_id]], subscriptions[subscription_id], subscriptions[start_date])</f>
        <v>44866</v>
      </c>
      <c r="G16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45123</v>
      </c>
      <c r="H1684" s="2">
        <f>IF(payments_raw[[#This Row],[payment_date]] &lt; payments_raw[[#This Row],[sub_start_date]], 1, 0)</f>
        <v>0</v>
      </c>
      <c r="I1684" s="2">
        <f>IF(AND(payments_raw[[#This Row],[sub_end_date]]&lt;&gt;"", payments_raw[[#This Row],[payment_date]] &gt; payments_raw[[#This Row],[sub_end_date]]), 1, 0)</f>
        <v>0</v>
      </c>
      <c r="J1684" s="2">
        <f>IF(payments_raw[[#This Row],[amount]] &lt;= 0, 1, 0)</f>
        <v>0</v>
      </c>
      <c r="K16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5" spans="1:11" x14ac:dyDescent="0.3">
      <c r="A1685">
        <v>83483941</v>
      </c>
      <c r="B1685">
        <v>6272014</v>
      </c>
      <c r="C1685" s="1">
        <v>44776</v>
      </c>
      <c r="D1685">
        <v>142.5</v>
      </c>
      <c r="E1685">
        <f>IF(
  ISNA(
    _xlfn.XLOOKUP(
      payments_raw[[#This Row],[subscription_id]],
      subscriptions[subscription_id],
      subscriptions[subscription_id]
    )
  ),
  0,
  1
)</f>
        <v>1</v>
      </c>
      <c r="F1685" s="1">
        <f>_xlfn.XLOOKUP(payments_raw[[#This Row],[subscription_id]], subscriptions[subscription_id], subscriptions[start_date])</f>
        <v>44761</v>
      </c>
      <c r="G168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44933</v>
      </c>
      <c r="H1685" s="2">
        <f>IF(payments_raw[[#This Row],[payment_date]] &lt; payments_raw[[#This Row],[sub_start_date]], 1, 0)</f>
        <v>0</v>
      </c>
      <c r="I1685" s="2">
        <f>IF(AND(payments_raw[[#This Row],[sub_end_date]]&lt;&gt;"", payments_raw[[#This Row],[payment_date]] &gt; payments_raw[[#This Row],[sub_end_date]]), 1, 0)</f>
        <v>0</v>
      </c>
      <c r="J1685" s="2">
        <f>IF(payments_raw[[#This Row],[amount]] &lt;= 0, 1, 0)</f>
        <v>0</v>
      </c>
      <c r="K16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6" spans="1:11" x14ac:dyDescent="0.3">
      <c r="A1686">
        <v>68952764</v>
      </c>
      <c r="B1686">
        <v>9305156</v>
      </c>
      <c r="C1686" s="1">
        <v>45203</v>
      </c>
      <c r="D1686">
        <v>79</v>
      </c>
      <c r="E1686">
        <f>IF(
  ISNA(
    _xlfn.XLOOKUP(
      payments_raw[[#This Row],[subscription_id]],
      subscriptions[subscription_id],
      subscriptions[subscription_id]
    )
  ),
  0,
  1
)</f>
        <v>1</v>
      </c>
      <c r="F1686" s="1">
        <f>_xlfn.XLOOKUP(payments_raw[[#This Row],[subscription_id]], subscriptions[subscription_id], subscriptions[start_date])</f>
        <v>44715</v>
      </c>
      <c r="G16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86" s="2">
        <f>IF(payments_raw[[#This Row],[payment_date]] &lt; payments_raw[[#This Row],[sub_start_date]], 1, 0)</f>
        <v>0</v>
      </c>
      <c r="I1686" s="2">
        <f>IF(AND(payments_raw[[#This Row],[sub_end_date]]&lt;&gt;"", payments_raw[[#This Row],[payment_date]] &gt; payments_raw[[#This Row],[sub_end_date]]), 1, 0)</f>
        <v>0</v>
      </c>
      <c r="J1686" s="2">
        <f>IF(payments_raw[[#This Row],[amount]] &lt;= 0, 1, 0)</f>
        <v>0</v>
      </c>
      <c r="K16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7" spans="1:11" x14ac:dyDescent="0.3">
      <c r="A1687">
        <v>42431822</v>
      </c>
      <c r="B1687">
        <v>9379307</v>
      </c>
      <c r="C1687" s="1">
        <v>45455</v>
      </c>
      <c r="D1687">
        <v>79</v>
      </c>
      <c r="E1687">
        <f>IF(
  ISNA(
    _xlfn.XLOOKUP(
      payments_raw[[#This Row],[subscription_id]],
      subscriptions[subscription_id],
      subscriptions[subscription_id]
    )
  ),
  0,
  1
)</f>
        <v>1</v>
      </c>
      <c r="F1687" s="1">
        <f>_xlfn.XLOOKUP(payments_raw[[#This Row],[subscription_id]], subscriptions[subscription_id], subscriptions[start_date])</f>
        <v>45210</v>
      </c>
      <c r="G16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87" s="2">
        <f>IF(payments_raw[[#This Row],[payment_date]] &lt; payments_raw[[#This Row],[sub_start_date]], 1, 0)</f>
        <v>0</v>
      </c>
      <c r="I1687" s="2">
        <f>IF(AND(payments_raw[[#This Row],[sub_end_date]]&lt;&gt;"", payments_raw[[#This Row],[payment_date]] &gt; payments_raw[[#This Row],[sub_end_date]]), 1, 0)</f>
        <v>0</v>
      </c>
      <c r="J1687" s="2">
        <f>IF(payments_raw[[#This Row],[amount]] &lt;= 0, 1, 0)</f>
        <v>0</v>
      </c>
      <c r="K16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8" spans="1:11" x14ac:dyDescent="0.3">
      <c r="A1688">
        <v>26818338</v>
      </c>
      <c r="B1688">
        <v>4865865</v>
      </c>
      <c r="C1688" s="1">
        <v>45636</v>
      </c>
      <c r="D1688">
        <v>2990</v>
      </c>
      <c r="E1688">
        <f>IF(
  ISNA(
    _xlfn.XLOOKUP(
      payments_raw[[#This Row],[subscription_id]],
      subscriptions[subscription_id],
      subscriptions[subscription_id]
    )
  ),
  0,
  1
)</f>
        <v>1</v>
      </c>
      <c r="F1688" s="1">
        <f>_xlfn.XLOOKUP(payments_raw[[#This Row],[subscription_id]], subscriptions[subscription_id], subscriptions[start_date])</f>
        <v>44903</v>
      </c>
      <c r="G16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88" s="2">
        <f>IF(payments_raw[[#This Row],[payment_date]] &lt; payments_raw[[#This Row],[sub_start_date]], 1, 0)</f>
        <v>0</v>
      </c>
      <c r="I1688" s="2">
        <f>IF(AND(payments_raw[[#This Row],[sub_end_date]]&lt;&gt;"", payments_raw[[#This Row],[payment_date]] &gt; payments_raw[[#This Row],[sub_end_date]]), 1, 0)</f>
        <v>0</v>
      </c>
      <c r="J1688" s="2">
        <f>IF(payments_raw[[#This Row],[amount]] &lt;= 0, 1, 0)</f>
        <v>0</v>
      </c>
      <c r="K16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89" spans="1:11" x14ac:dyDescent="0.3">
      <c r="A1689">
        <v>39233152</v>
      </c>
      <c r="B1689">
        <v>2923507</v>
      </c>
      <c r="C1689" s="1">
        <v>45099</v>
      </c>
      <c r="D1689">
        <v>190</v>
      </c>
      <c r="E1689">
        <f>IF(
  ISNA(
    _xlfn.XLOOKUP(
      payments_raw[[#This Row],[subscription_id]],
      subscriptions[subscription_id],
      subscriptions[subscription_id]
    )
  ),
  0,
  1
)</f>
        <v>1</v>
      </c>
      <c r="F1689" s="1">
        <f>_xlfn.XLOOKUP(payments_raw[[#This Row],[subscription_id]], subscriptions[subscription_id], subscriptions[start_date])</f>
        <v>44930</v>
      </c>
      <c r="G16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45179</v>
      </c>
      <c r="H1689" s="2">
        <f>IF(payments_raw[[#This Row],[payment_date]] &lt; payments_raw[[#This Row],[sub_start_date]], 1, 0)</f>
        <v>0</v>
      </c>
      <c r="I1689" s="2">
        <f>IF(AND(payments_raw[[#This Row],[sub_end_date]]&lt;&gt;"", payments_raw[[#This Row],[payment_date]] &gt; payments_raw[[#This Row],[sub_end_date]]), 1, 0)</f>
        <v>0</v>
      </c>
      <c r="J1689" s="2">
        <f>IF(payments_raw[[#This Row],[amount]] &lt;= 0, 1, 0)</f>
        <v>0</v>
      </c>
      <c r="K16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0" spans="1:11" x14ac:dyDescent="0.3">
      <c r="A1690">
        <v>48785706</v>
      </c>
      <c r="B1690">
        <v>4463711</v>
      </c>
      <c r="C1690" s="1">
        <v>45509</v>
      </c>
      <c r="D1690">
        <v>190</v>
      </c>
      <c r="E1690">
        <f>IF(
  ISNA(
    _xlfn.XLOOKUP(
      payments_raw[[#This Row],[subscription_id]],
      subscriptions[subscription_id],
      subscriptions[subscription_id]
    )
  ),
  0,
  1
)</f>
        <v>1</v>
      </c>
      <c r="F1690" s="1">
        <f>_xlfn.XLOOKUP(payments_raw[[#This Row],[subscription_id]], subscriptions[subscription_id], subscriptions[start_date])</f>
        <v>45352</v>
      </c>
      <c r="G16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0" s="2">
        <f>IF(payments_raw[[#This Row],[payment_date]] &lt; payments_raw[[#This Row],[sub_start_date]], 1, 0)</f>
        <v>0</v>
      </c>
      <c r="I1690" s="2">
        <f>IF(AND(payments_raw[[#This Row],[sub_end_date]]&lt;&gt;"", payments_raw[[#This Row],[payment_date]] &gt; payments_raw[[#This Row],[sub_end_date]]), 1, 0)</f>
        <v>0</v>
      </c>
      <c r="J1690" s="2">
        <f>IF(payments_raw[[#This Row],[amount]] &lt;= 0, 1, 0)</f>
        <v>0</v>
      </c>
      <c r="K16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1" spans="1:11" x14ac:dyDescent="0.3">
      <c r="A1691">
        <v>60327438</v>
      </c>
      <c r="B1691">
        <v>1996431</v>
      </c>
      <c r="C1691" s="1">
        <v>45077</v>
      </c>
      <c r="D1691">
        <v>2242.5</v>
      </c>
      <c r="E1691">
        <f>IF(
  ISNA(
    _xlfn.XLOOKUP(
      payments_raw[[#This Row],[subscription_id]],
      subscriptions[subscription_id],
      subscriptions[subscription_id]
    )
  ),
  0,
  1
)</f>
        <v>1</v>
      </c>
      <c r="F1691" s="1">
        <f>_xlfn.XLOOKUP(payments_raw[[#This Row],[subscription_id]], subscriptions[subscription_id], subscriptions[start_date])</f>
        <v>44847</v>
      </c>
      <c r="G16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1" s="2">
        <f>IF(payments_raw[[#This Row],[payment_date]] &lt; payments_raw[[#This Row],[sub_start_date]], 1, 0)</f>
        <v>0</v>
      </c>
      <c r="I1691" s="2">
        <f>IF(AND(payments_raw[[#This Row],[sub_end_date]]&lt;&gt;"", payments_raw[[#This Row],[payment_date]] &gt; payments_raw[[#This Row],[sub_end_date]]), 1, 0)</f>
        <v>0</v>
      </c>
      <c r="J1691" s="2">
        <f>IF(payments_raw[[#This Row],[amount]] &lt;= 0, 1, 0)</f>
        <v>0</v>
      </c>
      <c r="K16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2" spans="1:11" x14ac:dyDescent="0.3">
      <c r="A1692">
        <v>75870908</v>
      </c>
      <c r="B1692">
        <v>5593405</v>
      </c>
      <c r="C1692" s="1">
        <v>45553</v>
      </c>
      <c r="D1692">
        <v>19</v>
      </c>
      <c r="E1692">
        <f>IF(
  ISNA(
    _xlfn.XLOOKUP(
      payments_raw[[#This Row],[subscription_id]],
      subscriptions[subscription_id],
      subscriptions[subscription_id]
    )
  ),
  0,
  1
)</f>
        <v>1</v>
      </c>
      <c r="F1692" s="1">
        <f>_xlfn.XLOOKUP(payments_raw[[#This Row],[subscription_id]], subscriptions[subscription_id], subscriptions[start_date])</f>
        <v>44615</v>
      </c>
      <c r="G16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2" s="2">
        <f>IF(payments_raw[[#This Row],[payment_date]] &lt; payments_raw[[#This Row],[sub_start_date]], 1, 0)</f>
        <v>0</v>
      </c>
      <c r="I1692" s="2">
        <f>IF(AND(payments_raw[[#This Row],[sub_end_date]]&lt;&gt;"", payments_raw[[#This Row],[payment_date]] &gt; payments_raw[[#This Row],[sub_end_date]]), 1, 0)</f>
        <v>0</v>
      </c>
      <c r="J1692" s="2">
        <f>IF(payments_raw[[#This Row],[amount]] &lt;= 0, 1, 0)</f>
        <v>0</v>
      </c>
      <c r="K16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3" spans="1:11" x14ac:dyDescent="0.3">
      <c r="A1693">
        <v>31095743</v>
      </c>
      <c r="B1693">
        <v>9137955</v>
      </c>
      <c r="C1693" s="1">
        <v>45607</v>
      </c>
      <c r="D1693">
        <v>1490</v>
      </c>
      <c r="E1693">
        <f>IF(
  ISNA(
    _xlfn.XLOOKUP(
      payments_raw[[#This Row],[subscription_id]],
      subscriptions[subscription_id],
      subscriptions[subscription_id]
    )
  ),
  0,
  1
)</f>
        <v>1</v>
      </c>
      <c r="F1693" s="1">
        <f>_xlfn.XLOOKUP(payments_raw[[#This Row],[subscription_id]], subscriptions[subscription_id], subscriptions[start_date])</f>
        <v>45565</v>
      </c>
      <c r="G16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693" s="2">
        <f>IF(payments_raw[[#This Row],[payment_date]] &lt; payments_raw[[#This Row],[sub_start_date]], 1, 0)</f>
        <v>0</v>
      </c>
      <c r="I1693" s="2">
        <f>IF(AND(payments_raw[[#This Row],[sub_end_date]]&lt;&gt;"", payments_raw[[#This Row],[payment_date]] &gt; payments_raw[[#This Row],[sub_end_date]]), 1, 0)</f>
        <v>0</v>
      </c>
      <c r="J1693" s="2">
        <f>IF(payments_raw[[#This Row],[amount]] &lt;= 0, 1, 0)</f>
        <v>0</v>
      </c>
      <c r="K16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4" spans="1:11" x14ac:dyDescent="0.3">
      <c r="A1694">
        <v>39254929</v>
      </c>
      <c r="B1694">
        <v>5978445</v>
      </c>
      <c r="C1694" s="1">
        <v>44936</v>
      </c>
      <c r="D1694">
        <v>149</v>
      </c>
      <c r="E1694">
        <f>IF(
  ISNA(
    _xlfn.XLOOKUP(
      payments_raw[[#This Row],[subscription_id]],
      subscriptions[subscription_id],
      subscriptions[subscription_id]
    )
  ),
  0,
  1
)</f>
        <v>1</v>
      </c>
      <c r="F1694" s="1">
        <f>_xlfn.XLOOKUP(payments_raw[[#This Row],[subscription_id]], subscriptions[subscription_id], subscriptions[start_date])</f>
        <v>44772</v>
      </c>
      <c r="G16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4" s="2">
        <f>IF(payments_raw[[#This Row],[payment_date]] &lt; payments_raw[[#This Row],[sub_start_date]], 1, 0)</f>
        <v>0</v>
      </c>
      <c r="I1694" s="2">
        <f>IF(AND(payments_raw[[#This Row],[sub_end_date]]&lt;&gt;"", payments_raw[[#This Row],[payment_date]] &gt; payments_raw[[#This Row],[sub_end_date]]), 1, 0)</f>
        <v>0</v>
      </c>
      <c r="J1694" s="2">
        <f>IF(payments_raw[[#This Row],[amount]] &lt;= 0, 1, 0)</f>
        <v>0</v>
      </c>
      <c r="K16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5" spans="1:11" x14ac:dyDescent="0.3">
      <c r="A1695">
        <v>11483668</v>
      </c>
      <c r="B1695">
        <v>3376783</v>
      </c>
      <c r="C1695" s="1">
        <v>45193</v>
      </c>
      <c r="D1695">
        <v>149</v>
      </c>
      <c r="E1695">
        <f>IF(
  ISNA(
    _xlfn.XLOOKUP(
      payments_raw[[#This Row],[subscription_id]],
      subscriptions[subscription_id],
      subscriptions[subscription_id]
    )
  ),
  0,
  1
)</f>
        <v>1</v>
      </c>
      <c r="F1695" s="1">
        <f>_xlfn.XLOOKUP(payments_raw[[#This Row],[subscription_id]], subscriptions[subscription_id], subscriptions[start_date])</f>
        <v>45175</v>
      </c>
      <c r="G16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1695" s="2">
        <f>IF(payments_raw[[#This Row],[payment_date]] &lt; payments_raw[[#This Row],[sub_start_date]], 1, 0)</f>
        <v>0</v>
      </c>
      <c r="I1695" s="2">
        <f>IF(AND(payments_raw[[#This Row],[sub_end_date]]&lt;&gt;"", payments_raw[[#This Row],[payment_date]] &gt; payments_raw[[#This Row],[sub_end_date]]), 1, 0)</f>
        <v>0</v>
      </c>
      <c r="J1695" s="2">
        <f>IF(payments_raw[[#This Row],[amount]] &lt;= 0, 1, 0)</f>
        <v>0</v>
      </c>
      <c r="K16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6" spans="1:11" x14ac:dyDescent="0.3">
      <c r="A1696">
        <v>60933338</v>
      </c>
      <c r="B1696">
        <v>1469143</v>
      </c>
      <c r="C1696" s="1">
        <v>44738</v>
      </c>
      <c r="D1696">
        <v>790</v>
      </c>
      <c r="E1696">
        <f>IF(
  ISNA(
    _xlfn.XLOOKUP(
      payments_raw[[#This Row],[subscription_id]],
      subscriptions[subscription_id],
      subscriptions[subscription_id]
    )
  ),
  0,
  1
)</f>
        <v>1</v>
      </c>
      <c r="F1696" s="1">
        <f>_xlfn.XLOOKUP(payments_raw[[#This Row],[subscription_id]], subscriptions[subscription_id], subscriptions[start_date])</f>
        <v>44658</v>
      </c>
      <c r="G169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1696" s="2">
        <f>IF(payments_raw[[#This Row],[payment_date]] &lt; payments_raw[[#This Row],[sub_start_date]], 1, 0)</f>
        <v>0</v>
      </c>
      <c r="I1696" s="2">
        <f>IF(AND(payments_raw[[#This Row],[sub_end_date]]&lt;&gt;"", payments_raw[[#This Row],[payment_date]] &gt; payments_raw[[#This Row],[sub_end_date]]), 1, 0)</f>
        <v>0</v>
      </c>
      <c r="J1696" s="2">
        <f>IF(payments_raw[[#This Row],[amount]] &lt;= 0, 1, 0)</f>
        <v>0</v>
      </c>
      <c r="K16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7" spans="1:11" x14ac:dyDescent="0.3">
      <c r="A1697">
        <v>62501008</v>
      </c>
      <c r="B1697">
        <v>6938019</v>
      </c>
      <c r="C1697" s="1">
        <v>45301</v>
      </c>
      <c r="D1697">
        <v>1490</v>
      </c>
      <c r="E1697">
        <f>IF(
  ISNA(
    _xlfn.XLOOKUP(
      payments_raw[[#This Row],[subscription_id]],
      subscriptions[subscription_id],
      subscriptions[subscription_id]
    )
  ),
  0,
  1
)</f>
        <v>1</v>
      </c>
      <c r="F1697" s="1">
        <f>_xlfn.XLOOKUP(payments_raw[[#This Row],[subscription_id]], subscriptions[subscription_id], subscriptions[start_date])</f>
        <v>45207</v>
      </c>
      <c r="G16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7" s="2">
        <f>IF(payments_raw[[#This Row],[payment_date]] &lt; payments_raw[[#This Row],[sub_start_date]], 1, 0)</f>
        <v>0</v>
      </c>
      <c r="I1697" s="2">
        <f>IF(AND(payments_raw[[#This Row],[sub_end_date]]&lt;&gt;"", payments_raw[[#This Row],[payment_date]] &gt; payments_raw[[#This Row],[sub_end_date]]), 1, 0)</f>
        <v>0</v>
      </c>
      <c r="J1697" s="2">
        <f>IF(payments_raw[[#This Row],[amount]] &lt;= 0, 1, 0)</f>
        <v>0</v>
      </c>
      <c r="K16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8" spans="1:11" x14ac:dyDescent="0.3">
      <c r="A1698">
        <v>71656739</v>
      </c>
      <c r="B1698">
        <v>1875589</v>
      </c>
      <c r="C1698" s="1">
        <v>45392</v>
      </c>
      <c r="D1698">
        <v>790</v>
      </c>
      <c r="E1698">
        <f>IF(
  ISNA(
    _xlfn.XLOOKUP(
      payments_raw[[#This Row],[subscription_id]],
      subscriptions[subscription_id],
      subscriptions[subscription_id]
    )
  ),
  0,
  1
)</f>
        <v>1</v>
      </c>
      <c r="F1698" s="1">
        <f>_xlfn.XLOOKUP(payments_raw[[#This Row],[subscription_id]], subscriptions[subscription_id], subscriptions[start_date])</f>
        <v>44842</v>
      </c>
      <c r="G16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698" s="2">
        <f>IF(payments_raw[[#This Row],[payment_date]] &lt; payments_raw[[#This Row],[sub_start_date]], 1, 0)</f>
        <v>0</v>
      </c>
      <c r="I1698" s="2">
        <f>IF(AND(payments_raw[[#This Row],[sub_end_date]]&lt;&gt;"", payments_raw[[#This Row],[payment_date]] &gt; payments_raw[[#This Row],[sub_end_date]]), 1, 0)</f>
        <v>0</v>
      </c>
      <c r="J1698" s="2">
        <f>IF(payments_raw[[#This Row],[amount]] &lt;= 0, 1, 0)</f>
        <v>0</v>
      </c>
      <c r="K16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699" spans="1:11" x14ac:dyDescent="0.3">
      <c r="A1699">
        <v>88129878</v>
      </c>
      <c r="B1699">
        <v>7320122</v>
      </c>
      <c r="C1699" s="1">
        <v>44697</v>
      </c>
      <c r="D1699">
        <v>299</v>
      </c>
      <c r="E1699">
        <f>IF(
  ISNA(
    _xlfn.XLOOKUP(
      payments_raw[[#This Row],[subscription_id]],
      subscriptions[subscription_id],
      subscriptions[subscription_id]
    )
  ),
  0,
  1
)</f>
        <v>1</v>
      </c>
      <c r="F1699" s="1">
        <f>_xlfn.XLOOKUP(payments_raw[[#This Row],[subscription_id]], subscriptions[subscription_id], subscriptions[start_date])</f>
        <v>44682</v>
      </c>
      <c r="G169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1699" s="2">
        <f>IF(payments_raw[[#This Row],[payment_date]] &lt; payments_raw[[#This Row],[sub_start_date]], 1, 0)</f>
        <v>0</v>
      </c>
      <c r="I1699" s="2">
        <f>IF(AND(payments_raw[[#This Row],[sub_end_date]]&lt;&gt;"", payments_raw[[#This Row],[payment_date]] &gt; payments_raw[[#This Row],[sub_end_date]]), 1, 0)</f>
        <v>0</v>
      </c>
      <c r="J1699" s="2">
        <f>IF(payments_raw[[#This Row],[amount]] &lt;= 0, 1, 0)</f>
        <v>0</v>
      </c>
      <c r="K16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0" spans="1:11" x14ac:dyDescent="0.3">
      <c r="A1700">
        <v>98783880</v>
      </c>
      <c r="B1700">
        <v>8200092</v>
      </c>
      <c r="C1700" s="1">
        <v>45554</v>
      </c>
      <c r="D1700">
        <v>2990</v>
      </c>
      <c r="E1700">
        <f>IF(
  ISNA(
    _xlfn.XLOOKUP(
      payments_raw[[#This Row],[subscription_id]],
      subscriptions[subscription_id],
      subscriptions[subscription_id]
    )
  ),
  0,
  1
)</f>
        <v>1</v>
      </c>
      <c r="F1700" s="1">
        <f>_xlfn.XLOOKUP(payments_raw[[#This Row],[subscription_id]], subscriptions[subscription_id], subscriptions[start_date])</f>
        <v>44968</v>
      </c>
      <c r="G17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0" s="2">
        <f>IF(payments_raw[[#This Row],[payment_date]] &lt; payments_raw[[#This Row],[sub_start_date]], 1, 0)</f>
        <v>0</v>
      </c>
      <c r="I1700" s="2">
        <f>IF(AND(payments_raw[[#This Row],[sub_end_date]]&lt;&gt;"", payments_raw[[#This Row],[payment_date]] &gt; payments_raw[[#This Row],[sub_end_date]]), 1, 0)</f>
        <v>0</v>
      </c>
      <c r="J1700" s="2">
        <f>IF(payments_raw[[#This Row],[amount]] &lt;= 0, 1, 0)</f>
        <v>0</v>
      </c>
      <c r="K17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1" spans="1:11" x14ac:dyDescent="0.3">
      <c r="A1701">
        <v>30059058</v>
      </c>
      <c r="B1701">
        <v>7528651</v>
      </c>
      <c r="C1701" s="1">
        <v>45030</v>
      </c>
      <c r="D1701">
        <v>1490</v>
      </c>
      <c r="E1701">
        <f>IF(
  ISNA(
    _xlfn.XLOOKUP(
      payments_raw[[#This Row],[subscription_id]],
      subscriptions[subscription_id],
      subscriptions[subscription_id]
    )
  ),
  0,
  1
)</f>
        <v>1</v>
      </c>
      <c r="F1701" s="1">
        <f>_xlfn.XLOOKUP(payments_raw[[#This Row],[subscription_id]], subscriptions[subscription_id], subscriptions[start_date])</f>
        <v>44582</v>
      </c>
      <c r="G17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1" s="2">
        <f>IF(payments_raw[[#This Row],[payment_date]] &lt; payments_raw[[#This Row],[sub_start_date]], 1, 0)</f>
        <v>0</v>
      </c>
      <c r="I1701" s="2">
        <f>IF(AND(payments_raw[[#This Row],[sub_end_date]]&lt;&gt;"", payments_raw[[#This Row],[payment_date]] &gt; payments_raw[[#This Row],[sub_end_date]]), 1, 0)</f>
        <v>0</v>
      </c>
      <c r="J1701" s="2">
        <f>IF(payments_raw[[#This Row],[amount]] &lt;= 0, 1, 0)</f>
        <v>0</v>
      </c>
      <c r="K17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2" spans="1:11" x14ac:dyDescent="0.3">
      <c r="A1702">
        <v>51300844</v>
      </c>
      <c r="B1702">
        <v>2281267</v>
      </c>
      <c r="C1702" s="1">
        <v>44608</v>
      </c>
      <c r="D1702">
        <v>190</v>
      </c>
      <c r="E1702">
        <f>IF(
  ISNA(
    _xlfn.XLOOKUP(
      payments_raw[[#This Row],[subscription_id]],
      subscriptions[subscription_id],
      subscriptions[subscription_id]
    )
  ),
  0,
  1
)</f>
        <v>1</v>
      </c>
      <c r="F1702" s="1">
        <f>_xlfn.XLOOKUP(payments_raw[[#This Row],[subscription_id]], subscriptions[subscription_id], subscriptions[start_date])</f>
        <v>44566</v>
      </c>
      <c r="G1702" s="1">
        <f>IF(_xlfn.XLOOKUP(payments_raw[[#This Row],[subscription_id]], subscriptions[subscription_id], subscriptions[end_date])=0,"",_xlfn.XLOOKUP(payments_raw[[#This Row],[subscription_id]], subscriptions[subscription_id], subscriptions[end_date]))</f>
        <v>44672</v>
      </c>
      <c r="H1702" s="2">
        <f>IF(payments_raw[[#This Row],[payment_date]] &lt; payments_raw[[#This Row],[sub_start_date]], 1, 0)</f>
        <v>0</v>
      </c>
      <c r="I1702" s="2">
        <f>IF(AND(payments_raw[[#This Row],[sub_end_date]]&lt;&gt;"", payments_raw[[#This Row],[payment_date]] &gt; payments_raw[[#This Row],[sub_end_date]]), 1, 0)</f>
        <v>0</v>
      </c>
      <c r="J1702" s="2">
        <f>IF(payments_raw[[#This Row],[amount]] &lt;= 0, 1, 0)</f>
        <v>0</v>
      </c>
      <c r="K17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3" spans="1:11" x14ac:dyDescent="0.3">
      <c r="A1703">
        <v>19360882</v>
      </c>
      <c r="B1703">
        <v>8027140</v>
      </c>
      <c r="C1703" s="1">
        <v>45047</v>
      </c>
      <c r="D1703">
        <v>299</v>
      </c>
      <c r="E1703">
        <f>IF(
  ISNA(
    _xlfn.XLOOKUP(
      payments_raw[[#This Row],[subscription_id]],
      subscriptions[subscription_id],
      subscriptions[subscription_id]
    )
  ),
  0,
  1
)</f>
        <v>1</v>
      </c>
      <c r="F1703" s="1">
        <f>_xlfn.XLOOKUP(payments_raw[[#This Row],[subscription_id]], subscriptions[subscription_id], subscriptions[start_date])</f>
        <v>45032</v>
      </c>
      <c r="G17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3" s="2">
        <f>IF(payments_raw[[#This Row],[payment_date]] &lt; payments_raw[[#This Row],[sub_start_date]], 1, 0)</f>
        <v>0</v>
      </c>
      <c r="I1703" s="2">
        <f>IF(AND(payments_raw[[#This Row],[sub_end_date]]&lt;&gt;"", payments_raw[[#This Row],[payment_date]] &gt; payments_raw[[#This Row],[sub_end_date]]), 1, 0)</f>
        <v>0</v>
      </c>
      <c r="J1703" s="2">
        <f>IF(payments_raw[[#This Row],[amount]] &lt;= 0, 1, 0)</f>
        <v>0</v>
      </c>
      <c r="K17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4" spans="1:11" x14ac:dyDescent="0.3">
      <c r="A1704">
        <v>14288027</v>
      </c>
      <c r="B1704">
        <v>2421764</v>
      </c>
      <c r="C1704" s="1">
        <v>45461</v>
      </c>
      <c r="D1704">
        <v>592.5</v>
      </c>
      <c r="E1704">
        <f>IF(
  ISNA(
    _xlfn.XLOOKUP(
      payments_raw[[#This Row],[subscription_id]],
      subscriptions[subscription_id],
      subscriptions[subscription_id]
    )
  ),
  0,
  1
)</f>
        <v>1</v>
      </c>
      <c r="F1704" s="1">
        <f>_xlfn.XLOOKUP(payments_raw[[#This Row],[subscription_id]], subscriptions[subscription_id], subscriptions[start_date])</f>
        <v>44876</v>
      </c>
      <c r="G17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4" s="2">
        <f>IF(payments_raw[[#This Row],[payment_date]] &lt; payments_raw[[#This Row],[sub_start_date]], 1, 0)</f>
        <v>0</v>
      </c>
      <c r="I1704" s="2">
        <f>IF(AND(payments_raw[[#This Row],[sub_end_date]]&lt;&gt;"", payments_raw[[#This Row],[payment_date]] &gt; payments_raw[[#This Row],[sub_end_date]]), 1, 0)</f>
        <v>0</v>
      </c>
      <c r="J1704" s="2">
        <f>IF(payments_raw[[#This Row],[amount]] &lt;= 0, 1, 0)</f>
        <v>0</v>
      </c>
      <c r="K17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5" spans="1:11" x14ac:dyDescent="0.3">
      <c r="A1705">
        <v>16227011</v>
      </c>
      <c r="B1705">
        <v>2550417</v>
      </c>
      <c r="C1705" s="1">
        <v>45610</v>
      </c>
      <c r="D1705">
        <v>190</v>
      </c>
      <c r="E1705">
        <f>IF(
  ISNA(
    _xlfn.XLOOKUP(
      payments_raw[[#This Row],[subscription_id]],
      subscriptions[subscription_id],
      subscriptions[subscription_id]
    )
  ),
  0,
  1
)</f>
        <v>1</v>
      </c>
      <c r="F1705" s="1">
        <f>_xlfn.XLOOKUP(payments_raw[[#This Row],[subscription_id]], subscriptions[subscription_id], subscriptions[start_date])</f>
        <v>45565</v>
      </c>
      <c r="G17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5" s="2">
        <f>IF(payments_raw[[#This Row],[payment_date]] &lt; payments_raw[[#This Row],[sub_start_date]], 1, 0)</f>
        <v>0</v>
      </c>
      <c r="I1705" s="2">
        <f>IF(AND(payments_raw[[#This Row],[sub_end_date]]&lt;&gt;"", payments_raw[[#This Row],[payment_date]] &gt; payments_raw[[#This Row],[sub_end_date]]), 1, 0)</f>
        <v>0</v>
      </c>
      <c r="J1705" s="2">
        <f>IF(payments_raw[[#This Row],[amount]] &lt;= 0, 1, 0)</f>
        <v>0</v>
      </c>
      <c r="K17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6" spans="1:11" x14ac:dyDescent="0.3">
      <c r="A1706">
        <v>95524438</v>
      </c>
      <c r="B1706">
        <v>5413298</v>
      </c>
      <c r="C1706" s="1">
        <v>45470</v>
      </c>
      <c r="D1706">
        <v>2990</v>
      </c>
      <c r="E1706">
        <f>IF(
  ISNA(
    _xlfn.XLOOKUP(
      payments_raw[[#This Row],[subscription_id]],
      subscriptions[subscription_id],
      subscriptions[subscription_id]
    )
  ),
  0,
  1
)</f>
        <v>1</v>
      </c>
      <c r="F1706" s="1">
        <f>_xlfn.XLOOKUP(payments_raw[[#This Row],[subscription_id]], subscriptions[subscription_id], subscriptions[start_date])</f>
        <v>44623</v>
      </c>
      <c r="G17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6" s="2">
        <f>IF(payments_raw[[#This Row],[payment_date]] &lt; payments_raw[[#This Row],[sub_start_date]], 1, 0)</f>
        <v>0</v>
      </c>
      <c r="I1706" s="2">
        <f>IF(AND(payments_raw[[#This Row],[sub_end_date]]&lt;&gt;"", payments_raw[[#This Row],[payment_date]] &gt; payments_raw[[#This Row],[sub_end_date]]), 1, 0)</f>
        <v>0</v>
      </c>
      <c r="J1706" s="2">
        <f>IF(payments_raw[[#This Row],[amount]] &lt;= 0, 1, 0)</f>
        <v>0</v>
      </c>
      <c r="K17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7" spans="1:11" x14ac:dyDescent="0.3">
      <c r="A1707">
        <v>42611649</v>
      </c>
      <c r="B1707">
        <v>1510471</v>
      </c>
      <c r="C1707" s="1">
        <v>45527</v>
      </c>
      <c r="D1707">
        <v>19</v>
      </c>
      <c r="E1707">
        <f>IF(
  ISNA(
    _xlfn.XLOOKUP(
      payments_raw[[#This Row],[subscription_id]],
      subscriptions[subscription_id],
      subscriptions[subscription_id]
    )
  ),
  0,
  1
)</f>
        <v>1</v>
      </c>
      <c r="F1707" s="1">
        <f>_xlfn.XLOOKUP(payments_raw[[#This Row],[subscription_id]], subscriptions[subscription_id], subscriptions[start_date])</f>
        <v>45526</v>
      </c>
      <c r="G17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707" s="2">
        <f>IF(payments_raw[[#This Row],[payment_date]] &lt; payments_raw[[#This Row],[sub_start_date]], 1, 0)</f>
        <v>0</v>
      </c>
      <c r="I1707" s="2">
        <f>IF(AND(payments_raw[[#This Row],[sub_end_date]]&lt;&gt;"", payments_raw[[#This Row],[payment_date]] &gt; payments_raw[[#This Row],[sub_end_date]]), 1, 0)</f>
        <v>0</v>
      </c>
      <c r="J1707" s="2">
        <f>IF(payments_raw[[#This Row],[amount]] &lt;= 0, 1, 0)</f>
        <v>0</v>
      </c>
      <c r="K17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8" spans="1:11" x14ac:dyDescent="0.3">
      <c r="A1708">
        <v>25656264</v>
      </c>
      <c r="B1708">
        <v>4463711</v>
      </c>
      <c r="C1708" s="1">
        <v>45397</v>
      </c>
      <c r="D1708">
        <v>190</v>
      </c>
      <c r="E1708">
        <f>IF(
  ISNA(
    _xlfn.XLOOKUP(
      payments_raw[[#This Row],[subscription_id]],
      subscriptions[subscription_id],
      subscriptions[subscription_id]
    )
  ),
  0,
  1
)</f>
        <v>1</v>
      </c>
      <c r="F1708" s="1">
        <f>_xlfn.XLOOKUP(payments_raw[[#This Row],[subscription_id]], subscriptions[subscription_id], subscriptions[start_date])</f>
        <v>45352</v>
      </c>
      <c r="G17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8" s="2">
        <f>IF(payments_raw[[#This Row],[payment_date]] &lt; payments_raw[[#This Row],[sub_start_date]], 1, 0)</f>
        <v>0</v>
      </c>
      <c r="I1708" s="2">
        <f>IF(AND(payments_raw[[#This Row],[sub_end_date]]&lt;&gt;"", payments_raw[[#This Row],[payment_date]] &gt; payments_raw[[#This Row],[sub_end_date]]), 1, 0)</f>
        <v>0</v>
      </c>
      <c r="J1708" s="2">
        <f>IF(payments_raw[[#This Row],[amount]] &lt;= 0, 1, 0)</f>
        <v>0</v>
      </c>
      <c r="K17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09" spans="1:11" x14ac:dyDescent="0.3">
      <c r="A1709">
        <v>69602309</v>
      </c>
      <c r="B1709">
        <v>6753758</v>
      </c>
      <c r="C1709" s="1">
        <v>45371</v>
      </c>
      <c r="D1709">
        <v>299</v>
      </c>
      <c r="E1709">
        <f>IF(
  ISNA(
    _xlfn.XLOOKUP(
      payments_raw[[#This Row],[subscription_id]],
      subscriptions[subscription_id],
      subscriptions[subscription_id]
    )
  ),
  0,
  1
)</f>
        <v>1</v>
      </c>
      <c r="F1709" s="1">
        <f>_xlfn.XLOOKUP(payments_raw[[#This Row],[subscription_id]], subscriptions[subscription_id], subscriptions[start_date])</f>
        <v>45259</v>
      </c>
      <c r="G17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09" s="2">
        <f>IF(payments_raw[[#This Row],[payment_date]] &lt; payments_raw[[#This Row],[sub_start_date]], 1, 0)</f>
        <v>0</v>
      </c>
      <c r="I1709" s="2">
        <f>IF(AND(payments_raw[[#This Row],[sub_end_date]]&lt;&gt;"", payments_raw[[#This Row],[payment_date]] &gt; payments_raw[[#This Row],[sub_end_date]]), 1, 0)</f>
        <v>0</v>
      </c>
      <c r="J1709" s="2">
        <f>IF(payments_raw[[#This Row],[amount]] &lt;= 0, 1, 0)</f>
        <v>0</v>
      </c>
      <c r="K17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0" spans="1:11" x14ac:dyDescent="0.3">
      <c r="A1710">
        <v>92713862</v>
      </c>
      <c r="B1710">
        <v>2929715</v>
      </c>
      <c r="C1710" s="1">
        <v>45102</v>
      </c>
      <c r="D1710">
        <v>39</v>
      </c>
      <c r="E1710">
        <f>IF(
  ISNA(
    _xlfn.XLOOKUP(
      payments_raw[[#This Row],[subscription_id]],
      subscriptions[subscription_id],
      subscriptions[subscription_id]
    )
  ),
  0,
  1
)</f>
        <v>1</v>
      </c>
      <c r="F1710" s="1">
        <f>_xlfn.XLOOKUP(payments_raw[[#This Row],[subscription_id]], subscriptions[subscription_id], subscriptions[start_date])</f>
        <v>45101</v>
      </c>
      <c r="G17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1710" s="2">
        <f>IF(payments_raw[[#This Row],[payment_date]] &lt; payments_raw[[#This Row],[sub_start_date]], 1, 0)</f>
        <v>0</v>
      </c>
      <c r="I1710" s="2">
        <f>IF(AND(payments_raw[[#This Row],[sub_end_date]]&lt;&gt;"", payments_raw[[#This Row],[payment_date]] &gt; payments_raw[[#This Row],[sub_end_date]]), 1, 0)</f>
        <v>0</v>
      </c>
      <c r="J1710" s="2">
        <f>IF(payments_raw[[#This Row],[amount]] &lt;= 0, 1, 0)</f>
        <v>0</v>
      </c>
      <c r="K17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1" spans="1:11" x14ac:dyDescent="0.3">
      <c r="A1711">
        <v>54897404</v>
      </c>
      <c r="B1711">
        <v>4331501</v>
      </c>
      <c r="C1711" s="1">
        <v>44976</v>
      </c>
      <c r="D1711">
        <v>1490</v>
      </c>
      <c r="E1711">
        <f>IF(
  ISNA(
    _xlfn.XLOOKUP(
      payments_raw[[#This Row],[subscription_id]],
      subscriptions[subscription_id],
      subscriptions[subscription_id]
    )
  ),
  0,
  1
)</f>
        <v>1</v>
      </c>
      <c r="F1711" s="1">
        <f>_xlfn.XLOOKUP(payments_raw[[#This Row],[subscription_id]], subscriptions[subscription_id], subscriptions[start_date])</f>
        <v>44743</v>
      </c>
      <c r="G17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1711" s="2">
        <f>IF(payments_raw[[#This Row],[payment_date]] &lt; payments_raw[[#This Row],[sub_start_date]], 1, 0)</f>
        <v>0</v>
      </c>
      <c r="I1711" s="2">
        <f>IF(AND(payments_raw[[#This Row],[sub_end_date]]&lt;&gt;"", payments_raw[[#This Row],[payment_date]] &gt; payments_raw[[#This Row],[sub_end_date]]), 1, 0)</f>
        <v>0</v>
      </c>
      <c r="J1711" s="2">
        <f>IF(payments_raw[[#This Row],[amount]] &lt;= 0, 1, 0)</f>
        <v>0</v>
      </c>
      <c r="K17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2" spans="1:11" x14ac:dyDescent="0.3">
      <c r="A1712">
        <v>85507244</v>
      </c>
      <c r="B1712">
        <v>6110378</v>
      </c>
      <c r="C1712" s="1">
        <v>45533</v>
      </c>
      <c r="D1712">
        <v>149</v>
      </c>
      <c r="E1712">
        <f>IF(
  ISNA(
    _xlfn.XLOOKUP(
      payments_raw[[#This Row],[subscription_id]],
      subscriptions[subscription_id],
      subscriptions[subscription_id]
    )
  ),
  0,
  1
)</f>
        <v>1</v>
      </c>
      <c r="F1712" s="1">
        <f>_xlfn.XLOOKUP(payments_raw[[#This Row],[subscription_id]], subscriptions[subscription_id], subscriptions[start_date])</f>
        <v>45249</v>
      </c>
      <c r="G17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2" s="2">
        <f>IF(payments_raw[[#This Row],[payment_date]] &lt; payments_raw[[#This Row],[sub_start_date]], 1, 0)</f>
        <v>0</v>
      </c>
      <c r="I1712" s="2">
        <f>IF(AND(payments_raw[[#This Row],[sub_end_date]]&lt;&gt;"", payments_raw[[#This Row],[payment_date]] &gt; payments_raw[[#This Row],[sub_end_date]]), 1, 0)</f>
        <v>0</v>
      </c>
      <c r="J1712" s="2">
        <f>IF(payments_raw[[#This Row],[amount]] &lt;= 0, 1, 0)</f>
        <v>0</v>
      </c>
      <c r="K17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3" spans="1:11" x14ac:dyDescent="0.3">
      <c r="A1713">
        <v>82884303</v>
      </c>
      <c r="B1713">
        <v>6415010</v>
      </c>
      <c r="C1713" s="1">
        <v>45517</v>
      </c>
      <c r="D1713">
        <v>79</v>
      </c>
      <c r="E1713">
        <f>IF(
  ISNA(
    _xlfn.XLOOKUP(
      payments_raw[[#This Row],[subscription_id]],
      subscriptions[subscription_id],
      subscriptions[subscription_id]
    )
  ),
  0,
  1
)</f>
        <v>1</v>
      </c>
      <c r="F1713" s="1">
        <f>_xlfn.XLOOKUP(payments_raw[[#This Row],[subscription_id]], subscriptions[subscription_id], subscriptions[start_date])</f>
        <v>44594</v>
      </c>
      <c r="G17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3" s="2">
        <f>IF(payments_raw[[#This Row],[payment_date]] &lt; payments_raw[[#This Row],[sub_start_date]], 1, 0)</f>
        <v>0</v>
      </c>
      <c r="I1713" s="2">
        <f>IF(AND(payments_raw[[#This Row],[sub_end_date]]&lt;&gt;"", payments_raw[[#This Row],[payment_date]] &gt; payments_raw[[#This Row],[sub_end_date]]), 1, 0)</f>
        <v>0</v>
      </c>
      <c r="J1713" s="2">
        <f>IF(payments_raw[[#This Row],[amount]] &lt;= 0, 1, 0)</f>
        <v>0</v>
      </c>
      <c r="K17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4" spans="1:11" x14ac:dyDescent="0.3">
      <c r="A1714">
        <v>85912695</v>
      </c>
      <c r="B1714">
        <v>3363282</v>
      </c>
      <c r="C1714" s="1">
        <v>44986</v>
      </c>
      <c r="D1714">
        <v>171</v>
      </c>
      <c r="E1714">
        <f>IF(
  ISNA(
    _xlfn.XLOOKUP(
      payments_raw[[#This Row],[subscription_id]],
      subscriptions[subscription_id],
      subscriptions[subscription_id]
    )
  ),
  0,
  1
)</f>
        <v>1</v>
      </c>
      <c r="F1714" s="1">
        <f>_xlfn.XLOOKUP(payments_raw[[#This Row],[subscription_id]], subscriptions[subscription_id], subscriptions[start_date])</f>
        <v>44891</v>
      </c>
      <c r="G17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1714" s="2">
        <f>IF(payments_raw[[#This Row],[payment_date]] &lt; payments_raw[[#This Row],[sub_start_date]], 1, 0)</f>
        <v>0</v>
      </c>
      <c r="I1714" s="2">
        <f>IF(AND(payments_raw[[#This Row],[sub_end_date]]&lt;&gt;"", payments_raw[[#This Row],[payment_date]] &gt; payments_raw[[#This Row],[sub_end_date]]), 1, 0)</f>
        <v>0</v>
      </c>
      <c r="J1714" s="2">
        <f>IF(payments_raw[[#This Row],[amount]] &lt;= 0, 1, 0)</f>
        <v>0</v>
      </c>
      <c r="K17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5" spans="1:11" x14ac:dyDescent="0.3">
      <c r="A1715">
        <v>89671199</v>
      </c>
      <c r="B1715">
        <v>5125653</v>
      </c>
      <c r="C1715" s="1">
        <v>45562</v>
      </c>
      <c r="D1715">
        <v>1490</v>
      </c>
      <c r="E1715">
        <f>IF(
  ISNA(
    _xlfn.XLOOKUP(
      payments_raw[[#This Row],[subscription_id]],
      subscriptions[subscription_id],
      subscriptions[subscription_id]
    )
  ),
  0,
  1
)</f>
        <v>1</v>
      </c>
      <c r="F1715" s="1">
        <f>_xlfn.XLOOKUP(payments_raw[[#This Row],[subscription_id]], subscriptions[subscription_id], subscriptions[start_date])</f>
        <v>45346</v>
      </c>
      <c r="G17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5" s="2">
        <f>IF(payments_raw[[#This Row],[payment_date]] &lt; payments_raw[[#This Row],[sub_start_date]], 1, 0)</f>
        <v>0</v>
      </c>
      <c r="I1715" s="2">
        <f>IF(AND(payments_raw[[#This Row],[sub_end_date]]&lt;&gt;"", payments_raw[[#This Row],[payment_date]] &gt; payments_raw[[#This Row],[sub_end_date]]), 1, 0)</f>
        <v>0</v>
      </c>
      <c r="J1715" s="2">
        <f>IF(payments_raw[[#This Row],[amount]] &lt;= 0, 1, 0)</f>
        <v>0</v>
      </c>
      <c r="K17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6" spans="1:11" x14ac:dyDescent="0.3">
      <c r="A1716">
        <v>63048394</v>
      </c>
      <c r="B1716">
        <v>9225877</v>
      </c>
      <c r="C1716" s="1">
        <v>44964</v>
      </c>
      <c r="D1716">
        <v>190</v>
      </c>
      <c r="E1716">
        <f>IF(
  ISNA(
    _xlfn.XLOOKUP(
      payments_raw[[#This Row],[subscription_id]],
      subscriptions[subscription_id],
      subscriptions[subscription_id]
    )
  ),
  0,
  1
)</f>
        <v>1</v>
      </c>
      <c r="F1716" s="1">
        <f>_xlfn.XLOOKUP(payments_raw[[#This Row],[subscription_id]], subscriptions[subscription_id], subscriptions[start_date])</f>
        <v>44917</v>
      </c>
      <c r="G17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6" s="2">
        <f>IF(payments_raw[[#This Row],[payment_date]] &lt; payments_raw[[#This Row],[sub_start_date]], 1, 0)</f>
        <v>0</v>
      </c>
      <c r="I1716" s="2">
        <f>IF(AND(payments_raw[[#This Row],[sub_end_date]]&lt;&gt;"", payments_raw[[#This Row],[payment_date]] &gt; payments_raw[[#This Row],[sub_end_date]]), 1, 0)</f>
        <v>0</v>
      </c>
      <c r="J1716" s="2">
        <f>IF(payments_raw[[#This Row],[amount]] &lt;= 0, 1, 0)</f>
        <v>0</v>
      </c>
      <c r="K17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7" spans="1:11" x14ac:dyDescent="0.3">
      <c r="A1717">
        <v>42248411</v>
      </c>
      <c r="B1717">
        <v>3691366</v>
      </c>
      <c r="C1717" s="1">
        <v>45442</v>
      </c>
      <c r="D1717">
        <v>390</v>
      </c>
      <c r="E1717">
        <f>IF(
  ISNA(
    _xlfn.XLOOKUP(
      payments_raw[[#This Row],[subscription_id]],
      subscriptions[subscription_id],
      subscriptions[subscription_id]
    )
  ),
  0,
  1
)</f>
        <v>1</v>
      </c>
      <c r="F1717" s="1">
        <f>_xlfn.XLOOKUP(payments_raw[[#This Row],[subscription_id]], subscriptions[subscription_id], subscriptions[start_date])</f>
        <v>45228</v>
      </c>
      <c r="G17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45627</v>
      </c>
      <c r="H1717" s="2">
        <f>IF(payments_raw[[#This Row],[payment_date]] &lt; payments_raw[[#This Row],[sub_start_date]], 1, 0)</f>
        <v>0</v>
      </c>
      <c r="I1717" s="2">
        <f>IF(AND(payments_raw[[#This Row],[sub_end_date]]&lt;&gt;"", payments_raw[[#This Row],[payment_date]] &gt; payments_raw[[#This Row],[sub_end_date]]), 1, 0)</f>
        <v>0</v>
      </c>
      <c r="J1717" s="2">
        <f>IF(payments_raw[[#This Row],[amount]] &lt;= 0, 1, 0)</f>
        <v>0</v>
      </c>
      <c r="K17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8" spans="1:11" x14ac:dyDescent="0.3">
      <c r="A1718">
        <v>34049258</v>
      </c>
      <c r="B1718">
        <v>3350695</v>
      </c>
      <c r="C1718" s="1">
        <v>45583</v>
      </c>
      <c r="D1718">
        <v>35.1</v>
      </c>
      <c r="E1718">
        <f>IF(
  ISNA(
    _xlfn.XLOOKUP(
      payments_raw[[#This Row],[subscription_id]],
      subscriptions[subscription_id],
      subscriptions[subscription_id]
    )
  ),
  0,
  1
)</f>
        <v>1</v>
      </c>
      <c r="F1718" s="1">
        <f>_xlfn.XLOOKUP(payments_raw[[#This Row],[subscription_id]], subscriptions[subscription_id], subscriptions[start_date])</f>
        <v>45175</v>
      </c>
      <c r="G17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8" s="2">
        <f>IF(payments_raw[[#This Row],[payment_date]] &lt; payments_raw[[#This Row],[sub_start_date]], 1, 0)</f>
        <v>0</v>
      </c>
      <c r="I1718" s="2">
        <f>IF(AND(payments_raw[[#This Row],[sub_end_date]]&lt;&gt;"", payments_raw[[#This Row],[payment_date]] &gt; payments_raw[[#This Row],[sub_end_date]]), 1, 0)</f>
        <v>0</v>
      </c>
      <c r="J1718" s="2">
        <f>IF(payments_raw[[#This Row],[amount]] &lt;= 0, 1, 0)</f>
        <v>0</v>
      </c>
      <c r="K17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19" spans="1:11" x14ac:dyDescent="0.3">
      <c r="A1719">
        <v>28987151</v>
      </c>
      <c r="B1719">
        <v>6111364</v>
      </c>
      <c r="C1719" s="1">
        <v>45472</v>
      </c>
      <c r="D1719">
        <v>390</v>
      </c>
      <c r="E1719">
        <f>IF(
  ISNA(
    _xlfn.XLOOKUP(
      payments_raw[[#This Row],[subscription_id]],
      subscriptions[subscription_id],
      subscriptions[subscription_id]
    )
  ),
  0,
  1
)</f>
        <v>1</v>
      </c>
      <c r="F1719" s="1">
        <f>_xlfn.XLOOKUP(payments_raw[[#This Row],[subscription_id]], subscriptions[subscription_id], subscriptions[start_date])</f>
        <v>45238</v>
      </c>
      <c r="G17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19" s="2">
        <f>IF(payments_raw[[#This Row],[payment_date]] &lt; payments_raw[[#This Row],[sub_start_date]], 1, 0)</f>
        <v>0</v>
      </c>
      <c r="I1719" s="2">
        <f>IF(AND(payments_raw[[#This Row],[sub_end_date]]&lt;&gt;"", payments_raw[[#This Row],[payment_date]] &gt; payments_raw[[#This Row],[sub_end_date]]), 1, 0)</f>
        <v>0</v>
      </c>
      <c r="J1719" s="2">
        <f>IF(payments_raw[[#This Row],[amount]] &lt;= 0, 1, 0)</f>
        <v>0</v>
      </c>
      <c r="K17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0" spans="1:11" x14ac:dyDescent="0.3">
      <c r="A1720">
        <v>79881903</v>
      </c>
      <c r="B1720">
        <v>4838024</v>
      </c>
      <c r="C1720" s="1">
        <v>45210</v>
      </c>
      <c r="D1720">
        <v>592.5</v>
      </c>
      <c r="E1720">
        <f>IF(
  ISNA(
    _xlfn.XLOOKUP(
      payments_raw[[#This Row],[subscription_id]],
      subscriptions[subscription_id],
      subscriptions[subscription_id]
    )
  ),
  0,
  1
)</f>
        <v>1</v>
      </c>
      <c r="F1720" s="1">
        <f>_xlfn.XLOOKUP(payments_raw[[#This Row],[subscription_id]], subscriptions[subscription_id], subscriptions[start_date])</f>
        <v>45187</v>
      </c>
      <c r="G17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1720" s="2">
        <f>IF(payments_raw[[#This Row],[payment_date]] &lt; payments_raw[[#This Row],[sub_start_date]], 1, 0)</f>
        <v>0</v>
      </c>
      <c r="I1720" s="2">
        <f>IF(AND(payments_raw[[#This Row],[sub_end_date]]&lt;&gt;"", payments_raw[[#This Row],[payment_date]] &gt; payments_raw[[#This Row],[sub_end_date]]), 1, 0)</f>
        <v>0</v>
      </c>
      <c r="J1720" s="2">
        <f>IF(payments_raw[[#This Row],[amount]] &lt;= 0, 1, 0)</f>
        <v>0</v>
      </c>
      <c r="K17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1" spans="1:11" x14ac:dyDescent="0.3">
      <c r="A1721">
        <v>72192105</v>
      </c>
      <c r="B1721">
        <v>1057394</v>
      </c>
      <c r="C1721" s="1">
        <v>44693</v>
      </c>
      <c r="D1721">
        <v>390</v>
      </c>
      <c r="E1721">
        <f>IF(
  ISNA(
    _xlfn.XLOOKUP(
      payments_raw[[#This Row],[subscription_id]],
      subscriptions[subscription_id],
      subscriptions[subscription_id]
    )
  ),
  0,
  1
)</f>
        <v>1</v>
      </c>
      <c r="F1721" s="1">
        <f>_xlfn.XLOOKUP(payments_raw[[#This Row],[subscription_id]], subscriptions[subscription_id], subscriptions[start_date])</f>
        <v>44681</v>
      </c>
      <c r="G17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45001</v>
      </c>
      <c r="H1721" s="2">
        <f>IF(payments_raw[[#This Row],[payment_date]] &lt; payments_raw[[#This Row],[sub_start_date]], 1, 0)</f>
        <v>0</v>
      </c>
      <c r="I1721" s="2">
        <f>IF(AND(payments_raw[[#This Row],[sub_end_date]]&lt;&gt;"", payments_raw[[#This Row],[payment_date]] &gt; payments_raw[[#This Row],[sub_end_date]]), 1, 0)</f>
        <v>0</v>
      </c>
      <c r="J1721" s="2">
        <f>IF(payments_raw[[#This Row],[amount]] &lt;= 0, 1, 0)</f>
        <v>0</v>
      </c>
      <c r="K17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2" spans="1:11" x14ac:dyDescent="0.3">
      <c r="A1722">
        <v>26922485</v>
      </c>
      <c r="B1722">
        <v>6583476</v>
      </c>
      <c r="C1722" s="1">
        <v>45020</v>
      </c>
      <c r="D1722">
        <v>299</v>
      </c>
      <c r="E1722">
        <f>IF(
  ISNA(
    _xlfn.XLOOKUP(
      payments_raw[[#This Row],[subscription_id]],
      subscriptions[subscription_id],
      subscriptions[subscription_id]
    )
  ),
  0,
  1
)</f>
        <v>1</v>
      </c>
      <c r="F1722" s="1">
        <f>_xlfn.XLOOKUP(payments_raw[[#This Row],[subscription_id]], subscriptions[subscription_id], subscriptions[start_date])</f>
        <v>45020</v>
      </c>
      <c r="G17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1722" s="2">
        <f>IF(payments_raw[[#This Row],[payment_date]] &lt; payments_raw[[#This Row],[sub_start_date]], 1, 0)</f>
        <v>0</v>
      </c>
      <c r="I1722" s="2">
        <f>IF(AND(payments_raw[[#This Row],[sub_end_date]]&lt;&gt;"", payments_raw[[#This Row],[payment_date]] &gt; payments_raw[[#This Row],[sub_end_date]]), 1, 0)</f>
        <v>0</v>
      </c>
      <c r="J1722" s="2">
        <f>IF(payments_raw[[#This Row],[amount]] &lt;= 0, 1, 0)</f>
        <v>0</v>
      </c>
      <c r="K17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3" spans="1:11" x14ac:dyDescent="0.3">
      <c r="A1723">
        <v>25372552</v>
      </c>
      <c r="B1723">
        <v>8882947</v>
      </c>
      <c r="C1723" s="1">
        <v>44861</v>
      </c>
      <c r="D1723">
        <v>79</v>
      </c>
      <c r="E1723">
        <f>IF(
  ISNA(
    _xlfn.XLOOKUP(
      payments_raw[[#This Row],[subscription_id]],
      subscriptions[subscription_id],
      subscriptions[subscription_id]
    )
  ),
  0,
  1
)</f>
        <v>1</v>
      </c>
      <c r="F1723" s="1">
        <f>_xlfn.XLOOKUP(payments_raw[[#This Row],[subscription_id]], subscriptions[subscription_id], subscriptions[start_date])</f>
        <v>44768</v>
      </c>
      <c r="G17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23" s="2">
        <f>IF(payments_raw[[#This Row],[payment_date]] &lt; payments_raw[[#This Row],[sub_start_date]], 1, 0)</f>
        <v>0</v>
      </c>
      <c r="I1723" s="2">
        <f>IF(AND(payments_raw[[#This Row],[sub_end_date]]&lt;&gt;"", payments_raw[[#This Row],[payment_date]] &gt; payments_raw[[#This Row],[sub_end_date]]), 1, 0)</f>
        <v>0</v>
      </c>
      <c r="J1723" s="2">
        <f>IF(payments_raw[[#This Row],[amount]] &lt;= 0, 1, 0)</f>
        <v>0</v>
      </c>
      <c r="K17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4" spans="1:11" x14ac:dyDescent="0.3">
      <c r="A1724">
        <v>31757048</v>
      </c>
      <c r="B1724">
        <v>2680038</v>
      </c>
      <c r="C1724" s="1">
        <v>45016</v>
      </c>
      <c r="D1724">
        <v>790</v>
      </c>
      <c r="E1724">
        <f>IF(
  ISNA(
    _xlfn.XLOOKUP(
      payments_raw[[#This Row],[subscription_id]],
      subscriptions[subscription_id],
      subscriptions[subscription_id]
    )
  ),
  0,
  1
)</f>
        <v>1</v>
      </c>
      <c r="F1724" s="1">
        <f>_xlfn.XLOOKUP(payments_raw[[#This Row],[subscription_id]], subscriptions[subscription_id], subscriptions[start_date])</f>
        <v>44901</v>
      </c>
      <c r="G17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45247</v>
      </c>
      <c r="H1724" s="2">
        <f>IF(payments_raw[[#This Row],[payment_date]] &lt; payments_raw[[#This Row],[sub_start_date]], 1, 0)</f>
        <v>0</v>
      </c>
      <c r="I1724" s="2">
        <f>IF(AND(payments_raw[[#This Row],[sub_end_date]]&lt;&gt;"", payments_raw[[#This Row],[payment_date]] &gt; payments_raw[[#This Row],[sub_end_date]]), 1, 0)</f>
        <v>0</v>
      </c>
      <c r="J1724" s="2">
        <f>IF(payments_raw[[#This Row],[amount]] &lt;= 0, 1, 0)</f>
        <v>0</v>
      </c>
      <c r="K17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5" spans="1:11" x14ac:dyDescent="0.3">
      <c r="A1725">
        <v>83917832</v>
      </c>
      <c r="B1725">
        <v>2120248</v>
      </c>
      <c r="C1725" s="1">
        <v>45280</v>
      </c>
      <c r="D1725">
        <v>149</v>
      </c>
      <c r="E1725">
        <f>IF(
  ISNA(
    _xlfn.XLOOKUP(
      payments_raw[[#This Row],[subscription_id]],
      subscriptions[subscription_id],
      subscriptions[subscription_id]
    )
  ),
  0,
  1
)</f>
        <v>1</v>
      </c>
      <c r="F1725" s="1">
        <f>_xlfn.XLOOKUP(payments_raw[[#This Row],[subscription_id]], subscriptions[subscription_id], subscriptions[start_date])</f>
        <v>45279</v>
      </c>
      <c r="G17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45424</v>
      </c>
      <c r="H1725" s="2">
        <f>IF(payments_raw[[#This Row],[payment_date]] &lt; payments_raw[[#This Row],[sub_start_date]], 1, 0)</f>
        <v>0</v>
      </c>
      <c r="I1725" s="2">
        <f>IF(AND(payments_raw[[#This Row],[sub_end_date]]&lt;&gt;"", payments_raw[[#This Row],[payment_date]] &gt; payments_raw[[#This Row],[sub_end_date]]), 1, 0)</f>
        <v>0</v>
      </c>
      <c r="J1725" s="2">
        <f>IF(payments_raw[[#This Row],[amount]] &lt;= 0, 1, 0)</f>
        <v>0</v>
      </c>
      <c r="K17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6" spans="1:11" x14ac:dyDescent="0.3">
      <c r="A1726">
        <v>67908115</v>
      </c>
      <c r="B1726">
        <v>8859233</v>
      </c>
      <c r="C1726" s="1">
        <v>45310</v>
      </c>
      <c r="D1726">
        <v>1490</v>
      </c>
      <c r="E1726">
        <f>IF(
  ISNA(
    _xlfn.XLOOKUP(
      payments_raw[[#This Row],[subscription_id]],
      subscriptions[subscription_id],
      subscriptions[subscription_id]
    )
  ),
  0,
  1
)</f>
        <v>1</v>
      </c>
      <c r="F1726" s="1">
        <f>_xlfn.XLOOKUP(payments_raw[[#This Row],[subscription_id]], subscriptions[subscription_id], subscriptions[start_date])</f>
        <v>44952</v>
      </c>
      <c r="G17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1726" s="2">
        <f>IF(payments_raw[[#This Row],[payment_date]] &lt; payments_raw[[#This Row],[sub_start_date]], 1, 0)</f>
        <v>0</v>
      </c>
      <c r="I1726" s="2">
        <f>IF(AND(payments_raw[[#This Row],[sub_end_date]]&lt;&gt;"", payments_raw[[#This Row],[payment_date]] &gt; payments_raw[[#This Row],[sub_end_date]]), 1, 0)</f>
        <v>0</v>
      </c>
      <c r="J1726" s="2">
        <f>IF(payments_raw[[#This Row],[amount]] &lt;= 0, 1, 0)</f>
        <v>0</v>
      </c>
      <c r="K17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7" spans="1:11" x14ac:dyDescent="0.3">
      <c r="A1727">
        <v>23284153</v>
      </c>
      <c r="B1727">
        <v>6478441</v>
      </c>
      <c r="C1727" s="1">
        <v>45630</v>
      </c>
      <c r="D1727">
        <v>19</v>
      </c>
      <c r="E1727">
        <f>IF(
  ISNA(
    _xlfn.XLOOKUP(
      payments_raw[[#This Row],[subscription_id]],
      subscriptions[subscription_id],
      subscriptions[subscription_id]
    )
  ),
  0,
  1
)</f>
        <v>1</v>
      </c>
      <c r="F1727" s="1">
        <f>_xlfn.XLOOKUP(payments_raw[[#This Row],[subscription_id]], subscriptions[subscription_id], subscriptions[start_date])</f>
        <v>45299</v>
      </c>
      <c r="G17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27" s="2">
        <f>IF(payments_raw[[#This Row],[payment_date]] &lt; payments_raw[[#This Row],[sub_start_date]], 1, 0)</f>
        <v>0</v>
      </c>
      <c r="I1727" s="2">
        <f>IF(AND(payments_raw[[#This Row],[sub_end_date]]&lt;&gt;"", payments_raw[[#This Row],[payment_date]] &gt; payments_raw[[#This Row],[sub_end_date]]), 1, 0)</f>
        <v>0</v>
      </c>
      <c r="J1727" s="2">
        <f>IF(payments_raw[[#This Row],[amount]] &lt;= 0, 1, 0)</f>
        <v>0</v>
      </c>
      <c r="K17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8" spans="1:11" x14ac:dyDescent="0.3">
      <c r="A1728">
        <v>98617690</v>
      </c>
      <c r="B1728">
        <v>1750894</v>
      </c>
      <c r="C1728" s="1">
        <v>45056</v>
      </c>
      <c r="D1728">
        <v>269.10000000000002</v>
      </c>
      <c r="E1728">
        <f>IF(
  ISNA(
    _xlfn.XLOOKUP(
      payments_raw[[#This Row],[subscription_id]],
      subscriptions[subscription_id],
      subscriptions[subscription_id]
    )
  ),
  0,
  1
)</f>
        <v>1</v>
      </c>
      <c r="F1728" s="1">
        <f>_xlfn.XLOOKUP(payments_raw[[#This Row],[subscription_id]], subscriptions[subscription_id], subscriptions[start_date])</f>
        <v>44881</v>
      </c>
      <c r="G17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28" s="2">
        <f>IF(payments_raw[[#This Row],[payment_date]] &lt; payments_raw[[#This Row],[sub_start_date]], 1, 0)</f>
        <v>0</v>
      </c>
      <c r="I1728" s="2">
        <f>IF(AND(payments_raw[[#This Row],[sub_end_date]]&lt;&gt;"", payments_raw[[#This Row],[payment_date]] &gt; payments_raw[[#This Row],[sub_end_date]]), 1, 0)</f>
        <v>0</v>
      </c>
      <c r="J1728" s="2">
        <f>IF(payments_raw[[#This Row],[amount]] &lt;= 0, 1, 0)</f>
        <v>0</v>
      </c>
      <c r="K17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29" spans="1:11" x14ac:dyDescent="0.3">
      <c r="A1729">
        <v>26709159</v>
      </c>
      <c r="B1729">
        <v>2542997</v>
      </c>
      <c r="C1729" s="1">
        <v>45542</v>
      </c>
      <c r="D1729">
        <v>39</v>
      </c>
      <c r="E1729">
        <f>IF(
  ISNA(
    _xlfn.XLOOKUP(
      payments_raw[[#This Row],[subscription_id]],
      subscriptions[subscription_id],
      subscriptions[subscription_id]
    )
  ),
  0,
  1
)</f>
        <v>1</v>
      </c>
      <c r="F1729" s="1">
        <f>_xlfn.XLOOKUP(payments_raw[[#This Row],[subscription_id]], subscriptions[subscription_id], subscriptions[start_date])</f>
        <v>45275</v>
      </c>
      <c r="G17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1729" s="2">
        <f>IF(payments_raw[[#This Row],[payment_date]] &lt; payments_raw[[#This Row],[sub_start_date]], 1, 0)</f>
        <v>0</v>
      </c>
      <c r="I1729" s="2">
        <f>IF(AND(payments_raw[[#This Row],[sub_end_date]]&lt;&gt;"", payments_raw[[#This Row],[payment_date]] &gt; payments_raw[[#This Row],[sub_end_date]]), 1, 0)</f>
        <v>0</v>
      </c>
      <c r="J1729" s="2">
        <f>IF(payments_raw[[#This Row],[amount]] &lt;= 0, 1, 0)</f>
        <v>0</v>
      </c>
      <c r="K17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0" spans="1:11" x14ac:dyDescent="0.3">
      <c r="A1730">
        <v>75610054</v>
      </c>
      <c r="B1730">
        <v>5651273</v>
      </c>
      <c r="C1730" s="1">
        <v>45532</v>
      </c>
      <c r="D1730">
        <v>19</v>
      </c>
      <c r="E1730">
        <f>IF(
  ISNA(
    _xlfn.XLOOKUP(
      payments_raw[[#This Row],[subscription_id]],
      subscriptions[subscription_id],
      subscriptions[subscription_id]
    )
  ),
  0,
  1
)</f>
        <v>1</v>
      </c>
      <c r="F1730" s="1">
        <f>_xlfn.XLOOKUP(payments_raw[[#This Row],[subscription_id]], subscriptions[subscription_id], subscriptions[start_date])</f>
        <v>45531</v>
      </c>
      <c r="G17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0" s="2">
        <f>IF(payments_raw[[#This Row],[payment_date]] &lt; payments_raw[[#This Row],[sub_start_date]], 1, 0)</f>
        <v>0</v>
      </c>
      <c r="I1730" s="2">
        <f>IF(AND(payments_raw[[#This Row],[sub_end_date]]&lt;&gt;"", payments_raw[[#This Row],[payment_date]] &gt; payments_raw[[#This Row],[sub_end_date]]), 1, 0)</f>
        <v>0</v>
      </c>
      <c r="J1730" s="2">
        <f>IF(payments_raw[[#This Row],[amount]] &lt;= 0, 1, 0)</f>
        <v>0</v>
      </c>
      <c r="K17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1" spans="1:11" x14ac:dyDescent="0.3">
      <c r="A1731">
        <v>85905949</v>
      </c>
      <c r="B1731">
        <v>8955730</v>
      </c>
      <c r="C1731" s="1">
        <v>45071</v>
      </c>
      <c r="D1731">
        <v>19</v>
      </c>
      <c r="E1731">
        <f>IF(
  ISNA(
    _xlfn.XLOOKUP(
      payments_raw[[#This Row],[subscription_id]],
      subscriptions[subscription_id],
      subscriptions[subscription_id]
    )
  ),
  0,
  1
)</f>
        <v>1</v>
      </c>
      <c r="F1731" s="1">
        <f>_xlfn.XLOOKUP(payments_raw[[#This Row],[subscription_id]], subscriptions[subscription_id], subscriptions[start_date])</f>
        <v>44975</v>
      </c>
      <c r="G17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1" s="2">
        <f>IF(payments_raw[[#This Row],[payment_date]] &lt; payments_raw[[#This Row],[sub_start_date]], 1, 0)</f>
        <v>0</v>
      </c>
      <c r="I1731" s="2">
        <f>IF(AND(payments_raw[[#This Row],[sub_end_date]]&lt;&gt;"", payments_raw[[#This Row],[payment_date]] &gt; payments_raw[[#This Row],[sub_end_date]]), 1, 0)</f>
        <v>0</v>
      </c>
      <c r="J1731" s="2">
        <f>IF(payments_raw[[#This Row],[amount]] &lt;= 0, 1, 0)</f>
        <v>0</v>
      </c>
      <c r="K17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2" spans="1:11" x14ac:dyDescent="0.3">
      <c r="A1732">
        <v>25041051</v>
      </c>
      <c r="B1732">
        <v>6821657</v>
      </c>
      <c r="C1732" s="1">
        <v>45409</v>
      </c>
      <c r="D1732">
        <v>2990</v>
      </c>
      <c r="E1732">
        <f>IF(
  ISNA(
    _xlfn.XLOOKUP(
      payments_raw[[#This Row],[subscription_id]],
      subscriptions[subscription_id],
      subscriptions[subscription_id]
    )
  ),
  0,
  1
)</f>
        <v>1</v>
      </c>
      <c r="F1732" s="1">
        <f>_xlfn.XLOOKUP(payments_raw[[#This Row],[subscription_id]], subscriptions[subscription_id], subscriptions[start_date])</f>
        <v>45152</v>
      </c>
      <c r="G17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2" s="2">
        <f>IF(payments_raw[[#This Row],[payment_date]] &lt; payments_raw[[#This Row],[sub_start_date]], 1, 0)</f>
        <v>0</v>
      </c>
      <c r="I1732" s="2">
        <f>IF(AND(payments_raw[[#This Row],[sub_end_date]]&lt;&gt;"", payments_raw[[#This Row],[payment_date]] &gt; payments_raw[[#This Row],[sub_end_date]]), 1, 0)</f>
        <v>0</v>
      </c>
      <c r="J1732" s="2">
        <f>IF(payments_raw[[#This Row],[amount]] &lt;= 0, 1, 0)</f>
        <v>0</v>
      </c>
      <c r="K17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3" spans="1:11" x14ac:dyDescent="0.3">
      <c r="A1733">
        <v>81877693</v>
      </c>
      <c r="B1733">
        <v>7788683</v>
      </c>
      <c r="C1733" s="1">
        <v>45481</v>
      </c>
      <c r="D1733">
        <v>19</v>
      </c>
      <c r="E1733">
        <f>IF(
  ISNA(
    _xlfn.XLOOKUP(
      payments_raw[[#This Row],[subscription_id]],
      subscriptions[subscription_id],
      subscriptions[subscription_id]
    )
  ),
  0,
  1
)</f>
        <v>1</v>
      </c>
      <c r="F1733" s="1">
        <f>_xlfn.XLOOKUP(payments_raw[[#This Row],[subscription_id]], subscriptions[subscription_id], subscriptions[start_date])</f>
        <v>45101</v>
      </c>
      <c r="G17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3" s="2">
        <f>IF(payments_raw[[#This Row],[payment_date]] &lt; payments_raw[[#This Row],[sub_start_date]], 1, 0)</f>
        <v>0</v>
      </c>
      <c r="I1733" s="2">
        <f>IF(AND(payments_raw[[#This Row],[sub_end_date]]&lt;&gt;"", payments_raw[[#This Row],[payment_date]] &gt; payments_raw[[#This Row],[sub_end_date]]), 1, 0)</f>
        <v>0</v>
      </c>
      <c r="J1733" s="2">
        <f>IF(payments_raw[[#This Row],[amount]] &lt;= 0, 1, 0)</f>
        <v>0</v>
      </c>
      <c r="K17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4" spans="1:11" x14ac:dyDescent="0.3">
      <c r="A1734">
        <v>83900430</v>
      </c>
      <c r="B1734">
        <v>5003283</v>
      </c>
      <c r="C1734" s="1">
        <v>45341</v>
      </c>
      <c r="D1734">
        <v>790</v>
      </c>
      <c r="E1734">
        <f>IF(
  ISNA(
    _xlfn.XLOOKUP(
      payments_raw[[#This Row],[subscription_id]],
      subscriptions[subscription_id],
      subscriptions[subscription_id]
    )
  ),
  0,
  1
)</f>
        <v>1</v>
      </c>
      <c r="F1734" s="1">
        <f>_xlfn.XLOOKUP(payments_raw[[#This Row],[subscription_id]], subscriptions[subscription_id], subscriptions[start_date])</f>
        <v>45300</v>
      </c>
      <c r="G17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4" s="2">
        <f>IF(payments_raw[[#This Row],[payment_date]] &lt; payments_raw[[#This Row],[sub_start_date]], 1, 0)</f>
        <v>0</v>
      </c>
      <c r="I1734" s="2">
        <f>IF(AND(payments_raw[[#This Row],[sub_end_date]]&lt;&gt;"", payments_raw[[#This Row],[payment_date]] &gt; payments_raw[[#This Row],[sub_end_date]]), 1, 0)</f>
        <v>0</v>
      </c>
      <c r="J1734" s="2">
        <f>IF(payments_raw[[#This Row],[amount]] &lt;= 0, 1, 0)</f>
        <v>0</v>
      </c>
      <c r="K17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5" spans="1:11" x14ac:dyDescent="0.3">
      <c r="A1735">
        <v>52003082</v>
      </c>
      <c r="B1735">
        <v>1174620</v>
      </c>
      <c r="C1735" s="1">
        <v>45581</v>
      </c>
      <c r="D1735">
        <v>19</v>
      </c>
      <c r="E1735">
        <f>IF(
  ISNA(
    _xlfn.XLOOKUP(
      payments_raw[[#This Row],[subscription_id]],
      subscriptions[subscription_id],
      subscriptions[subscription_id]
    )
  ),
  0,
  1
)</f>
        <v>1</v>
      </c>
      <c r="F1735" s="1">
        <f>_xlfn.XLOOKUP(payments_raw[[#This Row],[subscription_id]], subscriptions[subscription_id], subscriptions[start_date])</f>
        <v>45290</v>
      </c>
      <c r="G17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5" s="2">
        <f>IF(payments_raw[[#This Row],[payment_date]] &lt; payments_raw[[#This Row],[sub_start_date]], 1, 0)</f>
        <v>0</v>
      </c>
      <c r="I1735" s="2">
        <f>IF(AND(payments_raw[[#This Row],[sub_end_date]]&lt;&gt;"", payments_raw[[#This Row],[payment_date]] &gt; payments_raw[[#This Row],[sub_end_date]]), 1, 0)</f>
        <v>0</v>
      </c>
      <c r="J1735" s="2">
        <f>IF(payments_raw[[#This Row],[amount]] &lt;= 0, 1, 0)</f>
        <v>0</v>
      </c>
      <c r="K17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6" spans="1:11" x14ac:dyDescent="0.3">
      <c r="A1736">
        <v>73142083</v>
      </c>
      <c r="B1736">
        <v>5968479</v>
      </c>
      <c r="C1736" s="1">
        <v>44952</v>
      </c>
      <c r="D1736">
        <v>1490</v>
      </c>
      <c r="E1736">
        <f>IF(
  ISNA(
    _xlfn.XLOOKUP(
      payments_raw[[#This Row],[subscription_id]],
      subscriptions[subscription_id],
      subscriptions[subscription_id]
    )
  ),
  0,
  1
)</f>
        <v>1</v>
      </c>
      <c r="F1736" s="1">
        <f>_xlfn.XLOOKUP(payments_raw[[#This Row],[subscription_id]], subscriptions[subscription_id], subscriptions[start_date])</f>
        <v>44610</v>
      </c>
      <c r="G17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6" s="2">
        <f>IF(payments_raw[[#This Row],[payment_date]] &lt; payments_raw[[#This Row],[sub_start_date]], 1, 0)</f>
        <v>0</v>
      </c>
      <c r="I1736" s="2">
        <f>IF(AND(payments_raw[[#This Row],[sub_end_date]]&lt;&gt;"", payments_raw[[#This Row],[payment_date]] &gt; payments_raw[[#This Row],[sub_end_date]]), 1, 0)</f>
        <v>0</v>
      </c>
      <c r="J1736" s="2">
        <f>IF(payments_raw[[#This Row],[amount]] &lt;= 0, 1, 0)</f>
        <v>0</v>
      </c>
      <c r="K17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7" spans="1:11" x14ac:dyDescent="0.3">
      <c r="A1737">
        <v>22642823</v>
      </c>
      <c r="B1737">
        <v>6539453</v>
      </c>
      <c r="C1737" s="1">
        <v>45229</v>
      </c>
      <c r="D1737">
        <v>299</v>
      </c>
      <c r="E1737">
        <f>IF(
  ISNA(
    _xlfn.XLOOKUP(
      payments_raw[[#This Row],[subscription_id]],
      subscriptions[subscription_id],
      subscriptions[subscription_id]
    )
  ),
  0,
  1
)</f>
        <v>1</v>
      </c>
      <c r="F1737" s="1">
        <f>_xlfn.XLOOKUP(payments_raw[[#This Row],[subscription_id]], subscriptions[subscription_id], subscriptions[start_date])</f>
        <v>44839</v>
      </c>
      <c r="G17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7" s="2">
        <f>IF(payments_raw[[#This Row],[payment_date]] &lt; payments_raw[[#This Row],[sub_start_date]], 1, 0)</f>
        <v>0</v>
      </c>
      <c r="I1737" s="2">
        <f>IF(AND(payments_raw[[#This Row],[sub_end_date]]&lt;&gt;"", payments_raw[[#This Row],[payment_date]] &gt; payments_raw[[#This Row],[sub_end_date]]), 1, 0)</f>
        <v>0</v>
      </c>
      <c r="J1737" s="2">
        <f>IF(payments_raw[[#This Row],[amount]] &lt;= 0, 1, 0)</f>
        <v>0</v>
      </c>
      <c r="K17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8" spans="1:11" x14ac:dyDescent="0.3">
      <c r="A1738">
        <v>15966926</v>
      </c>
      <c r="B1738">
        <v>6426063</v>
      </c>
      <c r="C1738" s="1">
        <v>45034</v>
      </c>
      <c r="D1738">
        <v>292.5</v>
      </c>
      <c r="E1738">
        <f>IF(
  ISNA(
    _xlfn.XLOOKUP(
      payments_raw[[#This Row],[subscription_id]],
      subscriptions[subscription_id],
      subscriptions[subscription_id]
    )
  ),
  0,
  1
)</f>
        <v>1</v>
      </c>
      <c r="F1738" s="1">
        <f>_xlfn.XLOOKUP(payments_raw[[#This Row],[subscription_id]], subscriptions[subscription_id], subscriptions[start_date])</f>
        <v>44672</v>
      </c>
      <c r="G17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45065</v>
      </c>
      <c r="H1738" s="2">
        <f>IF(payments_raw[[#This Row],[payment_date]] &lt; payments_raw[[#This Row],[sub_start_date]], 1, 0)</f>
        <v>0</v>
      </c>
      <c r="I1738" s="2">
        <f>IF(AND(payments_raw[[#This Row],[sub_end_date]]&lt;&gt;"", payments_raw[[#This Row],[payment_date]] &gt; payments_raw[[#This Row],[sub_end_date]]), 1, 0)</f>
        <v>0</v>
      </c>
      <c r="J1738" s="2">
        <f>IF(payments_raw[[#This Row],[amount]] &lt;= 0, 1, 0)</f>
        <v>0</v>
      </c>
      <c r="K17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39" spans="1:11" x14ac:dyDescent="0.3">
      <c r="A1739">
        <v>41720102</v>
      </c>
      <c r="B1739">
        <v>9880742</v>
      </c>
      <c r="C1739" s="1">
        <v>45446</v>
      </c>
      <c r="D1739">
        <v>79</v>
      </c>
      <c r="E1739">
        <f>IF(
  ISNA(
    _xlfn.XLOOKUP(
      payments_raw[[#This Row],[subscription_id]],
      subscriptions[subscription_id],
      subscriptions[subscription_id]
    )
  ),
  0,
  1
)</f>
        <v>1</v>
      </c>
      <c r="F1739" s="1">
        <f>_xlfn.XLOOKUP(payments_raw[[#This Row],[subscription_id]], subscriptions[subscription_id], subscriptions[start_date])</f>
        <v>44956</v>
      </c>
      <c r="G17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39" s="2">
        <f>IF(payments_raw[[#This Row],[payment_date]] &lt; payments_raw[[#This Row],[sub_start_date]], 1, 0)</f>
        <v>0</v>
      </c>
      <c r="I1739" s="2">
        <f>IF(AND(payments_raw[[#This Row],[sub_end_date]]&lt;&gt;"", payments_raw[[#This Row],[payment_date]] &gt; payments_raw[[#This Row],[sub_end_date]]), 1, 0)</f>
        <v>0</v>
      </c>
      <c r="J1739" s="2">
        <f>IF(payments_raw[[#This Row],[amount]] &lt;= 0, 1, 0)</f>
        <v>0</v>
      </c>
      <c r="K17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0" spans="1:11" x14ac:dyDescent="0.3">
      <c r="A1740">
        <v>91050580</v>
      </c>
      <c r="B1740">
        <v>9595901</v>
      </c>
      <c r="C1740" s="1">
        <v>45051</v>
      </c>
      <c r="D1740">
        <v>59.25</v>
      </c>
      <c r="E1740">
        <f>IF(
  ISNA(
    _xlfn.XLOOKUP(
      payments_raw[[#This Row],[subscription_id]],
      subscriptions[subscription_id],
      subscriptions[subscription_id]
    )
  ),
  0,
  1
)</f>
        <v>1</v>
      </c>
      <c r="F1740" s="1">
        <f>_xlfn.XLOOKUP(payments_raw[[#This Row],[subscription_id]], subscriptions[subscription_id], subscriptions[start_date])</f>
        <v>44609</v>
      </c>
      <c r="G17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0" s="2">
        <f>IF(payments_raw[[#This Row],[payment_date]] &lt; payments_raw[[#This Row],[sub_start_date]], 1, 0)</f>
        <v>0</v>
      </c>
      <c r="I1740" s="2">
        <f>IF(AND(payments_raw[[#This Row],[sub_end_date]]&lt;&gt;"", payments_raw[[#This Row],[payment_date]] &gt; payments_raw[[#This Row],[sub_end_date]]), 1, 0)</f>
        <v>0</v>
      </c>
      <c r="J1740" s="2">
        <f>IF(payments_raw[[#This Row],[amount]] &lt;= 0, 1, 0)</f>
        <v>0</v>
      </c>
      <c r="K17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1" spans="1:11" x14ac:dyDescent="0.3">
      <c r="A1741">
        <v>91692490</v>
      </c>
      <c r="B1741">
        <v>2242680</v>
      </c>
      <c r="C1741" s="1">
        <v>45539</v>
      </c>
      <c r="D1741">
        <v>19</v>
      </c>
      <c r="E1741">
        <f>IF(
  ISNA(
    _xlfn.XLOOKUP(
      payments_raw[[#This Row],[subscription_id]],
      subscriptions[subscription_id],
      subscriptions[subscription_id]
    )
  ),
  0,
  1
)</f>
        <v>1</v>
      </c>
      <c r="F1741" s="1">
        <f>_xlfn.XLOOKUP(payments_raw[[#This Row],[subscription_id]], subscriptions[subscription_id], subscriptions[start_date])</f>
        <v>45500</v>
      </c>
      <c r="G17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1741" s="2">
        <f>IF(payments_raw[[#This Row],[payment_date]] &lt; payments_raw[[#This Row],[sub_start_date]], 1, 0)</f>
        <v>0</v>
      </c>
      <c r="I1741" s="2">
        <f>IF(AND(payments_raw[[#This Row],[sub_end_date]]&lt;&gt;"", payments_raw[[#This Row],[payment_date]] &gt; payments_raw[[#This Row],[sub_end_date]]), 1, 0)</f>
        <v>0</v>
      </c>
      <c r="J1741" s="2">
        <f>IF(payments_raw[[#This Row],[amount]] &lt;= 0, 1, 0)</f>
        <v>0</v>
      </c>
      <c r="K17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2" spans="1:11" x14ac:dyDescent="0.3">
      <c r="A1742">
        <v>88099210</v>
      </c>
      <c r="B1742">
        <v>7697098</v>
      </c>
      <c r="C1742" s="1">
        <v>45459</v>
      </c>
      <c r="D1742">
        <v>190</v>
      </c>
      <c r="E1742">
        <f>IF(
  ISNA(
    _xlfn.XLOOKUP(
      payments_raw[[#This Row],[subscription_id]],
      subscriptions[subscription_id],
      subscriptions[subscription_id]
    )
  ),
  0,
  1
)</f>
        <v>1</v>
      </c>
      <c r="F1742" s="1">
        <f>_xlfn.XLOOKUP(payments_raw[[#This Row],[subscription_id]], subscriptions[subscription_id], subscriptions[start_date])</f>
        <v>44968</v>
      </c>
      <c r="G17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2" s="2">
        <f>IF(payments_raw[[#This Row],[payment_date]] &lt; payments_raw[[#This Row],[sub_start_date]], 1, 0)</f>
        <v>0</v>
      </c>
      <c r="I1742" s="2">
        <f>IF(AND(payments_raw[[#This Row],[sub_end_date]]&lt;&gt;"", payments_raw[[#This Row],[payment_date]] &gt; payments_raw[[#This Row],[sub_end_date]]), 1, 0)</f>
        <v>0</v>
      </c>
      <c r="J1742" s="2">
        <f>IF(payments_raw[[#This Row],[amount]] &lt;= 0, 1, 0)</f>
        <v>0</v>
      </c>
      <c r="K17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3" spans="1:11" x14ac:dyDescent="0.3">
      <c r="A1743">
        <v>78325483</v>
      </c>
      <c r="B1743">
        <v>6692359</v>
      </c>
      <c r="C1743" s="1">
        <v>45538</v>
      </c>
      <c r="D1743">
        <v>2990</v>
      </c>
      <c r="E1743">
        <f>IF(
  ISNA(
    _xlfn.XLOOKUP(
      payments_raw[[#This Row],[subscription_id]],
      subscriptions[subscription_id],
      subscriptions[subscription_id]
    )
  ),
  0,
  1
)</f>
        <v>1</v>
      </c>
      <c r="F1743" s="1">
        <f>_xlfn.XLOOKUP(payments_raw[[#This Row],[subscription_id]], subscriptions[subscription_id], subscriptions[start_date])</f>
        <v>45503</v>
      </c>
      <c r="G17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45604</v>
      </c>
      <c r="H1743" s="2">
        <f>IF(payments_raw[[#This Row],[payment_date]] &lt; payments_raw[[#This Row],[sub_start_date]], 1, 0)</f>
        <v>0</v>
      </c>
      <c r="I1743" s="2">
        <f>IF(AND(payments_raw[[#This Row],[sub_end_date]]&lt;&gt;"", payments_raw[[#This Row],[payment_date]] &gt; payments_raw[[#This Row],[sub_end_date]]), 1, 0)</f>
        <v>0</v>
      </c>
      <c r="J1743" s="2">
        <f>IF(payments_raw[[#This Row],[amount]] &lt;= 0, 1, 0)</f>
        <v>0</v>
      </c>
      <c r="K17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4" spans="1:11" x14ac:dyDescent="0.3">
      <c r="A1744">
        <v>51740604</v>
      </c>
      <c r="B1744">
        <v>5105861</v>
      </c>
      <c r="C1744" s="1">
        <v>45148</v>
      </c>
      <c r="D1744">
        <v>79</v>
      </c>
      <c r="E1744">
        <f>IF(
  ISNA(
    _xlfn.XLOOKUP(
      payments_raw[[#This Row],[subscription_id]],
      subscriptions[subscription_id],
      subscriptions[subscription_id]
    )
  ),
  0,
  1
)</f>
        <v>1</v>
      </c>
      <c r="F1744" s="1">
        <f>_xlfn.XLOOKUP(payments_raw[[#This Row],[subscription_id]], subscriptions[subscription_id], subscriptions[start_date])</f>
        <v>45094</v>
      </c>
      <c r="G17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4" s="2">
        <f>IF(payments_raw[[#This Row],[payment_date]] &lt; payments_raw[[#This Row],[sub_start_date]], 1, 0)</f>
        <v>0</v>
      </c>
      <c r="I1744" s="2">
        <f>IF(AND(payments_raw[[#This Row],[sub_end_date]]&lt;&gt;"", payments_raw[[#This Row],[payment_date]] &gt; payments_raw[[#This Row],[sub_end_date]]), 1, 0)</f>
        <v>0</v>
      </c>
      <c r="J1744" s="2">
        <f>IF(payments_raw[[#This Row],[amount]] &lt;= 0, 1, 0)</f>
        <v>0</v>
      </c>
      <c r="K17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5" spans="1:11" x14ac:dyDescent="0.3">
      <c r="A1745">
        <v>78976320</v>
      </c>
      <c r="B1745">
        <v>1371031</v>
      </c>
      <c r="C1745" s="1">
        <v>45515</v>
      </c>
      <c r="D1745">
        <v>299</v>
      </c>
      <c r="E1745">
        <f>IF(
  ISNA(
    _xlfn.XLOOKUP(
      payments_raw[[#This Row],[subscription_id]],
      subscriptions[subscription_id],
      subscriptions[subscription_id]
    )
  ),
  0,
  1
)</f>
        <v>1</v>
      </c>
      <c r="F1745" s="1">
        <f>_xlfn.XLOOKUP(payments_raw[[#This Row],[subscription_id]], subscriptions[subscription_id], subscriptions[start_date])</f>
        <v>45480</v>
      </c>
      <c r="G17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5" s="2">
        <f>IF(payments_raw[[#This Row],[payment_date]] &lt; payments_raw[[#This Row],[sub_start_date]], 1, 0)</f>
        <v>0</v>
      </c>
      <c r="I1745" s="2">
        <f>IF(AND(payments_raw[[#This Row],[sub_end_date]]&lt;&gt;"", payments_raw[[#This Row],[payment_date]] &gt; payments_raw[[#This Row],[sub_end_date]]), 1, 0)</f>
        <v>0</v>
      </c>
      <c r="J1745" s="2">
        <f>IF(payments_raw[[#This Row],[amount]] &lt;= 0, 1, 0)</f>
        <v>0</v>
      </c>
      <c r="K17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6" spans="1:11" x14ac:dyDescent="0.3">
      <c r="A1746">
        <v>73991263</v>
      </c>
      <c r="B1746">
        <v>6882321</v>
      </c>
      <c r="C1746" s="1">
        <v>45553</v>
      </c>
      <c r="D1746">
        <v>19.5</v>
      </c>
      <c r="E1746">
        <f>IF(
  ISNA(
    _xlfn.XLOOKUP(
      payments_raw[[#This Row],[subscription_id]],
      subscriptions[subscription_id],
      subscriptions[subscription_id]
    )
  ),
  0,
  1
)</f>
        <v>1</v>
      </c>
      <c r="F1746" s="1">
        <f>_xlfn.XLOOKUP(payments_raw[[#This Row],[subscription_id]], subscriptions[subscription_id], subscriptions[start_date])</f>
        <v>45512</v>
      </c>
      <c r="G17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6" s="2">
        <f>IF(payments_raw[[#This Row],[payment_date]] &lt; payments_raw[[#This Row],[sub_start_date]], 1, 0)</f>
        <v>0</v>
      </c>
      <c r="I1746" s="2">
        <f>IF(AND(payments_raw[[#This Row],[sub_end_date]]&lt;&gt;"", payments_raw[[#This Row],[payment_date]] &gt; payments_raw[[#This Row],[sub_end_date]]), 1, 0)</f>
        <v>0</v>
      </c>
      <c r="J1746" s="2">
        <f>IF(payments_raw[[#This Row],[amount]] &lt;= 0, 1, 0)</f>
        <v>0</v>
      </c>
      <c r="K17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7" spans="1:11" x14ac:dyDescent="0.3">
      <c r="A1747">
        <v>83980790</v>
      </c>
      <c r="B1747">
        <v>2361565</v>
      </c>
      <c r="C1747" s="1">
        <v>45160</v>
      </c>
      <c r="D1747">
        <v>1490</v>
      </c>
      <c r="E1747">
        <f>IF(
  ISNA(
    _xlfn.XLOOKUP(
      payments_raw[[#This Row],[subscription_id]],
      subscriptions[subscription_id],
      subscriptions[subscription_id]
    )
  ),
  0,
  1
)</f>
        <v>1</v>
      </c>
      <c r="F1747" s="1">
        <f>_xlfn.XLOOKUP(payments_raw[[#This Row],[subscription_id]], subscriptions[subscription_id], subscriptions[start_date])</f>
        <v>44942</v>
      </c>
      <c r="G17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47" s="2">
        <f>IF(payments_raw[[#This Row],[payment_date]] &lt; payments_raw[[#This Row],[sub_start_date]], 1, 0)</f>
        <v>0</v>
      </c>
      <c r="I1747" s="2">
        <f>IF(AND(payments_raw[[#This Row],[sub_end_date]]&lt;&gt;"", payments_raw[[#This Row],[payment_date]] &gt; payments_raw[[#This Row],[sub_end_date]]), 1, 0)</f>
        <v>0</v>
      </c>
      <c r="J1747" s="2">
        <f>IF(payments_raw[[#This Row],[amount]] &lt;= 0, 1, 0)</f>
        <v>0</v>
      </c>
      <c r="K17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8" spans="1:11" x14ac:dyDescent="0.3">
      <c r="A1748">
        <v>82028558</v>
      </c>
      <c r="B1748">
        <v>1864361</v>
      </c>
      <c r="C1748" s="1">
        <v>45103</v>
      </c>
      <c r="D1748">
        <v>149</v>
      </c>
      <c r="E1748">
        <f>IF(
  ISNA(
    _xlfn.XLOOKUP(
      payments_raw[[#This Row],[subscription_id]],
      subscriptions[subscription_id],
      subscriptions[subscription_id]
    )
  ),
  0,
  1
)</f>
        <v>1</v>
      </c>
      <c r="F1748" s="1">
        <f>_xlfn.XLOOKUP(payments_raw[[#This Row],[subscription_id]], subscriptions[subscription_id], subscriptions[start_date])</f>
        <v>45071</v>
      </c>
      <c r="G17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45208</v>
      </c>
      <c r="H1748" s="2">
        <f>IF(payments_raw[[#This Row],[payment_date]] &lt; payments_raw[[#This Row],[sub_start_date]], 1, 0)</f>
        <v>0</v>
      </c>
      <c r="I1748" s="2">
        <f>IF(AND(payments_raw[[#This Row],[sub_end_date]]&lt;&gt;"", payments_raw[[#This Row],[payment_date]] &gt; payments_raw[[#This Row],[sub_end_date]]), 1, 0)</f>
        <v>0</v>
      </c>
      <c r="J1748" s="2">
        <f>IF(payments_raw[[#This Row],[amount]] &lt;= 0, 1, 0)</f>
        <v>0</v>
      </c>
      <c r="K17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49" spans="1:11" x14ac:dyDescent="0.3">
      <c r="A1749">
        <v>40687335</v>
      </c>
      <c r="B1749">
        <v>1093993</v>
      </c>
      <c r="C1749" s="1">
        <v>45234</v>
      </c>
      <c r="D1749">
        <v>149</v>
      </c>
      <c r="E1749">
        <f>IF(
  ISNA(
    _xlfn.XLOOKUP(
      payments_raw[[#This Row],[subscription_id]],
      subscriptions[subscription_id],
      subscriptions[subscription_id]
    )
  ),
  0,
  1
)</f>
        <v>1</v>
      </c>
      <c r="F1749" s="1">
        <f>_xlfn.XLOOKUP(payments_raw[[#This Row],[subscription_id]], subscriptions[subscription_id], subscriptions[start_date])</f>
        <v>45200</v>
      </c>
      <c r="G17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1749" s="2">
        <f>IF(payments_raw[[#This Row],[payment_date]] &lt; payments_raw[[#This Row],[sub_start_date]], 1, 0)</f>
        <v>0</v>
      </c>
      <c r="I1749" s="2">
        <f>IF(AND(payments_raw[[#This Row],[sub_end_date]]&lt;&gt;"", payments_raw[[#This Row],[payment_date]] &gt; payments_raw[[#This Row],[sub_end_date]]), 1, 0)</f>
        <v>0</v>
      </c>
      <c r="J1749" s="2">
        <f>IF(payments_raw[[#This Row],[amount]] &lt;= 0, 1, 0)</f>
        <v>0</v>
      </c>
      <c r="K17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0" spans="1:11" x14ac:dyDescent="0.3">
      <c r="A1750">
        <v>30869120</v>
      </c>
      <c r="B1750">
        <v>1184163</v>
      </c>
      <c r="C1750" s="1">
        <v>45225</v>
      </c>
      <c r="D1750">
        <v>299</v>
      </c>
      <c r="E1750">
        <f>IF(
  ISNA(
    _xlfn.XLOOKUP(
      payments_raw[[#This Row],[subscription_id]],
      subscriptions[subscription_id],
      subscriptions[subscription_id]
    )
  ),
  0,
  1
)</f>
        <v>1</v>
      </c>
      <c r="F1750" s="1">
        <f>_xlfn.XLOOKUP(payments_raw[[#This Row],[subscription_id]], subscriptions[subscription_id], subscriptions[start_date])</f>
        <v>45195</v>
      </c>
      <c r="G17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0" s="2">
        <f>IF(payments_raw[[#This Row],[payment_date]] &lt; payments_raw[[#This Row],[sub_start_date]], 1, 0)</f>
        <v>0</v>
      </c>
      <c r="I1750" s="2">
        <f>IF(AND(payments_raw[[#This Row],[sub_end_date]]&lt;&gt;"", payments_raw[[#This Row],[payment_date]] &gt; payments_raw[[#This Row],[sub_end_date]]), 1, 0)</f>
        <v>0</v>
      </c>
      <c r="J1750" s="2">
        <f>IF(payments_raw[[#This Row],[amount]] &lt;= 0, 1, 0)</f>
        <v>0</v>
      </c>
      <c r="K17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1" spans="1:11" x14ac:dyDescent="0.3">
      <c r="A1751">
        <v>47235260</v>
      </c>
      <c r="B1751">
        <v>9175606</v>
      </c>
      <c r="C1751" s="1">
        <v>45300</v>
      </c>
      <c r="D1751">
        <v>149</v>
      </c>
      <c r="E1751">
        <f>IF(
  ISNA(
    _xlfn.XLOOKUP(
      payments_raw[[#This Row],[subscription_id]],
      subscriptions[subscription_id],
      subscriptions[subscription_id]
    )
  ),
  0,
  1
)</f>
        <v>1</v>
      </c>
      <c r="F1751" s="1">
        <f>_xlfn.XLOOKUP(payments_raw[[#This Row],[subscription_id]], subscriptions[subscription_id], subscriptions[start_date])</f>
        <v>45158</v>
      </c>
      <c r="G17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1" s="2">
        <f>IF(payments_raw[[#This Row],[payment_date]] &lt; payments_raw[[#This Row],[sub_start_date]], 1, 0)</f>
        <v>0</v>
      </c>
      <c r="I1751" s="2">
        <f>IF(AND(payments_raw[[#This Row],[sub_end_date]]&lt;&gt;"", payments_raw[[#This Row],[payment_date]] &gt; payments_raw[[#This Row],[sub_end_date]]), 1, 0)</f>
        <v>0</v>
      </c>
      <c r="J1751" s="2">
        <f>IF(payments_raw[[#This Row],[amount]] &lt;= 0, 1, 0)</f>
        <v>0</v>
      </c>
      <c r="K17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2" spans="1:11" x14ac:dyDescent="0.3">
      <c r="A1752">
        <v>47414684</v>
      </c>
      <c r="B1752">
        <v>9720251</v>
      </c>
      <c r="C1752" s="1">
        <v>45551</v>
      </c>
      <c r="D1752">
        <v>39</v>
      </c>
      <c r="E1752">
        <f>IF(
  ISNA(
    _xlfn.XLOOKUP(
      payments_raw[[#This Row],[subscription_id]],
      subscriptions[subscription_id],
      subscriptions[subscription_id]
    )
  ),
  0,
  1
)</f>
        <v>1</v>
      </c>
      <c r="F1752" s="1">
        <f>_xlfn.XLOOKUP(payments_raw[[#This Row],[subscription_id]], subscriptions[subscription_id], subscriptions[start_date])</f>
        <v>45524</v>
      </c>
      <c r="G17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45590</v>
      </c>
      <c r="H1752" s="2">
        <f>IF(payments_raw[[#This Row],[payment_date]] &lt; payments_raw[[#This Row],[sub_start_date]], 1, 0)</f>
        <v>0</v>
      </c>
      <c r="I1752" s="2">
        <f>IF(AND(payments_raw[[#This Row],[sub_end_date]]&lt;&gt;"", payments_raw[[#This Row],[payment_date]] &gt; payments_raw[[#This Row],[sub_end_date]]), 1, 0)</f>
        <v>0</v>
      </c>
      <c r="J1752" s="2">
        <f>IF(payments_raw[[#This Row],[amount]] &lt;= 0, 1, 0)</f>
        <v>0</v>
      </c>
      <c r="K17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3" spans="1:11" x14ac:dyDescent="0.3">
      <c r="A1753">
        <v>80450969</v>
      </c>
      <c r="B1753">
        <v>7916943</v>
      </c>
      <c r="C1753" s="1">
        <v>45258</v>
      </c>
      <c r="D1753">
        <v>14.25</v>
      </c>
      <c r="E1753">
        <f>IF(
  ISNA(
    _xlfn.XLOOKUP(
      payments_raw[[#This Row],[subscription_id]],
      subscriptions[subscription_id],
      subscriptions[subscription_id]
    )
  ),
  0,
  1
)</f>
        <v>1</v>
      </c>
      <c r="F1753" s="1">
        <f>_xlfn.XLOOKUP(payments_raw[[#This Row],[subscription_id]], subscriptions[subscription_id], subscriptions[start_date])</f>
        <v>45146</v>
      </c>
      <c r="G17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3" s="2">
        <f>IF(payments_raw[[#This Row],[payment_date]] &lt; payments_raw[[#This Row],[sub_start_date]], 1, 0)</f>
        <v>0</v>
      </c>
      <c r="I1753" s="2">
        <f>IF(AND(payments_raw[[#This Row],[sub_end_date]]&lt;&gt;"", payments_raw[[#This Row],[payment_date]] &gt; payments_raw[[#This Row],[sub_end_date]]), 1, 0)</f>
        <v>0</v>
      </c>
      <c r="J1753" s="2">
        <f>IF(payments_raw[[#This Row],[amount]] &lt;= 0, 1, 0)</f>
        <v>0</v>
      </c>
      <c r="K17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4" spans="1:11" x14ac:dyDescent="0.3">
      <c r="A1754">
        <v>87480448</v>
      </c>
      <c r="B1754">
        <v>9414204</v>
      </c>
      <c r="C1754" s="1">
        <v>44889</v>
      </c>
      <c r="D1754">
        <v>39</v>
      </c>
      <c r="E1754">
        <f>IF(
  ISNA(
    _xlfn.XLOOKUP(
      payments_raw[[#This Row],[subscription_id]],
      subscriptions[subscription_id],
      subscriptions[subscription_id]
    )
  ),
  0,
  1
)</f>
        <v>1</v>
      </c>
      <c r="F1754" s="1">
        <f>_xlfn.XLOOKUP(payments_raw[[#This Row],[subscription_id]], subscriptions[subscription_id], subscriptions[start_date])</f>
        <v>44864</v>
      </c>
      <c r="G175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44936</v>
      </c>
      <c r="H1754" s="2">
        <f>IF(payments_raw[[#This Row],[payment_date]] &lt; payments_raw[[#This Row],[sub_start_date]], 1, 0)</f>
        <v>0</v>
      </c>
      <c r="I1754" s="2">
        <f>IF(AND(payments_raw[[#This Row],[sub_end_date]]&lt;&gt;"", payments_raw[[#This Row],[payment_date]] &gt; payments_raw[[#This Row],[sub_end_date]]), 1, 0)</f>
        <v>0</v>
      </c>
      <c r="J1754" s="2">
        <f>IF(payments_raw[[#This Row],[amount]] &lt;= 0, 1, 0)</f>
        <v>0</v>
      </c>
      <c r="K17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5" spans="1:11" x14ac:dyDescent="0.3">
      <c r="A1755">
        <v>26982970</v>
      </c>
      <c r="B1755">
        <v>9304303</v>
      </c>
      <c r="C1755" s="1">
        <v>45559</v>
      </c>
      <c r="D1755">
        <v>790</v>
      </c>
      <c r="E1755">
        <f>IF(
  ISNA(
    _xlfn.XLOOKUP(
      payments_raw[[#This Row],[subscription_id]],
      subscriptions[subscription_id],
      subscriptions[subscription_id]
    )
  ),
  0,
  1
)</f>
        <v>1</v>
      </c>
      <c r="F1755" s="1">
        <f>_xlfn.XLOOKUP(payments_raw[[#This Row],[subscription_id]], subscriptions[subscription_id], subscriptions[start_date])</f>
        <v>44806</v>
      </c>
      <c r="G17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5" s="2">
        <f>IF(payments_raw[[#This Row],[payment_date]] &lt; payments_raw[[#This Row],[sub_start_date]], 1, 0)</f>
        <v>0</v>
      </c>
      <c r="I1755" s="2">
        <f>IF(AND(payments_raw[[#This Row],[sub_end_date]]&lt;&gt;"", payments_raw[[#This Row],[payment_date]] &gt; payments_raw[[#This Row],[sub_end_date]]), 1, 0)</f>
        <v>0</v>
      </c>
      <c r="J1755" s="2">
        <f>IF(payments_raw[[#This Row],[amount]] &lt;= 0, 1, 0)</f>
        <v>0</v>
      </c>
      <c r="K17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6" spans="1:11" x14ac:dyDescent="0.3">
      <c r="A1756">
        <v>11750973</v>
      </c>
      <c r="B1756">
        <v>3981886</v>
      </c>
      <c r="C1756" s="1">
        <v>45385</v>
      </c>
      <c r="D1756">
        <v>74.5</v>
      </c>
      <c r="E1756">
        <f>IF(
  ISNA(
    _xlfn.XLOOKUP(
      payments_raw[[#This Row],[subscription_id]],
      subscriptions[subscription_id],
      subscriptions[subscription_id]
    )
  ),
  0,
  1
)</f>
        <v>1</v>
      </c>
      <c r="F1756" s="1">
        <f>_xlfn.XLOOKUP(payments_raw[[#This Row],[subscription_id]], subscriptions[subscription_id], subscriptions[start_date])</f>
        <v>45369</v>
      </c>
      <c r="G17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1756" s="2">
        <f>IF(payments_raw[[#This Row],[payment_date]] &lt; payments_raw[[#This Row],[sub_start_date]], 1, 0)</f>
        <v>0</v>
      </c>
      <c r="I1756" s="2">
        <f>IF(AND(payments_raw[[#This Row],[sub_end_date]]&lt;&gt;"", payments_raw[[#This Row],[payment_date]] &gt; payments_raw[[#This Row],[sub_end_date]]), 1, 0)</f>
        <v>0</v>
      </c>
      <c r="J1756" s="2">
        <f>IF(payments_raw[[#This Row],[amount]] &lt;= 0, 1, 0)</f>
        <v>0</v>
      </c>
      <c r="K17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7" spans="1:11" x14ac:dyDescent="0.3">
      <c r="A1757">
        <v>16805868</v>
      </c>
      <c r="B1757">
        <v>1121243</v>
      </c>
      <c r="C1757" s="1">
        <v>44930</v>
      </c>
      <c r="D1757">
        <v>79</v>
      </c>
      <c r="E1757">
        <f>IF(
  ISNA(
    _xlfn.XLOOKUP(
      payments_raw[[#This Row],[subscription_id]],
      subscriptions[subscription_id],
      subscriptions[subscription_id]
    )
  ),
  0,
  1
)</f>
        <v>1</v>
      </c>
      <c r="F1757" s="1">
        <f>_xlfn.XLOOKUP(payments_raw[[#This Row],[subscription_id]], subscriptions[subscription_id], subscriptions[start_date])</f>
        <v>44647</v>
      </c>
      <c r="G17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7" s="2">
        <f>IF(payments_raw[[#This Row],[payment_date]] &lt; payments_raw[[#This Row],[sub_start_date]], 1, 0)</f>
        <v>0</v>
      </c>
      <c r="I1757" s="2">
        <f>IF(AND(payments_raw[[#This Row],[sub_end_date]]&lt;&gt;"", payments_raw[[#This Row],[payment_date]] &gt; payments_raw[[#This Row],[sub_end_date]]), 1, 0)</f>
        <v>0</v>
      </c>
      <c r="J1757" s="2">
        <f>IF(payments_raw[[#This Row],[amount]] &lt;= 0, 1, 0)</f>
        <v>0</v>
      </c>
      <c r="K17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8" spans="1:11" x14ac:dyDescent="0.3">
      <c r="A1758">
        <v>30034371</v>
      </c>
      <c r="B1758">
        <v>5202915</v>
      </c>
      <c r="C1758" s="1">
        <v>45035</v>
      </c>
      <c r="D1758">
        <v>390</v>
      </c>
      <c r="E1758">
        <f>IF(
  ISNA(
    _xlfn.XLOOKUP(
      payments_raw[[#This Row],[subscription_id]],
      subscriptions[subscription_id],
      subscriptions[subscription_id]
    )
  ),
  0,
  1
)</f>
        <v>1</v>
      </c>
      <c r="F1758" s="1">
        <f>_xlfn.XLOOKUP(payments_raw[[#This Row],[subscription_id]], subscriptions[subscription_id], subscriptions[start_date])</f>
        <v>44587</v>
      </c>
      <c r="G17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58" s="2">
        <f>IF(payments_raw[[#This Row],[payment_date]] &lt; payments_raw[[#This Row],[sub_start_date]], 1, 0)</f>
        <v>0</v>
      </c>
      <c r="I1758" s="2">
        <f>IF(AND(payments_raw[[#This Row],[sub_end_date]]&lt;&gt;"", payments_raw[[#This Row],[payment_date]] &gt; payments_raw[[#This Row],[sub_end_date]]), 1, 0)</f>
        <v>0</v>
      </c>
      <c r="J1758" s="2">
        <f>IF(payments_raw[[#This Row],[amount]] &lt;= 0, 1, 0)</f>
        <v>0</v>
      </c>
      <c r="K17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59" spans="1:11" x14ac:dyDescent="0.3">
      <c r="A1759">
        <v>27526755</v>
      </c>
      <c r="B1759">
        <v>1386001</v>
      </c>
      <c r="C1759" s="1">
        <v>44881</v>
      </c>
      <c r="D1759">
        <v>1490</v>
      </c>
      <c r="E1759">
        <f>IF(
  ISNA(
    _xlfn.XLOOKUP(
      payments_raw[[#This Row],[subscription_id]],
      subscriptions[subscription_id],
      subscriptions[subscription_id]
    )
  ),
  0,
  1
)</f>
        <v>1</v>
      </c>
      <c r="F1759" s="1">
        <f>_xlfn.XLOOKUP(payments_raw[[#This Row],[subscription_id]], subscriptions[subscription_id], subscriptions[start_date])</f>
        <v>44825</v>
      </c>
      <c r="G17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44909</v>
      </c>
      <c r="H1759" s="2">
        <f>IF(payments_raw[[#This Row],[payment_date]] &lt; payments_raw[[#This Row],[sub_start_date]], 1, 0)</f>
        <v>0</v>
      </c>
      <c r="I1759" s="2">
        <f>IF(AND(payments_raw[[#This Row],[sub_end_date]]&lt;&gt;"", payments_raw[[#This Row],[payment_date]] &gt; payments_raw[[#This Row],[sub_end_date]]), 1, 0)</f>
        <v>0</v>
      </c>
      <c r="J1759" s="2">
        <f>IF(payments_raw[[#This Row],[amount]] &lt;= 0, 1, 0)</f>
        <v>0</v>
      </c>
      <c r="K17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0" spans="1:11" x14ac:dyDescent="0.3">
      <c r="A1760">
        <v>27071436</v>
      </c>
      <c r="B1760">
        <v>8075570</v>
      </c>
      <c r="C1760" s="1">
        <v>45641</v>
      </c>
      <c r="D1760">
        <v>190</v>
      </c>
      <c r="E1760">
        <f>IF(
  ISNA(
    _xlfn.XLOOKUP(
      payments_raw[[#This Row],[subscription_id]],
      subscriptions[subscription_id],
      subscriptions[subscription_id]
    )
  ),
  0,
  1
)</f>
        <v>1</v>
      </c>
      <c r="F1760" s="1">
        <f>_xlfn.XLOOKUP(payments_raw[[#This Row],[subscription_id]], subscriptions[subscription_id], subscriptions[start_date])</f>
        <v>44929</v>
      </c>
      <c r="G17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0" s="2">
        <f>IF(payments_raw[[#This Row],[payment_date]] &lt; payments_raw[[#This Row],[sub_start_date]], 1, 0)</f>
        <v>0</v>
      </c>
      <c r="I1760" s="2">
        <f>IF(AND(payments_raw[[#This Row],[sub_end_date]]&lt;&gt;"", payments_raw[[#This Row],[payment_date]] &gt; payments_raw[[#This Row],[sub_end_date]]), 1, 0)</f>
        <v>0</v>
      </c>
      <c r="J1760" s="2">
        <f>IF(payments_raw[[#This Row],[amount]] &lt;= 0, 1, 0)</f>
        <v>0</v>
      </c>
      <c r="K17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1" spans="1:11" x14ac:dyDescent="0.3">
      <c r="A1761">
        <v>42708760</v>
      </c>
      <c r="B1761">
        <v>6885129</v>
      </c>
      <c r="C1761" s="1">
        <v>45184</v>
      </c>
      <c r="D1761">
        <v>39</v>
      </c>
      <c r="E1761">
        <f>IF(
  ISNA(
    _xlfn.XLOOKUP(
      payments_raw[[#This Row],[subscription_id]],
      subscriptions[subscription_id],
      subscriptions[subscription_id]
    )
  ),
  0,
  1
)</f>
        <v>1</v>
      </c>
      <c r="F1761" s="1">
        <f>_xlfn.XLOOKUP(payments_raw[[#This Row],[subscription_id]], subscriptions[subscription_id], subscriptions[start_date])</f>
        <v>45089</v>
      </c>
      <c r="G17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45248</v>
      </c>
      <c r="H1761" s="2">
        <f>IF(payments_raw[[#This Row],[payment_date]] &lt; payments_raw[[#This Row],[sub_start_date]], 1, 0)</f>
        <v>0</v>
      </c>
      <c r="I1761" s="2">
        <f>IF(AND(payments_raw[[#This Row],[sub_end_date]]&lt;&gt;"", payments_raw[[#This Row],[payment_date]] &gt; payments_raw[[#This Row],[sub_end_date]]), 1, 0)</f>
        <v>0</v>
      </c>
      <c r="J1761" s="2">
        <f>IF(payments_raw[[#This Row],[amount]] &lt;= 0, 1, 0)</f>
        <v>0</v>
      </c>
      <c r="K17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2" spans="1:11" x14ac:dyDescent="0.3">
      <c r="A1762">
        <v>15560483</v>
      </c>
      <c r="B1762">
        <v>5573282</v>
      </c>
      <c r="C1762" s="1">
        <v>45385</v>
      </c>
      <c r="D1762">
        <v>390</v>
      </c>
      <c r="E1762">
        <f>IF(
  ISNA(
    _xlfn.XLOOKUP(
      payments_raw[[#This Row],[subscription_id]],
      subscriptions[subscription_id],
      subscriptions[subscription_id]
    )
  ),
  0,
  1
)</f>
        <v>1</v>
      </c>
      <c r="F1762" s="1">
        <f>_xlfn.XLOOKUP(payments_raw[[#This Row],[subscription_id]], subscriptions[subscription_id], subscriptions[start_date])</f>
        <v>45319</v>
      </c>
      <c r="G17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2" s="2">
        <f>IF(payments_raw[[#This Row],[payment_date]] &lt; payments_raw[[#This Row],[sub_start_date]], 1, 0)</f>
        <v>0</v>
      </c>
      <c r="I1762" s="2">
        <f>IF(AND(payments_raw[[#This Row],[sub_end_date]]&lt;&gt;"", payments_raw[[#This Row],[payment_date]] &gt; payments_raw[[#This Row],[sub_end_date]]), 1, 0)</f>
        <v>0</v>
      </c>
      <c r="J1762" s="2">
        <f>IF(payments_raw[[#This Row],[amount]] &lt;= 0, 1, 0)</f>
        <v>0</v>
      </c>
      <c r="K17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3" spans="1:11" x14ac:dyDescent="0.3">
      <c r="A1763">
        <v>66093439</v>
      </c>
      <c r="B1763">
        <v>6827390</v>
      </c>
      <c r="C1763" s="1">
        <v>45482</v>
      </c>
      <c r="D1763">
        <v>299</v>
      </c>
      <c r="E1763">
        <f>IF(
  ISNA(
    _xlfn.XLOOKUP(
      payments_raw[[#This Row],[subscription_id]],
      subscriptions[subscription_id],
      subscriptions[subscription_id]
    )
  ),
  0,
  1
)</f>
        <v>1</v>
      </c>
      <c r="F1763" s="1">
        <f>_xlfn.XLOOKUP(payments_raw[[#This Row],[subscription_id]], subscriptions[subscription_id], subscriptions[start_date])</f>
        <v>45311</v>
      </c>
      <c r="G17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3" s="2">
        <f>IF(payments_raw[[#This Row],[payment_date]] &lt; payments_raw[[#This Row],[sub_start_date]], 1, 0)</f>
        <v>0</v>
      </c>
      <c r="I1763" s="2">
        <f>IF(AND(payments_raw[[#This Row],[sub_end_date]]&lt;&gt;"", payments_raw[[#This Row],[payment_date]] &gt; payments_raw[[#This Row],[sub_end_date]]), 1, 0)</f>
        <v>0</v>
      </c>
      <c r="J1763" s="2">
        <f>IF(payments_raw[[#This Row],[amount]] &lt;= 0, 1, 0)</f>
        <v>0</v>
      </c>
      <c r="K17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4" spans="1:11" x14ac:dyDescent="0.3">
      <c r="A1764">
        <v>64647821</v>
      </c>
      <c r="B1764">
        <v>9129167</v>
      </c>
      <c r="C1764" s="1">
        <v>45413</v>
      </c>
      <c r="D1764">
        <v>79</v>
      </c>
      <c r="E1764">
        <f>IF(
  ISNA(
    _xlfn.XLOOKUP(
      payments_raw[[#This Row],[subscription_id]],
      subscriptions[subscription_id],
      subscriptions[subscription_id]
    )
  ),
  0,
  1
)</f>
        <v>1</v>
      </c>
      <c r="F1764" s="1">
        <f>_xlfn.XLOOKUP(payments_raw[[#This Row],[subscription_id]], subscriptions[subscription_id], subscriptions[start_date])</f>
        <v>45381</v>
      </c>
      <c r="G17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45452</v>
      </c>
      <c r="H1764" s="2">
        <f>IF(payments_raw[[#This Row],[payment_date]] &lt; payments_raw[[#This Row],[sub_start_date]], 1, 0)</f>
        <v>0</v>
      </c>
      <c r="I1764" s="2">
        <f>IF(AND(payments_raw[[#This Row],[sub_end_date]]&lt;&gt;"", payments_raw[[#This Row],[payment_date]] &gt; payments_raw[[#This Row],[sub_end_date]]), 1, 0)</f>
        <v>0</v>
      </c>
      <c r="J1764" s="2">
        <f>IF(payments_raw[[#This Row],[amount]] &lt;= 0, 1, 0)</f>
        <v>0</v>
      </c>
      <c r="K17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5" spans="1:11" x14ac:dyDescent="0.3">
      <c r="A1765">
        <v>10387330</v>
      </c>
      <c r="B1765">
        <v>8014552</v>
      </c>
      <c r="C1765" s="1">
        <v>45592</v>
      </c>
      <c r="D1765">
        <v>790</v>
      </c>
      <c r="E1765">
        <f>IF(
  ISNA(
    _xlfn.XLOOKUP(
      payments_raw[[#This Row],[subscription_id]],
      subscriptions[subscription_id],
      subscriptions[subscription_id]
    )
  ),
  0,
  1
)</f>
        <v>1</v>
      </c>
      <c r="F1765" s="1">
        <f>_xlfn.XLOOKUP(payments_raw[[#This Row],[subscription_id]], subscriptions[subscription_id], subscriptions[start_date])</f>
        <v>45418</v>
      </c>
      <c r="G17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5" s="2">
        <f>IF(payments_raw[[#This Row],[payment_date]] &lt; payments_raw[[#This Row],[sub_start_date]], 1, 0)</f>
        <v>0</v>
      </c>
      <c r="I1765" s="2">
        <f>IF(AND(payments_raw[[#This Row],[sub_end_date]]&lt;&gt;"", payments_raw[[#This Row],[payment_date]] &gt; payments_raw[[#This Row],[sub_end_date]]), 1, 0)</f>
        <v>0</v>
      </c>
      <c r="J1765" s="2">
        <f>IF(payments_raw[[#This Row],[amount]] &lt;= 0, 1, 0)</f>
        <v>0</v>
      </c>
      <c r="K17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6" spans="1:11" x14ac:dyDescent="0.3">
      <c r="A1766">
        <v>17709617</v>
      </c>
      <c r="B1766">
        <v>8214533</v>
      </c>
      <c r="C1766" s="1">
        <v>45409</v>
      </c>
      <c r="D1766">
        <v>19</v>
      </c>
      <c r="E1766">
        <f>IF(
  ISNA(
    _xlfn.XLOOKUP(
      payments_raw[[#This Row],[subscription_id]],
      subscriptions[subscription_id],
      subscriptions[subscription_id]
    )
  ),
  0,
  1
)</f>
        <v>1</v>
      </c>
      <c r="F1766" s="1">
        <f>_xlfn.XLOOKUP(payments_raw[[#This Row],[subscription_id]], subscriptions[subscription_id], subscriptions[start_date])</f>
        <v>45057</v>
      </c>
      <c r="G17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6" s="2">
        <f>IF(payments_raw[[#This Row],[payment_date]] &lt; payments_raw[[#This Row],[sub_start_date]], 1, 0)</f>
        <v>0</v>
      </c>
      <c r="I1766" s="2">
        <f>IF(AND(payments_raw[[#This Row],[sub_end_date]]&lt;&gt;"", payments_raw[[#This Row],[payment_date]] &gt; payments_raw[[#This Row],[sub_end_date]]), 1, 0)</f>
        <v>0</v>
      </c>
      <c r="J1766" s="2">
        <f>IF(payments_raw[[#This Row],[amount]] &lt;= 0, 1, 0)</f>
        <v>0</v>
      </c>
      <c r="K17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7" spans="1:11" x14ac:dyDescent="0.3">
      <c r="A1767">
        <v>89842205</v>
      </c>
      <c r="B1767">
        <v>6955771</v>
      </c>
      <c r="C1767" s="1">
        <v>45259</v>
      </c>
      <c r="D1767">
        <v>2990</v>
      </c>
      <c r="E1767">
        <f>IF(
  ISNA(
    _xlfn.XLOOKUP(
      payments_raw[[#This Row],[subscription_id]],
      subscriptions[subscription_id],
      subscriptions[subscription_id]
    )
  ),
  0,
  1
)</f>
        <v>1</v>
      </c>
      <c r="F1767" s="1">
        <f>_xlfn.XLOOKUP(payments_raw[[#This Row],[subscription_id]], subscriptions[subscription_id], subscriptions[start_date])</f>
        <v>45200</v>
      </c>
      <c r="G17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1767" s="2">
        <f>IF(payments_raw[[#This Row],[payment_date]] &lt; payments_raw[[#This Row],[sub_start_date]], 1, 0)</f>
        <v>0</v>
      </c>
      <c r="I1767" s="2">
        <f>IF(AND(payments_raw[[#This Row],[sub_end_date]]&lt;&gt;"", payments_raw[[#This Row],[payment_date]] &gt; payments_raw[[#This Row],[sub_end_date]]), 1, 0)</f>
        <v>0</v>
      </c>
      <c r="J1767" s="2">
        <f>IF(payments_raw[[#This Row],[amount]] &lt;= 0, 1, 0)</f>
        <v>0</v>
      </c>
      <c r="K17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8" spans="1:11" x14ac:dyDescent="0.3">
      <c r="A1768">
        <v>69051822</v>
      </c>
      <c r="B1768">
        <v>8628047</v>
      </c>
      <c r="C1768" s="1">
        <v>45416</v>
      </c>
      <c r="D1768">
        <v>790</v>
      </c>
      <c r="E1768">
        <f>IF(
  ISNA(
    _xlfn.XLOOKUP(
      payments_raw[[#This Row],[subscription_id]],
      subscriptions[subscription_id],
      subscriptions[subscription_id]
    )
  ),
  0,
  1
)</f>
        <v>1</v>
      </c>
      <c r="F1768" s="1">
        <f>_xlfn.XLOOKUP(payments_raw[[#This Row],[subscription_id]], subscriptions[subscription_id], subscriptions[start_date])</f>
        <v>45358</v>
      </c>
      <c r="G17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45447</v>
      </c>
      <c r="H1768" s="2">
        <f>IF(payments_raw[[#This Row],[payment_date]] &lt; payments_raw[[#This Row],[sub_start_date]], 1, 0)</f>
        <v>0</v>
      </c>
      <c r="I1768" s="2">
        <f>IF(AND(payments_raw[[#This Row],[sub_end_date]]&lt;&gt;"", payments_raw[[#This Row],[payment_date]] &gt; payments_raw[[#This Row],[sub_end_date]]), 1, 0)</f>
        <v>0</v>
      </c>
      <c r="J1768" s="2">
        <f>IF(payments_raw[[#This Row],[amount]] &lt;= 0, 1, 0)</f>
        <v>0</v>
      </c>
      <c r="K17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69" spans="1:11" x14ac:dyDescent="0.3">
      <c r="A1769">
        <v>63403040</v>
      </c>
      <c r="B1769">
        <v>9763319</v>
      </c>
      <c r="C1769" s="1">
        <v>44772</v>
      </c>
      <c r="D1769">
        <v>790</v>
      </c>
      <c r="E1769">
        <f>IF(
  ISNA(
    _xlfn.XLOOKUP(
      payments_raw[[#This Row],[subscription_id]],
      subscriptions[subscription_id],
      subscriptions[subscription_id]
    )
  ),
  0,
  1
)</f>
        <v>1</v>
      </c>
      <c r="F1769" s="1">
        <f>_xlfn.XLOOKUP(payments_raw[[#This Row],[subscription_id]], subscriptions[subscription_id], subscriptions[start_date])</f>
        <v>44576</v>
      </c>
      <c r="G17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69" s="2">
        <f>IF(payments_raw[[#This Row],[payment_date]] &lt; payments_raw[[#This Row],[sub_start_date]], 1, 0)</f>
        <v>0</v>
      </c>
      <c r="I1769" s="2">
        <f>IF(AND(payments_raw[[#This Row],[sub_end_date]]&lt;&gt;"", payments_raw[[#This Row],[payment_date]] &gt; payments_raw[[#This Row],[sub_end_date]]), 1, 0)</f>
        <v>0</v>
      </c>
      <c r="J1769" s="2">
        <f>IF(payments_raw[[#This Row],[amount]] &lt;= 0, 1, 0)</f>
        <v>0</v>
      </c>
      <c r="K17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0" spans="1:11" x14ac:dyDescent="0.3">
      <c r="A1770">
        <v>40097648</v>
      </c>
      <c r="B1770">
        <v>4763343</v>
      </c>
      <c r="C1770" s="1">
        <v>44881</v>
      </c>
      <c r="D1770">
        <v>299</v>
      </c>
      <c r="E1770">
        <f>IF(
  ISNA(
    _xlfn.XLOOKUP(
      payments_raw[[#This Row],[subscription_id]],
      subscriptions[subscription_id],
      subscriptions[subscription_id]
    )
  ),
  0,
  1
)</f>
        <v>1</v>
      </c>
      <c r="F1770" s="1">
        <f>_xlfn.XLOOKUP(payments_raw[[#This Row],[subscription_id]], subscriptions[subscription_id], subscriptions[start_date])</f>
        <v>44611</v>
      </c>
      <c r="G17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0" s="2">
        <f>IF(payments_raw[[#This Row],[payment_date]] &lt; payments_raw[[#This Row],[sub_start_date]], 1, 0)</f>
        <v>0</v>
      </c>
      <c r="I1770" s="2">
        <f>IF(AND(payments_raw[[#This Row],[sub_end_date]]&lt;&gt;"", payments_raw[[#This Row],[payment_date]] &gt; payments_raw[[#This Row],[sub_end_date]]), 1, 0)</f>
        <v>0</v>
      </c>
      <c r="J1770" s="2">
        <f>IF(payments_raw[[#This Row],[amount]] &lt;= 0, 1, 0)</f>
        <v>0</v>
      </c>
      <c r="K17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1" spans="1:11" x14ac:dyDescent="0.3">
      <c r="A1771">
        <v>13075969</v>
      </c>
      <c r="B1771">
        <v>7877413</v>
      </c>
      <c r="C1771" s="1">
        <v>45636</v>
      </c>
      <c r="D1771">
        <v>149</v>
      </c>
      <c r="E1771">
        <f>IF(
  ISNA(
    _xlfn.XLOOKUP(
      payments_raw[[#This Row],[subscription_id]],
      subscriptions[subscription_id],
      subscriptions[subscription_id]
    )
  ),
  0,
  1
)</f>
        <v>1</v>
      </c>
      <c r="F1771" s="1">
        <f>_xlfn.XLOOKUP(payments_raw[[#This Row],[subscription_id]], subscriptions[subscription_id], subscriptions[start_date])</f>
        <v>45303</v>
      </c>
      <c r="G17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1" s="2">
        <f>IF(payments_raw[[#This Row],[payment_date]] &lt; payments_raw[[#This Row],[sub_start_date]], 1, 0)</f>
        <v>0</v>
      </c>
      <c r="I1771" s="2">
        <f>IF(AND(payments_raw[[#This Row],[sub_end_date]]&lt;&gt;"", payments_raw[[#This Row],[payment_date]] &gt; payments_raw[[#This Row],[sub_end_date]]), 1, 0)</f>
        <v>0</v>
      </c>
      <c r="J1771" s="2">
        <f>IF(payments_raw[[#This Row],[amount]] &lt;= 0, 1, 0)</f>
        <v>0</v>
      </c>
      <c r="K17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2" spans="1:11" x14ac:dyDescent="0.3">
      <c r="A1772">
        <v>90291052</v>
      </c>
      <c r="B1772">
        <v>2386477</v>
      </c>
      <c r="C1772" s="1">
        <v>45282</v>
      </c>
      <c r="D1772">
        <v>79</v>
      </c>
      <c r="E1772">
        <f>IF(
  ISNA(
    _xlfn.XLOOKUP(
      payments_raw[[#This Row],[subscription_id]],
      subscriptions[subscription_id],
      subscriptions[subscription_id]
    )
  ),
  0,
  1
)</f>
        <v>1</v>
      </c>
      <c r="F1772" s="1">
        <f>_xlfn.XLOOKUP(payments_raw[[#This Row],[subscription_id]], subscriptions[subscription_id], subscriptions[start_date])</f>
        <v>45271</v>
      </c>
      <c r="G17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45352</v>
      </c>
      <c r="H1772" s="2">
        <f>IF(payments_raw[[#This Row],[payment_date]] &lt; payments_raw[[#This Row],[sub_start_date]], 1, 0)</f>
        <v>0</v>
      </c>
      <c r="I1772" s="2">
        <f>IF(AND(payments_raw[[#This Row],[sub_end_date]]&lt;&gt;"", payments_raw[[#This Row],[payment_date]] &gt; payments_raw[[#This Row],[sub_end_date]]), 1, 0)</f>
        <v>0</v>
      </c>
      <c r="J1772" s="2">
        <f>IF(payments_raw[[#This Row],[amount]] &lt;= 0, 1, 0)</f>
        <v>0</v>
      </c>
      <c r="K17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3" spans="1:11" x14ac:dyDescent="0.3">
      <c r="A1773">
        <v>19935807</v>
      </c>
      <c r="B1773">
        <v>9513036</v>
      </c>
      <c r="C1773" s="1">
        <v>45179</v>
      </c>
      <c r="D1773">
        <v>79</v>
      </c>
      <c r="E1773">
        <f>IF(
  ISNA(
    _xlfn.XLOOKUP(
      payments_raw[[#This Row],[subscription_id]],
      subscriptions[subscription_id],
      subscriptions[subscription_id]
    )
  ),
  0,
  1
)</f>
        <v>1</v>
      </c>
      <c r="F1773" s="1">
        <f>_xlfn.XLOOKUP(payments_raw[[#This Row],[subscription_id]], subscriptions[subscription_id], subscriptions[start_date])</f>
        <v>44699</v>
      </c>
      <c r="G17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3" s="2">
        <f>IF(payments_raw[[#This Row],[payment_date]] &lt; payments_raw[[#This Row],[sub_start_date]], 1, 0)</f>
        <v>0</v>
      </c>
      <c r="I1773" s="2">
        <f>IF(AND(payments_raw[[#This Row],[sub_end_date]]&lt;&gt;"", payments_raw[[#This Row],[payment_date]] &gt; payments_raw[[#This Row],[sub_end_date]]), 1, 0)</f>
        <v>0</v>
      </c>
      <c r="J1773" s="2">
        <f>IF(payments_raw[[#This Row],[amount]] &lt;= 0, 1, 0)</f>
        <v>0</v>
      </c>
      <c r="K17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4" spans="1:11" x14ac:dyDescent="0.3">
      <c r="A1774">
        <v>91620278</v>
      </c>
      <c r="B1774">
        <v>5215259</v>
      </c>
      <c r="C1774" s="1">
        <v>45312</v>
      </c>
      <c r="D1774">
        <v>1490</v>
      </c>
      <c r="E1774">
        <f>IF(
  ISNA(
    _xlfn.XLOOKUP(
      payments_raw[[#This Row],[subscription_id]],
      subscriptions[subscription_id],
      subscriptions[subscription_id]
    )
  ),
  0,
  1
)</f>
        <v>1</v>
      </c>
      <c r="F1774" s="1">
        <f>_xlfn.XLOOKUP(payments_raw[[#This Row],[subscription_id]], subscriptions[subscription_id], subscriptions[start_date])</f>
        <v>45292</v>
      </c>
      <c r="G17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4" s="2">
        <f>IF(payments_raw[[#This Row],[payment_date]] &lt; payments_raw[[#This Row],[sub_start_date]], 1, 0)</f>
        <v>0</v>
      </c>
      <c r="I1774" s="2">
        <f>IF(AND(payments_raw[[#This Row],[sub_end_date]]&lt;&gt;"", payments_raw[[#This Row],[payment_date]] &gt; payments_raw[[#This Row],[sub_end_date]]), 1, 0)</f>
        <v>0</v>
      </c>
      <c r="J1774" s="2">
        <f>IF(payments_raw[[#This Row],[amount]] &lt;= 0, 1, 0)</f>
        <v>0</v>
      </c>
      <c r="K17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5" spans="1:11" x14ac:dyDescent="0.3">
      <c r="A1775">
        <v>31356906</v>
      </c>
      <c r="B1775">
        <v>3070908</v>
      </c>
      <c r="C1775" s="1">
        <v>45266</v>
      </c>
      <c r="D1775">
        <v>19</v>
      </c>
      <c r="E1775">
        <f>IF(
  ISNA(
    _xlfn.XLOOKUP(
      payments_raw[[#This Row],[subscription_id]],
      subscriptions[subscription_id],
      subscriptions[subscription_id]
    )
  ),
  0,
  1
)</f>
        <v>1</v>
      </c>
      <c r="F1775" s="1">
        <f>_xlfn.XLOOKUP(payments_raw[[#This Row],[subscription_id]], subscriptions[subscription_id], subscriptions[start_date])</f>
        <v>44670</v>
      </c>
      <c r="G17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5" s="2">
        <f>IF(payments_raw[[#This Row],[payment_date]] &lt; payments_raw[[#This Row],[sub_start_date]], 1, 0)</f>
        <v>0</v>
      </c>
      <c r="I1775" s="2">
        <f>IF(AND(payments_raw[[#This Row],[sub_end_date]]&lt;&gt;"", payments_raw[[#This Row],[payment_date]] &gt; payments_raw[[#This Row],[sub_end_date]]), 1, 0)</f>
        <v>0</v>
      </c>
      <c r="J1775" s="2">
        <f>IF(payments_raw[[#This Row],[amount]] &lt;= 0, 1, 0)</f>
        <v>0</v>
      </c>
      <c r="K17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6" spans="1:11" x14ac:dyDescent="0.3">
      <c r="A1776">
        <v>81254303</v>
      </c>
      <c r="B1776">
        <v>4739473</v>
      </c>
      <c r="C1776" s="1">
        <v>45341</v>
      </c>
      <c r="D1776">
        <v>790</v>
      </c>
      <c r="E1776">
        <f>IF(
  ISNA(
    _xlfn.XLOOKUP(
      payments_raw[[#This Row],[subscription_id]],
      subscriptions[subscription_id],
      subscriptions[subscription_id]
    )
  ),
  0,
  1
)</f>
        <v>1</v>
      </c>
      <c r="F1776" s="1">
        <f>_xlfn.XLOOKUP(payments_raw[[#This Row],[subscription_id]], subscriptions[subscription_id], subscriptions[start_date])</f>
        <v>45230</v>
      </c>
      <c r="G17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76" s="2">
        <f>IF(payments_raw[[#This Row],[payment_date]] &lt; payments_raw[[#This Row],[sub_start_date]], 1, 0)</f>
        <v>0</v>
      </c>
      <c r="I1776" s="2">
        <f>IF(AND(payments_raw[[#This Row],[sub_end_date]]&lt;&gt;"", payments_raw[[#This Row],[payment_date]] &gt; payments_raw[[#This Row],[sub_end_date]]), 1, 0)</f>
        <v>0</v>
      </c>
      <c r="J1776" s="2">
        <f>IF(payments_raw[[#This Row],[amount]] &lt;= 0, 1, 0)</f>
        <v>0</v>
      </c>
      <c r="K17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7" spans="1:11" x14ac:dyDescent="0.3">
      <c r="A1777">
        <v>13915350</v>
      </c>
      <c r="B1777">
        <v>3636248</v>
      </c>
      <c r="C1777" s="1">
        <v>45362</v>
      </c>
      <c r="D1777">
        <v>299</v>
      </c>
      <c r="E1777">
        <f>IF(
  ISNA(
    _xlfn.XLOOKUP(
      payments_raw[[#This Row],[subscription_id]],
      subscriptions[subscription_id],
      subscriptions[subscription_id]
    )
  ),
  0,
  1
)</f>
        <v>1</v>
      </c>
      <c r="F1777" s="1">
        <f>_xlfn.XLOOKUP(payments_raw[[#This Row],[subscription_id]], subscriptions[subscription_id], subscriptions[start_date])</f>
        <v>45228</v>
      </c>
      <c r="G17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45500</v>
      </c>
      <c r="H1777" s="2">
        <f>IF(payments_raw[[#This Row],[payment_date]] &lt; payments_raw[[#This Row],[sub_start_date]], 1, 0)</f>
        <v>0</v>
      </c>
      <c r="I1777" s="2">
        <f>IF(AND(payments_raw[[#This Row],[sub_end_date]]&lt;&gt;"", payments_raw[[#This Row],[payment_date]] &gt; payments_raw[[#This Row],[sub_end_date]]), 1, 0)</f>
        <v>0</v>
      </c>
      <c r="J1777" s="2">
        <f>IF(payments_raw[[#This Row],[amount]] &lt;= 0, 1, 0)</f>
        <v>0</v>
      </c>
      <c r="K17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8" spans="1:11" x14ac:dyDescent="0.3">
      <c r="A1778">
        <v>82640278</v>
      </c>
      <c r="B1778">
        <v>4190758</v>
      </c>
      <c r="C1778" s="1">
        <v>44717</v>
      </c>
      <c r="D1778">
        <v>111.75</v>
      </c>
      <c r="E1778">
        <f>IF(
  ISNA(
    _xlfn.XLOOKUP(
      payments_raw[[#This Row],[subscription_id]],
      subscriptions[subscription_id],
      subscriptions[subscription_id]
    )
  ),
  0,
  1
)</f>
        <v>1</v>
      </c>
      <c r="F1778" s="1">
        <f>_xlfn.XLOOKUP(payments_raw[[#This Row],[subscription_id]], subscriptions[subscription_id], subscriptions[start_date])</f>
        <v>44576</v>
      </c>
      <c r="G177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44965</v>
      </c>
      <c r="H1778" s="2">
        <f>IF(payments_raw[[#This Row],[payment_date]] &lt; payments_raw[[#This Row],[sub_start_date]], 1, 0)</f>
        <v>0</v>
      </c>
      <c r="I1778" s="2">
        <f>IF(AND(payments_raw[[#This Row],[sub_end_date]]&lt;&gt;"", payments_raw[[#This Row],[payment_date]] &gt; payments_raw[[#This Row],[sub_end_date]]), 1, 0)</f>
        <v>0</v>
      </c>
      <c r="J1778" s="2">
        <f>IF(payments_raw[[#This Row],[amount]] &lt;= 0, 1, 0)</f>
        <v>0</v>
      </c>
      <c r="K17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79" spans="1:11" x14ac:dyDescent="0.3">
      <c r="A1779">
        <v>62597519</v>
      </c>
      <c r="B1779">
        <v>5641122</v>
      </c>
      <c r="C1779" s="1">
        <v>45516</v>
      </c>
      <c r="D1779">
        <v>149</v>
      </c>
      <c r="E1779">
        <f>IF(
  ISNA(
    _xlfn.XLOOKUP(
      payments_raw[[#This Row],[subscription_id]],
      subscriptions[subscription_id],
      subscriptions[subscription_id]
    )
  ),
  0,
  1
)</f>
        <v>1</v>
      </c>
      <c r="F1779" s="1">
        <f>_xlfn.XLOOKUP(payments_raw[[#This Row],[subscription_id]], subscriptions[subscription_id], subscriptions[start_date])</f>
        <v>45475</v>
      </c>
      <c r="G17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1779" s="2">
        <f>IF(payments_raw[[#This Row],[payment_date]] &lt; payments_raw[[#This Row],[sub_start_date]], 1, 0)</f>
        <v>0</v>
      </c>
      <c r="I1779" s="2">
        <f>IF(AND(payments_raw[[#This Row],[sub_end_date]]&lt;&gt;"", payments_raw[[#This Row],[payment_date]] &gt; payments_raw[[#This Row],[sub_end_date]]), 1, 0)</f>
        <v>0</v>
      </c>
      <c r="J1779" s="2">
        <f>IF(payments_raw[[#This Row],[amount]] &lt;= 0, 1, 0)</f>
        <v>0</v>
      </c>
      <c r="K17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0" spans="1:11" x14ac:dyDescent="0.3">
      <c r="A1780">
        <v>20893092</v>
      </c>
      <c r="B1780">
        <v>1656328</v>
      </c>
      <c r="C1780" s="1">
        <v>45277</v>
      </c>
      <c r="D1780">
        <v>19</v>
      </c>
      <c r="E1780">
        <f>IF(
  ISNA(
    _xlfn.XLOOKUP(
      payments_raw[[#This Row],[subscription_id]],
      subscriptions[subscription_id],
      subscriptions[subscription_id]
    )
  ),
  0,
  1
)</f>
        <v>1</v>
      </c>
      <c r="F1780" s="1">
        <f>_xlfn.XLOOKUP(payments_raw[[#This Row],[subscription_id]], subscriptions[subscription_id], subscriptions[start_date])</f>
        <v>45252</v>
      </c>
      <c r="G17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45317</v>
      </c>
      <c r="H1780" s="2">
        <f>IF(payments_raw[[#This Row],[payment_date]] &lt; payments_raw[[#This Row],[sub_start_date]], 1, 0)</f>
        <v>0</v>
      </c>
      <c r="I1780" s="2">
        <f>IF(AND(payments_raw[[#This Row],[sub_end_date]]&lt;&gt;"", payments_raw[[#This Row],[payment_date]] &gt; payments_raw[[#This Row],[sub_end_date]]), 1, 0)</f>
        <v>0</v>
      </c>
      <c r="J1780" s="2">
        <f>IF(payments_raw[[#This Row],[amount]] &lt;= 0, 1, 0)</f>
        <v>0</v>
      </c>
      <c r="K17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1" spans="1:11" x14ac:dyDescent="0.3">
      <c r="A1781">
        <v>66344543</v>
      </c>
      <c r="B1781">
        <v>5125653</v>
      </c>
      <c r="C1781" s="1">
        <v>45595</v>
      </c>
      <c r="D1781">
        <v>745</v>
      </c>
      <c r="E1781">
        <f>IF(
  ISNA(
    _xlfn.XLOOKUP(
      payments_raw[[#This Row],[subscription_id]],
      subscriptions[subscription_id],
      subscriptions[subscription_id]
    )
  ),
  0,
  1
)</f>
        <v>1</v>
      </c>
      <c r="F1781" s="1">
        <f>_xlfn.XLOOKUP(payments_raw[[#This Row],[subscription_id]], subscriptions[subscription_id], subscriptions[start_date])</f>
        <v>45346</v>
      </c>
      <c r="G17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81" s="2">
        <f>IF(payments_raw[[#This Row],[payment_date]] &lt; payments_raw[[#This Row],[sub_start_date]], 1, 0)</f>
        <v>0</v>
      </c>
      <c r="I1781" s="2">
        <f>IF(AND(payments_raw[[#This Row],[sub_end_date]]&lt;&gt;"", payments_raw[[#This Row],[payment_date]] &gt; payments_raw[[#This Row],[sub_end_date]]), 1, 0)</f>
        <v>0</v>
      </c>
      <c r="J1781" s="2">
        <f>IF(payments_raw[[#This Row],[amount]] &lt;= 0, 1, 0)</f>
        <v>0</v>
      </c>
      <c r="K17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2" spans="1:11" x14ac:dyDescent="0.3">
      <c r="A1782">
        <v>59243476</v>
      </c>
      <c r="B1782">
        <v>1115482</v>
      </c>
      <c r="C1782" s="1">
        <v>44731</v>
      </c>
      <c r="D1782">
        <v>299</v>
      </c>
      <c r="E1782">
        <f>IF(
  ISNA(
    _xlfn.XLOOKUP(
      payments_raw[[#This Row],[subscription_id]],
      subscriptions[subscription_id],
      subscriptions[subscription_id]
    )
  ),
  0,
  1
)</f>
        <v>1</v>
      </c>
      <c r="F1782" s="1">
        <f>_xlfn.XLOOKUP(payments_raw[[#This Row],[subscription_id]], subscriptions[subscription_id], subscriptions[start_date])</f>
        <v>44628</v>
      </c>
      <c r="G17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1782" s="2">
        <f>IF(payments_raw[[#This Row],[payment_date]] &lt; payments_raw[[#This Row],[sub_start_date]], 1, 0)</f>
        <v>0</v>
      </c>
      <c r="I1782" s="2">
        <f>IF(AND(payments_raw[[#This Row],[sub_end_date]]&lt;&gt;"", payments_raw[[#This Row],[payment_date]] &gt; payments_raw[[#This Row],[sub_end_date]]), 1, 0)</f>
        <v>0</v>
      </c>
      <c r="J1782" s="2">
        <f>IF(payments_raw[[#This Row],[amount]] &lt;= 0, 1, 0)</f>
        <v>0</v>
      </c>
      <c r="K17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3" spans="1:11" x14ac:dyDescent="0.3">
      <c r="A1783">
        <v>59469218</v>
      </c>
      <c r="B1783">
        <v>3570131</v>
      </c>
      <c r="C1783" s="1">
        <v>44977</v>
      </c>
      <c r="D1783">
        <v>790</v>
      </c>
      <c r="E1783">
        <f>IF(
  ISNA(
    _xlfn.XLOOKUP(
      payments_raw[[#This Row],[subscription_id]],
      subscriptions[subscription_id],
      subscriptions[subscription_id]
    )
  ),
  0,
  1
)</f>
        <v>1</v>
      </c>
      <c r="F1783" s="1">
        <f>_xlfn.XLOOKUP(payments_raw[[#This Row],[subscription_id]], subscriptions[subscription_id], subscriptions[start_date])</f>
        <v>44924</v>
      </c>
      <c r="G17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45021</v>
      </c>
      <c r="H1783" s="2">
        <f>IF(payments_raw[[#This Row],[payment_date]] &lt; payments_raw[[#This Row],[sub_start_date]], 1, 0)</f>
        <v>0</v>
      </c>
      <c r="I1783" s="2">
        <f>IF(AND(payments_raw[[#This Row],[sub_end_date]]&lt;&gt;"", payments_raw[[#This Row],[payment_date]] &gt; payments_raw[[#This Row],[sub_end_date]]), 1, 0)</f>
        <v>0</v>
      </c>
      <c r="J1783" s="2">
        <f>IF(payments_raw[[#This Row],[amount]] &lt;= 0, 1, 0)</f>
        <v>0</v>
      </c>
      <c r="K17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4" spans="1:11" x14ac:dyDescent="0.3">
      <c r="A1784">
        <v>62781957</v>
      </c>
      <c r="B1784">
        <v>6939158</v>
      </c>
      <c r="C1784" s="1">
        <v>45638</v>
      </c>
      <c r="D1784">
        <v>790</v>
      </c>
      <c r="E1784">
        <f>IF(
  ISNA(
    _xlfn.XLOOKUP(
      payments_raw[[#This Row],[subscription_id]],
      subscriptions[subscription_id],
      subscriptions[subscription_id]
    )
  ),
  0,
  1
)</f>
        <v>1</v>
      </c>
      <c r="F1784" s="1">
        <f>_xlfn.XLOOKUP(payments_raw[[#This Row],[subscription_id]], subscriptions[subscription_id], subscriptions[start_date])</f>
        <v>45521</v>
      </c>
      <c r="G17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84" s="2">
        <f>IF(payments_raw[[#This Row],[payment_date]] &lt; payments_raw[[#This Row],[sub_start_date]], 1, 0)</f>
        <v>0</v>
      </c>
      <c r="I1784" s="2">
        <f>IF(AND(payments_raw[[#This Row],[sub_end_date]]&lt;&gt;"", payments_raw[[#This Row],[payment_date]] &gt; payments_raw[[#This Row],[sub_end_date]]), 1, 0)</f>
        <v>0</v>
      </c>
      <c r="J1784" s="2">
        <f>IF(payments_raw[[#This Row],[amount]] &lt;= 0, 1, 0)</f>
        <v>0</v>
      </c>
      <c r="K17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5" spans="1:11" x14ac:dyDescent="0.3">
      <c r="A1785">
        <v>15446471</v>
      </c>
      <c r="B1785">
        <v>7735054</v>
      </c>
      <c r="C1785" s="1">
        <v>45010</v>
      </c>
      <c r="D1785">
        <v>19</v>
      </c>
      <c r="E1785">
        <f>IF(
  ISNA(
    _xlfn.XLOOKUP(
      payments_raw[[#This Row],[subscription_id]],
      subscriptions[subscription_id],
      subscriptions[subscription_id]
    )
  ),
  0,
  1
)</f>
        <v>1</v>
      </c>
      <c r="F1785" s="1">
        <f>_xlfn.XLOOKUP(payments_raw[[#This Row],[subscription_id]], subscriptions[subscription_id], subscriptions[start_date])</f>
        <v>44814</v>
      </c>
      <c r="G17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1785" s="2">
        <f>IF(payments_raw[[#This Row],[payment_date]] &lt; payments_raw[[#This Row],[sub_start_date]], 1, 0)</f>
        <v>0</v>
      </c>
      <c r="I1785" s="2">
        <f>IF(AND(payments_raw[[#This Row],[sub_end_date]]&lt;&gt;"", payments_raw[[#This Row],[payment_date]] &gt; payments_raw[[#This Row],[sub_end_date]]), 1, 0)</f>
        <v>0</v>
      </c>
      <c r="J1785" s="2">
        <f>IF(payments_raw[[#This Row],[amount]] &lt;= 0, 1, 0)</f>
        <v>0</v>
      </c>
      <c r="K17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6" spans="1:11" x14ac:dyDescent="0.3">
      <c r="A1786">
        <v>62881948</v>
      </c>
      <c r="B1786">
        <v>7423283</v>
      </c>
      <c r="C1786" s="1">
        <v>45202</v>
      </c>
      <c r="D1786">
        <v>711</v>
      </c>
      <c r="E1786">
        <f>IF(
  ISNA(
    _xlfn.XLOOKUP(
      payments_raw[[#This Row],[subscription_id]],
      subscriptions[subscription_id],
      subscriptions[subscription_id]
    )
  ),
  0,
  1
)</f>
        <v>1</v>
      </c>
      <c r="F1786" s="1">
        <f>_xlfn.XLOOKUP(payments_raw[[#This Row],[subscription_id]], subscriptions[subscription_id], subscriptions[start_date])</f>
        <v>45046</v>
      </c>
      <c r="G17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86" s="2">
        <f>IF(payments_raw[[#This Row],[payment_date]] &lt; payments_raw[[#This Row],[sub_start_date]], 1, 0)</f>
        <v>0</v>
      </c>
      <c r="I1786" s="2">
        <f>IF(AND(payments_raw[[#This Row],[sub_end_date]]&lt;&gt;"", payments_raw[[#This Row],[payment_date]] &gt; payments_raw[[#This Row],[sub_end_date]]), 1, 0)</f>
        <v>0</v>
      </c>
      <c r="J1786" s="2">
        <f>IF(payments_raw[[#This Row],[amount]] &lt;= 0, 1, 0)</f>
        <v>0</v>
      </c>
      <c r="K17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7" spans="1:11" x14ac:dyDescent="0.3">
      <c r="A1787">
        <v>62843719</v>
      </c>
      <c r="B1787">
        <v>8729158</v>
      </c>
      <c r="C1787" s="1">
        <v>45177</v>
      </c>
      <c r="D1787">
        <v>790</v>
      </c>
      <c r="E1787">
        <f>IF(
  ISNA(
    _xlfn.XLOOKUP(
      payments_raw[[#This Row],[subscription_id]],
      subscriptions[subscription_id],
      subscriptions[subscription_id]
    )
  ),
  0,
  1
)</f>
        <v>1</v>
      </c>
      <c r="F1787" s="1">
        <f>_xlfn.XLOOKUP(payments_raw[[#This Row],[subscription_id]], subscriptions[subscription_id], subscriptions[start_date])</f>
        <v>44807</v>
      </c>
      <c r="G17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87" s="2">
        <f>IF(payments_raw[[#This Row],[payment_date]] &lt; payments_raw[[#This Row],[sub_start_date]], 1, 0)</f>
        <v>0</v>
      </c>
      <c r="I1787" s="2">
        <f>IF(AND(payments_raw[[#This Row],[sub_end_date]]&lt;&gt;"", payments_raw[[#This Row],[payment_date]] &gt; payments_raw[[#This Row],[sub_end_date]]), 1, 0)</f>
        <v>0</v>
      </c>
      <c r="J1787" s="2">
        <f>IF(payments_raw[[#This Row],[amount]] &lt;= 0, 1, 0)</f>
        <v>0</v>
      </c>
      <c r="K17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8" spans="1:11" x14ac:dyDescent="0.3">
      <c r="A1788">
        <v>50694371</v>
      </c>
      <c r="B1788">
        <v>3138306</v>
      </c>
      <c r="C1788" s="1">
        <v>45533</v>
      </c>
      <c r="D1788">
        <v>149</v>
      </c>
      <c r="E1788">
        <f>IF(
  ISNA(
    _xlfn.XLOOKUP(
      payments_raw[[#This Row],[subscription_id]],
      subscriptions[subscription_id],
      subscriptions[subscription_id]
    )
  ),
  0,
  1
)</f>
        <v>1</v>
      </c>
      <c r="F1788" s="1">
        <f>_xlfn.XLOOKUP(payments_raw[[#This Row],[subscription_id]], subscriptions[subscription_id], subscriptions[start_date])</f>
        <v>45385</v>
      </c>
      <c r="G17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1788" s="2">
        <f>IF(payments_raw[[#This Row],[payment_date]] &lt; payments_raw[[#This Row],[sub_start_date]], 1, 0)</f>
        <v>0</v>
      </c>
      <c r="I1788" s="2">
        <f>IF(AND(payments_raw[[#This Row],[sub_end_date]]&lt;&gt;"", payments_raw[[#This Row],[payment_date]] &gt; payments_raw[[#This Row],[sub_end_date]]), 1, 0)</f>
        <v>0</v>
      </c>
      <c r="J1788" s="2">
        <f>IF(payments_raw[[#This Row],[amount]] &lt;= 0, 1, 0)</f>
        <v>0</v>
      </c>
      <c r="K17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89" spans="1:11" x14ac:dyDescent="0.3">
      <c r="A1789">
        <v>44190049</v>
      </c>
      <c r="B1789">
        <v>5937884</v>
      </c>
      <c r="C1789" s="1">
        <v>45556</v>
      </c>
      <c r="D1789">
        <v>1490</v>
      </c>
      <c r="E1789">
        <f>IF(
  ISNA(
    _xlfn.XLOOKUP(
      payments_raw[[#This Row],[subscription_id]],
      subscriptions[subscription_id],
      subscriptions[subscription_id]
    )
  ),
  0,
  1
)</f>
        <v>1</v>
      </c>
      <c r="F1789" s="1">
        <f>_xlfn.XLOOKUP(payments_raw[[#This Row],[subscription_id]], subscriptions[subscription_id], subscriptions[start_date])</f>
        <v>45518</v>
      </c>
      <c r="G17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1789" s="2">
        <f>IF(payments_raw[[#This Row],[payment_date]] &lt; payments_raw[[#This Row],[sub_start_date]], 1, 0)</f>
        <v>0</v>
      </c>
      <c r="I1789" s="2">
        <f>IF(AND(payments_raw[[#This Row],[sub_end_date]]&lt;&gt;"", payments_raw[[#This Row],[payment_date]] &gt; payments_raw[[#This Row],[sub_end_date]]), 1, 0)</f>
        <v>0</v>
      </c>
      <c r="J1789" s="2">
        <f>IF(payments_raw[[#This Row],[amount]] &lt;= 0, 1, 0)</f>
        <v>0</v>
      </c>
      <c r="K17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0" spans="1:11" x14ac:dyDescent="0.3">
      <c r="A1790">
        <v>69186698</v>
      </c>
      <c r="B1790">
        <v>9934008</v>
      </c>
      <c r="C1790" s="1">
        <v>45585</v>
      </c>
      <c r="D1790">
        <v>1490</v>
      </c>
      <c r="E1790">
        <f>IF(
  ISNA(
    _xlfn.XLOOKUP(
      payments_raw[[#This Row],[subscription_id]],
      subscriptions[subscription_id],
      subscriptions[subscription_id]
    )
  ),
  0,
  1
)</f>
        <v>1</v>
      </c>
      <c r="F1790" s="1">
        <f>_xlfn.XLOOKUP(payments_raw[[#This Row],[subscription_id]], subscriptions[subscription_id], subscriptions[start_date])</f>
        <v>45365</v>
      </c>
      <c r="G17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0" s="2">
        <f>IF(payments_raw[[#This Row],[payment_date]] &lt; payments_raw[[#This Row],[sub_start_date]], 1, 0)</f>
        <v>0</v>
      </c>
      <c r="I1790" s="2">
        <f>IF(AND(payments_raw[[#This Row],[sub_end_date]]&lt;&gt;"", payments_raw[[#This Row],[payment_date]] &gt; payments_raw[[#This Row],[sub_end_date]]), 1, 0)</f>
        <v>0</v>
      </c>
      <c r="J1790" s="2">
        <f>IF(payments_raw[[#This Row],[amount]] &lt;= 0, 1, 0)</f>
        <v>0</v>
      </c>
      <c r="K17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1" spans="1:11" x14ac:dyDescent="0.3">
      <c r="A1791">
        <v>36353271</v>
      </c>
      <c r="B1791">
        <v>7100417</v>
      </c>
      <c r="C1791" s="1">
        <v>45432</v>
      </c>
      <c r="D1791">
        <v>390</v>
      </c>
      <c r="E1791">
        <f>IF(
  ISNA(
    _xlfn.XLOOKUP(
      payments_raw[[#This Row],[subscription_id]],
      subscriptions[subscription_id],
      subscriptions[subscription_id]
    )
  ),
  0,
  1
)</f>
        <v>1</v>
      </c>
      <c r="F1791" s="1">
        <f>_xlfn.XLOOKUP(payments_raw[[#This Row],[subscription_id]], subscriptions[subscription_id], subscriptions[start_date])</f>
        <v>45276</v>
      </c>
      <c r="G17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1791" s="2">
        <f>IF(payments_raw[[#This Row],[payment_date]] &lt; payments_raw[[#This Row],[sub_start_date]], 1, 0)</f>
        <v>0</v>
      </c>
      <c r="I1791" s="2">
        <f>IF(AND(payments_raw[[#This Row],[sub_end_date]]&lt;&gt;"", payments_raw[[#This Row],[payment_date]] &gt; payments_raw[[#This Row],[sub_end_date]]), 1, 0)</f>
        <v>0</v>
      </c>
      <c r="J1791" s="2">
        <f>IF(payments_raw[[#This Row],[amount]] &lt;= 0, 1, 0)</f>
        <v>0</v>
      </c>
      <c r="K17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2" spans="1:11" x14ac:dyDescent="0.3">
      <c r="A1792">
        <v>35308700</v>
      </c>
      <c r="B1792">
        <v>3927545</v>
      </c>
      <c r="C1792" s="1">
        <v>44977</v>
      </c>
      <c r="D1792">
        <v>79</v>
      </c>
      <c r="E1792">
        <f>IF(
  ISNA(
    _xlfn.XLOOKUP(
      payments_raw[[#This Row],[subscription_id]],
      subscriptions[subscription_id],
      subscriptions[subscription_id]
    )
  ),
  0,
  1
)</f>
        <v>1</v>
      </c>
      <c r="F1792" s="1">
        <f>_xlfn.XLOOKUP(payments_raw[[#This Row],[subscription_id]], subscriptions[subscription_id], subscriptions[start_date])</f>
        <v>44862</v>
      </c>
      <c r="G17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45227</v>
      </c>
      <c r="H1792" s="2">
        <f>IF(payments_raw[[#This Row],[payment_date]] &lt; payments_raw[[#This Row],[sub_start_date]], 1, 0)</f>
        <v>0</v>
      </c>
      <c r="I1792" s="2">
        <f>IF(AND(payments_raw[[#This Row],[sub_end_date]]&lt;&gt;"", payments_raw[[#This Row],[payment_date]] &gt; payments_raw[[#This Row],[sub_end_date]]), 1, 0)</f>
        <v>0</v>
      </c>
      <c r="J1792" s="2">
        <f>IF(payments_raw[[#This Row],[amount]] &lt;= 0, 1, 0)</f>
        <v>0</v>
      </c>
      <c r="K17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3" spans="1:11" x14ac:dyDescent="0.3">
      <c r="A1793">
        <v>56142700</v>
      </c>
      <c r="B1793">
        <v>5726375</v>
      </c>
      <c r="C1793" s="1">
        <v>44651</v>
      </c>
      <c r="D1793">
        <v>79</v>
      </c>
      <c r="E1793">
        <f>IF(
  ISNA(
    _xlfn.XLOOKUP(
      payments_raw[[#This Row],[subscription_id]],
      subscriptions[subscription_id],
      subscriptions[subscription_id]
    )
  ),
  0,
  1
)</f>
        <v>1</v>
      </c>
      <c r="F1793" s="1">
        <f>_xlfn.XLOOKUP(payments_raw[[#This Row],[subscription_id]], subscriptions[subscription_id], subscriptions[start_date])</f>
        <v>44643</v>
      </c>
      <c r="G17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3" s="2">
        <f>IF(payments_raw[[#This Row],[payment_date]] &lt; payments_raw[[#This Row],[sub_start_date]], 1, 0)</f>
        <v>0</v>
      </c>
      <c r="I1793" s="2">
        <f>IF(AND(payments_raw[[#This Row],[sub_end_date]]&lt;&gt;"", payments_raw[[#This Row],[payment_date]] &gt; payments_raw[[#This Row],[sub_end_date]]), 1, 0)</f>
        <v>0</v>
      </c>
      <c r="J1793" s="2">
        <f>IF(payments_raw[[#This Row],[amount]] &lt;= 0, 1, 0)</f>
        <v>0</v>
      </c>
      <c r="K17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4" spans="1:11" x14ac:dyDescent="0.3">
      <c r="A1794">
        <v>91137087</v>
      </c>
      <c r="B1794">
        <v>7423283</v>
      </c>
      <c r="C1794" s="1">
        <v>45431</v>
      </c>
      <c r="D1794">
        <v>790</v>
      </c>
      <c r="E1794">
        <f>IF(
  ISNA(
    _xlfn.XLOOKUP(
      payments_raw[[#This Row],[subscription_id]],
      subscriptions[subscription_id],
      subscriptions[subscription_id]
    )
  ),
  0,
  1
)</f>
        <v>1</v>
      </c>
      <c r="F1794" s="1">
        <f>_xlfn.XLOOKUP(payments_raw[[#This Row],[subscription_id]], subscriptions[subscription_id], subscriptions[start_date])</f>
        <v>45046</v>
      </c>
      <c r="G17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4" s="2">
        <f>IF(payments_raw[[#This Row],[payment_date]] &lt; payments_raw[[#This Row],[sub_start_date]], 1, 0)</f>
        <v>0</v>
      </c>
      <c r="I1794" s="2">
        <f>IF(AND(payments_raw[[#This Row],[sub_end_date]]&lt;&gt;"", payments_raw[[#This Row],[payment_date]] &gt; payments_raw[[#This Row],[sub_end_date]]), 1, 0)</f>
        <v>0</v>
      </c>
      <c r="J1794" s="2">
        <f>IF(payments_raw[[#This Row],[amount]] &lt;= 0, 1, 0)</f>
        <v>0</v>
      </c>
      <c r="K17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5" spans="1:11" x14ac:dyDescent="0.3">
      <c r="A1795">
        <v>35470866</v>
      </c>
      <c r="B1795">
        <v>7210098</v>
      </c>
      <c r="C1795" s="1">
        <v>45105</v>
      </c>
      <c r="D1795">
        <v>149</v>
      </c>
      <c r="E1795">
        <f>IF(
  ISNA(
    _xlfn.XLOOKUP(
      payments_raw[[#This Row],[subscription_id]],
      subscriptions[subscription_id],
      subscriptions[subscription_id]
    )
  ),
  0,
  1
)</f>
        <v>1</v>
      </c>
      <c r="F1795" s="1">
        <f>_xlfn.XLOOKUP(payments_raw[[#This Row],[subscription_id]], subscriptions[subscription_id], subscriptions[start_date])</f>
        <v>45072</v>
      </c>
      <c r="G17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45316</v>
      </c>
      <c r="H1795" s="2">
        <f>IF(payments_raw[[#This Row],[payment_date]] &lt; payments_raw[[#This Row],[sub_start_date]], 1, 0)</f>
        <v>0</v>
      </c>
      <c r="I1795" s="2">
        <f>IF(AND(payments_raw[[#This Row],[sub_end_date]]&lt;&gt;"", payments_raw[[#This Row],[payment_date]] &gt; payments_raw[[#This Row],[sub_end_date]]), 1, 0)</f>
        <v>0</v>
      </c>
      <c r="J1795" s="2">
        <f>IF(payments_raw[[#This Row],[amount]] &lt;= 0, 1, 0)</f>
        <v>0</v>
      </c>
      <c r="K17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6" spans="1:11" x14ac:dyDescent="0.3">
      <c r="A1796">
        <v>61719505</v>
      </c>
      <c r="B1796">
        <v>2743531</v>
      </c>
      <c r="C1796" s="1">
        <v>45185</v>
      </c>
      <c r="D1796">
        <v>79</v>
      </c>
      <c r="E1796">
        <f>IF(
  ISNA(
    _xlfn.XLOOKUP(
      payments_raw[[#This Row],[subscription_id]],
      subscriptions[subscription_id],
      subscriptions[subscription_id]
    )
  ),
  0,
  1
)</f>
        <v>1</v>
      </c>
      <c r="F1796" s="1">
        <f>_xlfn.XLOOKUP(payments_raw[[#This Row],[subscription_id]], subscriptions[subscription_id], subscriptions[start_date])</f>
        <v>45117</v>
      </c>
      <c r="G17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45485</v>
      </c>
      <c r="H1796" s="2">
        <f>IF(payments_raw[[#This Row],[payment_date]] &lt; payments_raw[[#This Row],[sub_start_date]], 1, 0)</f>
        <v>0</v>
      </c>
      <c r="I1796" s="2">
        <f>IF(AND(payments_raw[[#This Row],[sub_end_date]]&lt;&gt;"", payments_raw[[#This Row],[payment_date]] &gt; payments_raw[[#This Row],[sub_end_date]]), 1, 0)</f>
        <v>0</v>
      </c>
      <c r="J1796" s="2">
        <f>IF(payments_raw[[#This Row],[amount]] &lt;= 0, 1, 0)</f>
        <v>0</v>
      </c>
      <c r="K17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7" spans="1:11" x14ac:dyDescent="0.3">
      <c r="A1797">
        <v>25766710</v>
      </c>
      <c r="B1797">
        <v>1614253</v>
      </c>
      <c r="C1797" s="1">
        <v>45418</v>
      </c>
      <c r="D1797">
        <v>190</v>
      </c>
      <c r="E1797">
        <f>IF(
  ISNA(
    _xlfn.XLOOKUP(
      payments_raw[[#This Row],[subscription_id]],
      subscriptions[subscription_id],
      subscriptions[subscription_id]
    )
  ),
  0,
  1
)</f>
        <v>1</v>
      </c>
      <c r="F1797" s="1">
        <f>_xlfn.XLOOKUP(payments_raw[[#This Row],[subscription_id]], subscriptions[subscription_id], subscriptions[start_date])</f>
        <v>45373</v>
      </c>
      <c r="G17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7" s="2">
        <f>IF(payments_raw[[#This Row],[payment_date]] &lt; payments_raw[[#This Row],[sub_start_date]], 1, 0)</f>
        <v>0</v>
      </c>
      <c r="I1797" s="2">
        <f>IF(AND(payments_raw[[#This Row],[sub_end_date]]&lt;&gt;"", payments_raw[[#This Row],[payment_date]] &gt; payments_raw[[#This Row],[sub_end_date]]), 1, 0)</f>
        <v>0</v>
      </c>
      <c r="J1797" s="2">
        <f>IF(payments_raw[[#This Row],[amount]] &lt;= 0, 1, 0)</f>
        <v>0</v>
      </c>
      <c r="K17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8" spans="1:11" x14ac:dyDescent="0.3">
      <c r="A1798">
        <v>29710954</v>
      </c>
      <c r="B1798">
        <v>1153009</v>
      </c>
      <c r="C1798" s="1">
        <v>45147</v>
      </c>
      <c r="D1798">
        <v>19</v>
      </c>
      <c r="E1798">
        <f>IF(
  ISNA(
    _xlfn.XLOOKUP(
      payments_raw[[#This Row],[subscription_id]],
      subscriptions[subscription_id],
      subscriptions[subscription_id]
    )
  ),
  0,
  1
)</f>
        <v>1</v>
      </c>
      <c r="F1798" s="1">
        <f>_xlfn.XLOOKUP(payments_raw[[#This Row],[subscription_id]], subscriptions[subscription_id], subscriptions[start_date])</f>
        <v>44886</v>
      </c>
      <c r="G17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8" s="2">
        <f>IF(payments_raw[[#This Row],[payment_date]] &lt; payments_raw[[#This Row],[sub_start_date]], 1, 0)</f>
        <v>0</v>
      </c>
      <c r="I1798" s="2">
        <f>IF(AND(payments_raw[[#This Row],[sub_end_date]]&lt;&gt;"", payments_raw[[#This Row],[payment_date]] &gt; payments_raw[[#This Row],[sub_end_date]]), 1, 0)</f>
        <v>0</v>
      </c>
      <c r="J1798" s="2">
        <f>IF(payments_raw[[#This Row],[amount]] &lt;= 0, 1, 0)</f>
        <v>0</v>
      </c>
      <c r="K17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799" spans="1:11" x14ac:dyDescent="0.3">
      <c r="A1799">
        <v>65154850</v>
      </c>
      <c r="B1799">
        <v>2391959</v>
      </c>
      <c r="C1799" s="1">
        <v>45612</v>
      </c>
      <c r="D1799">
        <v>2990</v>
      </c>
      <c r="E1799">
        <f>IF(
  ISNA(
    _xlfn.XLOOKUP(
      payments_raw[[#This Row],[subscription_id]],
      subscriptions[subscription_id],
      subscriptions[subscription_id]
    )
  ),
  0,
  1
)</f>
        <v>1</v>
      </c>
      <c r="F1799" s="1">
        <f>_xlfn.XLOOKUP(payments_raw[[#This Row],[subscription_id]], subscriptions[subscription_id], subscriptions[start_date])</f>
        <v>45595</v>
      </c>
      <c r="G17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799" s="2">
        <f>IF(payments_raw[[#This Row],[payment_date]] &lt; payments_raw[[#This Row],[sub_start_date]], 1, 0)</f>
        <v>0</v>
      </c>
      <c r="I1799" s="2">
        <f>IF(AND(payments_raw[[#This Row],[sub_end_date]]&lt;&gt;"", payments_raw[[#This Row],[payment_date]] &gt; payments_raw[[#This Row],[sub_end_date]]), 1, 0)</f>
        <v>0</v>
      </c>
      <c r="J1799" s="2">
        <f>IF(payments_raw[[#This Row],[amount]] &lt;= 0, 1, 0)</f>
        <v>0</v>
      </c>
      <c r="K17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0" spans="1:11" x14ac:dyDescent="0.3">
      <c r="A1800">
        <v>56106831</v>
      </c>
      <c r="B1800">
        <v>2873547</v>
      </c>
      <c r="C1800" s="1">
        <v>45212</v>
      </c>
      <c r="D1800">
        <v>79</v>
      </c>
      <c r="E1800">
        <f>IF(
  ISNA(
    _xlfn.XLOOKUP(
      payments_raw[[#This Row],[subscription_id]],
      subscriptions[subscription_id],
      subscriptions[subscription_id]
    )
  ),
  0,
  1
)</f>
        <v>1</v>
      </c>
      <c r="F1800" s="1">
        <f>_xlfn.XLOOKUP(payments_raw[[#This Row],[subscription_id]], subscriptions[subscription_id], subscriptions[start_date])</f>
        <v>44928</v>
      </c>
      <c r="G18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45230</v>
      </c>
      <c r="H1800" s="2">
        <f>IF(payments_raw[[#This Row],[payment_date]] &lt; payments_raw[[#This Row],[sub_start_date]], 1, 0)</f>
        <v>0</v>
      </c>
      <c r="I1800" s="2">
        <f>IF(AND(payments_raw[[#This Row],[sub_end_date]]&lt;&gt;"", payments_raw[[#This Row],[payment_date]] &gt; payments_raw[[#This Row],[sub_end_date]]), 1, 0)</f>
        <v>0</v>
      </c>
      <c r="J1800" s="2">
        <f>IF(payments_raw[[#This Row],[amount]] &lt;= 0, 1, 0)</f>
        <v>0</v>
      </c>
      <c r="K18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1" spans="1:11" x14ac:dyDescent="0.3">
      <c r="A1801">
        <v>45776413</v>
      </c>
      <c r="B1801">
        <v>7162932</v>
      </c>
      <c r="C1801" s="1">
        <v>45279</v>
      </c>
      <c r="D1801">
        <v>39</v>
      </c>
      <c r="E1801">
        <f>IF(
  ISNA(
    _xlfn.XLOOKUP(
      payments_raw[[#This Row],[subscription_id]],
      subscriptions[subscription_id],
      subscriptions[subscription_id]
    )
  ),
  0,
  1
)</f>
        <v>1</v>
      </c>
      <c r="F1801" s="1">
        <f>_xlfn.XLOOKUP(payments_raw[[#This Row],[subscription_id]], subscriptions[subscription_id], subscriptions[start_date])</f>
        <v>45125</v>
      </c>
      <c r="G18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1" s="2">
        <f>IF(payments_raw[[#This Row],[payment_date]] &lt; payments_raw[[#This Row],[sub_start_date]], 1, 0)</f>
        <v>0</v>
      </c>
      <c r="I1801" s="2">
        <f>IF(AND(payments_raw[[#This Row],[sub_end_date]]&lt;&gt;"", payments_raw[[#This Row],[payment_date]] &gt; payments_raw[[#This Row],[sub_end_date]]), 1, 0)</f>
        <v>0</v>
      </c>
      <c r="J1801" s="2">
        <f>IF(payments_raw[[#This Row],[amount]] &lt;= 0, 1, 0)</f>
        <v>0</v>
      </c>
      <c r="K18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2" spans="1:11" x14ac:dyDescent="0.3">
      <c r="A1802">
        <v>79080131</v>
      </c>
      <c r="B1802">
        <v>3061828</v>
      </c>
      <c r="C1802" s="1">
        <v>45265</v>
      </c>
      <c r="D1802">
        <v>299</v>
      </c>
      <c r="E1802">
        <f>IF(
  ISNA(
    _xlfn.XLOOKUP(
      payments_raw[[#This Row],[subscription_id]],
      subscriptions[subscription_id],
      subscriptions[subscription_id]
    )
  ),
  0,
  1
)</f>
        <v>1</v>
      </c>
      <c r="F1802" s="1">
        <f>_xlfn.XLOOKUP(payments_raw[[#This Row],[subscription_id]], subscriptions[subscription_id], subscriptions[start_date])</f>
        <v>45134</v>
      </c>
      <c r="G18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1802" s="2">
        <f>IF(payments_raw[[#This Row],[payment_date]] &lt; payments_raw[[#This Row],[sub_start_date]], 1, 0)</f>
        <v>0</v>
      </c>
      <c r="I1802" s="2">
        <f>IF(AND(payments_raw[[#This Row],[sub_end_date]]&lt;&gt;"", payments_raw[[#This Row],[payment_date]] &gt; payments_raw[[#This Row],[sub_end_date]]), 1, 0)</f>
        <v>0</v>
      </c>
      <c r="J1802" s="2">
        <f>IF(payments_raw[[#This Row],[amount]] &lt;= 0, 1, 0)</f>
        <v>0</v>
      </c>
      <c r="K18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3" spans="1:11" x14ac:dyDescent="0.3">
      <c r="A1803">
        <v>15273520</v>
      </c>
      <c r="B1803">
        <v>5905871</v>
      </c>
      <c r="C1803" s="1">
        <v>45100</v>
      </c>
      <c r="D1803">
        <v>149</v>
      </c>
      <c r="E1803">
        <f>IF(
  ISNA(
    _xlfn.XLOOKUP(
      payments_raw[[#This Row],[subscription_id]],
      subscriptions[subscription_id],
      subscriptions[subscription_id]
    )
  ),
  0,
  1
)</f>
        <v>1</v>
      </c>
      <c r="F1803" s="1">
        <f>_xlfn.XLOOKUP(payments_raw[[#This Row],[subscription_id]], subscriptions[subscription_id], subscriptions[start_date])</f>
        <v>44827</v>
      </c>
      <c r="G18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45102</v>
      </c>
      <c r="H1803" s="2">
        <f>IF(payments_raw[[#This Row],[payment_date]] &lt; payments_raw[[#This Row],[sub_start_date]], 1, 0)</f>
        <v>0</v>
      </c>
      <c r="I1803" s="2">
        <f>IF(AND(payments_raw[[#This Row],[sub_end_date]]&lt;&gt;"", payments_raw[[#This Row],[payment_date]] &gt; payments_raw[[#This Row],[sub_end_date]]), 1, 0)</f>
        <v>0</v>
      </c>
      <c r="J1803" s="2">
        <f>IF(payments_raw[[#This Row],[amount]] &lt;= 0, 1, 0)</f>
        <v>0</v>
      </c>
      <c r="K18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4" spans="1:11" x14ac:dyDescent="0.3">
      <c r="A1804">
        <v>89741240</v>
      </c>
      <c r="B1804">
        <v>9207723</v>
      </c>
      <c r="C1804" s="1">
        <v>45654</v>
      </c>
      <c r="D1804">
        <v>134.1</v>
      </c>
      <c r="E1804">
        <f>IF(
  ISNA(
    _xlfn.XLOOKUP(
      payments_raw[[#This Row],[subscription_id]],
      subscriptions[subscription_id],
      subscriptions[subscription_id]
    )
  ),
  0,
  1
)</f>
        <v>1</v>
      </c>
      <c r="F1804" s="1">
        <f>_xlfn.XLOOKUP(payments_raw[[#This Row],[subscription_id]], subscriptions[subscription_id], subscriptions[start_date])</f>
        <v>45022</v>
      </c>
      <c r="G18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4" s="2">
        <f>IF(payments_raw[[#This Row],[payment_date]] &lt; payments_raw[[#This Row],[sub_start_date]], 1, 0)</f>
        <v>0</v>
      </c>
      <c r="I1804" s="2">
        <f>IF(AND(payments_raw[[#This Row],[sub_end_date]]&lt;&gt;"", payments_raw[[#This Row],[payment_date]] &gt; payments_raw[[#This Row],[sub_end_date]]), 1, 0)</f>
        <v>0</v>
      </c>
      <c r="J1804" s="2">
        <f>IF(payments_raw[[#This Row],[amount]] &lt;= 0, 1, 0)</f>
        <v>0</v>
      </c>
      <c r="K18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5" spans="1:11" x14ac:dyDescent="0.3">
      <c r="A1805">
        <v>64702301</v>
      </c>
      <c r="B1805">
        <v>7383812</v>
      </c>
      <c r="C1805" s="1">
        <v>44968</v>
      </c>
      <c r="D1805">
        <v>299</v>
      </c>
      <c r="E1805">
        <f>IF(
  ISNA(
    _xlfn.XLOOKUP(
      payments_raw[[#This Row],[subscription_id]],
      subscriptions[subscription_id],
      subscriptions[subscription_id]
    )
  ),
  0,
  1
)</f>
        <v>1</v>
      </c>
      <c r="F1805" s="1">
        <f>_xlfn.XLOOKUP(payments_raw[[#This Row],[subscription_id]], subscriptions[subscription_id], subscriptions[start_date])</f>
        <v>44817</v>
      </c>
      <c r="G18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5" s="2">
        <f>IF(payments_raw[[#This Row],[payment_date]] &lt; payments_raw[[#This Row],[sub_start_date]], 1, 0)</f>
        <v>0</v>
      </c>
      <c r="I1805" s="2">
        <f>IF(AND(payments_raw[[#This Row],[sub_end_date]]&lt;&gt;"", payments_raw[[#This Row],[payment_date]] &gt; payments_raw[[#This Row],[sub_end_date]]), 1, 0)</f>
        <v>0</v>
      </c>
      <c r="J1805" s="2">
        <f>IF(payments_raw[[#This Row],[amount]] &lt;= 0, 1, 0)</f>
        <v>0</v>
      </c>
      <c r="K18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6" spans="1:11" x14ac:dyDescent="0.3">
      <c r="A1806">
        <v>51759819</v>
      </c>
      <c r="B1806">
        <v>5740596</v>
      </c>
      <c r="C1806" s="1">
        <v>45638</v>
      </c>
      <c r="D1806">
        <v>19</v>
      </c>
      <c r="E1806">
        <f>IF(
  ISNA(
    _xlfn.XLOOKUP(
      payments_raw[[#This Row],[subscription_id]],
      subscriptions[subscription_id],
      subscriptions[subscription_id]
    )
  ),
  0,
  1
)</f>
        <v>1</v>
      </c>
      <c r="F1806" s="1">
        <f>_xlfn.XLOOKUP(payments_raw[[#This Row],[subscription_id]], subscriptions[subscription_id], subscriptions[start_date])</f>
        <v>45218</v>
      </c>
      <c r="G18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6" s="2">
        <f>IF(payments_raw[[#This Row],[payment_date]] &lt; payments_raw[[#This Row],[sub_start_date]], 1, 0)</f>
        <v>0</v>
      </c>
      <c r="I1806" s="2">
        <f>IF(AND(payments_raw[[#This Row],[sub_end_date]]&lt;&gt;"", payments_raw[[#This Row],[payment_date]] &gt; payments_raw[[#This Row],[sub_end_date]]), 1, 0)</f>
        <v>0</v>
      </c>
      <c r="J1806" s="2">
        <f>IF(payments_raw[[#This Row],[amount]] &lt;= 0, 1, 0)</f>
        <v>0</v>
      </c>
      <c r="K18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7" spans="1:11" x14ac:dyDescent="0.3">
      <c r="A1807">
        <v>98317278</v>
      </c>
      <c r="B1807">
        <v>4892874</v>
      </c>
      <c r="C1807" s="1">
        <v>45365</v>
      </c>
      <c r="D1807">
        <v>19</v>
      </c>
      <c r="E1807">
        <f>IF(
  ISNA(
    _xlfn.XLOOKUP(
      payments_raw[[#This Row],[subscription_id]],
      subscriptions[subscription_id],
      subscriptions[subscription_id]
    )
  ),
  0,
  1
)</f>
        <v>1</v>
      </c>
      <c r="F1807" s="1">
        <f>_xlfn.XLOOKUP(payments_raw[[#This Row],[subscription_id]], subscriptions[subscription_id], subscriptions[start_date])</f>
        <v>44750</v>
      </c>
      <c r="G18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7" s="2">
        <f>IF(payments_raw[[#This Row],[payment_date]] &lt; payments_raw[[#This Row],[sub_start_date]], 1, 0)</f>
        <v>0</v>
      </c>
      <c r="I1807" s="2">
        <f>IF(AND(payments_raw[[#This Row],[sub_end_date]]&lt;&gt;"", payments_raw[[#This Row],[payment_date]] &gt; payments_raw[[#This Row],[sub_end_date]]), 1, 0)</f>
        <v>0</v>
      </c>
      <c r="J1807" s="2">
        <f>IF(payments_raw[[#This Row],[amount]] &lt;= 0, 1, 0)</f>
        <v>0</v>
      </c>
      <c r="K18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8" spans="1:11" x14ac:dyDescent="0.3">
      <c r="A1808">
        <v>61038473</v>
      </c>
      <c r="B1808">
        <v>9595901</v>
      </c>
      <c r="C1808" s="1">
        <v>45148</v>
      </c>
      <c r="D1808">
        <v>79</v>
      </c>
      <c r="E1808">
        <f>IF(
  ISNA(
    _xlfn.XLOOKUP(
      payments_raw[[#This Row],[subscription_id]],
      subscriptions[subscription_id],
      subscriptions[subscription_id]
    )
  ),
  0,
  1
)</f>
        <v>1</v>
      </c>
      <c r="F1808" s="1">
        <f>_xlfn.XLOOKUP(payments_raw[[#This Row],[subscription_id]], subscriptions[subscription_id], subscriptions[start_date])</f>
        <v>44609</v>
      </c>
      <c r="G18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08" s="2">
        <f>IF(payments_raw[[#This Row],[payment_date]] &lt; payments_raw[[#This Row],[sub_start_date]], 1, 0)</f>
        <v>0</v>
      </c>
      <c r="I1808" s="2">
        <f>IF(AND(payments_raw[[#This Row],[sub_end_date]]&lt;&gt;"", payments_raw[[#This Row],[payment_date]] &gt; payments_raw[[#This Row],[sub_end_date]]), 1, 0)</f>
        <v>0</v>
      </c>
      <c r="J1808" s="2">
        <f>IF(payments_raw[[#This Row],[amount]] &lt;= 0, 1, 0)</f>
        <v>0</v>
      </c>
      <c r="K18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09" spans="1:11" x14ac:dyDescent="0.3">
      <c r="A1809">
        <v>85122416</v>
      </c>
      <c r="B1809">
        <v>3037470</v>
      </c>
      <c r="C1809" s="1">
        <v>44843</v>
      </c>
      <c r="D1809">
        <v>299</v>
      </c>
      <c r="E1809">
        <f>IF(
  ISNA(
    _xlfn.XLOOKUP(
      payments_raw[[#This Row],[subscription_id]],
      subscriptions[subscription_id],
      subscriptions[subscription_id]
    )
  ),
  0,
  1
)</f>
        <v>1</v>
      </c>
      <c r="F1809" s="1">
        <f>_xlfn.XLOOKUP(payments_raw[[#This Row],[subscription_id]], subscriptions[subscription_id], subscriptions[start_date])</f>
        <v>44670</v>
      </c>
      <c r="G180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44964</v>
      </c>
      <c r="H1809" s="2">
        <f>IF(payments_raw[[#This Row],[payment_date]] &lt; payments_raw[[#This Row],[sub_start_date]], 1, 0)</f>
        <v>0</v>
      </c>
      <c r="I1809" s="2">
        <f>IF(AND(payments_raw[[#This Row],[sub_end_date]]&lt;&gt;"", payments_raw[[#This Row],[payment_date]] &gt; payments_raw[[#This Row],[sub_end_date]]), 1, 0)</f>
        <v>0</v>
      </c>
      <c r="J1809" s="2">
        <f>IF(payments_raw[[#This Row],[amount]] &lt;= 0, 1, 0)</f>
        <v>0</v>
      </c>
      <c r="K18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0" spans="1:11" x14ac:dyDescent="0.3">
      <c r="A1810">
        <v>27982209</v>
      </c>
      <c r="B1810">
        <v>3240199</v>
      </c>
      <c r="C1810" s="1">
        <v>45452</v>
      </c>
      <c r="D1810">
        <v>190</v>
      </c>
      <c r="E1810">
        <f>IF(
  ISNA(
    _xlfn.XLOOKUP(
      payments_raw[[#This Row],[subscription_id]],
      subscriptions[subscription_id],
      subscriptions[subscription_id]
    )
  ),
  0,
  1
)</f>
        <v>1</v>
      </c>
      <c r="F1810" s="1">
        <f>_xlfn.XLOOKUP(payments_raw[[#This Row],[subscription_id]], subscriptions[subscription_id], subscriptions[start_date])</f>
        <v>45380</v>
      </c>
      <c r="G18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1810" s="2">
        <f>IF(payments_raw[[#This Row],[payment_date]] &lt; payments_raw[[#This Row],[sub_start_date]], 1, 0)</f>
        <v>0</v>
      </c>
      <c r="I1810" s="2">
        <f>IF(AND(payments_raw[[#This Row],[sub_end_date]]&lt;&gt;"", payments_raw[[#This Row],[payment_date]] &gt; payments_raw[[#This Row],[sub_end_date]]), 1, 0)</f>
        <v>0</v>
      </c>
      <c r="J1810" s="2">
        <f>IF(payments_raw[[#This Row],[amount]] &lt;= 0, 1, 0)</f>
        <v>0</v>
      </c>
      <c r="K18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1" spans="1:11" x14ac:dyDescent="0.3">
      <c r="A1811">
        <v>35052945</v>
      </c>
      <c r="B1811">
        <v>3954562</v>
      </c>
      <c r="C1811" s="1">
        <v>45643</v>
      </c>
      <c r="D1811">
        <v>299</v>
      </c>
      <c r="E1811">
        <f>IF(
  ISNA(
    _xlfn.XLOOKUP(
      payments_raw[[#This Row],[subscription_id]],
      subscriptions[subscription_id],
      subscriptions[subscription_id]
    )
  ),
  0,
  1
)</f>
        <v>1</v>
      </c>
      <c r="F1811" s="1">
        <f>_xlfn.XLOOKUP(payments_raw[[#This Row],[subscription_id]], subscriptions[subscription_id], subscriptions[start_date])</f>
        <v>44733</v>
      </c>
      <c r="G18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1" s="2">
        <f>IF(payments_raw[[#This Row],[payment_date]] &lt; payments_raw[[#This Row],[sub_start_date]], 1, 0)</f>
        <v>0</v>
      </c>
      <c r="I1811" s="2">
        <f>IF(AND(payments_raw[[#This Row],[sub_end_date]]&lt;&gt;"", payments_raw[[#This Row],[payment_date]] &gt; payments_raw[[#This Row],[sub_end_date]]), 1, 0)</f>
        <v>0</v>
      </c>
      <c r="J1811" s="2">
        <f>IF(payments_raw[[#This Row],[amount]] &lt;= 0, 1, 0)</f>
        <v>0</v>
      </c>
      <c r="K18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2" spans="1:11" x14ac:dyDescent="0.3">
      <c r="A1812">
        <v>17731369</v>
      </c>
      <c r="B1812">
        <v>9466397</v>
      </c>
      <c r="C1812" s="1">
        <v>45373</v>
      </c>
      <c r="D1812">
        <v>299</v>
      </c>
      <c r="E1812">
        <f>IF(
  ISNA(
    _xlfn.XLOOKUP(
      payments_raw[[#This Row],[subscription_id]],
      subscriptions[subscription_id],
      subscriptions[subscription_id]
    )
  ),
  0,
  1
)</f>
        <v>1</v>
      </c>
      <c r="F1812" s="1">
        <f>_xlfn.XLOOKUP(payments_raw[[#This Row],[subscription_id]], subscriptions[subscription_id], subscriptions[start_date])</f>
        <v>44627</v>
      </c>
      <c r="G18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2" s="2">
        <f>IF(payments_raw[[#This Row],[payment_date]] &lt; payments_raw[[#This Row],[sub_start_date]], 1, 0)</f>
        <v>0</v>
      </c>
      <c r="I1812" s="2">
        <f>IF(AND(payments_raw[[#This Row],[sub_end_date]]&lt;&gt;"", payments_raw[[#This Row],[payment_date]] &gt; payments_raw[[#This Row],[sub_end_date]]), 1, 0)</f>
        <v>0</v>
      </c>
      <c r="J1812" s="2">
        <f>IF(payments_raw[[#This Row],[amount]] &lt;= 0, 1, 0)</f>
        <v>0</v>
      </c>
      <c r="K18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3" spans="1:11" x14ac:dyDescent="0.3">
      <c r="A1813">
        <v>40187291</v>
      </c>
      <c r="B1813">
        <v>2670640</v>
      </c>
      <c r="C1813" s="1">
        <v>45071</v>
      </c>
      <c r="D1813">
        <v>790</v>
      </c>
      <c r="E1813">
        <f>IF(
  ISNA(
    _xlfn.XLOOKUP(
      payments_raw[[#This Row],[subscription_id]],
      subscriptions[subscription_id],
      subscriptions[subscription_id]
    )
  ),
  0,
  1
)</f>
        <v>1</v>
      </c>
      <c r="F1813" s="1">
        <f>_xlfn.XLOOKUP(payments_raw[[#This Row],[subscription_id]], subscriptions[subscription_id], subscriptions[start_date])</f>
        <v>44820</v>
      </c>
      <c r="G18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3" s="2">
        <f>IF(payments_raw[[#This Row],[payment_date]] &lt; payments_raw[[#This Row],[sub_start_date]], 1, 0)</f>
        <v>0</v>
      </c>
      <c r="I1813" s="2">
        <f>IF(AND(payments_raw[[#This Row],[sub_end_date]]&lt;&gt;"", payments_raw[[#This Row],[payment_date]] &gt; payments_raw[[#This Row],[sub_end_date]]), 1, 0)</f>
        <v>0</v>
      </c>
      <c r="J1813" s="2">
        <f>IF(payments_raw[[#This Row],[amount]] &lt;= 0, 1, 0)</f>
        <v>0</v>
      </c>
      <c r="K18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4" spans="1:11" x14ac:dyDescent="0.3">
      <c r="A1814">
        <v>37153169</v>
      </c>
      <c r="B1814">
        <v>1115482</v>
      </c>
      <c r="C1814" s="1">
        <v>44836</v>
      </c>
      <c r="D1814">
        <v>269.10000000000002</v>
      </c>
      <c r="E1814">
        <f>IF(
  ISNA(
    _xlfn.XLOOKUP(
      payments_raw[[#This Row],[subscription_id]],
      subscriptions[subscription_id],
      subscriptions[subscription_id]
    )
  ),
  0,
  1
)</f>
        <v>1</v>
      </c>
      <c r="F1814" s="1">
        <f>_xlfn.XLOOKUP(payments_raw[[#This Row],[subscription_id]], subscriptions[subscription_id], subscriptions[start_date])</f>
        <v>44628</v>
      </c>
      <c r="G181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1814" s="2">
        <f>IF(payments_raw[[#This Row],[payment_date]] &lt; payments_raw[[#This Row],[sub_start_date]], 1, 0)</f>
        <v>0</v>
      </c>
      <c r="I1814" s="2">
        <f>IF(AND(payments_raw[[#This Row],[sub_end_date]]&lt;&gt;"", payments_raw[[#This Row],[payment_date]] &gt; payments_raw[[#This Row],[sub_end_date]]), 1, 0)</f>
        <v>0</v>
      </c>
      <c r="J1814" s="2">
        <f>IF(payments_raw[[#This Row],[amount]] &lt;= 0, 1, 0)</f>
        <v>0</v>
      </c>
      <c r="K18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5" spans="1:11" x14ac:dyDescent="0.3">
      <c r="A1815">
        <v>42331122</v>
      </c>
      <c r="B1815">
        <v>2923507</v>
      </c>
      <c r="C1815" s="1">
        <v>44949</v>
      </c>
      <c r="D1815">
        <v>142.5</v>
      </c>
      <c r="E1815">
        <f>IF(
  ISNA(
    _xlfn.XLOOKUP(
      payments_raw[[#This Row],[subscription_id]],
      subscriptions[subscription_id],
      subscriptions[subscription_id]
    )
  ),
  0,
  1
)</f>
        <v>1</v>
      </c>
      <c r="F1815" s="1">
        <f>_xlfn.XLOOKUP(payments_raw[[#This Row],[subscription_id]], subscriptions[subscription_id], subscriptions[start_date])</f>
        <v>44930</v>
      </c>
      <c r="G18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45179</v>
      </c>
      <c r="H1815" s="2">
        <f>IF(payments_raw[[#This Row],[payment_date]] &lt; payments_raw[[#This Row],[sub_start_date]], 1, 0)</f>
        <v>0</v>
      </c>
      <c r="I1815" s="2">
        <f>IF(AND(payments_raw[[#This Row],[sub_end_date]]&lt;&gt;"", payments_raw[[#This Row],[payment_date]] &gt; payments_raw[[#This Row],[sub_end_date]]), 1, 0)</f>
        <v>0</v>
      </c>
      <c r="J1815" s="2">
        <f>IF(payments_raw[[#This Row],[amount]] &lt;= 0, 1, 0)</f>
        <v>0</v>
      </c>
      <c r="K18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6" spans="1:11" x14ac:dyDescent="0.3">
      <c r="A1816">
        <v>99719331</v>
      </c>
      <c r="B1816">
        <v>6275644</v>
      </c>
      <c r="C1816" s="1">
        <v>45353</v>
      </c>
      <c r="D1816">
        <v>149</v>
      </c>
      <c r="E1816">
        <f>IF(
  ISNA(
    _xlfn.XLOOKUP(
      payments_raw[[#This Row],[subscription_id]],
      subscriptions[subscription_id],
      subscriptions[subscription_id]
    )
  ),
  0,
  1
)</f>
        <v>1</v>
      </c>
      <c r="F1816" s="1">
        <f>_xlfn.XLOOKUP(payments_raw[[#This Row],[subscription_id]], subscriptions[subscription_id], subscriptions[start_date])</f>
        <v>44812</v>
      </c>
      <c r="G18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6" s="2">
        <f>IF(payments_raw[[#This Row],[payment_date]] &lt; payments_raw[[#This Row],[sub_start_date]], 1, 0)</f>
        <v>0</v>
      </c>
      <c r="I1816" s="2">
        <f>IF(AND(payments_raw[[#This Row],[sub_end_date]]&lt;&gt;"", payments_raw[[#This Row],[payment_date]] &gt; payments_raw[[#This Row],[sub_end_date]]), 1, 0)</f>
        <v>0</v>
      </c>
      <c r="J1816" s="2">
        <f>IF(payments_raw[[#This Row],[amount]] &lt;= 0, 1, 0)</f>
        <v>0</v>
      </c>
      <c r="K18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7" spans="1:11" x14ac:dyDescent="0.3">
      <c r="A1817">
        <v>13756676</v>
      </c>
      <c r="B1817">
        <v>5715786</v>
      </c>
      <c r="C1817" s="1">
        <v>45557</v>
      </c>
      <c r="D1817">
        <v>2990</v>
      </c>
      <c r="E1817">
        <f>IF(
  ISNA(
    _xlfn.XLOOKUP(
      payments_raw[[#This Row],[subscription_id]],
      subscriptions[subscription_id],
      subscriptions[subscription_id]
    )
  ),
  0,
  1
)</f>
        <v>1</v>
      </c>
      <c r="F1817" s="1">
        <f>_xlfn.XLOOKUP(payments_raw[[#This Row],[subscription_id]], subscriptions[subscription_id], subscriptions[start_date])</f>
        <v>45366</v>
      </c>
      <c r="G18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7" s="2">
        <f>IF(payments_raw[[#This Row],[payment_date]] &lt; payments_raw[[#This Row],[sub_start_date]], 1, 0)</f>
        <v>0</v>
      </c>
      <c r="I1817" s="2">
        <f>IF(AND(payments_raw[[#This Row],[sub_end_date]]&lt;&gt;"", payments_raw[[#This Row],[payment_date]] &gt; payments_raw[[#This Row],[sub_end_date]]), 1, 0)</f>
        <v>0</v>
      </c>
      <c r="J1817" s="2">
        <f>IF(payments_raw[[#This Row],[amount]] &lt;= 0, 1, 0)</f>
        <v>0</v>
      </c>
      <c r="K18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8" spans="1:11" x14ac:dyDescent="0.3">
      <c r="A1818">
        <v>45846358</v>
      </c>
      <c r="B1818">
        <v>8191191</v>
      </c>
      <c r="C1818" s="1">
        <v>45436</v>
      </c>
      <c r="D1818">
        <v>790</v>
      </c>
      <c r="E1818">
        <f>IF(
  ISNA(
    _xlfn.XLOOKUP(
      payments_raw[[#This Row],[subscription_id]],
      subscriptions[subscription_id],
      subscriptions[subscription_id]
    )
  ),
  0,
  1
)</f>
        <v>1</v>
      </c>
      <c r="F1818" s="1">
        <f>_xlfn.XLOOKUP(payments_raw[[#This Row],[subscription_id]], subscriptions[subscription_id], subscriptions[start_date])</f>
        <v>45247</v>
      </c>
      <c r="G18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18" s="2">
        <f>IF(payments_raw[[#This Row],[payment_date]] &lt; payments_raw[[#This Row],[sub_start_date]], 1, 0)</f>
        <v>0</v>
      </c>
      <c r="I1818" s="2">
        <f>IF(AND(payments_raw[[#This Row],[sub_end_date]]&lt;&gt;"", payments_raw[[#This Row],[payment_date]] &gt; payments_raw[[#This Row],[sub_end_date]]), 1, 0)</f>
        <v>0</v>
      </c>
      <c r="J1818" s="2">
        <f>IF(payments_raw[[#This Row],[amount]] &lt;= 0, 1, 0)</f>
        <v>0</v>
      </c>
      <c r="K18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19" spans="1:11" x14ac:dyDescent="0.3">
      <c r="A1819">
        <v>62399178</v>
      </c>
      <c r="B1819">
        <v>3046457</v>
      </c>
      <c r="C1819" s="1">
        <v>44745</v>
      </c>
      <c r="D1819">
        <v>1490</v>
      </c>
      <c r="E1819">
        <f>IF(
  ISNA(
    _xlfn.XLOOKUP(
      payments_raw[[#This Row],[subscription_id]],
      subscriptions[subscription_id],
      subscriptions[subscription_id]
    )
  ),
  0,
  1
)</f>
        <v>1</v>
      </c>
      <c r="F1819" s="1">
        <f>_xlfn.XLOOKUP(payments_raw[[#This Row],[subscription_id]], subscriptions[subscription_id], subscriptions[start_date])</f>
        <v>44677</v>
      </c>
      <c r="G181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44809</v>
      </c>
      <c r="H1819" s="2">
        <f>IF(payments_raw[[#This Row],[payment_date]] &lt; payments_raw[[#This Row],[sub_start_date]], 1, 0)</f>
        <v>0</v>
      </c>
      <c r="I1819" s="2">
        <f>IF(AND(payments_raw[[#This Row],[sub_end_date]]&lt;&gt;"", payments_raw[[#This Row],[payment_date]] &gt; payments_raw[[#This Row],[sub_end_date]]), 1, 0)</f>
        <v>0</v>
      </c>
      <c r="J1819" s="2">
        <f>IF(payments_raw[[#This Row],[amount]] &lt;= 0, 1, 0)</f>
        <v>0</v>
      </c>
      <c r="K18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0" spans="1:11" x14ac:dyDescent="0.3">
      <c r="A1820">
        <v>70871955</v>
      </c>
      <c r="B1820">
        <v>5373809</v>
      </c>
      <c r="C1820" s="1">
        <v>45084</v>
      </c>
      <c r="D1820">
        <v>2990</v>
      </c>
      <c r="E1820">
        <f>IF(
  ISNA(
    _xlfn.XLOOKUP(
      payments_raw[[#This Row],[subscription_id]],
      subscriptions[subscription_id],
      subscriptions[subscription_id]
    )
  ),
  0,
  1
)</f>
        <v>1</v>
      </c>
      <c r="F1820" s="1">
        <f>_xlfn.XLOOKUP(payments_raw[[#This Row],[subscription_id]], subscriptions[subscription_id], subscriptions[start_date])</f>
        <v>44673</v>
      </c>
      <c r="G18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0" s="2">
        <f>IF(payments_raw[[#This Row],[payment_date]] &lt; payments_raw[[#This Row],[sub_start_date]], 1, 0)</f>
        <v>0</v>
      </c>
      <c r="I1820" s="2">
        <f>IF(AND(payments_raw[[#This Row],[sub_end_date]]&lt;&gt;"", payments_raw[[#This Row],[payment_date]] &gt; payments_raw[[#This Row],[sub_end_date]]), 1, 0)</f>
        <v>0</v>
      </c>
      <c r="J1820" s="2">
        <f>IF(payments_raw[[#This Row],[amount]] &lt;= 0, 1, 0)</f>
        <v>0</v>
      </c>
      <c r="K18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1" spans="1:11" x14ac:dyDescent="0.3">
      <c r="A1821">
        <v>46004061</v>
      </c>
      <c r="B1821">
        <v>8753576</v>
      </c>
      <c r="C1821" s="1">
        <v>45200</v>
      </c>
      <c r="D1821">
        <v>79</v>
      </c>
      <c r="E1821">
        <f>IF(
  ISNA(
    _xlfn.XLOOKUP(
      payments_raw[[#This Row],[subscription_id]],
      subscriptions[subscription_id],
      subscriptions[subscription_id]
    )
  ),
  0,
  1
)</f>
        <v>1</v>
      </c>
      <c r="F1821" s="1">
        <f>_xlfn.XLOOKUP(payments_raw[[#This Row],[subscription_id]], subscriptions[subscription_id], subscriptions[start_date])</f>
        <v>45108</v>
      </c>
      <c r="G18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45205</v>
      </c>
      <c r="H1821" s="2">
        <f>IF(payments_raw[[#This Row],[payment_date]] &lt; payments_raw[[#This Row],[sub_start_date]], 1, 0)</f>
        <v>0</v>
      </c>
      <c r="I1821" s="2">
        <f>IF(AND(payments_raw[[#This Row],[sub_end_date]]&lt;&gt;"", payments_raw[[#This Row],[payment_date]] &gt; payments_raw[[#This Row],[sub_end_date]]), 1, 0)</f>
        <v>0</v>
      </c>
      <c r="J1821" s="2">
        <f>IF(payments_raw[[#This Row],[amount]] &lt;= 0, 1, 0)</f>
        <v>0</v>
      </c>
      <c r="K18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2" spans="1:11" x14ac:dyDescent="0.3">
      <c r="A1822">
        <v>95325945</v>
      </c>
      <c r="B1822">
        <v>2797914</v>
      </c>
      <c r="C1822" s="1">
        <v>45259</v>
      </c>
      <c r="D1822">
        <v>79</v>
      </c>
      <c r="E1822">
        <f>IF(
  ISNA(
    _xlfn.XLOOKUP(
      payments_raw[[#This Row],[subscription_id]],
      subscriptions[subscription_id],
      subscriptions[subscription_id]
    )
  ),
  0,
  1
)</f>
        <v>1</v>
      </c>
      <c r="F1822" s="1">
        <f>_xlfn.XLOOKUP(payments_raw[[#This Row],[subscription_id]], subscriptions[subscription_id], subscriptions[start_date])</f>
        <v>44572</v>
      </c>
      <c r="G18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2" s="2">
        <f>IF(payments_raw[[#This Row],[payment_date]] &lt; payments_raw[[#This Row],[sub_start_date]], 1, 0)</f>
        <v>0</v>
      </c>
      <c r="I1822" s="2">
        <f>IF(AND(payments_raw[[#This Row],[sub_end_date]]&lt;&gt;"", payments_raw[[#This Row],[payment_date]] &gt; payments_raw[[#This Row],[sub_end_date]]), 1, 0)</f>
        <v>0</v>
      </c>
      <c r="J1822" s="2">
        <f>IF(payments_raw[[#This Row],[amount]] &lt;= 0, 1, 0)</f>
        <v>0</v>
      </c>
      <c r="K18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3" spans="1:11" x14ac:dyDescent="0.3">
      <c r="A1823">
        <v>58384498</v>
      </c>
      <c r="B1823">
        <v>7459520</v>
      </c>
      <c r="C1823" s="1">
        <v>45406</v>
      </c>
      <c r="D1823">
        <v>390</v>
      </c>
      <c r="E1823">
        <f>IF(
  ISNA(
    _xlfn.XLOOKUP(
      payments_raw[[#This Row],[subscription_id]],
      subscriptions[subscription_id],
      subscriptions[subscription_id]
    )
  ),
  0,
  1
)</f>
        <v>1</v>
      </c>
      <c r="F1823" s="1">
        <f>_xlfn.XLOOKUP(payments_raw[[#This Row],[subscription_id]], subscriptions[subscription_id], subscriptions[start_date])</f>
        <v>45284</v>
      </c>
      <c r="G18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3" s="2">
        <f>IF(payments_raw[[#This Row],[payment_date]] &lt; payments_raw[[#This Row],[sub_start_date]], 1, 0)</f>
        <v>0</v>
      </c>
      <c r="I1823" s="2">
        <f>IF(AND(payments_raw[[#This Row],[sub_end_date]]&lt;&gt;"", payments_raw[[#This Row],[payment_date]] &gt; payments_raw[[#This Row],[sub_end_date]]), 1, 0)</f>
        <v>0</v>
      </c>
      <c r="J1823" s="2">
        <f>IF(payments_raw[[#This Row],[amount]] &lt;= 0, 1, 0)</f>
        <v>0</v>
      </c>
      <c r="K18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4" spans="1:11" x14ac:dyDescent="0.3">
      <c r="A1824">
        <v>85741435</v>
      </c>
      <c r="B1824">
        <v>8155525</v>
      </c>
      <c r="C1824" s="1">
        <v>45593</v>
      </c>
      <c r="D1824">
        <v>79</v>
      </c>
      <c r="E1824">
        <f>IF(
  ISNA(
    _xlfn.XLOOKUP(
      payments_raw[[#This Row],[subscription_id]],
      subscriptions[subscription_id],
      subscriptions[subscription_id]
    )
  ),
  0,
  1
)</f>
        <v>1</v>
      </c>
      <c r="F1824" s="1">
        <f>_xlfn.XLOOKUP(payments_raw[[#This Row],[subscription_id]], subscriptions[subscription_id], subscriptions[start_date])</f>
        <v>45473</v>
      </c>
      <c r="G18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4" s="2">
        <f>IF(payments_raw[[#This Row],[payment_date]] &lt; payments_raw[[#This Row],[sub_start_date]], 1, 0)</f>
        <v>0</v>
      </c>
      <c r="I1824" s="2">
        <f>IF(AND(payments_raw[[#This Row],[sub_end_date]]&lt;&gt;"", payments_raw[[#This Row],[payment_date]] &gt; payments_raw[[#This Row],[sub_end_date]]), 1, 0)</f>
        <v>0</v>
      </c>
      <c r="J1824" s="2">
        <f>IF(payments_raw[[#This Row],[amount]] &lt;= 0, 1, 0)</f>
        <v>0</v>
      </c>
      <c r="K18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5" spans="1:11" x14ac:dyDescent="0.3">
      <c r="A1825">
        <v>46353477</v>
      </c>
      <c r="B1825">
        <v>7364768</v>
      </c>
      <c r="C1825" s="1">
        <v>45588</v>
      </c>
      <c r="D1825">
        <v>19</v>
      </c>
      <c r="E1825">
        <f>IF(
  ISNA(
    _xlfn.XLOOKUP(
      payments_raw[[#This Row],[subscription_id]],
      subscriptions[subscription_id],
      subscriptions[subscription_id]
    )
  ),
  0,
  1
)</f>
        <v>1</v>
      </c>
      <c r="F1825" s="1">
        <f>_xlfn.XLOOKUP(payments_raw[[#This Row],[subscription_id]], subscriptions[subscription_id], subscriptions[start_date])</f>
        <v>45538</v>
      </c>
      <c r="G18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5" s="2">
        <f>IF(payments_raw[[#This Row],[payment_date]] &lt; payments_raw[[#This Row],[sub_start_date]], 1, 0)</f>
        <v>0</v>
      </c>
      <c r="I1825" s="2">
        <f>IF(AND(payments_raw[[#This Row],[sub_end_date]]&lt;&gt;"", payments_raw[[#This Row],[payment_date]] &gt; payments_raw[[#This Row],[sub_end_date]]), 1, 0)</f>
        <v>0</v>
      </c>
      <c r="J1825" s="2">
        <f>IF(payments_raw[[#This Row],[amount]] &lt;= 0, 1, 0)</f>
        <v>0</v>
      </c>
      <c r="K18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6" spans="1:11" x14ac:dyDescent="0.3">
      <c r="A1826">
        <v>89812200</v>
      </c>
      <c r="B1826">
        <v>1238423</v>
      </c>
      <c r="C1826" s="1">
        <v>45388</v>
      </c>
      <c r="D1826">
        <v>79</v>
      </c>
      <c r="E1826">
        <f>IF(
  ISNA(
    _xlfn.XLOOKUP(
      payments_raw[[#This Row],[subscription_id]],
      subscriptions[subscription_id],
      subscriptions[subscription_id]
    )
  ),
  0,
  1
)</f>
        <v>1</v>
      </c>
      <c r="F1826" s="1">
        <f>_xlfn.XLOOKUP(payments_raw[[#This Row],[subscription_id]], subscriptions[subscription_id], subscriptions[start_date])</f>
        <v>44874</v>
      </c>
      <c r="G18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6" s="2">
        <f>IF(payments_raw[[#This Row],[payment_date]] &lt; payments_raw[[#This Row],[sub_start_date]], 1, 0)</f>
        <v>0</v>
      </c>
      <c r="I1826" s="2">
        <f>IF(AND(payments_raw[[#This Row],[sub_end_date]]&lt;&gt;"", payments_raw[[#This Row],[payment_date]] &gt; payments_raw[[#This Row],[sub_end_date]]), 1, 0)</f>
        <v>0</v>
      </c>
      <c r="J1826" s="2">
        <f>IF(payments_raw[[#This Row],[amount]] &lt;= 0, 1, 0)</f>
        <v>0</v>
      </c>
      <c r="K18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7" spans="1:11" x14ac:dyDescent="0.3">
      <c r="A1827">
        <v>18533850</v>
      </c>
      <c r="B1827">
        <v>3061828</v>
      </c>
      <c r="C1827" s="1">
        <v>45244</v>
      </c>
      <c r="D1827">
        <v>299</v>
      </c>
      <c r="E1827">
        <f>IF(
  ISNA(
    _xlfn.XLOOKUP(
      payments_raw[[#This Row],[subscription_id]],
      subscriptions[subscription_id],
      subscriptions[subscription_id]
    )
  ),
  0,
  1
)</f>
        <v>1</v>
      </c>
      <c r="F1827" s="1">
        <f>_xlfn.XLOOKUP(payments_raw[[#This Row],[subscription_id]], subscriptions[subscription_id], subscriptions[start_date])</f>
        <v>45134</v>
      </c>
      <c r="G18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1827" s="2">
        <f>IF(payments_raw[[#This Row],[payment_date]] &lt; payments_raw[[#This Row],[sub_start_date]], 1, 0)</f>
        <v>0</v>
      </c>
      <c r="I1827" s="2">
        <f>IF(AND(payments_raw[[#This Row],[sub_end_date]]&lt;&gt;"", payments_raw[[#This Row],[payment_date]] &gt; payments_raw[[#This Row],[sub_end_date]]), 1, 0)</f>
        <v>0</v>
      </c>
      <c r="J1827" s="2">
        <f>IF(payments_raw[[#This Row],[amount]] &lt;= 0, 1, 0)</f>
        <v>0</v>
      </c>
      <c r="K18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8" spans="1:11" x14ac:dyDescent="0.3">
      <c r="A1828">
        <v>47628906</v>
      </c>
      <c r="B1828">
        <v>6604510</v>
      </c>
      <c r="C1828" s="1">
        <v>45528</v>
      </c>
      <c r="D1828">
        <v>2242.5</v>
      </c>
      <c r="E1828">
        <f>IF(
  ISNA(
    _xlfn.XLOOKUP(
      payments_raw[[#This Row],[subscription_id]],
      subscriptions[subscription_id],
      subscriptions[subscription_id]
    )
  ),
  0,
  1
)</f>
        <v>1</v>
      </c>
      <c r="F1828" s="1">
        <f>_xlfn.XLOOKUP(payments_raw[[#This Row],[subscription_id]], subscriptions[subscription_id], subscriptions[start_date])</f>
        <v>45512</v>
      </c>
      <c r="G18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1828" s="2">
        <f>IF(payments_raw[[#This Row],[payment_date]] &lt; payments_raw[[#This Row],[sub_start_date]], 1, 0)</f>
        <v>0</v>
      </c>
      <c r="I1828" s="2">
        <f>IF(AND(payments_raw[[#This Row],[sub_end_date]]&lt;&gt;"", payments_raw[[#This Row],[payment_date]] &gt; payments_raw[[#This Row],[sub_end_date]]), 1, 0)</f>
        <v>0</v>
      </c>
      <c r="J1828" s="2">
        <f>IF(payments_raw[[#This Row],[amount]] &lt;= 0, 1, 0)</f>
        <v>0</v>
      </c>
      <c r="K18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29" spans="1:11" x14ac:dyDescent="0.3">
      <c r="A1829">
        <v>48325967</v>
      </c>
      <c r="B1829">
        <v>6777952</v>
      </c>
      <c r="C1829" s="1">
        <v>45232</v>
      </c>
      <c r="D1829">
        <v>171</v>
      </c>
      <c r="E1829">
        <f>IF(
  ISNA(
    _xlfn.XLOOKUP(
      payments_raw[[#This Row],[subscription_id]],
      subscriptions[subscription_id],
      subscriptions[subscription_id]
    )
  ),
  0,
  1
)</f>
        <v>1</v>
      </c>
      <c r="F1829" s="1">
        <f>_xlfn.XLOOKUP(payments_raw[[#This Row],[subscription_id]], subscriptions[subscription_id], subscriptions[start_date])</f>
        <v>44854</v>
      </c>
      <c r="G18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29" s="2">
        <f>IF(payments_raw[[#This Row],[payment_date]] &lt; payments_raw[[#This Row],[sub_start_date]], 1, 0)</f>
        <v>0</v>
      </c>
      <c r="I1829" s="2">
        <f>IF(AND(payments_raw[[#This Row],[sub_end_date]]&lt;&gt;"", payments_raw[[#This Row],[payment_date]] &gt; payments_raw[[#This Row],[sub_end_date]]), 1, 0)</f>
        <v>0</v>
      </c>
      <c r="J1829" s="2">
        <f>IF(payments_raw[[#This Row],[amount]] &lt;= 0, 1, 0)</f>
        <v>0</v>
      </c>
      <c r="K18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0" spans="1:11" x14ac:dyDescent="0.3">
      <c r="A1830">
        <v>11062915</v>
      </c>
      <c r="B1830">
        <v>9304320</v>
      </c>
      <c r="C1830" s="1">
        <v>45601</v>
      </c>
      <c r="D1830">
        <v>190</v>
      </c>
      <c r="E1830">
        <f>IF(
  ISNA(
    _xlfn.XLOOKUP(
      payments_raw[[#This Row],[subscription_id]],
      subscriptions[subscription_id],
      subscriptions[subscription_id]
    )
  ),
  0,
  1
)</f>
        <v>1</v>
      </c>
      <c r="F1830" s="1">
        <f>_xlfn.XLOOKUP(payments_raw[[#This Row],[subscription_id]], subscriptions[subscription_id], subscriptions[start_date])</f>
        <v>45015</v>
      </c>
      <c r="G18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0" s="2">
        <f>IF(payments_raw[[#This Row],[payment_date]] &lt; payments_raw[[#This Row],[sub_start_date]], 1, 0)</f>
        <v>0</v>
      </c>
      <c r="I1830" s="2">
        <f>IF(AND(payments_raw[[#This Row],[sub_end_date]]&lt;&gt;"", payments_raw[[#This Row],[payment_date]] &gt; payments_raw[[#This Row],[sub_end_date]]), 1, 0)</f>
        <v>0</v>
      </c>
      <c r="J1830" s="2">
        <f>IF(payments_raw[[#This Row],[amount]] &lt;= 0, 1, 0)</f>
        <v>0</v>
      </c>
      <c r="K18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1" spans="1:11" x14ac:dyDescent="0.3">
      <c r="A1831">
        <v>92990227</v>
      </c>
      <c r="B1831">
        <v>5307726</v>
      </c>
      <c r="C1831" s="1">
        <v>45260</v>
      </c>
      <c r="D1831">
        <v>790</v>
      </c>
      <c r="E1831">
        <f>IF(
  ISNA(
    _xlfn.XLOOKUP(
      payments_raw[[#This Row],[subscription_id]],
      subscriptions[subscription_id],
      subscriptions[subscription_id]
    )
  ),
  0,
  1
)</f>
        <v>1</v>
      </c>
      <c r="F1831" s="1">
        <f>_xlfn.XLOOKUP(payments_raw[[#This Row],[subscription_id]], subscriptions[subscription_id], subscriptions[start_date])</f>
        <v>44633</v>
      </c>
      <c r="G18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1" s="2">
        <f>IF(payments_raw[[#This Row],[payment_date]] &lt; payments_raw[[#This Row],[sub_start_date]], 1, 0)</f>
        <v>0</v>
      </c>
      <c r="I1831" s="2">
        <f>IF(AND(payments_raw[[#This Row],[sub_end_date]]&lt;&gt;"", payments_raw[[#This Row],[payment_date]] &gt; payments_raw[[#This Row],[sub_end_date]]), 1, 0)</f>
        <v>0</v>
      </c>
      <c r="J1831" s="2">
        <f>IF(payments_raw[[#This Row],[amount]] &lt;= 0, 1, 0)</f>
        <v>0</v>
      </c>
      <c r="K18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2" spans="1:11" x14ac:dyDescent="0.3">
      <c r="A1832">
        <v>55860921</v>
      </c>
      <c r="B1832">
        <v>6783305</v>
      </c>
      <c r="C1832" s="1">
        <v>44955</v>
      </c>
      <c r="D1832">
        <v>79</v>
      </c>
      <c r="E1832">
        <f>IF(
  ISNA(
    _xlfn.XLOOKUP(
      payments_raw[[#This Row],[subscription_id]],
      subscriptions[subscription_id],
      subscriptions[subscription_id]
    )
  ),
  0,
  1
)</f>
        <v>1</v>
      </c>
      <c r="F1832" s="1">
        <f>_xlfn.XLOOKUP(payments_raw[[#This Row],[subscription_id]], subscriptions[subscription_id], subscriptions[start_date])</f>
        <v>44766</v>
      </c>
      <c r="G18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2" s="2">
        <f>IF(payments_raw[[#This Row],[payment_date]] &lt; payments_raw[[#This Row],[sub_start_date]], 1, 0)</f>
        <v>0</v>
      </c>
      <c r="I1832" s="2">
        <f>IF(AND(payments_raw[[#This Row],[sub_end_date]]&lt;&gt;"", payments_raw[[#This Row],[payment_date]] &gt; payments_raw[[#This Row],[sub_end_date]]), 1, 0)</f>
        <v>0</v>
      </c>
      <c r="J1832" s="2">
        <f>IF(payments_raw[[#This Row],[amount]] &lt;= 0, 1, 0)</f>
        <v>0</v>
      </c>
      <c r="K18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3" spans="1:11" x14ac:dyDescent="0.3">
      <c r="A1833">
        <v>89986323</v>
      </c>
      <c r="B1833">
        <v>6275644</v>
      </c>
      <c r="C1833" s="1">
        <v>44958</v>
      </c>
      <c r="D1833">
        <v>149</v>
      </c>
      <c r="E1833">
        <f>IF(
  ISNA(
    _xlfn.XLOOKUP(
      payments_raw[[#This Row],[subscription_id]],
      subscriptions[subscription_id],
      subscriptions[subscription_id]
    )
  ),
  0,
  1
)</f>
        <v>1</v>
      </c>
      <c r="F1833" s="1">
        <f>_xlfn.XLOOKUP(payments_raw[[#This Row],[subscription_id]], subscriptions[subscription_id], subscriptions[start_date])</f>
        <v>44812</v>
      </c>
      <c r="G18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3" s="2">
        <f>IF(payments_raw[[#This Row],[payment_date]] &lt; payments_raw[[#This Row],[sub_start_date]], 1, 0)</f>
        <v>0</v>
      </c>
      <c r="I1833" s="2">
        <f>IF(AND(payments_raw[[#This Row],[sub_end_date]]&lt;&gt;"", payments_raw[[#This Row],[payment_date]] &gt; payments_raw[[#This Row],[sub_end_date]]), 1, 0)</f>
        <v>0</v>
      </c>
      <c r="J1833" s="2">
        <f>IF(payments_raw[[#This Row],[amount]] &lt;= 0, 1, 0)</f>
        <v>0</v>
      </c>
      <c r="K18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4" spans="1:11" x14ac:dyDescent="0.3">
      <c r="A1834">
        <v>59823728</v>
      </c>
      <c r="B1834">
        <v>5594415</v>
      </c>
      <c r="C1834" s="1">
        <v>45631</v>
      </c>
      <c r="D1834">
        <v>19</v>
      </c>
      <c r="E1834">
        <f>IF(
  ISNA(
    _xlfn.XLOOKUP(
      payments_raw[[#This Row],[subscription_id]],
      subscriptions[subscription_id],
      subscriptions[subscription_id]
    )
  ),
  0,
  1
)</f>
        <v>1</v>
      </c>
      <c r="F1834" s="1">
        <f>_xlfn.XLOOKUP(payments_raw[[#This Row],[subscription_id]], subscriptions[subscription_id], subscriptions[start_date])</f>
        <v>45558</v>
      </c>
      <c r="G18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4" s="2">
        <f>IF(payments_raw[[#This Row],[payment_date]] &lt; payments_raw[[#This Row],[sub_start_date]], 1, 0)</f>
        <v>0</v>
      </c>
      <c r="I1834" s="2">
        <f>IF(AND(payments_raw[[#This Row],[sub_end_date]]&lt;&gt;"", payments_raw[[#This Row],[payment_date]] &gt; payments_raw[[#This Row],[sub_end_date]]), 1, 0)</f>
        <v>0</v>
      </c>
      <c r="J1834" s="2">
        <f>IF(payments_raw[[#This Row],[amount]] &lt;= 0, 1, 0)</f>
        <v>0</v>
      </c>
      <c r="K18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5" spans="1:11" x14ac:dyDescent="0.3">
      <c r="A1835">
        <v>50545437</v>
      </c>
      <c r="B1835">
        <v>7285607</v>
      </c>
      <c r="C1835" s="1">
        <v>45057</v>
      </c>
      <c r="D1835">
        <v>1490</v>
      </c>
      <c r="E1835">
        <f>IF(
  ISNA(
    _xlfn.XLOOKUP(
      payments_raw[[#This Row],[subscription_id]],
      subscriptions[subscription_id],
      subscriptions[subscription_id]
    )
  ),
  0,
  1
)</f>
        <v>1</v>
      </c>
      <c r="F1835" s="1">
        <f>_xlfn.XLOOKUP(payments_raw[[#This Row],[subscription_id]], subscriptions[subscription_id], subscriptions[start_date])</f>
        <v>44943</v>
      </c>
      <c r="G18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45074</v>
      </c>
      <c r="H1835" s="2">
        <f>IF(payments_raw[[#This Row],[payment_date]] &lt; payments_raw[[#This Row],[sub_start_date]], 1, 0)</f>
        <v>0</v>
      </c>
      <c r="I1835" s="2">
        <f>IF(AND(payments_raw[[#This Row],[sub_end_date]]&lt;&gt;"", payments_raw[[#This Row],[payment_date]] &gt; payments_raw[[#This Row],[sub_end_date]]), 1, 0)</f>
        <v>0</v>
      </c>
      <c r="J1835" s="2">
        <f>IF(payments_raw[[#This Row],[amount]] &lt;= 0, 1, 0)</f>
        <v>0</v>
      </c>
      <c r="K18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6" spans="1:11" x14ac:dyDescent="0.3">
      <c r="A1836">
        <v>42149055</v>
      </c>
      <c r="B1836">
        <v>3053134</v>
      </c>
      <c r="C1836" s="1">
        <v>44732</v>
      </c>
      <c r="D1836">
        <v>390</v>
      </c>
      <c r="E1836">
        <f>IF(
  ISNA(
    _xlfn.XLOOKUP(
      payments_raw[[#This Row],[subscription_id]],
      subscriptions[subscription_id],
      subscriptions[subscription_id]
    )
  ),
  0,
  1
)</f>
        <v>1</v>
      </c>
      <c r="F1836" s="1">
        <f>_xlfn.XLOOKUP(payments_raw[[#This Row],[subscription_id]], subscriptions[subscription_id], subscriptions[start_date])</f>
        <v>44719</v>
      </c>
      <c r="G18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6" s="2">
        <f>IF(payments_raw[[#This Row],[payment_date]] &lt; payments_raw[[#This Row],[sub_start_date]], 1, 0)</f>
        <v>0</v>
      </c>
      <c r="I1836" s="2">
        <f>IF(AND(payments_raw[[#This Row],[sub_end_date]]&lt;&gt;"", payments_raw[[#This Row],[payment_date]] &gt; payments_raw[[#This Row],[sub_end_date]]), 1, 0)</f>
        <v>0</v>
      </c>
      <c r="J1836" s="2">
        <f>IF(payments_raw[[#This Row],[amount]] &lt;= 0, 1, 0)</f>
        <v>0</v>
      </c>
      <c r="K18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7" spans="1:11" x14ac:dyDescent="0.3">
      <c r="A1837">
        <v>47068773</v>
      </c>
      <c r="B1837">
        <v>7320122</v>
      </c>
      <c r="C1837" s="1">
        <v>44716</v>
      </c>
      <c r="D1837">
        <v>299</v>
      </c>
      <c r="E1837">
        <f>IF(
  ISNA(
    _xlfn.XLOOKUP(
      payments_raw[[#This Row],[subscription_id]],
      subscriptions[subscription_id],
      subscriptions[subscription_id]
    )
  ),
  0,
  1
)</f>
        <v>1</v>
      </c>
      <c r="F1837" s="1">
        <f>_xlfn.XLOOKUP(payments_raw[[#This Row],[subscription_id]], subscriptions[subscription_id], subscriptions[start_date])</f>
        <v>44682</v>
      </c>
      <c r="G183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1837" s="2">
        <f>IF(payments_raw[[#This Row],[payment_date]] &lt; payments_raw[[#This Row],[sub_start_date]], 1, 0)</f>
        <v>0</v>
      </c>
      <c r="I1837" s="2">
        <f>IF(AND(payments_raw[[#This Row],[sub_end_date]]&lt;&gt;"", payments_raw[[#This Row],[payment_date]] &gt; payments_raw[[#This Row],[sub_end_date]]), 1, 0)</f>
        <v>0</v>
      </c>
      <c r="J1837" s="2">
        <f>IF(payments_raw[[#This Row],[amount]] &lt;= 0, 1, 0)</f>
        <v>0</v>
      </c>
      <c r="K18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8" spans="1:11" x14ac:dyDescent="0.3">
      <c r="A1838">
        <v>88987309</v>
      </c>
      <c r="B1838">
        <v>3140306</v>
      </c>
      <c r="C1838" s="1">
        <v>45213</v>
      </c>
      <c r="D1838">
        <v>19</v>
      </c>
      <c r="E1838">
        <f>IF(
  ISNA(
    _xlfn.XLOOKUP(
      payments_raw[[#This Row],[subscription_id]],
      subscriptions[subscription_id],
      subscriptions[subscription_id]
    )
  ),
  0,
  1
)</f>
        <v>1</v>
      </c>
      <c r="F1838" s="1">
        <f>_xlfn.XLOOKUP(payments_raw[[#This Row],[subscription_id]], subscriptions[subscription_id], subscriptions[start_date])</f>
        <v>45092</v>
      </c>
      <c r="G18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8" s="2">
        <f>IF(payments_raw[[#This Row],[payment_date]] &lt; payments_raw[[#This Row],[sub_start_date]], 1, 0)</f>
        <v>0</v>
      </c>
      <c r="I1838" s="2">
        <f>IF(AND(payments_raw[[#This Row],[sub_end_date]]&lt;&gt;"", payments_raw[[#This Row],[payment_date]] &gt; payments_raw[[#This Row],[sub_end_date]]), 1, 0)</f>
        <v>0</v>
      </c>
      <c r="J1838" s="2">
        <f>IF(payments_raw[[#This Row],[amount]] &lt;= 0, 1, 0)</f>
        <v>0</v>
      </c>
      <c r="K18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39" spans="1:11" x14ac:dyDescent="0.3">
      <c r="A1839">
        <v>61647782</v>
      </c>
      <c r="B1839">
        <v>5066006</v>
      </c>
      <c r="C1839" s="1">
        <v>45555</v>
      </c>
      <c r="D1839">
        <v>19</v>
      </c>
      <c r="E1839">
        <f>IF(
  ISNA(
    _xlfn.XLOOKUP(
      payments_raw[[#This Row],[subscription_id]],
      subscriptions[subscription_id],
      subscriptions[subscription_id]
    )
  ),
  0,
  1
)</f>
        <v>1</v>
      </c>
      <c r="F1839" s="1">
        <f>_xlfn.XLOOKUP(payments_raw[[#This Row],[subscription_id]], subscriptions[subscription_id], subscriptions[start_date])</f>
        <v>45540</v>
      </c>
      <c r="G18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39" s="2">
        <f>IF(payments_raw[[#This Row],[payment_date]] &lt; payments_raw[[#This Row],[sub_start_date]], 1, 0)</f>
        <v>0</v>
      </c>
      <c r="I1839" s="2">
        <f>IF(AND(payments_raw[[#This Row],[sub_end_date]]&lt;&gt;"", payments_raw[[#This Row],[payment_date]] &gt; payments_raw[[#This Row],[sub_end_date]]), 1, 0)</f>
        <v>0</v>
      </c>
      <c r="J1839" s="2">
        <f>IF(payments_raw[[#This Row],[amount]] &lt;= 0, 1, 0)</f>
        <v>0</v>
      </c>
      <c r="K18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0" spans="1:11" x14ac:dyDescent="0.3">
      <c r="A1840">
        <v>48374892</v>
      </c>
      <c r="B1840">
        <v>4046988</v>
      </c>
      <c r="C1840" s="1">
        <v>45315</v>
      </c>
      <c r="D1840">
        <v>79</v>
      </c>
      <c r="E1840">
        <f>IF(
  ISNA(
    _xlfn.XLOOKUP(
      payments_raw[[#This Row],[subscription_id]],
      subscriptions[subscription_id],
      subscriptions[subscription_id]
    )
  ),
  0,
  1
)</f>
        <v>1</v>
      </c>
      <c r="F1840" s="1">
        <f>_xlfn.XLOOKUP(payments_raw[[#This Row],[subscription_id]], subscriptions[subscription_id], subscriptions[start_date])</f>
        <v>45309</v>
      </c>
      <c r="G18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1840" s="2">
        <f>IF(payments_raw[[#This Row],[payment_date]] &lt; payments_raw[[#This Row],[sub_start_date]], 1, 0)</f>
        <v>0</v>
      </c>
      <c r="I1840" s="2">
        <f>IF(AND(payments_raw[[#This Row],[sub_end_date]]&lt;&gt;"", payments_raw[[#This Row],[payment_date]] &gt; payments_raw[[#This Row],[sub_end_date]]), 1, 0)</f>
        <v>0</v>
      </c>
      <c r="J1840" s="2">
        <f>IF(payments_raw[[#This Row],[amount]] &lt;= 0, 1, 0)</f>
        <v>0</v>
      </c>
      <c r="K18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1" spans="1:11" x14ac:dyDescent="0.3">
      <c r="A1841">
        <v>45537084</v>
      </c>
      <c r="B1841">
        <v>1182327</v>
      </c>
      <c r="C1841" s="1">
        <v>45473</v>
      </c>
      <c r="D1841">
        <v>1490</v>
      </c>
      <c r="E1841">
        <f>IF(
  ISNA(
    _xlfn.XLOOKUP(
      payments_raw[[#This Row],[subscription_id]],
      subscriptions[subscription_id],
      subscriptions[subscription_id]
    )
  ),
  0,
  1
)</f>
        <v>1</v>
      </c>
      <c r="F1841" s="1">
        <f>_xlfn.XLOOKUP(payments_raw[[#This Row],[subscription_id]], subscriptions[subscription_id], subscriptions[start_date])</f>
        <v>45373</v>
      </c>
      <c r="G18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45629</v>
      </c>
      <c r="H1841" s="2">
        <f>IF(payments_raw[[#This Row],[payment_date]] &lt; payments_raw[[#This Row],[sub_start_date]], 1, 0)</f>
        <v>0</v>
      </c>
      <c r="I1841" s="2">
        <f>IF(AND(payments_raw[[#This Row],[sub_end_date]]&lt;&gt;"", payments_raw[[#This Row],[payment_date]] &gt; payments_raw[[#This Row],[sub_end_date]]), 1, 0)</f>
        <v>0</v>
      </c>
      <c r="J1841" s="2">
        <f>IF(payments_raw[[#This Row],[amount]] &lt;= 0, 1, 0)</f>
        <v>0</v>
      </c>
      <c r="K18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2" spans="1:11" x14ac:dyDescent="0.3">
      <c r="A1842">
        <v>31127637</v>
      </c>
      <c r="B1842">
        <v>4802391</v>
      </c>
      <c r="C1842" s="1">
        <v>45493</v>
      </c>
      <c r="D1842">
        <v>1490</v>
      </c>
      <c r="E1842">
        <f>IF(
  ISNA(
    _xlfn.XLOOKUP(
      payments_raw[[#This Row],[subscription_id]],
      subscriptions[subscription_id],
      subscriptions[subscription_id]
    )
  ),
  0,
  1
)</f>
        <v>1</v>
      </c>
      <c r="F1842" s="1">
        <f>_xlfn.XLOOKUP(payments_raw[[#This Row],[subscription_id]], subscriptions[subscription_id], subscriptions[start_date])</f>
        <v>45281</v>
      </c>
      <c r="G18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1842" s="2">
        <f>IF(payments_raw[[#This Row],[payment_date]] &lt; payments_raw[[#This Row],[sub_start_date]], 1, 0)</f>
        <v>0</v>
      </c>
      <c r="I1842" s="2">
        <f>IF(AND(payments_raw[[#This Row],[sub_end_date]]&lt;&gt;"", payments_raw[[#This Row],[payment_date]] &gt; payments_raw[[#This Row],[sub_end_date]]), 1, 0)</f>
        <v>0</v>
      </c>
      <c r="J1842" s="2">
        <f>IF(payments_raw[[#This Row],[amount]] &lt;= 0, 1, 0)</f>
        <v>0</v>
      </c>
      <c r="K18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3" spans="1:11" x14ac:dyDescent="0.3">
      <c r="A1843">
        <v>50399190</v>
      </c>
      <c r="B1843">
        <v>3614824</v>
      </c>
      <c r="C1843" s="1">
        <v>45547</v>
      </c>
      <c r="D1843">
        <v>1490</v>
      </c>
      <c r="E1843">
        <f>IF(
  ISNA(
    _xlfn.XLOOKUP(
      payments_raw[[#This Row],[subscription_id]],
      subscriptions[subscription_id],
      subscriptions[subscription_id]
    )
  ),
  0,
  1
)</f>
        <v>1</v>
      </c>
      <c r="F1843" s="1">
        <f>_xlfn.XLOOKUP(payments_raw[[#This Row],[subscription_id]], subscriptions[subscription_id], subscriptions[start_date])</f>
        <v>45385</v>
      </c>
      <c r="G18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43" s="2">
        <f>IF(payments_raw[[#This Row],[payment_date]] &lt; payments_raw[[#This Row],[sub_start_date]], 1, 0)</f>
        <v>0</v>
      </c>
      <c r="I1843" s="2">
        <f>IF(AND(payments_raw[[#This Row],[sub_end_date]]&lt;&gt;"", payments_raw[[#This Row],[payment_date]] &gt; payments_raw[[#This Row],[sub_end_date]]), 1, 0)</f>
        <v>0</v>
      </c>
      <c r="J1843" s="2">
        <f>IF(payments_raw[[#This Row],[amount]] &lt;= 0, 1, 0)</f>
        <v>0</v>
      </c>
      <c r="K18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4" spans="1:11" x14ac:dyDescent="0.3">
      <c r="A1844">
        <v>38654272</v>
      </c>
      <c r="B1844">
        <v>9945677</v>
      </c>
      <c r="C1844" s="1">
        <v>45119</v>
      </c>
      <c r="D1844">
        <v>149</v>
      </c>
      <c r="E1844">
        <f>IF(
  ISNA(
    _xlfn.XLOOKUP(
      payments_raw[[#This Row],[subscription_id]],
      subscriptions[subscription_id],
      subscriptions[subscription_id]
    )
  ),
  0,
  1
)</f>
        <v>1</v>
      </c>
      <c r="F1844" s="1">
        <f>_xlfn.XLOOKUP(payments_raw[[#This Row],[subscription_id]], subscriptions[subscription_id], subscriptions[start_date])</f>
        <v>45062</v>
      </c>
      <c r="G18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44" s="2">
        <f>IF(payments_raw[[#This Row],[payment_date]] &lt; payments_raw[[#This Row],[sub_start_date]], 1, 0)</f>
        <v>0</v>
      </c>
      <c r="I1844" s="2">
        <f>IF(AND(payments_raw[[#This Row],[sub_end_date]]&lt;&gt;"", payments_raw[[#This Row],[payment_date]] &gt; payments_raw[[#This Row],[sub_end_date]]), 1, 0)</f>
        <v>0</v>
      </c>
      <c r="J1844" s="2">
        <f>IF(payments_raw[[#This Row],[amount]] &lt;= 0, 1, 0)</f>
        <v>0</v>
      </c>
      <c r="K18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5" spans="1:11" x14ac:dyDescent="0.3">
      <c r="A1845">
        <v>65384844</v>
      </c>
      <c r="B1845">
        <v>4548261</v>
      </c>
      <c r="C1845" s="1">
        <v>44720</v>
      </c>
      <c r="D1845">
        <v>190</v>
      </c>
      <c r="E1845">
        <f>IF(
  ISNA(
    _xlfn.XLOOKUP(
      payments_raw[[#This Row],[subscription_id]],
      subscriptions[subscription_id],
      subscriptions[subscription_id]
    )
  ),
  0,
  1
)</f>
        <v>1</v>
      </c>
      <c r="F1845" s="1">
        <f>_xlfn.XLOOKUP(payments_raw[[#This Row],[subscription_id]], subscriptions[subscription_id], subscriptions[start_date])</f>
        <v>44608</v>
      </c>
      <c r="G184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44988</v>
      </c>
      <c r="H1845" s="2">
        <f>IF(payments_raw[[#This Row],[payment_date]] &lt; payments_raw[[#This Row],[sub_start_date]], 1, 0)</f>
        <v>0</v>
      </c>
      <c r="I1845" s="2">
        <f>IF(AND(payments_raw[[#This Row],[sub_end_date]]&lt;&gt;"", payments_raw[[#This Row],[payment_date]] &gt; payments_raw[[#This Row],[sub_end_date]]), 1, 0)</f>
        <v>0</v>
      </c>
      <c r="J1845" s="2">
        <f>IF(payments_raw[[#This Row],[amount]] &lt;= 0, 1, 0)</f>
        <v>0</v>
      </c>
      <c r="K18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6" spans="1:11" x14ac:dyDescent="0.3">
      <c r="A1846">
        <v>71457996</v>
      </c>
      <c r="B1846">
        <v>6594616</v>
      </c>
      <c r="C1846" s="1">
        <v>44960</v>
      </c>
      <c r="D1846">
        <v>190</v>
      </c>
      <c r="E1846">
        <f>IF(
  ISNA(
    _xlfn.XLOOKUP(
      payments_raw[[#This Row],[subscription_id]],
      subscriptions[subscription_id],
      subscriptions[subscription_id]
    )
  ),
  0,
  1
)</f>
        <v>1</v>
      </c>
      <c r="F1846" s="1">
        <f>_xlfn.XLOOKUP(payments_raw[[#This Row],[subscription_id]], subscriptions[subscription_id], subscriptions[start_date])</f>
        <v>44845</v>
      </c>
      <c r="G18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45209</v>
      </c>
      <c r="H1846" s="2">
        <f>IF(payments_raw[[#This Row],[payment_date]] &lt; payments_raw[[#This Row],[sub_start_date]], 1, 0)</f>
        <v>0</v>
      </c>
      <c r="I1846" s="2">
        <f>IF(AND(payments_raw[[#This Row],[sub_end_date]]&lt;&gt;"", payments_raw[[#This Row],[payment_date]] &gt; payments_raw[[#This Row],[sub_end_date]]), 1, 0)</f>
        <v>0</v>
      </c>
      <c r="J1846" s="2">
        <f>IF(payments_raw[[#This Row],[amount]] &lt;= 0, 1, 0)</f>
        <v>0</v>
      </c>
      <c r="K18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7" spans="1:11" x14ac:dyDescent="0.3">
      <c r="A1847">
        <v>12425579</v>
      </c>
      <c r="B1847">
        <v>2517205</v>
      </c>
      <c r="C1847" s="1">
        <v>45408</v>
      </c>
      <c r="D1847">
        <v>299</v>
      </c>
      <c r="E1847">
        <f>IF(
  ISNA(
    _xlfn.XLOOKUP(
      payments_raw[[#This Row],[subscription_id]],
      subscriptions[subscription_id],
      subscriptions[subscription_id]
    )
  ),
  0,
  1
)</f>
        <v>1</v>
      </c>
      <c r="F1847" s="1">
        <f>_xlfn.XLOOKUP(payments_raw[[#This Row],[subscription_id]], subscriptions[subscription_id], subscriptions[start_date])</f>
        <v>45393</v>
      </c>
      <c r="G18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47" s="2">
        <f>IF(payments_raw[[#This Row],[payment_date]] &lt; payments_raw[[#This Row],[sub_start_date]], 1, 0)</f>
        <v>0</v>
      </c>
      <c r="I1847" s="2">
        <f>IF(AND(payments_raw[[#This Row],[sub_end_date]]&lt;&gt;"", payments_raw[[#This Row],[payment_date]] &gt; payments_raw[[#This Row],[sub_end_date]]), 1, 0)</f>
        <v>0</v>
      </c>
      <c r="J1847" s="2">
        <f>IF(payments_raw[[#This Row],[amount]] &lt;= 0, 1, 0)</f>
        <v>0</v>
      </c>
      <c r="K18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8" spans="1:11" x14ac:dyDescent="0.3">
      <c r="A1848">
        <v>26372136</v>
      </c>
      <c r="B1848">
        <v>9694382</v>
      </c>
      <c r="C1848" s="1">
        <v>45650</v>
      </c>
      <c r="D1848">
        <v>79</v>
      </c>
      <c r="E1848">
        <f>IF(
  ISNA(
    _xlfn.XLOOKUP(
      payments_raw[[#This Row],[subscription_id]],
      subscriptions[subscription_id],
      subscriptions[subscription_id]
    )
  ),
  0,
  1
)</f>
        <v>1</v>
      </c>
      <c r="F1848" s="1">
        <f>_xlfn.XLOOKUP(payments_raw[[#This Row],[subscription_id]], subscriptions[subscription_id], subscriptions[start_date])</f>
        <v>44635</v>
      </c>
      <c r="G18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48" s="2">
        <f>IF(payments_raw[[#This Row],[payment_date]] &lt; payments_raw[[#This Row],[sub_start_date]], 1, 0)</f>
        <v>0</v>
      </c>
      <c r="I1848" s="2">
        <f>IF(AND(payments_raw[[#This Row],[sub_end_date]]&lt;&gt;"", payments_raw[[#This Row],[payment_date]] &gt; payments_raw[[#This Row],[sub_end_date]]), 1, 0)</f>
        <v>0</v>
      </c>
      <c r="J1848" s="2">
        <f>IF(payments_raw[[#This Row],[amount]] &lt;= 0, 1, 0)</f>
        <v>0</v>
      </c>
      <c r="K18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49" spans="1:11" x14ac:dyDescent="0.3">
      <c r="A1849">
        <v>57817462</v>
      </c>
      <c r="B1849">
        <v>7397002</v>
      </c>
      <c r="C1849" s="1">
        <v>45561</v>
      </c>
      <c r="D1849">
        <v>79</v>
      </c>
      <c r="E1849">
        <f>IF(
  ISNA(
    _xlfn.XLOOKUP(
      payments_raw[[#This Row],[subscription_id]],
      subscriptions[subscription_id],
      subscriptions[subscription_id]
    )
  ),
  0,
  1
)</f>
        <v>1</v>
      </c>
      <c r="F1849" s="1">
        <f>_xlfn.XLOOKUP(payments_raw[[#This Row],[subscription_id]], subscriptions[subscription_id], subscriptions[start_date])</f>
        <v>45519</v>
      </c>
      <c r="G18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1849" s="2">
        <f>IF(payments_raw[[#This Row],[payment_date]] &lt; payments_raw[[#This Row],[sub_start_date]], 1, 0)</f>
        <v>0</v>
      </c>
      <c r="I1849" s="2">
        <f>IF(AND(payments_raw[[#This Row],[sub_end_date]]&lt;&gt;"", payments_raw[[#This Row],[payment_date]] &gt; payments_raw[[#This Row],[sub_end_date]]), 1, 0)</f>
        <v>0</v>
      </c>
      <c r="J1849" s="2">
        <f>IF(payments_raw[[#This Row],[amount]] &lt;= 0, 1, 0)</f>
        <v>0</v>
      </c>
      <c r="K18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0" spans="1:11" x14ac:dyDescent="0.3">
      <c r="A1850">
        <v>26139313</v>
      </c>
      <c r="B1850">
        <v>8590547</v>
      </c>
      <c r="C1850" s="1">
        <v>44987</v>
      </c>
      <c r="D1850">
        <v>390</v>
      </c>
      <c r="E1850">
        <f>IF(
  ISNA(
    _xlfn.XLOOKUP(
      payments_raw[[#This Row],[subscription_id]],
      subscriptions[subscription_id],
      subscriptions[subscription_id]
    )
  ),
  0,
  1
)</f>
        <v>1</v>
      </c>
      <c r="F1850" s="1">
        <f>_xlfn.XLOOKUP(payments_raw[[#This Row],[subscription_id]], subscriptions[subscription_id], subscriptions[start_date])</f>
        <v>44977</v>
      </c>
      <c r="G18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45103</v>
      </c>
      <c r="H1850" s="2">
        <f>IF(payments_raw[[#This Row],[payment_date]] &lt; payments_raw[[#This Row],[sub_start_date]], 1, 0)</f>
        <v>0</v>
      </c>
      <c r="I1850" s="2">
        <f>IF(AND(payments_raw[[#This Row],[sub_end_date]]&lt;&gt;"", payments_raw[[#This Row],[payment_date]] &gt; payments_raw[[#This Row],[sub_end_date]]), 1, 0)</f>
        <v>0</v>
      </c>
      <c r="J1850" s="2">
        <f>IF(payments_raw[[#This Row],[amount]] &lt;= 0, 1, 0)</f>
        <v>0</v>
      </c>
      <c r="K18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1" spans="1:11" x14ac:dyDescent="0.3">
      <c r="A1851">
        <v>83683223</v>
      </c>
      <c r="B1851">
        <v>4350987</v>
      </c>
      <c r="C1851" s="1">
        <v>45419</v>
      </c>
      <c r="D1851">
        <v>171</v>
      </c>
      <c r="E1851">
        <f>IF(
  ISNA(
    _xlfn.XLOOKUP(
      payments_raw[[#This Row],[subscription_id]],
      subscriptions[subscription_id],
      subscriptions[subscription_id]
    )
  ),
  0,
  1
)</f>
        <v>1</v>
      </c>
      <c r="F1851" s="1">
        <f>_xlfn.XLOOKUP(payments_raw[[#This Row],[subscription_id]], subscriptions[subscription_id], subscriptions[start_date])</f>
        <v>44962</v>
      </c>
      <c r="G18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1" s="2">
        <f>IF(payments_raw[[#This Row],[payment_date]] &lt; payments_raw[[#This Row],[sub_start_date]], 1, 0)</f>
        <v>0</v>
      </c>
      <c r="I1851" s="2">
        <f>IF(AND(payments_raw[[#This Row],[sub_end_date]]&lt;&gt;"", payments_raw[[#This Row],[payment_date]] &gt; payments_raw[[#This Row],[sub_end_date]]), 1, 0)</f>
        <v>0</v>
      </c>
      <c r="J1851" s="2">
        <f>IF(payments_raw[[#This Row],[amount]] &lt;= 0, 1, 0)</f>
        <v>0</v>
      </c>
      <c r="K18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2" spans="1:11" x14ac:dyDescent="0.3">
      <c r="A1852">
        <v>47695226</v>
      </c>
      <c r="B1852">
        <v>2503425</v>
      </c>
      <c r="C1852" s="1">
        <v>45592</v>
      </c>
      <c r="D1852">
        <v>390</v>
      </c>
      <c r="E1852">
        <f>IF(
  ISNA(
    _xlfn.XLOOKUP(
      payments_raw[[#This Row],[subscription_id]],
      subscriptions[subscription_id],
      subscriptions[subscription_id]
    )
  ),
  0,
  1
)</f>
        <v>1</v>
      </c>
      <c r="F1852" s="1">
        <f>_xlfn.XLOOKUP(payments_raw[[#This Row],[subscription_id]], subscriptions[subscription_id], subscriptions[start_date])</f>
        <v>45511</v>
      </c>
      <c r="G18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1852" s="2">
        <f>IF(payments_raw[[#This Row],[payment_date]] &lt; payments_raw[[#This Row],[sub_start_date]], 1, 0)</f>
        <v>0</v>
      </c>
      <c r="I1852" s="2">
        <f>IF(AND(payments_raw[[#This Row],[sub_end_date]]&lt;&gt;"", payments_raw[[#This Row],[payment_date]] &gt; payments_raw[[#This Row],[sub_end_date]]), 1, 0)</f>
        <v>0</v>
      </c>
      <c r="J1852" s="2">
        <f>IF(payments_raw[[#This Row],[amount]] &lt;= 0, 1, 0)</f>
        <v>0</v>
      </c>
      <c r="K18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3" spans="1:11" x14ac:dyDescent="0.3">
      <c r="A1853">
        <v>58687226</v>
      </c>
      <c r="B1853">
        <v>6134915</v>
      </c>
      <c r="C1853" s="1">
        <v>45459</v>
      </c>
      <c r="D1853">
        <v>299</v>
      </c>
      <c r="E1853">
        <f>IF(
  ISNA(
    _xlfn.XLOOKUP(
      payments_raw[[#This Row],[subscription_id]],
      subscriptions[subscription_id],
      subscriptions[subscription_id]
    )
  ),
  0,
  1
)</f>
        <v>1</v>
      </c>
      <c r="F1853" s="1">
        <f>_xlfn.XLOOKUP(payments_raw[[#This Row],[subscription_id]], subscriptions[subscription_id], subscriptions[start_date])</f>
        <v>45388</v>
      </c>
      <c r="G18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45553</v>
      </c>
      <c r="H1853" s="2">
        <f>IF(payments_raw[[#This Row],[payment_date]] &lt; payments_raw[[#This Row],[sub_start_date]], 1, 0)</f>
        <v>0</v>
      </c>
      <c r="I1853" s="2">
        <f>IF(AND(payments_raw[[#This Row],[sub_end_date]]&lt;&gt;"", payments_raw[[#This Row],[payment_date]] &gt; payments_raw[[#This Row],[sub_end_date]]), 1, 0)</f>
        <v>0</v>
      </c>
      <c r="J1853" s="2">
        <f>IF(payments_raw[[#This Row],[amount]] &lt;= 0, 1, 0)</f>
        <v>0</v>
      </c>
      <c r="K18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4" spans="1:11" x14ac:dyDescent="0.3">
      <c r="A1854">
        <v>33651605</v>
      </c>
      <c r="B1854">
        <v>9880742</v>
      </c>
      <c r="C1854" s="1">
        <v>45399</v>
      </c>
      <c r="D1854">
        <v>79</v>
      </c>
      <c r="E1854">
        <f>IF(
  ISNA(
    _xlfn.XLOOKUP(
      payments_raw[[#This Row],[subscription_id]],
      subscriptions[subscription_id],
      subscriptions[subscription_id]
    )
  ),
  0,
  1
)</f>
        <v>1</v>
      </c>
      <c r="F1854" s="1">
        <f>_xlfn.XLOOKUP(payments_raw[[#This Row],[subscription_id]], subscriptions[subscription_id], subscriptions[start_date])</f>
        <v>44956</v>
      </c>
      <c r="G18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4" s="2">
        <f>IF(payments_raw[[#This Row],[payment_date]] &lt; payments_raw[[#This Row],[sub_start_date]], 1, 0)</f>
        <v>0</v>
      </c>
      <c r="I1854" s="2">
        <f>IF(AND(payments_raw[[#This Row],[sub_end_date]]&lt;&gt;"", payments_raw[[#This Row],[payment_date]] &gt; payments_raw[[#This Row],[sub_end_date]]), 1, 0)</f>
        <v>0</v>
      </c>
      <c r="J1854" s="2">
        <f>IF(payments_raw[[#This Row],[amount]] &lt;= 0, 1, 0)</f>
        <v>0</v>
      </c>
      <c r="K18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5" spans="1:11" x14ac:dyDescent="0.3">
      <c r="A1855">
        <v>77845175</v>
      </c>
      <c r="B1855">
        <v>8123479</v>
      </c>
      <c r="C1855" s="1">
        <v>45603</v>
      </c>
      <c r="D1855">
        <v>190</v>
      </c>
      <c r="E1855">
        <f>IF(
  ISNA(
    _xlfn.XLOOKUP(
      payments_raw[[#This Row],[subscription_id]],
      subscriptions[subscription_id],
      subscriptions[subscription_id]
    )
  ),
  0,
  1
)</f>
        <v>1</v>
      </c>
      <c r="F1855" s="1">
        <f>_xlfn.XLOOKUP(payments_raw[[#This Row],[subscription_id]], subscriptions[subscription_id], subscriptions[start_date])</f>
        <v>45368</v>
      </c>
      <c r="G18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5" s="2">
        <f>IF(payments_raw[[#This Row],[payment_date]] &lt; payments_raw[[#This Row],[sub_start_date]], 1, 0)</f>
        <v>0</v>
      </c>
      <c r="I1855" s="2">
        <f>IF(AND(payments_raw[[#This Row],[sub_end_date]]&lt;&gt;"", payments_raw[[#This Row],[payment_date]] &gt; payments_raw[[#This Row],[sub_end_date]]), 1, 0)</f>
        <v>0</v>
      </c>
      <c r="J1855" s="2">
        <f>IF(payments_raw[[#This Row],[amount]] &lt;= 0, 1, 0)</f>
        <v>0</v>
      </c>
      <c r="K18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6" spans="1:11" x14ac:dyDescent="0.3">
      <c r="A1856">
        <v>97306866</v>
      </c>
      <c r="B1856">
        <v>2407420</v>
      </c>
      <c r="C1856" s="1">
        <v>45546</v>
      </c>
      <c r="D1856">
        <v>19</v>
      </c>
      <c r="E1856">
        <f>IF(
  ISNA(
    _xlfn.XLOOKUP(
      payments_raw[[#This Row],[subscription_id]],
      subscriptions[subscription_id],
      subscriptions[subscription_id]
    )
  ),
  0,
  1
)</f>
        <v>1</v>
      </c>
      <c r="F1856" s="1">
        <f>_xlfn.XLOOKUP(payments_raw[[#This Row],[subscription_id]], subscriptions[subscription_id], subscriptions[start_date])</f>
        <v>44851</v>
      </c>
      <c r="G18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6" s="2">
        <f>IF(payments_raw[[#This Row],[payment_date]] &lt; payments_raw[[#This Row],[sub_start_date]], 1, 0)</f>
        <v>0</v>
      </c>
      <c r="I1856" s="2">
        <f>IF(AND(payments_raw[[#This Row],[sub_end_date]]&lt;&gt;"", payments_raw[[#This Row],[payment_date]] &gt; payments_raw[[#This Row],[sub_end_date]]), 1, 0)</f>
        <v>0</v>
      </c>
      <c r="J1856" s="2">
        <f>IF(payments_raw[[#This Row],[amount]] &lt;= 0, 1, 0)</f>
        <v>0</v>
      </c>
      <c r="K18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7" spans="1:11" x14ac:dyDescent="0.3">
      <c r="A1857">
        <v>25089913</v>
      </c>
      <c r="B1857">
        <v>4515255</v>
      </c>
      <c r="C1857" s="1">
        <v>45408</v>
      </c>
      <c r="D1857">
        <v>19</v>
      </c>
      <c r="E1857">
        <f>IF(
  ISNA(
    _xlfn.XLOOKUP(
      payments_raw[[#This Row],[subscription_id]],
      subscriptions[subscription_id],
      subscriptions[subscription_id]
    )
  ),
  0,
  1
)</f>
        <v>1</v>
      </c>
      <c r="F1857" s="1">
        <f>_xlfn.XLOOKUP(payments_raw[[#This Row],[subscription_id]], subscriptions[subscription_id], subscriptions[start_date])</f>
        <v>45377</v>
      </c>
      <c r="G18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45410</v>
      </c>
      <c r="H1857" s="2">
        <f>IF(payments_raw[[#This Row],[payment_date]] &lt; payments_raw[[#This Row],[sub_start_date]], 1, 0)</f>
        <v>0</v>
      </c>
      <c r="I1857" s="2">
        <f>IF(AND(payments_raw[[#This Row],[sub_end_date]]&lt;&gt;"", payments_raw[[#This Row],[payment_date]] &gt; payments_raw[[#This Row],[sub_end_date]]), 1, 0)</f>
        <v>0</v>
      </c>
      <c r="J1857" s="2">
        <f>IF(payments_raw[[#This Row],[amount]] &lt;= 0, 1, 0)</f>
        <v>0</v>
      </c>
      <c r="K18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8" spans="1:11" x14ac:dyDescent="0.3">
      <c r="A1858">
        <v>31958106</v>
      </c>
      <c r="B1858">
        <v>4818263</v>
      </c>
      <c r="C1858" s="1">
        <v>45086</v>
      </c>
      <c r="D1858">
        <v>149</v>
      </c>
      <c r="E1858">
        <f>IF(
  ISNA(
    _xlfn.XLOOKUP(
      payments_raw[[#This Row],[subscription_id]],
      subscriptions[subscription_id],
      subscriptions[subscription_id]
    )
  ),
  0,
  1
)</f>
        <v>1</v>
      </c>
      <c r="F1858" s="1">
        <f>_xlfn.XLOOKUP(payments_raw[[#This Row],[subscription_id]], subscriptions[subscription_id], subscriptions[start_date])</f>
        <v>45061</v>
      </c>
      <c r="G18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8" s="2">
        <f>IF(payments_raw[[#This Row],[payment_date]] &lt; payments_raw[[#This Row],[sub_start_date]], 1, 0)</f>
        <v>0</v>
      </c>
      <c r="I1858" s="2">
        <f>IF(AND(payments_raw[[#This Row],[sub_end_date]]&lt;&gt;"", payments_raw[[#This Row],[payment_date]] &gt; payments_raw[[#This Row],[sub_end_date]]), 1, 0)</f>
        <v>0</v>
      </c>
      <c r="J1858" s="2">
        <f>IF(payments_raw[[#This Row],[amount]] &lt;= 0, 1, 0)</f>
        <v>0</v>
      </c>
      <c r="K18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59" spans="1:11" x14ac:dyDescent="0.3">
      <c r="A1859">
        <v>65153035</v>
      </c>
      <c r="B1859">
        <v>2299884</v>
      </c>
      <c r="C1859" s="1">
        <v>45557</v>
      </c>
      <c r="D1859">
        <v>79</v>
      </c>
      <c r="E1859">
        <f>IF(
  ISNA(
    _xlfn.XLOOKUP(
      payments_raw[[#This Row],[subscription_id]],
      subscriptions[subscription_id],
      subscriptions[subscription_id]
    )
  ),
  0,
  1
)</f>
        <v>1</v>
      </c>
      <c r="F1859" s="1">
        <f>_xlfn.XLOOKUP(payments_raw[[#This Row],[subscription_id]], subscriptions[subscription_id], subscriptions[start_date])</f>
        <v>45470</v>
      </c>
      <c r="G18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59" s="2">
        <f>IF(payments_raw[[#This Row],[payment_date]] &lt; payments_raw[[#This Row],[sub_start_date]], 1, 0)</f>
        <v>0</v>
      </c>
      <c r="I1859" s="2">
        <f>IF(AND(payments_raw[[#This Row],[sub_end_date]]&lt;&gt;"", payments_raw[[#This Row],[payment_date]] &gt; payments_raw[[#This Row],[sub_end_date]]), 1, 0)</f>
        <v>0</v>
      </c>
      <c r="J1859" s="2">
        <f>IF(payments_raw[[#This Row],[amount]] &lt;= 0, 1, 0)</f>
        <v>0</v>
      </c>
      <c r="K18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0" spans="1:11" x14ac:dyDescent="0.3">
      <c r="A1860">
        <v>29808913</v>
      </c>
      <c r="B1860">
        <v>3038057</v>
      </c>
      <c r="C1860" s="1">
        <v>45129</v>
      </c>
      <c r="D1860">
        <v>19</v>
      </c>
      <c r="E1860">
        <f>IF(
  ISNA(
    _xlfn.XLOOKUP(
      payments_raw[[#This Row],[subscription_id]],
      subscriptions[subscription_id],
      subscriptions[subscription_id]
    )
  ),
  0,
  1
)</f>
        <v>1</v>
      </c>
      <c r="F1860" s="1">
        <f>_xlfn.XLOOKUP(payments_raw[[#This Row],[subscription_id]], subscriptions[subscription_id], subscriptions[start_date])</f>
        <v>44902</v>
      </c>
      <c r="G18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0" s="2">
        <f>IF(payments_raw[[#This Row],[payment_date]] &lt; payments_raw[[#This Row],[sub_start_date]], 1, 0)</f>
        <v>0</v>
      </c>
      <c r="I1860" s="2">
        <f>IF(AND(payments_raw[[#This Row],[sub_end_date]]&lt;&gt;"", payments_raw[[#This Row],[payment_date]] &gt; payments_raw[[#This Row],[sub_end_date]]), 1, 0)</f>
        <v>0</v>
      </c>
      <c r="J1860" s="2">
        <f>IF(payments_raw[[#This Row],[amount]] &lt;= 0, 1, 0)</f>
        <v>0</v>
      </c>
      <c r="K18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1" spans="1:11" x14ac:dyDescent="0.3">
      <c r="A1861">
        <v>72115842</v>
      </c>
      <c r="B1861">
        <v>7711798</v>
      </c>
      <c r="C1861" s="1">
        <v>45383</v>
      </c>
      <c r="D1861">
        <v>299</v>
      </c>
      <c r="E1861">
        <f>IF(
  ISNA(
    _xlfn.XLOOKUP(
      payments_raw[[#This Row],[subscription_id]],
      subscriptions[subscription_id],
      subscriptions[subscription_id]
    )
  ),
  0,
  1
)</f>
        <v>1</v>
      </c>
      <c r="F1861" s="1">
        <f>_xlfn.XLOOKUP(payments_raw[[#This Row],[subscription_id]], subscriptions[subscription_id], subscriptions[start_date])</f>
        <v>45152</v>
      </c>
      <c r="G18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1" s="2">
        <f>IF(payments_raw[[#This Row],[payment_date]] &lt; payments_raw[[#This Row],[sub_start_date]], 1, 0)</f>
        <v>0</v>
      </c>
      <c r="I1861" s="2">
        <f>IF(AND(payments_raw[[#This Row],[sub_end_date]]&lt;&gt;"", payments_raw[[#This Row],[payment_date]] &gt; payments_raw[[#This Row],[sub_end_date]]), 1, 0)</f>
        <v>0</v>
      </c>
      <c r="J1861" s="2">
        <f>IF(payments_raw[[#This Row],[amount]] &lt;= 0, 1, 0)</f>
        <v>0</v>
      </c>
      <c r="K18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2" spans="1:11" x14ac:dyDescent="0.3">
      <c r="A1862">
        <v>67710226</v>
      </c>
      <c r="B1862">
        <v>8272245</v>
      </c>
      <c r="C1862" s="1">
        <v>45595</v>
      </c>
      <c r="D1862">
        <v>149</v>
      </c>
      <c r="E1862">
        <f>IF(
  ISNA(
    _xlfn.XLOOKUP(
      payments_raw[[#This Row],[subscription_id]],
      subscriptions[subscription_id],
      subscriptions[subscription_id]
    )
  ),
  0,
  1
)</f>
        <v>1</v>
      </c>
      <c r="F1862" s="1">
        <f>_xlfn.XLOOKUP(payments_raw[[#This Row],[subscription_id]], subscriptions[subscription_id], subscriptions[start_date])</f>
        <v>45493</v>
      </c>
      <c r="G18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2" s="2">
        <f>IF(payments_raw[[#This Row],[payment_date]] &lt; payments_raw[[#This Row],[sub_start_date]], 1, 0)</f>
        <v>0</v>
      </c>
      <c r="I1862" s="2">
        <f>IF(AND(payments_raw[[#This Row],[sub_end_date]]&lt;&gt;"", payments_raw[[#This Row],[payment_date]] &gt; payments_raw[[#This Row],[sub_end_date]]), 1, 0)</f>
        <v>0</v>
      </c>
      <c r="J1862" s="2">
        <f>IF(payments_raw[[#This Row],[amount]] &lt;= 0, 1, 0)</f>
        <v>0</v>
      </c>
      <c r="K18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3" spans="1:11" x14ac:dyDescent="0.3">
      <c r="A1863">
        <v>64591401</v>
      </c>
      <c r="B1863">
        <v>9513662</v>
      </c>
      <c r="C1863" s="1">
        <v>45560</v>
      </c>
      <c r="D1863">
        <v>39</v>
      </c>
      <c r="E1863">
        <f>IF(
  ISNA(
    _xlfn.XLOOKUP(
      payments_raw[[#This Row],[subscription_id]],
      subscriptions[subscription_id],
      subscriptions[subscription_id]
    )
  ),
  0,
  1
)</f>
        <v>1</v>
      </c>
      <c r="F1863" s="1">
        <f>_xlfn.XLOOKUP(payments_raw[[#This Row],[subscription_id]], subscriptions[subscription_id], subscriptions[start_date])</f>
        <v>45536</v>
      </c>
      <c r="G18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3" s="2">
        <f>IF(payments_raw[[#This Row],[payment_date]] &lt; payments_raw[[#This Row],[sub_start_date]], 1, 0)</f>
        <v>0</v>
      </c>
      <c r="I1863" s="2">
        <f>IF(AND(payments_raw[[#This Row],[sub_end_date]]&lt;&gt;"", payments_raw[[#This Row],[payment_date]] &gt; payments_raw[[#This Row],[sub_end_date]]), 1, 0)</f>
        <v>0</v>
      </c>
      <c r="J1863" s="2">
        <f>IF(payments_raw[[#This Row],[amount]] &lt;= 0, 1, 0)</f>
        <v>0</v>
      </c>
      <c r="K18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4" spans="1:11" x14ac:dyDescent="0.3">
      <c r="A1864">
        <v>10457051</v>
      </c>
      <c r="B1864">
        <v>4338530</v>
      </c>
      <c r="C1864" s="1">
        <v>45557</v>
      </c>
      <c r="D1864">
        <v>2990</v>
      </c>
      <c r="E1864">
        <f>IF(
  ISNA(
    _xlfn.XLOOKUP(
      payments_raw[[#This Row],[subscription_id]],
      subscriptions[subscription_id],
      subscriptions[subscription_id]
    )
  ),
  0,
  1
)</f>
        <v>1</v>
      </c>
      <c r="F1864" s="1">
        <f>_xlfn.XLOOKUP(payments_raw[[#This Row],[subscription_id]], subscriptions[subscription_id], subscriptions[start_date])</f>
        <v>45543</v>
      </c>
      <c r="G18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864" s="2">
        <f>IF(payments_raw[[#This Row],[payment_date]] &lt; payments_raw[[#This Row],[sub_start_date]], 1, 0)</f>
        <v>0</v>
      </c>
      <c r="I1864" s="2">
        <f>IF(AND(payments_raw[[#This Row],[sub_end_date]]&lt;&gt;"", payments_raw[[#This Row],[payment_date]] &gt; payments_raw[[#This Row],[sub_end_date]]), 1, 0)</f>
        <v>0</v>
      </c>
      <c r="J1864" s="2">
        <f>IF(payments_raw[[#This Row],[amount]] &lt;= 0, 1, 0)</f>
        <v>0</v>
      </c>
      <c r="K18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5" spans="1:11" x14ac:dyDescent="0.3">
      <c r="A1865">
        <v>18314171</v>
      </c>
      <c r="B1865">
        <v>7130767</v>
      </c>
      <c r="C1865" s="1">
        <v>45600</v>
      </c>
      <c r="D1865">
        <v>1490</v>
      </c>
      <c r="E1865">
        <f>IF(
  ISNA(
    _xlfn.XLOOKUP(
      payments_raw[[#This Row],[subscription_id]],
      subscriptions[subscription_id],
      subscriptions[subscription_id]
    )
  ),
  0,
  1
)</f>
        <v>1</v>
      </c>
      <c r="F1865" s="1">
        <f>_xlfn.XLOOKUP(payments_raw[[#This Row],[subscription_id]], subscriptions[subscription_id], subscriptions[start_date])</f>
        <v>45435</v>
      </c>
      <c r="G18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1865" s="2">
        <f>IF(payments_raw[[#This Row],[payment_date]] &lt; payments_raw[[#This Row],[sub_start_date]], 1, 0)</f>
        <v>0</v>
      </c>
      <c r="I1865" s="2">
        <f>IF(AND(payments_raw[[#This Row],[sub_end_date]]&lt;&gt;"", payments_raw[[#This Row],[payment_date]] &gt; payments_raw[[#This Row],[sub_end_date]]), 1, 0)</f>
        <v>0</v>
      </c>
      <c r="J1865" s="2">
        <f>IF(payments_raw[[#This Row],[amount]] &lt;= 0, 1, 0)</f>
        <v>0</v>
      </c>
      <c r="K18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6" spans="1:11" x14ac:dyDescent="0.3">
      <c r="A1866">
        <v>94463186</v>
      </c>
      <c r="B1866">
        <v>1645952</v>
      </c>
      <c r="C1866" s="1">
        <v>45121</v>
      </c>
      <c r="D1866">
        <v>790</v>
      </c>
      <c r="E1866">
        <f>IF(
  ISNA(
    _xlfn.XLOOKUP(
      payments_raw[[#This Row],[subscription_id]],
      subscriptions[subscription_id],
      subscriptions[subscription_id]
    )
  ),
  0,
  1
)</f>
        <v>1</v>
      </c>
      <c r="F1866" s="1">
        <f>_xlfn.XLOOKUP(payments_raw[[#This Row],[subscription_id]], subscriptions[subscription_id], subscriptions[start_date])</f>
        <v>44939</v>
      </c>
      <c r="G18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45194</v>
      </c>
      <c r="H1866" s="2">
        <f>IF(payments_raw[[#This Row],[payment_date]] &lt; payments_raw[[#This Row],[sub_start_date]], 1, 0)</f>
        <v>0</v>
      </c>
      <c r="I1866" s="2">
        <f>IF(AND(payments_raw[[#This Row],[sub_end_date]]&lt;&gt;"", payments_raw[[#This Row],[payment_date]] &gt; payments_raw[[#This Row],[sub_end_date]]), 1, 0)</f>
        <v>0</v>
      </c>
      <c r="J1866" s="2">
        <f>IF(payments_raw[[#This Row],[amount]] &lt;= 0, 1, 0)</f>
        <v>0</v>
      </c>
      <c r="K18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7" spans="1:11" x14ac:dyDescent="0.3">
      <c r="A1867">
        <v>68965657</v>
      </c>
      <c r="B1867">
        <v>7352396</v>
      </c>
      <c r="C1867" s="1">
        <v>44845</v>
      </c>
      <c r="D1867">
        <v>2242.5</v>
      </c>
      <c r="E1867">
        <f>IF(
  ISNA(
    _xlfn.XLOOKUP(
      payments_raw[[#This Row],[subscription_id]],
      subscriptions[subscription_id],
      subscriptions[subscription_id]
    )
  ),
  0,
  1
)</f>
        <v>1</v>
      </c>
      <c r="F1867" s="1">
        <f>_xlfn.XLOOKUP(payments_raw[[#This Row],[subscription_id]], subscriptions[subscription_id], subscriptions[start_date])</f>
        <v>44777</v>
      </c>
      <c r="G186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44870</v>
      </c>
      <c r="H1867" s="2">
        <f>IF(payments_raw[[#This Row],[payment_date]] &lt; payments_raw[[#This Row],[sub_start_date]], 1, 0)</f>
        <v>0</v>
      </c>
      <c r="I1867" s="2">
        <f>IF(AND(payments_raw[[#This Row],[sub_end_date]]&lt;&gt;"", payments_raw[[#This Row],[payment_date]] &gt; payments_raw[[#This Row],[sub_end_date]]), 1, 0)</f>
        <v>0</v>
      </c>
      <c r="J1867" s="2">
        <f>IF(payments_raw[[#This Row],[amount]] &lt;= 0, 1, 0)</f>
        <v>0</v>
      </c>
      <c r="K18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8" spans="1:11" x14ac:dyDescent="0.3">
      <c r="A1868">
        <v>53685675</v>
      </c>
      <c r="B1868">
        <v>7465654</v>
      </c>
      <c r="C1868" s="1">
        <v>45527</v>
      </c>
      <c r="D1868">
        <v>190</v>
      </c>
      <c r="E1868">
        <f>IF(
  ISNA(
    _xlfn.XLOOKUP(
      payments_raw[[#This Row],[subscription_id]],
      subscriptions[subscription_id],
      subscriptions[subscription_id]
    )
  ),
  0,
  1
)</f>
        <v>1</v>
      </c>
      <c r="F1868" s="1">
        <f>_xlfn.XLOOKUP(payments_raw[[#This Row],[subscription_id]], subscriptions[subscription_id], subscriptions[start_date])</f>
        <v>44863</v>
      </c>
      <c r="G18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8" s="2">
        <f>IF(payments_raw[[#This Row],[payment_date]] &lt; payments_raw[[#This Row],[sub_start_date]], 1, 0)</f>
        <v>0</v>
      </c>
      <c r="I1868" s="2">
        <f>IF(AND(payments_raw[[#This Row],[sub_end_date]]&lt;&gt;"", payments_raw[[#This Row],[payment_date]] &gt; payments_raw[[#This Row],[sub_end_date]]), 1, 0)</f>
        <v>0</v>
      </c>
      <c r="J1868" s="2">
        <f>IF(payments_raw[[#This Row],[amount]] &lt;= 0, 1, 0)</f>
        <v>0</v>
      </c>
      <c r="K18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69" spans="1:11" x14ac:dyDescent="0.3">
      <c r="A1869">
        <v>16124393</v>
      </c>
      <c r="B1869">
        <v>9448643</v>
      </c>
      <c r="C1869" s="1">
        <v>44805</v>
      </c>
      <c r="D1869">
        <v>395</v>
      </c>
      <c r="E1869">
        <f>IF(
  ISNA(
    _xlfn.XLOOKUP(
      payments_raw[[#This Row],[subscription_id]],
      subscriptions[subscription_id],
      subscriptions[subscription_id]
    )
  ),
  0,
  1
)</f>
        <v>1</v>
      </c>
      <c r="F1869" s="1">
        <f>_xlfn.XLOOKUP(payments_raw[[#This Row],[subscription_id]], subscriptions[subscription_id], subscriptions[start_date])</f>
        <v>44768</v>
      </c>
      <c r="G18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69" s="2">
        <f>IF(payments_raw[[#This Row],[payment_date]] &lt; payments_raw[[#This Row],[sub_start_date]], 1, 0)</f>
        <v>0</v>
      </c>
      <c r="I1869" s="2">
        <f>IF(AND(payments_raw[[#This Row],[sub_end_date]]&lt;&gt;"", payments_raw[[#This Row],[payment_date]] &gt; payments_raw[[#This Row],[sub_end_date]]), 1, 0)</f>
        <v>0</v>
      </c>
      <c r="J1869" s="2">
        <f>IF(payments_raw[[#This Row],[amount]] &lt;= 0, 1, 0)</f>
        <v>0</v>
      </c>
      <c r="K18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0" spans="1:11" x14ac:dyDescent="0.3">
      <c r="A1870">
        <v>74940567</v>
      </c>
      <c r="B1870">
        <v>1538869</v>
      </c>
      <c r="C1870" s="1">
        <v>45615</v>
      </c>
      <c r="D1870">
        <v>39</v>
      </c>
      <c r="E1870">
        <f>IF(
  ISNA(
    _xlfn.XLOOKUP(
      payments_raw[[#This Row],[subscription_id]],
      subscriptions[subscription_id],
      subscriptions[subscription_id]
    )
  ),
  0,
  1
)</f>
        <v>1</v>
      </c>
      <c r="F1870" s="1">
        <f>_xlfn.XLOOKUP(payments_raw[[#This Row],[subscription_id]], subscriptions[subscription_id], subscriptions[start_date])</f>
        <v>44917</v>
      </c>
      <c r="G18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0" s="2">
        <f>IF(payments_raw[[#This Row],[payment_date]] &lt; payments_raw[[#This Row],[sub_start_date]], 1, 0)</f>
        <v>0</v>
      </c>
      <c r="I1870" s="2">
        <f>IF(AND(payments_raw[[#This Row],[sub_end_date]]&lt;&gt;"", payments_raw[[#This Row],[payment_date]] &gt; payments_raw[[#This Row],[sub_end_date]]), 1, 0)</f>
        <v>0</v>
      </c>
      <c r="J1870" s="2">
        <f>IF(payments_raw[[#This Row],[amount]] &lt;= 0, 1, 0)</f>
        <v>0</v>
      </c>
      <c r="K18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1" spans="1:11" x14ac:dyDescent="0.3">
      <c r="A1871">
        <v>27183032</v>
      </c>
      <c r="B1871">
        <v>4064939</v>
      </c>
      <c r="C1871" s="1">
        <v>45130</v>
      </c>
      <c r="D1871">
        <v>190</v>
      </c>
      <c r="E1871">
        <f>IF(
  ISNA(
    _xlfn.XLOOKUP(
      payments_raw[[#This Row],[subscription_id]],
      subscriptions[subscription_id],
      subscriptions[subscription_id]
    )
  ),
  0,
  1
)</f>
        <v>1</v>
      </c>
      <c r="F1871" s="1">
        <f>_xlfn.XLOOKUP(payments_raw[[#This Row],[subscription_id]], subscriptions[subscription_id], subscriptions[start_date])</f>
        <v>45063</v>
      </c>
      <c r="G18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1" s="2">
        <f>IF(payments_raw[[#This Row],[payment_date]] &lt; payments_raw[[#This Row],[sub_start_date]], 1, 0)</f>
        <v>0</v>
      </c>
      <c r="I1871" s="2">
        <f>IF(AND(payments_raw[[#This Row],[sub_end_date]]&lt;&gt;"", payments_raw[[#This Row],[payment_date]] &gt; payments_raw[[#This Row],[sub_end_date]]), 1, 0)</f>
        <v>0</v>
      </c>
      <c r="J1871" s="2">
        <f>IF(payments_raw[[#This Row],[amount]] &lt;= 0, 1, 0)</f>
        <v>0</v>
      </c>
      <c r="K18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2" spans="1:11" x14ac:dyDescent="0.3">
      <c r="A1872">
        <v>52921300</v>
      </c>
      <c r="B1872">
        <v>9945633</v>
      </c>
      <c r="C1872" s="1">
        <v>45582</v>
      </c>
      <c r="D1872">
        <v>19</v>
      </c>
      <c r="E1872">
        <f>IF(
  ISNA(
    _xlfn.XLOOKUP(
      payments_raw[[#This Row],[subscription_id]],
      subscriptions[subscription_id],
      subscriptions[subscription_id]
    )
  ),
  0,
  1
)</f>
        <v>1</v>
      </c>
      <c r="F1872" s="1">
        <f>_xlfn.XLOOKUP(payments_raw[[#This Row],[subscription_id]], subscriptions[subscription_id], subscriptions[start_date])</f>
        <v>45345</v>
      </c>
      <c r="G18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2" s="2">
        <f>IF(payments_raw[[#This Row],[payment_date]] &lt; payments_raw[[#This Row],[sub_start_date]], 1, 0)</f>
        <v>0</v>
      </c>
      <c r="I1872" s="2">
        <f>IF(AND(payments_raw[[#This Row],[sub_end_date]]&lt;&gt;"", payments_raw[[#This Row],[payment_date]] &gt; payments_raw[[#This Row],[sub_end_date]]), 1, 0)</f>
        <v>0</v>
      </c>
      <c r="J1872" s="2">
        <f>IF(payments_raw[[#This Row],[amount]] &lt;= 0, 1, 0)</f>
        <v>0</v>
      </c>
      <c r="K18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3" spans="1:11" x14ac:dyDescent="0.3">
      <c r="A1873">
        <v>36154680</v>
      </c>
      <c r="B1873">
        <v>1275590</v>
      </c>
      <c r="C1873" s="1">
        <v>45434</v>
      </c>
      <c r="D1873">
        <v>149</v>
      </c>
      <c r="E1873">
        <f>IF(
  ISNA(
    _xlfn.XLOOKUP(
      payments_raw[[#This Row],[subscription_id]],
      subscriptions[subscription_id],
      subscriptions[subscription_id]
    )
  ),
  0,
  1
)</f>
        <v>1</v>
      </c>
      <c r="F1873" s="1">
        <f>_xlfn.XLOOKUP(payments_raw[[#This Row],[subscription_id]], subscriptions[subscription_id], subscriptions[start_date])</f>
        <v>45404</v>
      </c>
      <c r="G18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3" s="2">
        <f>IF(payments_raw[[#This Row],[payment_date]] &lt; payments_raw[[#This Row],[sub_start_date]], 1, 0)</f>
        <v>0</v>
      </c>
      <c r="I1873" s="2">
        <f>IF(AND(payments_raw[[#This Row],[sub_end_date]]&lt;&gt;"", payments_raw[[#This Row],[payment_date]] &gt; payments_raw[[#This Row],[sub_end_date]]), 1, 0)</f>
        <v>0</v>
      </c>
      <c r="J1873" s="2">
        <f>IF(payments_raw[[#This Row],[amount]] &lt;= 0, 1, 0)</f>
        <v>0</v>
      </c>
      <c r="K18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4" spans="1:11" x14ac:dyDescent="0.3">
      <c r="A1874">
        <v>91096407</v>
      </c>
      <c r="B1874">
        <v>2247391</v>
      </c>
      <c r="C1874" s="1">
        <v>45385</v>
      </c>
      <c r="D1874">
        <v>149</v>
      </c>
      <c r="E1874">
        <f>IF(
  ISNA(
    _xlfn.XLOOKUP(
      payments_raw[[#This Row],[subscription_id]],
      subscriptions[subscription_id],
      subscriptions[subscription_id]
    )
  ),
  0,
  1
)</f>
        <v>1</v>
      </c>
      <c r="F1874" s="1">
        <f>_xlfn.XLOOKUP(payments_raw[[#This Row],[subscription_id]], subscriptions[subscription_id], subscriptions[start_date])</f>
        <v>45231</v>
      </c>
      <c r="G18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4" s="2">
        <f>IF(payments_raw[[#This Row],[payment_date]] &lt; payments_raw[[#This Row],[sub_start_date]], 1, 0)</f>
        <v>0</v>
      </c>
      <c r="I1874" s="2">
        <f>IF(AND(payments_raw[[#This Row],[sub_end_date]]&lt;&gt;"", payments_raw[[#This Row],[payment_date]] &gt; payments_raw[[#This Row],[sub_end_date]]), 1, 0)</f>
        <v>0</v>
      </c>
      <c r="J1874" s="2">
        <f>IF(payments_raw[[#This Row],[amount]] &lt;= 0, 1, 0)</f>
        <v>0</v>
      </c>
      <c r="K18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5" spans="1:11" x14ac:dyDescent="0.3">
      <c r="A1875">
        <v>86995914</v>
      </c>
      <c r="B1875">
        <v>9060593</v>
      </c>
      <c r="C1875" s="1">
        <v>45383</v>
      </c>
      <c r="D1875">
        <v>39</v>
      </c>
      <c r="E1875">
        <f>IF(
  ISNA(
    _xlfn.XLOOKUP(
      payments_raw[[#This Row],[subscription_id]],
      subscriptions[subscription_id],
      subscriptions[subscription_id]
    )
  ),
  0,
  1
)</f>
        <v>1</v>
      </c>
      <c r="F1875" s="1">
        <f>_xlfn.XLOOKUP(payments_raw[[#This Row],[subscription_id]], subscriptions[subscription_id], subscriptions[start_date])</f>
        <v>45320</v>
      </c>
      <c r="G18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5" s="2">
        <f>IF(payments_raw[[#This Row],[payment_date]] &lt; payments_raw[[#This Row],[sub_start_date]], 1, 0)</f>
        <v>0</v>
      </c>
      <c r="I1875" s="2">
        <f>IF(AND(payments_raw[[#This Row],[sub_end_date]]&lt;&gt;"", payments_raw[[#This Row],[payment_date]] &gt; payments_raw[[#This Row],[sub_end_date]]), 1, 0)</f>
        <v>0</v>
      </c>
      <c r="J1875" s="2">
        <f>IF(payments_raw[[#This Row],[amount]] &lt;= 0, 1, 0)</f>
        <v>0</v>
      </c>
      <c r="K18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6" spans="1:11" x14ac:dyDescent="0.3">
      <c r="A1876">
        <v>39208016</v>
      </c>
      <c r="B1876">
        <v>3449200</v>
      </c>
      <c r="C1876" s="1">
        <v>45302</v>
      </c>
      <c r="D1876">
        <v>19</v>
      </c>
      <c r="E1876">
        <f>IF(
  ISNA(
    _xlfn.XLOOKUP(
      payments_raw[[#This Row],[subscription_id]],
      subscriptions[subscription_id],
      subscriptions[subscription_id]
    )
  ),
  0,
  1
)</f>
        <v>1</v>
      </c>
      <c r="F1876" s="1">
        <f>_xlfn.XLOOKUP(payments_raw[[#This Row],[subscription_id]], subscriptions[subscription_id], subscriptions[start_date])</f>
        <v>45099</v>
      </c>
      <c r="G18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1876" s="2">
        <f>IF(payments_raw[[#This Row],[payment_date]] &lt; payments_raw[[#This Row],[sub_start_date]], 1, 0)</f>
        <v>0</v>
      </c>
      <c r="I1876" s="2">
        <f>IF(AND(payments_raw[[#This Row],[sub_end_date]]&lt;&gt;"", payments_raw[[#This Row],[payment_date]] &gt; payments_raw[[#This Row],[sub_end_date]]), 1, 0)</f>
        <v>0</v>
      </c>
      <c r="J1876" s="2">
        <f>IF(payments_raw[[#This Row],[amount]] &lt;= 0, 1, 0)</f>
        <v>0</v>
      </c>
      <c r="K18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7" spans="1:11" x14ac:dyDescent="0.3">
      <c r="A1877">
        <v>94227868</v>
      </c>
      <c r="B1877">
        <v>1757936</v>
      </c>
      <c r="C1877" s="1">
        <v>44774</v>
      </c>
      <c r="D1877">
        <v>299</v>
      </c>
      <c r="E1877">
        <f>IF(
  ISNA(
    _xlfn.XLOOKUP(
      payments_raw[[#This Row],[subscription_id]],
      subscriptions[subscription_id],
      subscriptions[subscription_id]
    )
  ),
  0,
  1
)</f>
        <v>1</v>
      </c>
      <c r="F1877" s="1">
        <f>_xlfn.XLOOKUP(payments_raw[[#This Row],[subscription_id]], subscriptions[subscription_id], subscriptions[start_date])</f>
        <v>44597</v>
      </c>
      <c r="G18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7" s="2">
        <f>IF(payments_raw[[#This Row],[payment_date]] &lt; payments_raw[[#This Row],[sub_start_date]], 1, 0)</f>
        <v>0</v>
      </c>
      <c r="I1877" s="2">
        <f>IF(AND(payments_raw[[#This Row],[sub_end_date]]&lt;&gt;"", payments_raw[[#This Row],[payment_date]] &gt; payments_raw[[#This Row],[sub_end_date]]), 1, 0)</f>
        <v>0</v>
      </c>
      <c r="J1877" s="2">
        <f>IF(payments_raw[[#This Row],[amount]] &lt;= 0, 1, 0)</f>
        <v>0</v>
      </c>
      <c r="K18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8" spans="1:11" x14ac:dyDescent="0.3">
      <c r="A1878">
        <v>32075919</v>
      </c>
      <c r="B1878">
        <v>7526999</v>
      </c>
      <c r="C1878" s="1">
        <v>45538</v>
      </c>
      <c r="D1878">
        <v>2990</v>
      </c>
      <c r="E1878">
        <f>IF(
  ISNA(
    _xlfn.XLOOKUP(
      payments_raw[[#This Row],[subscription_id]],
      subscriptions[subscription_id],
      subscriptions[subscription_id]
    )
  ),
  0,
  1
)</f>
        <v>1</v>
      </c>
      <c r="F1878" s="1">
        <f>_xlfn.XLOOKUP(payments_raw[[#This Row],[subscription_id]], subscriptions[subscription_id], subscriptions[start_date])</f>
        <v>45536</v>
      </c>
      <c r="G18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45572</v>
      </c>
      <c r="H1878" s="2">
        <f>IF(payments_raw[[#This Row],[payment_date]] &lt; payments_raw[[#This Row],[sub_start_date]], 1, 0)</f>
        <v>0</v>
      </c>
      <c r="I1878" s="2">
        <f>IF(AND(payments_raw[[#This Row],[sub_end_date]]&lt;&gt;"", payments_raw[[#This Row],[payment_date]] &gt; payments_raw[[#This Row],[sub_end_date]]), 1, 0)</f>
        <v>0</v>
      </c>
      <c r="J1878" s="2">
        <f>IF(payments_raw[[#This Row],[amount]] &lt;= 0, 1, 0)</f>
        <v>0</v>
      </c>
      <c r="K18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79" spans="1:11" x14ac:dyDescent="0.3">
      <c r="A1879">
        <v>36590626</v>
      </c>
      <c r="B1879">
        <v>4937877</v>
      </c>
      <c r="C1879" s="1">
        <v>45469</v>
      </c>
      <c r="D1879">
        <v>79</v>
      </c>
      <c r="E1879">
        <f>IF(
  ISNA(
    _xlfn.XLOOKUP(
      payments_raw[[#This Row],[subscription_id]],
      subscriptions[subscription_id],
      subscriptions[subscription_id]
    )
  ),
  0,
  1
)</f>
        <v>1</v>
      </c>
      <c r="F1879" s="1">
        <f>_xlfn.XLOOKUP(payments_raw[[#This Row],[subscription_id]], subscriptions[subscription_id], subscriptions[start_date])</f>
        <v>45276</v>
      </c>
      <c r="G18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79" s="2">
        <f>IF(payments_raw[[#This Row],[payment_date]] &lt; payments_raw[[#This Row],[sub_start_date]], 1, 0)</f>
        <v>0</v>
      </c>
      <c r="I1879" s="2">
        <f>IF(AND(payments_raw[[#This Row],[sub_end_date]]&lt;&gt;"", payments_raw[[#This Row],[payment_date]] &gt; payments_raw[[#This Row],[sub_end_date]]), 1, 0)</f>
        <v>0</v>
      </c>
      <c r="J1879" s="2">
        <f>IF(payments_raw[[#This Row],[amount]] &lt;= 0, 1, 0)</f>
        <v>0</v>
      </c>
      <c r="K18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0" spans="1:11" x14ac:dyDescent="0.3">
      <c r="A1880">
        <v>57119069</v>
      </c>
      <c r="B1880">
        <v>9990982</v>
      </c>
      <c r="C1880" s="1">
        <v>45136</v>
      </c>
      <c r="D1880">
        <v>1490</v>
      </c>
      <c r="E1880">
        <f>IF(
  ISNA(
    _xlfn.XLOOKUP(
      payments_raw[[#This Row],[subscription_id]],
      subscriptions[subscription_id],
      subscriptions[subscription_id]
    )
  ),
  0,
  1
)</f>
        <v>1</v>
      </c>
      <c r="F1880" s="1">
        <f>_xlfn.XLOOKUP(payments_raw[[#This Row],[subscription_id]], subscriptions[subscription_id], subscriptions[start_date])</f>
        <v>44979</v>
      </c>
      <c r="G18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0" s="2">
        <f>IF(payments_raw[[#This Row],[payment_date]] &lt; payments_raw[[#This Row],[sub_start_date]], 1, 0)</f>
        <v>0</v>
      </c>
      <c r="I1880" s="2">
        <f>IF(AND(payments_raw[[#This Row],[sub_end_date]]&lt;&gt;"", payments_raw[[#This Row],[payment_date]] &gt; payments_raw[[#This Row],[sub_end_date]]), 1, 0)</f>
        <v>0</v>
      </c>
      <c r="J1880" s="2">
        <f>IF(payments_raw[[#This Row],[amount]] &lt;= 0, 1, 0)</f>
        <v>0</v>
      </c>
      <c r="K18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1" spans="1:11" x14ac:dyDescent="0.3">
      <c r="A1881">
        <v>62447647</v>
      </c>
      <c r="B1881">
        <v>6101515</v>
      </c>
      <c r="C1881" s="1">
        <v>45544</v>
      </c>
      <c r="D1881">
        <v>19</v>
      </c>
      <c r="E1881">
        <f>IF(
  ISNA(
    _xlfn.XLOOKUP(
      payments_raw[[#This Row],[subscription_id]],
      subscriptions[subscription_id],
      subscriptions[subscription_id]
    )
  ),
  0,
  1
)</f>
        <v>1</v>
      </c>
      <c r="F1881" s="1">
        <f>_xlfn.XLOOKUP(payments_raw[[#This Row],[subscription_id]], subscriptions[subscription_id], subscriptions[start_date])</f>
        <v>45499</v>
      </c>
      <c r="G18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1881" s="2">
        <f>IF(payments_raw[[#This Row],[payment_date]] &lt; payments_raw[[#This Row],[sub_start_date]], 1, 0)</f>
        <v>0</v>
      </c>
      <c r="I1881" s="2">
        <f>IF(AND(payments_raw[[#This Row],[sub_end_date]]&lt;&gt;"", payments_raw[[#This Row],[payment_date]] &gt; payments_raw[[#This Row],[sub_end_date]]), 1, 0)</f>
        <v>0</v>
      </c>
      <c r="J1881" s="2">
        <f>IF(payments_raw[[#This Row],[amount]] &lt;= 0, 1, 0)</f>
        <v>0</v>
      </c>
      <c r="K18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2" spans="1:11" x14ac:dyDescent="0.3">
      <c r="A1882">
        <v>13595556</v>
      </c>
      <c r="B1882">
        <v>3981886</v>
      </c>
      <c r="C1882" s="1">
        <v>45445</v>
      </c>
      <c r="D1882">
        <v>149</v>
      </c>
      <c r="E1882">
        <f>IF(
  ISNA(
    _xlfn.XLOOKUP(
      payments_raw[[#This Row],[subscription_id]],
      subscriptions[subscription_id],
      subscriptions[subscription_id]
    )
  ),
  0,
  1
)</f>
        <v>1</v>
      </c>
      <c r="F1882" s="1">
        <f>_xlfn.XLOOKUP(payments_raw[[#This Row],[subscription_id]], subscriptions[subscription_id], subscriptions[start_date])</f>
        <v>45369</v>
      </c>
      <c r="G18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1882" s="2">
        <f>IF(payments_raw[[#This Row],[payment_date]] &lt; payments_raw[[#This Row],[sub_start_date]], 1, 0)</f>
        <v>0</v>
      </c>
      <c r="I1882" s="2">
        <f>IF(AND(payments_raw[[#This Row],[sub_end_date]]&lt;&gt;"", payments_raw[[#This Row],[payment_date]] &gt; payments_raw[[#This Row],[sub_end_date]]), 1, 0)</f>
        <v>0</v>
      </c>
      <c r="J1882" s="2">
        <f>IF(payments_raw[[#This Row],[amount]] &lt;= 0, 1, 0)</f>
        <v>0</v>
      </c>
      <c r="K18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3" spans="1:11" x14ac:dyDescent="0.3">
      <c r="A1883">
        <v>87257533</v>
      </c>
      <c r="B1883">
        <v>6777952</v>
      </c>
      <c r="C1883" s="1">
        <v>45597</v>
      </c>
      <c r="D1883">
        <v>190</v>
      </c>
      <c r="E1883">
        <f>IF(
  ISNA(
    _xlfn.XLOOKUP(
      payments_raw[[#This Row],[subscription_id]],
      subscriptions[subscription_id],
      subscriptions[subscription_id]
    )
  ),
  0,
  1
)</f>
        <v>1</v>
      </c>
      <c r="F1883" s="1">
        <f>_xlfn.XLOOKUP(payments_raw[[#This Row],[subscription_id]], subscriptions[subscription_id], subscriptions[start_date])</f>
        <v>44854</v>
      </c>
      <c r="G18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3" s="2">
        <f>IF(payments_raw[[#This Row],[payment_date]] &lt; payments_raw[[#This Row],[sub_start_date]], 1, 0)</f>
        <v>0</v>
      </c>
      <c r="I1883" s="2">
        <f>IF(AND(payments_raw[[#This Row],[sub_end_date]]&lt;&gt;"", payments_raw[[#This Row],[payment_date]] &gt; payments_raw[[#This Row],[sub_end_date]]), 1, 0)</f>
        <v>0</v>
      </c>
      <c r="J1883" s="2">
        <f>IF(payments_raw[[#This Row],[amount]] &lt;= 0, 1, 0)</f>
        <v>0</v>
      </c>
      <c r="K18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4" spans="1:11" x14ac:dyDescent="0.3">
      <c r="A1884">
        <v>75047236</v>
      </c>
      <c r="B1884">
        <v>4623343</v>
      </c>
      <c r="C1884" s="1">
        <v>45111</v>
      </c>
      <c r="D1884">
        <v>39</v>
      </c>
      <c r="E1884">
        <f>IF(
  ISNA(
    _xlfn.XLOOKUP(
      payments_raw[[#This Row],[subscription_id]],
      subscriptions[subscription_id],
      subscriptions[subscription_id]
    )
  ),
  0,
  1
)</f>
        <v>1</v>
      </c>
      <c r="F1884" s="1">
        <f>_xlfn.XLOOKUP(payments_raw[[#This Row],[subscription_id]], subscriptions[subscription_id], subscriptions[start_date])</f>
        <v>44859</v>
      </c>
      <c r="G18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4" s="2">
        <f>IF(payments_raw[[#This Row],[payment_date]] &lt; payments_raw[[#This Row],[sub_start_date]], 1, 0)</f>
        <v>0</v>
      </c>
      <c r="I1884" s="2">
        <f>IF(AND(payments_raw[[#This Row],[sub_end_date]]&lt;&gt;"", payments_raw[[#This Row],[payment_date]] &gt; payments_raw[[#This Row],[sub_end_date]]), 1, 0)</f>
        <v>0</v>
      </c>
      <c r="J1884" s="2">
        <f>IF(payments_raw[[#This Row],[amount]] &lt;= 0, 1, 0)</f>
        <v>0</v>
      </c>
      <c r="K18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5" spans="1:11" x14ac:dyDescent="0.3">
      <c r="A1885">
        <v>60134200</v>
      </c>
      <c r="B1885">
        <v>4178437</v>
      </c>
      <c r="C1885" s="1">
        <v>45566</v>
      </c>
      <c r="D1885">
        <v>149</v>
      </c>
      <c r="E1885">
        <f>IF(
  ISNA(
    _xlfn.XLOOKUP(
      payments_raw[[#This Row],[subscription_id]],
      subscriptions[subscription_id],
      subscriptions[subscription_id]
    )
  ),
  0,
  1
)</f>
        <v>1</v>
      </c>
      <c r="F1885" s="1">
        <f>_xlfn.XLOOKUP(payments_raw[[#This Row],[subscription_id]], subscriptions[subscription_id], subscriptions[start_date])</f>
        <v>45386</v>
      </c>
      <c r="G18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5" s="2">
        <f>IF(payments_raw[[#This Row],[payment_date]] &lt; payments_raw[[#This Row],[sub_start_date]], 1, 0)</f>
        <v>0</v>
      </c>
      <c r="I1885" s="2">
        <f>IF(AND(payments_raw[[#This Row],[sub_end_date]]&lt;&gt;"", payments_raw[[#This Row],[payment_date]] &gt; payments_raw[[#This Row],[sub_end_date]]), 1, 0)</f>
        <v>0</v>
      </c>
      <c r="J1885" s="2">
        <f>IF(payments_raw[[#This Row],[amount]] &lt;= 0, 1, 0)</f>
        <v>0</v>
      </c>
      <c r="K18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6" spans="1:11" x14ac:dyDescent="0.3">
      <c r="A1886">
        <v>98486242</v>
      </c>
      <c r="B1886">
        <v>3398377</v>
      </c>
      <c r="C1886" s="1">
        <v>44685</v>
      </c>
      <c r="D1886">
        <v>79</v>
      </c>
      <c r="E1886">
        <f>IF(
  ISNA(
    _xlfn.XLOOKUP(
      payments_raw[[#This Row],[subscription_id]],
      subscriptions[subscription_id],
      subscriptions[subscription_id]
    )
  ),
  0,
  1
)</f>
        <v>1</v>
      </c>
      <c r="F1886" s="1">
        <f>_xlfn.XLOOKUP(payments_raw[[#This Row],[subscription_id]], subscriptions[subscription_id], subscriptions[start_date])</f>
        <v>44631</v>
      </c>
      <c r="G18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1886" s="2">
        <f>IF(payments_raw[[#This Row],[payment_date]] &lt; payments_raw[[#This Row],[sub_start_date]], 1, 0)</f>
        <v>0</v>
      </c>
      <c r="I1886" s="2">
        <f>IF(AND(payments_raw[[#This Row],[sub_end_date]]&lt;&gt;"", payments_raw[[#This Row],[payment_date]] &gt; payments_raw[[#This Row],[sub_end_date]]), 1, 0)</f>
        <v>0</v>
      </c>
      <c r="J1886" s="2">
        <f>IF(payments_raw[[#This Row],[amount]] &lt;= 0, 1, 0)</f>
        <v>0</v>
      </c>
      <c r="K18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7" spans="1:11" x14ac:dyDescent="0.3">
      <c r="A1887">
        <v>29912354</v>
      </c>
      <c r="B1887">
        <v>5978445</v>
      </c>
      <c r="C1887" s="1">
        <v>44945</v>
      </c>
      <c r="D1887">
        <v>149</v>
      </c>
      <c r="E1887">
        <f>IF(
  ISNA(
    _xlfn.XLOOKUP(
      payments_raw[[#This Row],[subscription_id]],
      subscriptions[subscription_id],
      subscriptions[subscription_id]
    )
  ),
  0,
  1
)</f>
        <v>1</v>
      </c>
      <c r="F1887" s="1">
        <f>_xlfn.XLOOKUP(payments_raw[[#This Row],[subscription_id]], subscriptions[subscription_id], subscriptions[start_date])</f>
        <v>44772</v>
      </c>
      <c r="G18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7" s="2">
        <f>IF(payments_raw[[#This Row],[payment_date]] &lt; payments_raw[[#This Row],[sub_start_date]], 1, 0)</f>
        <v>0</v>
      </c>
      <c r="I1887" s="2">
        <f>IF(AND(payments_raw[[#This Row],[sub_end_date]]&lt;&gt;"", payments_raw[[#This Row],[payment_date]] &gt; payments_raw[[#This Row],[sub_end_date]]), 1, 0)</f>
        <v>0</v>
      </c>
      <c r="J1887" s="2">
        <f>IF(payments_raw[[#This Row],[amount]] &lt;= 0, 1, 0)</f>
        <v>0</v>
      </c>
      <c r="K18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8" spans="1:11" x14ac:dyDescent="0.3">
      <c r="A1888">
        <v>69417375</v>
      </c>
      <c r="B1888">
        <v>9222577</v>
      </c>
      <c r="C1888" s="1">
        <v>45368</v>
      </c>
      <c r="D1888">
        <v>190</v>
      </c>
      <c r="E1888">
        <f>IF(
  ISNA(
    _xlfn.XLOOKUP(
      payments_raw[[#This Row],[subscription_id]],
      subscriptions[subscription_id],
      subscriptions[subscription_id]
    )
  ),
  0,
  1
)</f>
        <v>1</v>
      </c>
      <c r="F1888" s="1">
        <f>_xlfn.XLOOKUP(payments_raw[[#This Row],[subscription_id]], subscriptions[subscription_id], subscriptions[start_date])</f>
        <v>45136</v>
      </c>
      <c r="G18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88" s="2">
        <f>IF(payments_raw[[#This Row],[payment_date]] &lt; payments_raw[[#This Row],[sub_start_date]], 1, 0)</f>
        <v>0</v>
      </c>
      <c r="I1888" s="2">
        <f>IF(AND(payments_raw[[#This Row],[sub_end_date]]&lt;&gt;"", payments_raw[[#This Row],[payment_date]] &gt; payments_raw[[#This Row],[sub_end_date]]), 1, 0)</f>
        <v>0</v>
      </c>
      <c r="J1888" s="2">
        <f>IF(payments_raw[[#This Row],[amount]] &lt;= 0, 1, 0)</f>
        <v>0</v>
      </c>
      <c r="K18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89" spans="1:11" x14ac:dyDescent="0.3">
      <c r="A1889">
        <v>35515341</v>
      </c>
      <c r="B1889">
        <v>3400426</v>
      </c>
      <c r="C1889" s="1">
        <v>45602</v>
      </c>
      <c r="D1889">
        <v>39</v>
      </c>
      <c r="E1889">
        <f>IF(
  ISNA(
    _xlfn.XLOOKUP(
      payments_raw[[#This Row],[subscription_id]],
      subscriptions[subscription_id],
      subscriptions[subscription_id]
    )
  ),
  0,
  1
)</f>
        <v>1</v>
      </c>
      <c r="F1889" s="1">
        <f>_xlfn.XLOOKUP(payments_raw[[#This Row],[subscription_id]], subscriptions[subscription_id], subscriptions[start_date])</f>
        <v>45335</v>
      </c>
      <c r="G18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1889" s="2">
        <f>IF(payments_raw[[#This Row],[payment_date]] &lt; payments_raw[[#This Row],[sub_start_date]], 1, 0)</f>
        <v>0</v>
      </c>
      <c r="I1889" s="2">
        <f>IF(AND(payments_raw[[#This Row],[sub_end_date]]&lt;&gt;"", payments_raw[[#This Row],[payment_date]] &gt; payments_raw[[#This Row],[sub_end_date]]), 1, 0)</f>
        <v>0</v>
      </c>
      <c r="J1889" s="2">
        <f>IF(payments_raw[[#This Row],[amount]] &lt;= 0, 1, 0)</f>
        <v>0</v>
      </c>
      <c r="K18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0" spans="1:11" x14ac:dyDescent="0.3">
      <c r="A1890">
        <v>33395000</v>
      </c>
      <c r="B1890">
        <v>3457722</v>
      </c>
      <c r="C1890" s="1">
        <v>44856</v>
      </c>
      <c r="D1890">
        <v>149</v>
      </c>
      <c r="E1890">
        <f>IF(
  ISNA(
    _xlfn.XLOOKUP(
      payments_raw[[#This Row],[subscription_id]],
      subscriptions[subscription_id],
      subscriptions[subscription_id]
    )
  ),
  0,
  1
)</f>
        <v>1</v>
      </c>
      <c r="F1890" s="1">
        <f>_xlfn.XLOOKUP(payments_raw[[#This Row],[subscription_id]], subscriptions[subscription_id], subscriptions[start_date])</f>
        <v>44855</v>
      </c>
      <c r="G18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0" s="2">
        <f>IF(payments_raw[[#This Row],[payment_date]] &lt; payments_raw[[#This Row],[sub_start_date]], 1, 0)</f>
        <v>0</v>
      </c>
      <c r="I1890" s="2">
        <f>IF(AND(payments_raw[[#This Row],[sub_end_date]]&lt;&gt;"", payments_raw[[#This Row],[payment_date]] &gt; payments_raw[[#This Row],[sub_end_date]]), 1, 0)</f>
        <v>0</v>
      </c>
      <c r="J1890" s="2">
        <f>IF(payments_raw[[#This Row],[amount]] &lt;= 0, 1, 0)</f>
        <v>0</v>
      </c>
      <c r="K18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1" spans="1:11" x14ac:dyDescent="0.3">
      <c r="A1891">
        <v>73576443</v>
      </c>
      <c r="B1891">
        <v>7648944</v>
      </c>
      <c r="C1891" s="1">
        <v>45646</v>
      </c>
      <c r="D1891">
        <v>1490</v>
      </c>
      <c r="E1891">
        <f>IF(
  ISNA(
    _xlfn.XLOOKUP(
      payments_raw[[#This Row],[subscription_id]],
      subscriptions[subscription_id],
      subscriptions[subscription_id]
    )
  ),
  0,
  1
)</f>
        <v>1</v>
      </c>
      <c r="F1891" s="1">
        <f>_xlfn.XLOOKUP(payments_raw[[#This Row],[subscription_id]], subscriptions[subscription_id], subscriptions[start_date])</f>
        <v>45558</v>
      </c>
      <c r="G18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45656</v>
      </c>
      <c r="H1891" s="2">
        <f>IF(payments_raw[[#This Row],[payment_date]] &lt; payments_raw[[#This Row],[sub_start_date]], 1, 0)</f>
        <v>0</v>
      </c>
      <c r="I1891" s="2">
        <f>IF(AND(payments_raw[[#This Row],[sub_end_date]]&lt;&gt;"", payments_raw[[#This Row],[payment_date]] &gt; payments_raw[[#This Row],[sub_end_date]]), 1, 0)</f>
        <v>0</v>
      </c>
      <c r="J1891" s="2">
        <f>IF(payments_raw[[#This Row],[amount]] &lt;= 0, 1, 0)</f>
        <v>0</v>
      </c>
      <c r="K18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2" spans="1:11" x14ac:dyDescent="0.3">
      <c r="A1892">
        <v>39804324</v>
      </c>
      <c r="B1892">
        <v>3037470</v>
      </c>
      <c r="C1892" s="1">
        <v>44851</v>
      </c>
      <c r="D1892">
        <v>299</v>
      </c>
      <c r="E1892">
        <f>IF(
  ISNA(
    _xlfn.XLOOKUP(
      payments_raw[[#This Row],[subscription_id]],
      subscriptions[subscription_id],
      subscriptions[subscription_id]
    )
  ),
  0,
  1
)</f>
        <v>1</v>
      </c>
      <c r="F1892" s="1">
        <f>_xlfn.XLOOKUP(payments_raw[[#This Row],[subscription_id]], subscriptions[subscription_id], subscriptions[start_date])</f>
        <v>44670</v>
      </c>
      <c r="G189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44964</v>
      </c>
      <c r="H1892" s="2">
        <f>IF(payments_raw[[#This Row],[payment_date]] &lt; payments_raw[[#This Row],[sub_start_date]], 1, 0)</f>
        <v>0</v>
      </c>
      <c r="I1892" s="2">
        <f>IF(AND(payments_raw[[#This Row],[sub_end_date]]&lt;&gt;"", payments_raw[[#This Row],[payment_date]] &gt; payments_raw[[#This Row],[sub_end_date]]), 1, 0)</f>
        <v>0</v>
      </c>
      <c r="J1892" s="2">
        <f>IF(payments_raw[[#This Row],[amount]] &lt;= 0, 1, 0)</f>
        <v>0</v>
      </c>
      <c r="K18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3" spans="1:11" x14ac:dyDescent="0.3">
      <c r="A1893">
        <v>40418726</v>
      </c>
      <c r="B1893">
        <v>5678825</v>
      </c>
      <c r="C1893" s="1">
        <v>45432</v>
      </c>
      <c r="D1893">
        <v>190</v>
      </c>
      <c r="E1893">
        <f>IF(
  ISNA(
    _xlfn.XLOOKUP(
      payments_raw[[#This Row],[subscription_id]],
      subscriptions[subscription_id],
      subscriptions[subscription_id]
    )
  ),
  0,
  1
)</f>
        <v>1</v>
      </c>
      <c r="F1893" s="1">
        <f>_xlfn.XLOOKUP(payments_raw[[#This Row],[subscription_id]], subscriptions[subscription_id], subscriptions[start_date])</f>
        <v>45216</v>
      </c>
      <c r="G18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45568</v>
      </c>
      <c r="H1893" s="2">
        <f>IF(payments_raw[[#This Row],[payment_date]] &lt; payments_raw[[#This Row],[sub_start_date]], 1, 0)</f>
        <v>0</v>
      </c>
      <c r="I1893" s="2">
        <f>IF(AND(payments_raw[[#This Row],[sub_end_date]]&lt;&gt;"", payments_raw[[#This Row],[payment_date]] &gt; payments_raw[[#This Row],[sub_end_date]]), 1, 0)</f>
        <v>0</v>
      </c>
      <c r="J1893" s="2">
        <f>IF(payments_raw[[#This Row],[amount]] &lt;= 0, 1, 0)</f>
        <v>0</v>
      </c>
      <c r="K18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4" spans="1:11" x14ac:dyDescent="0.3">
      <c r="A1894">
        <v>78085419</v>
      </c>
      <c r="B1894">
        <v>2834486</v>
      </c>
      <c r="C1894" s="1">
        <v>45148</v>
      </c>
      <c r="D1894">
        <v>790</v>
      </c>
      <c r="E1894">
        <f>IF(
  ISNA(
    _xlfn.XLOOKUP(
      payments_raw[[#This Row],[subscription_id]],
      subscriptions[subscription_id],
      subscriptions[subscription_id]
    )
  ),
  0,
  1
)</f>
        <v>1</v>
      </c>
      <c r="F1894" s="1">
        <f>_xlfn.XLOOKUP(payments_raw[[#This Row],[subscription_id]], subscriptions[subscription_id], subscriptions[start_date])</f>
        <v>44790</v>
      </c>
      <c r="G18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4" s="2">
        <f>IF(payments_raw[[#This Row],[payment_date]] &lt; payments_raw[[#This Row],[sub_start_date]], 1, 0)</f>
        <v>0</v>
      </c>
      <c r="I1894" s="2">
        <f>IF(AND(payments_raw[[#This Row],[sub_end_date]]&lt;&gt;"", payments_raw[[#This Row],[payment_date]] &gt; payments_raw[[#This Row],[sub_end_date]]), 1, 0)</f>
        <v>0</v>
      </c>
      <c r="J1894" s="2">
        <f>IF(payments_raw[[#This Row],[amount]] &lt;= 0, 1, 0)</f>
        <v>0</v>
      </c>
      <c r="K18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5" spans="1:11" x14ac:dyDescent="0.3">
      <c r="A1895">
        <v>73020918</v>
      </c>
      <c r="B1895">
        <v>2772324</v>
      </c>
      <c r="C1895" s="1">
        <v>45415</v>
      </c>
      <c r="D1895">
        <v>1495</v>
      </c>
      <c r="E1895">
        <f>IF(
  ISNA(
    _xlfn.XLOOKUP(
      payments_raw[[#This Row],[subscription_id]],
      subscriptions[subscription_id],
      subscriptions[subscription_id]
    )
  ),
  0,
  1
)</f>
        <v>1</v>
      </c>
      <c r="F1895" s="1">
        <f>_xlfn.XLOOKUP(payments_raw[[#This Row],[subscription_id]], subscriptions[subscription_id], subscriptions[start_date])</f>
        <v>45212</v>
      </c>
      <c r="G18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5" s="2">
        <f>IF(payments_raw[[#This Row],[payment_date]] &lt; payments_raw[[#This Row],[sub_start_date]], 1, 0)</f>
        <v>0</v>
      </c>
      <c r="I1895" s="2">
        <f>IF(AND(payments_raw[[#This Row],[sub_end_date]]&lt;&gt;"", payments_raw[[#This Row],[payment_date]] &gt; payments_raw[[#This Row],[sub_end_date]]), 1, 0)</f>
        <v>0</v>
      </c>
      <c r="J1895" s="2">
        <f>IF(payments_raw[[#This Row],[amount]] &lt;= 0, 1, 0)</f>
        <v>0</v>
      </c>
      <c r="K18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6" spans="1:11" x14ac:dyDescent="0.3">
      <c r="A1896">
        <v>83984445</v>
      </c>
      <c r="B1896">
        <v>9414204</v>
      </c>
      <c r="C1896" s="1">
        <v>44922</v>
      </c>
      <c r="D1896">
        <v>19.5</v>
      </c>
      <c r="E1896">
        <f>IF(
  ISNA(
    _xlfn.XLOOKUP(
      payments_raw[[#This Row],[subscription_id]],
      subscriptions[subscription_id],
      subscriptions[subscription_id]
    )
  ),
  0,
  1
)</f>
        <v>1</v>
      </c>
      <c r="F1896" s="1">
        <f>_xlfn.XLOOKUP(payments_raw[[#This Row],[subscription_id]], subscriptions[subscription_id], subscriptions[start_date])</f>
        <v>44864</v>
      </c>
      <c r="G189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44936</v>
      </c>
      <c r="H1896" s="2">
        <f>IF(payments_raw[[#This Row],[payment_date]] &lt; payments_raw[[#This Row],[sub_start_date]], 1, 0)</f>
        <v>0</v>
      </c>
      <c r="I1896" s="2">
        <f>IF(AND(payments_raw[[#This Row],[sub_end_date]]&lt;&gt;"", payments_raw[[#This Row],[payment_date]] &gt; payments_raw[[#This Row],[sub_end_date]]), 1, 0)</f>
        <v>0</v>
      </c>
      <c r="J1896" s="2">
        <f>IF(payments_raw[[#This Row],[amount]] &lt;= 0, 1, 0)</f>
        <v>0</v>
      </c>
      <c r="K18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7" spans="1:11" x14ac:dyDescent="0.3">
      <c r="A1897">
        <v>62222770</v>
      </c>
      <c r="B1897">
        <v>4767947</v>
      </c>
      <c r="C1897" s="1">
        <v>44753</v>
      </c>
      <c r="D1897">
        <v>1490</v>
      </c>
      <c r="E1897">
        <f>IF(
  ISNA(
    _xlfn.XLOOKUP(
      payments_raw[[#This Row],[subscription_id]],
      subscriptions[subscription_id],
      subscriptions[subscription_id]
    )
  ),
  0,
  1
)</f>
        <v>1</v>
      </c>
      <c r="F1897" s="1">
        <f>_xlfn.XLOOKUP(payments_raw[[#This Row],[subscription_id]], subscriptions[subscription_id], subscriptions[start_date])</f>
        <v>44676</v>
      </c>
      <c r="G189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44766</v>
      </c>
      <c r="H1897" s="2">
        <f>IF(payments_raw[[#This Row],[payment_date]] &lt; payments_raw[[#This Row],[sub_start_date]], 1, 0)</f>
        <v>0</v>
      </c>
      <c r="I1897" s="2">
        <f>IF(AND(payments_raw[[#This Row],[sub_end_date]]&lt;&gt;"", payments_raw[[#This Row],[payment_date]] &gt; payments_raw[[#This Row],[sub_end_date]]), 1, 0)</f>
        <v>0</v>
      </c>
      <c r="J1897" s="2">
        <f>IF(payments_raw[[#This Row],[amount]] &lt;= 0, 1, 0)</f>
        <v>0</v>
      </c>
      <c r="K18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8" spans="1:11" x14ac:dyDescent="0.3">
      <c r="A1898">
        <v>26212584</v>
      </c>
      <c r="B1898">
        <v>4808186</v>
      </c>
      <c r="C1898" s="1">
        <v>45643</v>
      </c>
      <c r="D1898">
        <v>190</v>
      </c>
      <c r="E1898">
        <f>IF(
  ISNA(
    _xlfn.XLOOKUP(
      payments_raw[[#This Row],[subscription_id]],
      subscriptions[subscription_id],
      subscriptions[subscription_id]
    )
  ),
  0,
  1
)</f>
        <v>1</v>
      </c>
      <c r="F1898" s="1">
        <f>_xlfn.XLOOKUP(payments_raw[[#This Row],[subscription_id]], subscriptions[subscription_id], subscriptions[start_date])</f>
        <v>45385</v>
      </c>
      <c r="G18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8" s="2">
        <f>IF(payments_raw[[#This Row],[payment_date]] &lt; payments_raw[[#This Row],[sub_start_date]], 1, 0)</f>
        <v>0</v>
      </c>
      <c r="I1898" s="2">
        <f>IF(AND(payments_raw[[#This Row],[sub_end_date]]&lt;&gt;"", payments_raw[[#This Row],[payment_date]] &gt; payments_raw[[#This Row],[sub_end_date]]), 1, 0)</f>
        <v>0</v>
      </c>
      <c r="J1898" s="2">
        <f>IF(payments_raw[[#This Row],[amount]] &lt;= 0, 1, 0)</f>
        <v>0</v>
      </c>
      <c r="K18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899" spans="1:11" x14ac:dyDescent="0.3">
      <c r="A1899">
        <v>36830566</v>
      </c>
      <c r="B1899">
        <v>5811186</v>
      </c>
      <c r="C1899" s="1">
        <v>45179</v>
      </c>
      <c r="D1899">
        <v>19.5</v>
      </c>
      <c r="E1899">
        <f>IF(
  ISNA(
    _xlfn.XLOOKUP(
      payments_raw[[#This Row],[subscription_id]],
      subscriptions[subscription_id],
      subscriptions[subscription_id]
    )
  ),
  0,
  1
)</f>
        <v>1</v>
      </c>
      <c r="F1899" s="1">
        <f>_xlfn.XLOOKUP(payments_raw[[#This Row],[subscription_id]], subscriptions[subscription_id], subscriptions[start_date])</f>
        <v>44789</v>
      </c>
      <c r="G18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899" s="2">
        <f>IF(payments_raw[[#This Row],[payment_date]] &lt; payments_raw[[#This Row],[sub_start_date]], 1, 0)</f>
        <v>0</v>
      </c>
      <c r="I1899" s="2">
        <f>IF(AND(payments_raw[[#This Row],[sub_end_date]]&lt;&gt;"", payments_raw[[#This Row],[payment_date]] &gt; payments_raw[[#This Row],[sub_end_date]]), 1, 0)</f>
        <v>0</v>
      </c>
      <c r="J1899" s="2">
        <f>IF(payments_raw[[#This Row],[amount]] &lt;= 0, 1, 0)</f>
        <v>0</v>
      </c>
      <c r="K18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0" spans="1:11" x14ac:dyDescent="0.3">
      <c r="A1900">
        <v>75953544</v>
      </c>
      <c r="B1900">
        <v>5837546</v>
      </c>
      <c r="C1900" s="1">
        <v>45475</v>
      </c>
      <c r="D1900">
        <v>39</v>
      </c>
      <c r="E1900">
        <f>IF(
  ISNA(
    _xlfn.XLOOKUP(
      payments_raw[[#This Row],[subscription_id]],
      subscriptions[subscription_id],
      subscriptions[subscription_id]
    )
  ),
  0,
  1
)</f>
        <v>1</v>
      </c>
      <c r="F1900" s="1">
        <f>_xlfn.XLOOKUP(payments_raw[[#This Row],[subscription_id]], subscriptions[subscription_id], subscriptions[start_date])</f>
        <v>45444</v>
      </c>
      <c r="G19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0" s="2">
        <f>IF(payments_raw[[#This Row],[payment_date]] &lt; payments_raw[[#This Row],[sub_start_date]], 1, 0)</f>
        <v>0</v>
      </c>
      <c r="I1900" s="2">
        <f>IF(AND(payments_raw[[#This Row],[sub_end_date]]&lt;&gt;"", payments_raw[[#This Row],[payment_date]] &gt; payments_raw[[#This Row],[sub_end_date]]), 1, 0)</f>
        <v>0</v>
      </c>
      <c r="J1900" s="2">
        <f>IF(payments_raw[[#This Row],[amount]] &lt;= 0, 1, 0)</f>
        <v>0</v>
      </c>
      <c r="K19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1" spans="1:11" x14ac:dyDescent="0.3">
      <c r="A1901">
        <v>23391799</v>
      </c>
      <c r="B1901">
        <v>8127514</v>
      </c>
      <c r="C1901" s="1">
        <v>45227</v>
      </c>
      <c r="D1901">
        <v>2990</v>
      </c>
      <c r="E1901">
        <f>IF(
  ISNA(
    _xlfn.XLOOKUP(
      payments_raw[[#This Row],[subscription_id]],
      subscriptions[subscription_id],
      subscriptions[subscription_id]
    )
  ),
  0,
  1
)</f>
        <v>1</v>
      </c>
      <c r="F1901" s="1">
        <f>_xlfn.XLOOKUP(payments_raw[[#This Row],[subscription_id]], subscriptions[subscription_id], subscriptions[start_date])</f>
        <v>44865</v>
      </c>
      <c r="G19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1" s="2">
        <f>IF(payments_raw[[#This Row],[payment_date]] &lt; payments_raw[[#This Row],[sub_start_date]], 1, 0)</f>
        <v>0</v>
      </c>
      <c r="I1901" s="2">
        <f>IF(AND(payments_raw[[#This Row],[sub_end_date]]&lt;&gt;"", payments_raw[[#This Row],[payment_date]] &gt; payments_raw[[#This Row],[sub_end_date]]), 1, 0)</f>
        <v>0</v>
      </c>
      <c r="J1901" s="2">
        <f>IF(payments_raw[[#This Row],[amount]] &lt;= 0, 1, 0)</f>
        <v>0</v>
      </c>
      <c r="K19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2" spans="1:11" x14ac:dyDescent="0.3">
      <c r="A1902">
        <v>84305889</v>
      </c>
      <c r="B1902">
        <v>8413578</v>
      </c>
      <c r="C1902" s="1">
        <v>45578</v>
      </c>
      <c r="D1902">
        <v>79</v>
      </c>
      <c r="E1902">
        <f>IF(
  ISNA(
    _xlfn.XLOOKUP(
      payments_raw[[#This Row],[subscription_id]],
      subscriptions[subscription_id],
      subscriptions[subscription_id]
    )
  ),
  0,
  1
)</f>
        <v>1</v>
      </c>
      <c r="F1902" s="1">
        <f>_xlfn.XLOOKUP(payments_raw[[#This Row],[subscription_id]], subscriptions[subscription_id], subscriptions[start_date])</f>
        <v>45550</v>
      </c>
      <c r="G19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2" s="2">
        <f>IF(payments_raw[[#This Row],[payment_date]] &lt; payments_raw[[#This Row],[sub_start_date]], 1, 0)</f>
        <v>0</v>
      </c>
      <c r="I1902" s="2">
        <f>IF(AND(payments_raw[[#This Row],[sub_end_date]]&lt;&gt;"", payments_raw[[#This Row],[payment_date]] &gt; payments_raw[[#This Row],[sub_end_date]]), 1, 0)</f>
        <v>0</v>
      </c>
      <c r="J1902" s="2">
        <f>IF(payments_raw[[#This Row],[amount]] &lt;= 0, 1, 0)</f>
        <v>0</v>
      </c>
      <c r="K19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3" spans="1:11" x14ac:dyDescent="0.3">
      <c r="A1903">
        <v>84930512</v>
      </c>
      <c r="B1903">
        <v>2548634</v>
      </c>
      <c r="C1903" s="1">
        <v>45635</v>
      </c>
      <c r="D1903">
        <v>79</v>
      </c>
      <c r="E1903">
        <f>IF(
  ISNA(
    _xlfn.XLOOKUP(
      payments_raw[[#This Row],[subscription_id]],
      subscriptions[subscription_id],
      subscriptions[subscription_id]
    )
  ),
  0,
  1
)</f>
        <v>1</v>
      </c>
      <c r="F1903" s="1">
        <f>_xlfn.XLOOKUP(payments_raw[[#This Row],[subscription_id]], subscriptions[subscription_id], subscriptions[start_date])</f>
        <v>45349</v>
      </c>
      <c r="G19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3" s="2">
        <f>IF(payments_raw[[#This Row],[payment_date]] &lt; payments_raw[[#This Row],[sub_start_date]], 1, 0)</f>
        <v>0</v>
      </c>
      <c r="I1903" s="2">
        <f>IF(AND(payments_raw[[#This Row],[sub_end_date]]&lt;&gt;"", payments_raw[[#This Row],[payment_date]] &gt; payments_raw[[#This Row],[sub_end_date]]), 1, 0)</f>
        <v>0</v>
      </c>
      <c r="J1903" s="2">
        <f>IF(payments_raw[[#This Row],[amount]] &lt;= 0, 1, 0)</f>
        <v>0</v>
      </c>
      <c r="K19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4" spans="1:11" x14ac:dyDescent="0.3">
      <c r="A1904">
        <v>34546409</v>
      </c>
      <c r="B1904">
        <v>9098468</v>
      </c>
      <c r="C1904" s="1">
        <v>45115</v>
      </c>
      <c r="D1904">
        <v>39</v>
      </c>
      <c r="E1904">
        <f>IF(
  ISNA(
    _xlfn.XLOOKUP(
      payments_raw[[#This Row],[subscription_id]],
      subscriptions[subscription_id],
      subscriptions[subscription_id]
    )
  ),
  0,
  1
)</f>
        <v>1</v>
      </c>
      <c r="F1904" s="1">
        <f>_xlfn.XLOOKUP(payments_raw[[#This Row],[subscription_id]], subscriptions[subscription_id], subscriptions[start_date])</f>
        <v>45024</v>
      </c>
      <c r="G19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4" s="2">
        <f>IF(payments_raw[[#This Row],[payment_date]] &lt; payments_raw[[#This Row],[sub_start_date]], 1, 0)</f>
        <v>0</v>
      </c>
      <c r="I1904" s="2">
        <f>IF(AND(payments_raw[[#This Row],[sub_end_date]]&lt;&gt;"", payments_raw[[#This Row],[payment_date]] &gt; payments_raw[[#This Row],[sub_end_date]]), 1, 0)</f>
        <v>0</v>
      </c>
      <c r="J1904" s="2">
        <f>IF(payments_raw[[#This Row],[amount]] &lt;= 0, 1, 0)</f>
        <v>0</v>
      </c>
      <c r="K19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5" spans="1:11" x14ac:dyDescent="0.3">
      <c r="A1905">
        <v>76168686</v>
      </c>
      <c r="B1905">
        <v>3363282</v>
      </c>
      <c r="C1905" s="1">
        <v>45113</v>
      </c>
      <c r="D1905">
        <v>190</v>
      </c>
      <c r="E1905">
        <f>IF(
  ISNA(
    _xlfn.XLOOKUP(
      payments_raw[[#This Row],[subscription_id]],
      subscriptions[subscription_id],
      subscriptions[subscription_id]
    )
  ),
  0,
  1
)</f>
        <v>1</v>
      </c>
      <c r="F1905" s="1">
        <f>_xlfn.XLOOKUP(payments_raw[[#This Row],[subscription_id]], subscriptions[subscription_id], subscriptions[start_date])</f>
        <v>44891</v>
      </c>
      <c r="G19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1905" s="2">
        <f>IF(payments_raw[[#This Row],[payment_date]] &lt; payments_raw[[#This Row],[sub_start_date]], 1, 0)</f>
        <v>0</v>
      </c>
      <c r="I1905" s="2">
        <f>IF(AND(payments_raw[[#This Row],[sub_end_date]]&lt;&gt;"", payments_raw[[#This Row],[payment_date]] &gt; payments_raw[[#This Row],[sub_end_date]]), 1, 0)</f>
        <v>0</v>
      </c>
      <c r="J1905" s="2">
        <f>IF(payments_raw[[#This Row],[amount]] &lt;= 0, 1, 0)</f>
        <v>0</v>
      </c>
      <c r="K19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6" spans="1:11" x14ac:dyDescent="0.3">
      <c r="A1906">
        <v>45183616</v>
      </c>
      <c r="B1906">
        <v>4463711</v>
      </c>
      <c r="C1906" s="1">
        <v>45625</v>
      </c>
      <c r="D1906">
        <v>190</v>
      </c>
      <c r="E1906">
        <f>IF(
  ISNA(
    _xlfn.XLOOKUP(
      payments_raw[[#This Row],[subscription_id]],
      subscriptions[subscription_id],
      subscriptions[subscription_id]
    )
  ),
  0,
  1
)</f>
        <v>1</v>
      </c>
      <c r="F1906" s="1">
        <f>_xlfn.XLOOKUP(payments_raw[[#This Row],[subscription_id]], subscriptions[subscription_id], subscriptions[start_date])</f>
        <v>45352</v>
      </c>
      <c r="G19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6" s="2">
        <f>IF(payments_raw[[#This Row],[payment_date]] &lt; payments_raw[[#This Row],[sub_start_date]], 1, 0)</f>
        <v>0</v>
      </c>
      <c r="I1906" s="2">
        <f>IF(AND(payments_raw[[#This Row],[sub_end_date]]&lt;&gt;"", payments_raw[[#This Row],[payment_date]] &gt; payments_raw[[#This Row],[sub_end_date]]), 1, 0)</f>
        <v>0</v>
      </c>
      <c r="J1906" s="2">
        <f>IF(payments_raw[[#This Row],[amount]] &lt;= 0, 1, 0)</f>
        <v>0</v>
      </c>
      <c r="K19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7" spans="1:11" x14ac:dyDescent="0.3">
      <c r="A1907">
        <v>64027629</v>
      </c>
      <c r="B1907">
        <v>7932248</v>
      </c>
      <c r="C1907" s="1">
        <v>45628</v>
      </c>
      <c r="D1907">
        <v>790</v>
      </c>
      <c r="E1907">
        <f>IF(
  ISNA(
    _xlfn.XLOOKUP(
      payments_raw[[#This Row],[subscription_id]],
      subscriptions[subscription_id],
      subscriptions[subscription_id]
    )
  ),
  0,
  1
)</f>
        <v>1</v>
      </c>
      <c r="F1907" s="1">
        <f>_xlfn.XLOOKUP(payments_raw[[#This Row],[subscription_id]], subscriptions[subscription_id], subscriptions[start_date])</f>
        <v>45598</v>
      </c>
      <c r="G19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7" s="2">
        <f>IF(payments_raw[[#This Row],[payment_date]] &lt; payments_raw[[#This Row],[sub_start_date]], 1, 0)</f>
        <v>0</v>
      </c>
      <c r="I1907" s="2">
        <f>IF(AND(payments_raw[[#This Row],[sub_end_date]]&lt;&gt;"", payments_raw[[#This Row],[payment_date]] &gt; payments_raw[[#This Row],[sub_end_date]]), 1, 0)</f>
        <v>0</v>
      </c>
      <c r="J1907" s="2">
        <f>IF(payments_raw[[#This Row],[amount]] &lt;= 0, 1, 0)</f>
        <v>0</v>
      </c>
      <c r="K19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8" spans="1:11" x14ac:dyDescent="0.3">
      <c r="A1908">
        <v>69406943</v>
      </c>
      <c r="B1908">
        <v>2125910</v>
      </c>
      <c r="C1908" s="1">
        <v>45487</v>
      </c>
      <c r="D1908">
        <v>19</v>
      </c>
      <c r="E1908">
        <f>IF(
  ISNA(
    _xlfn.XLOOKUP(
      payments_raw[[#This Row],[subscription_id]],
      subscriptions[subscription_id],
      subscriptions[subscription_id]
    )
  ),
  0,
  1
)</f>
        <v>1</v>
      </c>
      <c r="F1908" s="1">
        <f>_xlfn.XLOOKUP(payments_raw[[#This Row],[subscription_id]], subscriptions[subscription_id], subscriptions[start_date])</f>
        <v>44716</v>
      </c>
      <c r="G19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8" s="2">
        <f>IF(payments_raw[[#This Row],[payment_date]] &lt; payments_raw[[#This Row],[sub_start_date]], 1, 0)</f>
        <v>0</v>
      </c>
      <c r="I1908" s="2">
        <f>IF(AND(payments_raw[[#This Row],[sub_end_date]]&lt;&gt;"", payments_raw[[#This Row],[payment_date]] &gt; payments_raw[[#This Row],[sub_end_date]]), 1, 0)</f>
        <v>0</v>
      </c>
      <c r="J1908" s="2">
        <f>IF(payments_raw[[#This Row],[amount]] &lt;= 0, 1, 0)</f>
        <v>0</v>
      </c>
      <c r="K19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09" spans="1:11" x14ac:dyDescent="0.3">
      <c r="A1909">
        <v>29481516</v>
      </c>
      <c r="B1909">
        <v>3013272</v>
      </c>
      <c r="C1909" s="1">
        <v>45014</v>
      </c>
      <c r="D1909">
        <v>190</v>
      </c>
      <c r="E1909">
        <f>IF(
  ISNA(
    _xlfn.XLOOKUP(
      payments_raw[[#This Row],[subscription_id]],
      subscriptions[subscription_id],
      subscriptions[subscription_id]
    )
  ),
  0,
  1
)</f>
        <v>1</v>
      </c>
      <c r="F1909" s="1">
        <f>_xlfn.XLOOKUP(payments_raw[[#This Row],[subscription_id]], subscriptions[subscription_id], subscriptions[start_date])</f>
        <v>44800</v>
      </c>
      <c r="G19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09" s="2">
        <f>IF(payments_raw[[#This Row],[payment_date]] &lt; payments_raw[[#This Row],[sub_start_date]], 1, 0)</f>
        <v>0</v>
      </c>
      <c r="I1909" s="2">
        <f>IF(AND(payments_raw[[#This Row],[sub_end_date]]&lt;&gt;"", payments_raw[[#This Row],[payment_date]] &gt; payments_raw[[#This Row],[sub_end_date]]), 1, 0)</f>
        <v>0</v>
      </c>
      <c r="J1909" s="2">
        <f>IF(payments_raw[[#This Row],[amount]] &lt;= 0, 1, 0)</f>
        <v>0</v>
      </c>
      <c r="K19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0" spans="1:11" x14ac:dyDescent="0.3">
      <c r="A1910">
        <v>39083765</v>
      </c>
      <c r="B1910">
        <v>1211031</v>
      </c>
      <c r="C1910" s="1">
        <v>44883</v>
      </c>
      <c r="D1910">
        <v>299</v>
      </c>
      <c r="E1910">
        <f>IF(
  ISNA(
    _xlfn.XLOOKUP(
      payments_raw[[#This Row],[subscription_id]],
      subscriptions[subscription_id],
      subscriptions[subscription_id]
    )
  ),
  0,
  1
)</f>
        <v>1</v>
      </c>
      <c r="F1910" s="1">
        <f>_xlfn.XLOOKUP(payments_raw[[#This Row],[subscription_id]], subscriptions[subscription_id], subscriptions[start_date])</f>
        <v>44571</v>
      </c>
      <c r="G19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0" s="2">
        <f>IF(payments_raw[[#This Row],[payment_date]] &lt; payments_raw[[#This Row],[sub_start_date]], 1, 0)</f>
        <v>0</v>
      </c>
      <c r="I1910" s="2">
        <f>IF(AND(payments_raw[[#This Row],[sub_end_date]]&lt;&gt;"", payments_raw[[#This Row],[payment_date]] &gt; payments_raw[[#This Row],[sub_end_date]]), 1, 0)</f>
        <v>0</v>
      </c>
      <c r="J1910" s="2">
        <f>IF(payments_raw[[#This Row],[amount]] &lt;= 0, 1, 0)</f>
        <v>0</v>
      </c>
      <c r="K19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1" spans="1:11" x14ac:dyDescent="0.3">
      <c r="A1911">
        <v>31660837</v>
      </c>
      <c r="B1911">
        <v>6281742</v>
      </c>
      <c r="C1911" s="1">
        <v>44806</v>
      </c>
      <c r="D1911">
        <v>2990</v>
      </c>
      <c r="E1911">
        <f>IF(
  ISNA(
    _xlfn.XLOOKUP(
      payments_raw[[#This Row],[subscription_id]],
      subscriptions[subscription_id],
      subscriptions[subscription_id]
    )
  ),
  0,
  1
)</f>
        <v>1</v>
      </c>
      <c r="F1911" s="1">
        <f>_xlfn.XLOOKUP(payments_raw[[#This Row],[subscription_id]], subscriptions[subscription_id], subscriptions[start_date])</f>
        <v>44798</v>
      </c>
      <c r="G19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45055</v>
      </c>
      <c r="H1911" s="2">
        <f>IF(payments_raw[[#This Row],[payment_date]] &lt; payments_raw[[#This Row],[sub_start_date]], 1, 0)</f>
        <v>0</v>
      </c>
      <c r="I1911" s="2">
        <f>IF(AND(payments_raw[[#This Row],[sub_end_date]]&lt;&gt;"", payments_raw[[#This Row],[payment_date]] &gt; payments_raw[[#This Row],[sub_end_date]]), 1, 0)</f>
        <v>0</v>
      </c>
      <c r="J1911" s="2">
        <f>IF(payments_raw[[#This Row],[amount]] &lt;= 0, 1, 0)</f>
        <v>0</v>
      </c>
      <c r="K19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2" spans="1:11" x14ac:dyDescent="0.3">
      <c r="A1912">
        <v>91527632</v>
      </c>
      <c r="B1912">
        <v>8070014</v>
      </c>
      <c r="C1912" s="1">
        <v>45395</v>
      </c>
      <c r="D1912">
        <v>190</v>
      </c>
      <c r="E1912">
        <f>IF(
  ISNA(
    _xlfn.XLOOKUP(
      payments_raw[[#This Row],[subscription_id]],
      subscriptions[subscription_id],
      subscriptions[subscription_id]
    )
  ),
  0,
  1
)</f>
        <v>1</v>
      </c>
      <c r="F1912" s="1">
        <f>_xlfn.XLOOKUP(payments_raw[[#This Row],[subscription_id]], subscriptions[subscription_id], subscriptions[start_date])</f>
        <v>45096</v>
      </c>
      <c r="G19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2" s="2">
        <f>IF(payments_raw[[#This Row],[payment_date]] &lt; payments_raw[[#This Row],[sub_start_date]], 1, 0)</f>
        <v>0</v>
      </c>
      <c r="I1912" s="2">
        <f>IF(AND(payments_raw[[#This Row],[sub_end_date]]&lt;&gt;"", payments_raw[[#This Row],[payment_date]] &gt; payments_raw[[#This Row],[sub_end_date]]), 1, 0)</f>
        <v>0</v>
      </c>
      <c r="J1912" s="2">
        <f>IF(payments_raw[[#This Row],[amount]] &lt;= 0, 1, 0)</f>
        <v>0</v>
      </c>
      <c r="K19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3" spans="1:11" x14ac:dyDescent="0.3">
      <c r="A1913">
        <v>30665324</v>
      </c>
      <c r="B1913">
        <v>2421764</v>
      </c>
      <c r="C1913" s="1">
        <v>45230</v>
      </c>
      <c r="D1913">
        <v>790</v>
      </c>
      <c r="E1913">
        <f>IF(
  ISNA(
    _xlfn.XLOOKUP(
      payments_raw[[#This Row],[subscription_id]],
      subscriptions[subscription_id],
      subscriptions[subscription_id]
    )
  ),
  0,
  1
)</f>
        <v>1</v>
      </c>
      <c r="F1913" s="1">
        <f>_xlfn.XLOOKUP(payments_raw[[#This Row],[subscription_id]], subscriptions[subscription_id], subscriptions[start_date])</f>
        <v>44876</v>
      </c>
      <c r="G19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3" s="2">
        <f>IF(payments_raw[[#This Row],[payment_date]] &lt; payments_raw[[#This Row],[sub_start_date]], 1, 0)</f>
        <v>0</v>
      </c>
      <c r="I1913" s="2">
        <f>IF(AND(payments_raw[[#This Row],[sub_end_date]]&lt;&gt;"", payments_raw[[#This Row],[payment_date]] &gt; payments_raw[[#This Row],[sub_end_date]]), 1, 0)</f>
        <v>0</v>
      </c>
      <c r="J1913" s="2">
        <f>IF(payments_raw[[#This Row],[amount]] &lt;= 0, 1, 0)</f>
        <v>0</v>
      </c>
      <c r="K19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4" spans="1:11" x14ac:dyDescent="0.3">
      <c r="A1914">
        <v>99973250</v>
      </c>
      <c r="B1914">
        <v>7341430</v>
      </c>
      <c r="C1914" s="1">
        <v>45627</v>
      </c>
      <c r="D1914">
        <v>390</v>
      </c>
      <c r="E1914">
        <f>IF(
  ISNA(
    _xlfn.XLOOKUP(
      payments_raw[[#This Row],[subscription_id]],
      subscriptions[subscription_id],
      subscriptions[subscription_id]
    )
  ),
  0,
  1
)</f>
        <v>1</v>
      </c>
      <c r="F1914" s="1">
        <f>_xlfn.XLOOKUP(payments_raw[[#This Row],[subscription_id]], subscriptions[subscription_id], subscriptions[start_date])</f>
        <v>45555</v>
      </c>
      <c r="G19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1914" s="2">
        <f>IF(payments_raw[[#This Row],[payment_date]] &lt; payments_raw[[#This Row],[sub_start_date]], 1, 0)</f>
        <v>0</v>
      </c>
      <c r="I1914" s="2">
        <f>IF(AND(payments_raw[[#This Row],[sub_end_date]]&lt;&gt;"", payments_raw[[#This Row],[payment_date]] &gt; payments_raw[[#This Row],[sub_end_date]]), 1, 0)</f>
        <v>0</v>
      </c>
      <c r="J1914" s="2">
        <f>IF(payments_raw[[#This Row],[amount]] &lt;= 0, 1, 0)</f>
        <v>0</v>
      </c>
      <c r="K19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5" spans="1:11" x14ac:dyDescent="0.3">
      <c r="A1915">
        <v>99255332</v>
      </c>
      <c r="B1915">
        <v>2125910</v>
      </c>
      <c r="C1915" s="1">
        <v>45417</v>
      </c>
      <c r="D1915">
        <v>19</v>
      </c>
      <c r="E1915">
        <f>IF(
  ISNA(
    _xlfn.XLOOKUP(
      payments_raw[[#This Row],[subscription_id]],
      subscriptions[subscription_id],
      subscriptions[subscription_id]
    )
  ),
  0,
  1
)</f>
        <v>1</v>
      </c>
      <c r="F1915" s="1">
        <f>_xlfn.XLOOKUP(payments_raw[[#This Row],[subscription_id]], subscriptions[subscription_id], subscriptions[start_date])</f>
        <v>44716</v>
      </c>
      <c r="G19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5" s="2">
        <f>IF(payments_raw[[#This Row],[payment_date]] &lt; payments_raw[[#This Row],[sub_start_date]], 1, 0)</f>
        <v>0</v>
      </c>
      <c r="I1915" s="2">
        <f>IF(AND(payments_raw[[#This Row],[sub_end_date]]&lt;&gt;"", payments_raw[[#This Row],[payment_date]] &gt; payments_raw[[#This Row],[sub_end_date]]), 1, 0)</f>
        <v>0</v>
      </c>
      <c r="J1915" s="2">
        <f>IF(payments_raw[[#This Row],[amount]] &lt;= 0, 1, 0)</f>
        <v>0</v>
      </c>
      <c r="K19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6" spans="1:11" x14ac:dyDescent="0.3">
      <c r="A1916">
        <v>34713836</v>
      </c>
      <c r="B1916">
        <v>4273103</v>
      </c>
      <c r="C1916" s="1">
        <v>45459</v>
      </c>
      <c r="D1916">
        <v>790</v>
      </c>
      <c r="E1916">
        <f>IF(
  ISNA(
    _xlfn.XLOOKUP(
      payments_raw[[#This Row],[subscription_id]],
      subscriptions[subscription_id],
      subscriptions[subscription_id]
    )
  ),
  0,
  1
)</f>
        <v>1</v>
      </c>
      <c r="F1916" s="1">
        <f>_xlfn.XLOOKUP(payments_raw[[#This Row],[subscription_id]], subscriptions[subscription_id], subscriptions[start_date])</f>
        <v>45368</v>
      </c>
      <c r="G19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6" s="2">
        <f>IF(payments_raw[[#This Row],[payment_date]] &lt; payments_raw[[#This Row],[sub_start_date]], 1, 0)</f>
        <v>0</v>
      </c>
      <c r="I1916" s="2">
        <f>IF(AND(payments_raw[[#This Row],[sub_end_date]]&lt;&gt;"", payments_raw[[#This Row],[payment_date]] &gt; payments_raw[[#This Row],[sub_end_date]]), 1, 0)</f>
        <v>0</v>
      </c>
      <c r="J1916" s="2">
        <f>IF(payments_raw[[#This Row],[amount]] &lt;= 0, 1, 0)</f>
        <v>0</v>
      </c>
      <c r="K19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7" spans="1:11" x14ac:dyDescent="0.3">
      <c r="A1917">
        <v>57478039</v>
      </c>
      <c r="B1917">
        <v>4346251</v>
      </c>
      <c r="C1917" s="1">
        <v>45209</v>
      </c>
      <c r="D1917">
        <v>1495</v>
      </c>
      <c r="E1917">
        <f>IF(
  ISNA(
    _xlfn.XLOOKUP(
      payments_raw[[#This Row],[subscription_id]],
      subscriptions[subscription_id],
      subscriptions[subscription_id]
    )
  ),
  0,
  1
)</f>
        <v>1</v>
      </c>
      <c r="F1917" s="1">
        <f>_xlfn.XLOOKUP(payments_raw[[#This Row],[subscription_id]], subscriptions[subscription_id], subscriptions[start_date])</f>
        <v>45002</v>
      </c>
      <c r="G19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1917" s="2">
        <f>IF(payments_raw[[#This Row],[payment_date]] &lt; payments_raw[[#This Row],[sub_start_date]], 1, 0)</f>
        <v>0</v>
      </c>
      <c r="I1917" s="2">
        <f>IF(AND(payments_raw[[#This Row],[sub_end_date]]&lt;&gt;"", payments_raw[[#This Row],[payment_date]] &gt; payments_raw[[#This Row],[sub_end_date]]), 1, 0)</f>
        <v>0</v>
      </c>
      <c r="J1917" s="2">
        <f>IF(payments_raw[[#This Row],[amount]] &lt;= 0, 1, 0)</f>
        <v>0</v>
      </c>
      <c r="K19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8" spans="1:11" x14ac:dyDescent="0.3">
      <c r="A1918">
        <v>92937486</v>
      </c>
      <c r="B1918">
        <v>9175606</v>
      </c>
      <c r="C1918" s="1">
        <v>45330</v>
      </c>
      <c r="D1918">
        <v>149</v>
      </c>
      <c r="E1918">
        <f>IF(
  ISNA(
    _xlfn.XLOOKUP(
      payments_raw[[#This Row],[subscription_id]],
      subscriptions[subscription_id],
      subscriptions[subscription_id]
    )
  ),
  0,
  1
)</f>
        <v>1</v>
      </c>
      <c r="F1918" s="1">
        <f>_xlfn.XLOOKUP(payments_raw[[#This Row],[subscription_id]], subscriptions[subscription_id], subscriptions[start_date])</f>
        <v>45158</v>
      </c>
      <c r="G19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18" s="2">
        <f>IF(payments_raw[[#This Row],[payment_date]] &lt; payments_raw[[#This Row],[sub_start_date]], 1, 0)</f>
        <v>0</v>
      </c>
      <c r="I1918" s="2">
        <f>IF(AND(payments_raw[[#This Row],[sub_end_date]]&lt;&gt;"", payments_raw[[#This Row],[payment_date]] &gt; payments_raw[[#This Row],[sub_end_date]]), 1, 0)</f>
        <v>0</v>
      </c>
      <c r="J1918" s="2">
        <f>IF(payments_raw[[#This Row],[amount]] &lt;= 0, 1, 0)</f>
        <v>0</v>
      </c>
      <c r="K19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19" spans="1:11" x14ac:dyDescent="0.3">
      <c r="A1919">
        <v>98058871</v>
      </c>
      <c r="B1919">
        <v>1262370</v>
      </c>
      <c r="C1919" s="1">
        <v>44804</v>
      </c>
      <c r="D1919">
        <v>19</v>
      </c>
      <c r="E1919">
        <f>IF(
  ISNA(
    _xlfn.XLOOKUP(
      payments_raw[[#This Row],[subscription_id]],
      subscriptions[subscription_id],
      subscriptions[subscription_id]
    )
  ),
  0,
  1
)</f>
        <v>1</v>
      </c>
      <c r="F1919" s="1">
        <f>_xlfn.XLOOKUP(payments_raw[[#This Row],[subscription_id]], subscriptions[subscription_id], subscriptions[start_date])</f>
        <v>44779</v>
      </c>
      <c r="G19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1919" s="2">
        <f>IF(payments_raw[[#This Row],[payment_date]] &lt; payments_raw[[#This Row],[sub_start_date]], 1, 0)</f>
        <v>0</v>
      </c>
      <c r="I1919" s="2">
        <f>IF(AND(payments_raw[[#This Row],[sub_end_date]]&lt;&gt;"", payments_raw[[#This Row],[payment_date]] &gt; payments_raw[[#This Row],[sub_end_date]]), 1, 0)</f>
        <v>0</v>
      </c>
      <c r="J1919" s="2">
        <f>IF(payments_raw[[#This Row],[amount]] &lt;= 0, 1, 0)</f>
        <v>0</v>
      </c>
      <c r="K19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0" spans="1:11" x14ac:dyDescent="0.3">
      <c r="A1920">
        <v>42513327</v>
      </c>
      <c r="B1920">
        <v>6540763</v>
      </c>
      <c r="C1920" s="1">
        <v>45620</v>
      </c>
      <c r="D1920">
        <v>299</v>
      </c>
      <c r="E1920">
        <f>IF(
  ISNA(
    _xlfn.XLOOKUP(
      payments_raw[[#This Row],[subscription_id]],
      subscriptions[subscription_id],
      subscriptions[subscription_id]
    )
  ),
  0,
  1
)</f>
        <v>1</v>
      </c>
      <c r="F1920" s="1">
        <f>_xlfn.XLOOKUP(payments_raw[[#This Row],[subscription_id]], subscriptions[subscription_id], subscriptions[start_date])</f>
        <v>44767</v>
      </c>
      <c r="G19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0" s="2">
        <f>IF(payments_raw[[#This Row],[payment_date]] &lt; payments_raw[[#This Row],[sub_start_date]], 1, 0)</f>
        <v>0</v>
      </c>
      <c r="I1920" s="2">
        <f>IF(AND(payments_raw[[#This Row],[sub_end_date]]&lt;&gt;"", payments_raw[[#This Row],[payment_date]] &gt; payments_raw[[#This Row],[sub_end_date]]), 1, 0)</f>
        <v>0</v>
      </c>
      <c r="J1920" s="2">
        <f>IF(payments_raw[[#This Row],[amount]] &lt;= 0, 1, 0)</f>
        <v>0</v>
      </c>
      <c r="K19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1" spans="1:11" x14ac:dyDescent="0.3">
      <c r="A1921">
        <v>74261898</v>
      </c>
      <c r="B1921">
        <v>6777952</v>
      </c>
      <c r="C1921" s="1">
        <v>45104</v>
      </c>
      <c r="D1921">
        <v>171</v>
      </c>
      <c r="E1921">
        <f>IF(
  ISNA(
    _xlfn.XLOOKUP(
      payments_raw[[#This Row],[subscription_id]],
      subscriptions[subscription_id],
      subscriptions[subscription_id]
    )
  ),
  0,
  1
)</f>
        <v>1</v>
      </c>
      <c r="F1921" s="1">
        <f>_xlfn.XLOOKUP(payments_raw[[#This Row],[subscription_id]], subscriptions[subscription_id], subscriptions[start_date])</f>
        <v>44854</v>
      </c>
      <c r="G19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1" s="2">
        <f>IF(payments_raw[[#This Row],[payment_date]] &lt; payments_raw[[#This Row],[sub_start_date]], 1, 0)</f>
        <v>0</v>
      </c>
      <c r="I1921" s="2">
        <f>IF(AND(payments_raw[[#This Row],[sub_end_date]]&lt;&gt;"", payments_raw[[#This Row],[payment_date]] &gt; payments_raw[[#This Row],[sub_end_date]]), 1, 0)</f>
        <v>0</v>
      </c>
      <c r="J1921" s="2">
        <f>IF(payments_raw[[#This Row],[amount]] &lt;= 0, 1, 0)</f>
        <v>0</v>
      </c>
      <c r="K19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2" spans="1:11" x14ac:dyDescent="0.3">
      <c r="A1922">
        <v>25400191</v>
      </c>
      <c r="B1922">
        <v>7352396</v>
      </c>
      <c r="C1922" s="1">
        <v>44845</v>
      </c>
      <c r="D1922">
        <v>2242.5</v>
      </c>
      <c r="E1922">
        <f>IF(
  ISNA(
    _xlfn.XLOOKUP(
      payments_raw[[#This Row],[subscription_id]],
      subscriptions[subscription_id],
      subscriptions[subscription_id]
    )
  ),
  0,
  1
)</f>
        <v>1</v>
      </c>
      <c r="F1922" s="1">
        <f>_xlfn.XLOOKUP(payments_raw[[#This Row],[subscription_id]], subscriptions[subscription_id], subscriptions[start_date])</f>
        <v>44777</v>
      </c>
      <c r="G192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44870</v>
      </c>
      <c r="H1922" s="2">
        <f>IF(payments_raw[[#This Row],[payment_date]] &lt; payments_raw[[#This Row],[sub_start_date]], 1, 0)</f>
        <v>0</v>
      </c>
      <c r="I1922" s="2">
        <f>IF(AND(payments_raw[[#This Row],[sub_end_date]]&lt;&gt;"", payments_raw[[#This Row],[payment_date]] &gt; payments_raw[[#This Row],[sub_end_date]]), 1, 0)</f>
        <v>0</v>
      </c>
      <c r="J1922" s="2">
        <f>IF(payments_raw[[#This Row],[amount]] &lt;= 0, 1, 0)</f>
        <v>0</v>
      </c>
      <c r="K19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3" spans="1:11" x14ac:dyDescent="0.3">
      <c r="A1923">
        <v>76005098</v>
      </c>
      <c r="B1923">
        <v>8944257</v>
      </c>
      <c r="C1923" s="1">
        <v>45320</v>
      </c>
      <c r="D1923">
        <v>39</v>
      </c>
      <c r="E1923">
        <f>IF(
  ISNA(
    _xlfn.XLOOKUP(
      payments_raw[[#This Row],[subscription_id]],
      subscriptions[subscription_id],
      subscriptions[subscription_id]
    )
  ),
  0,
  1
)</f>
        <v>1</v>
      </c>
      <c r="F1923" s="1">
        <f>_xlfn.XLOOKUP(payments_raw[[#This Row],[subscription_id]], subscriptions[subscription_id], subscriptions[start_date])</f>
        <v>45038</v>
      </c>
      <c r="G19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3" s="2">
        <f>IF(payments_raw[[#This Row],[payment_date]] &lt; payments_raw[[#This Row],[sub_start_date]], 1, 0)</f>
        <v>0</v>
      </c>
      <c r="I1923" s="2">
        <f>IF(AND(payments_raw[[#This Row],[sub_end_date]]&lt;&gt;"", payments_raw[[#This Row],[payment_date]] &gt; payments_raw[[#This Row],[sub_end_date]]), 1, 0)</f>
        <v>0</v>
      </c>
      <c r="J1923" s="2">
        <f>IF(payments_raw[[#This Row],[amount]] &lt;= 0, 1, 0)</f>
        <v>0</v>
      </c>
      <c r="K19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4" spans="1:11" x14ac:dyDescent="0.3">
      <c r="A1924">
        <v>41717630</v>
      </c>
      <c r="B1924">
        <v>4719408</v>
      </c>
      <c r="C1924" s="1">
        <v>44927</v>
      </c>
      <c r="D1924">
        <v>2990</v>
      </c>
      <c r="E1924">
        <f>IF(
  ISNA(
    _xlfn.XLOOKUP(
      payments_raw[[#This Row],[subscription_id]],
      subscriptions[subscription_id],
      subscriptions[subscription_id]
    )
  ),
  0,
  1
)</f>
        <v>1</v>
      </c>
      <c r="F1924" s="1">
        <f>_xlfn.XLOOKUP(payments_raw[[#This Row],[subscription_id]], subscriptions[subscription_id], subscriptions[start_date])</f>
        <v>44926</v>
      </c>
      <c r="G19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45144</v>
      </c>
      <c r="H1924" s="2">
        <f>IF(payments_raw[[#This Row],[payment_date]] &lt; payments_raw[[#This Row],[sub_start_date]], 1, 0)</f>
        <v>0</v>
      </c>
      <c r="I1924" s="2">
        <f>IF(AND(payments_raw[[#This Row],[sub_end_date]]&lt;&gt;"", payments_raw[[#This Row],[payment_date]] &gt; payments_raw[[#This Row],[sub_end_date]]), 1, 0)</f>
        <v>0</v>
      </c>
      <c r="J1924" s="2">
        <f>IF(payments_raw[[#This Row],[amount]] &lt;= 0, 1, 0)</f>
        <v>0</v>
      </c>
      <c r="K19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5" spans="1:11" x14ac:dyDescent="0.3">
      <c r="A1925">
        <v>52312851</v>
      </c>
      <c r="B1925">
        <v>5776554</v>
      </c>
      <c r="C1925" s="1">
        <v>45331</v>
      </c>
      <c r="D1925">
        <v>299</v>
      </c>
      <c r="E1925">
        <f>IF(
  ISNA(
    _xlfn.XLOOKUP(
      payments_raw[[#This Row],[subscription_id]],
      subscriptions[subscription_id],
      subscriptions[subscription_id]
    )
  ),
  0,
  1
)</f>
        <v>1</v>
      </c>
      <c r="F1925" s="1">
        <f>_xlfn.XLOOKUP(payments_raw[[#This Row],[subscription_id]], subscriptions[subscription_id], subscriptions[start_date])</f>
        <v>45097</v>
      </c>
      <c r="G19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5" s="2">
        <f>IF(payments_raw[[#This Row],[payment_date]] &lt; payments_raw[[#This Row],[sub_start_date]], 1, 0)</f>
        <v>0</v>
      </c>
      <c r="I1925" s="2">
        <f>IF(AND(payments_raw[[#This Row],[sub_end_date]]&lt;&gt;"", payments_raw[[#This Row],[payment_date]] &gt; payments_raw[[#This Row],[sub_end_date]]), 1, 0)</f>
        <v>0</v>
      </c>
      <c r="J1925" s="2">
        <f>IF(payments_raw[[#This Row],[amount]] &lt;= 0, 1, 0)</f>
        <v>0</v>
      </c>
      <c r="K19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6" spans="1:11" x14ac:dyDescent="0.3">
      <c r="A1926">
        <v>50921707</v>
      </c>
      <c r="B1926">
        <v>9304303</v>
      </c>
      <c r="C1926" s="1">
        <v>45596</v>
      </c>
      <c r="D1926">
        <v>790</v>
      </c>
      <c r="E1926">
        <f>IF(
  ISNA(
    _xlfn.XLOOKUP(
      payments_raw[[#This Row],[subscription_id]],
      subscriptions[subscription_id],
      subscriptions[subscription_id]
    )
  ),
  0,
  1
)</f>
        <v>1</v>
      </c>
      <c r="F1926" s="1">
        <f>_xlfn.XLOOKUP(payments_raw[[#This Row],[subscription_id]], subscriptions[subscription_id], subscriptions[start_date])</f>
        <v>44806</v>
      </c>
      <c r="G19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6" s="2">
        <f>IF(payments_raw[[#This Row],[payment_date]] &lt; payments_raw[[#This Row],[sub_start_date]], 1, 0)</f>
        <v>0</v>
      </c>
      <c r="I1926" s="2">
        <f>IF(AND(payments_raw[[#This Row],[sub_end_date]]&lt;&gt;"", payments_raw[[#This Row],[payment_date]] &gt; payments_raw[[#This Row],[sub_end_date]]), 1, 0)</f>
        <v>0</v>
      </c>
      <c r="J1926" s="2">
        <f>IF(payments_raw[[#This Row],[amount]] &lt;= 0, 1, 0)</f>
        <v>0</v>
      </c>
      <c r="K19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7" spans="1:11" x14ac:dyDescent="0.3">
      <c r="A1927">
        <v>85388033</v>
      </c>
      <c r="B1927">
        <v>4271952</v>
      </c>
      <c r="C1927" s="1">
        <v>45244</v>
      </c>
      <c r="D1927">
        <v>790</v>
      </c>
      <c r="E1927">
        <f>IF(
  ISNA(
    _xlfn.XLOOKUP(
      payments_raw[[#This Row],[subscription_id]],
      subscriptions[subscription_id],
      subscriptions[subscription_id]
    )
  ),
  0,
  1
)</f>
        <v>1</v>
      </c>
      <c r="F1927" s="1">
        <f>_xlfn.XLOOKUP(payments_raw[[#This Row],[subscription_id]], subscriptions[subscription_id], subscriptions[start_date])</f>
        <v>45162</v>
      </c>
      <c r="G19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1927" s="2">
        <f>IF(payments_raw[[#This Row],[payment_date]] &lt; payments_raw[[#This Row],[sub_start_date]], 1, 0)</f>
        <v>0</v>
      </c>
      <c r="I1927" s="2">
        <f>IF(AND(payments_raw[[#This Row],[sub_end_date]]&lt;&gt;"", payments_raw[[#This Row],[payment_date]] &gt; payments_raw[[#This Row],[sub_end_date]]), 1, 0)</f>
        <v>0</v>
      </c>
      <c r="J1927" s="2">
        <f>IF(payments_raw[[#This Row],[amount]] &lt;= 0, 1, 0)</f>
        <v>0</v>
      </c>
      <c r="K19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8" spans="1:11" x14ac:dyDescent="0.3">
      <c r="A1928">
        <v>98582538</v>
      </c>
      <c r="B1928">
        <v>8917395</v>
      </c>
      <c r="C1928" s="1">
        <v>44752</v>
      </c>
      <c r="D1928">
        <v>299</v>
      </c>
      <c r="E1928">
        <f>IF(
  ISNA(
    _xlfn.XLOOKUP(
      payments_raw[[#This Row],[subscription_id]],
      subscriptions[subscription_id],
      subscriptions[subscription_id]
    )
  ),
  0,
  1
)</f>
        <v>1</v>
      </c>
      <c r="F1928" s="1">
        <f>_xlfn.XLOOKUP(payments_raw[[#This Row],[subscription_id]], subscriptions[subscription_id], subscriptions[start_date])</f>
        <v>44748</v>
      </c>
      <c r="G19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1928" s="2">
        <f>IF(payments_raw[[#This Row],[payment_date]] &lt; payments_raw[[#This Row],[sub_start_date]], 1, 0)</f>
        <v>0</v>
      </c>
      <c r="I1928" s="2">
        <f>IF(AND(payments_raw[[#This Row],[sub_end_date]]&lt;&gt;"", payments_raw[[#This Row],[payment_date]] &gt; payments_raw[[#This Row],[sub_end_date]]), 1, 0)</f>
        <v>0</v>
      </c>
      <c r="J1928" s="2">
        <f>IF(payments_raw[[#This Row],[amount]] &lt;= 0, 1, 0)</f>
        <v>0</v>
      </c>
      <c r="K19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29" spans="1:11" x14ac:dyDescent="0.3">
      <c r="A1929">
        <v>61723054</v>
      </c>
      <c r="B1929">
        <v>2463496</v>
      </c>
      <c r="C1929" s="1">
        <v>44957</v>
      </c>
      <c r="D1929">
        <v>190</v>
      </c>
      <c r="E1929">
        <f>IF(
  ISNA(
    _xlfn.XLOOKUP(
      payments_raw[[#This Row],[subscription_id]],
      subscriptions[subscription_id],
      subscriptions[subscription_id]
    )
  ),
  0,
  1
)</f>
        <v>1</v>
      </c>
      <c r="F1929" s="1">
        <f>_xlfn.XLOOKUP(payments_raw[[#This Row],[subscription_id]], subscriptions[subscription_id], subscriptions[start_date])</f>
        <v>44779</v>
      </c>
      <c r="G19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29" s="2">
        <f>IF(payments_raw[[#This Row],[payment_date]] &lt; payments_raw[[#This Row],[sub_start_date]], 1, 0)</f>
        <v>0</v>
      </c>
      <c r="I1929" s="2">
        <f>IF(AND(payments_raw[[#This Row],[sub_end_date]]&lt;&gt;"", payments_raw[[#This Row],[payment_date]] &gt; payments_raw[[#This Row],[sub_end_date]]), 1, 0)</f>
        <v>0</v>
      </c>
      <c r="J1929" s="2">
        <f>IF(payments_raw[[#This Row],[amount]] &lt;= 0, 1, 0)</f>
        <v>0</v>
      </c>
      <c r="K19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0" spans="1:11" x14ac:dyDescent="0.3">
      <c r="A1930">
        <v>17694960</v>
      </c>
      <c r="B1930">
        <v>8731726</v>
      </c>
      <c r="C1930" s="1">
        <v>45465</v>
      </c>
      <c r="D1930">
        <v>39</v>
      </c>
      <c r="E1930">
        <f>IF(
  ISNA(
    _xlfn.XLOOKUP(
      payments_raw[[#This Row],[subscription_id]],
      subscriptions[subscription_id],
      subscriptions[subscription_id]
    )
  ),
  0,
  1
)</f>
        <v>1</v>
      </c>
      <c r="F1930" s="1">
        <f>_xlfn.XLOOKUP(payments_raw[[#This Row],[subscription_id]], subscriptions[subscription_id], subscriptions[start_date])</f>
        <v>44945</v>
      </c>
      <c r="G19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0" s="2">
        <f>IF(payments_raw[[#This Row],[payment_date]] &lt; payments_raw[[#This Row],[sub_start_date]], 1, 0)</f>
        <v>0</v>
      </c>
      <c r="I1930" s="2">
        <f>IF(AND(payments_raw[[#This Row],[sub_end_date]]&lt;&gt;"", payments_raw[[#This Row],[payment_date]] &gt; payments_raw[[#This Row],[sub_end_date]]), 1, 0)</f>
        <v>0</v>
      </c>
      <c r="J1930" s="2">
        <f>IF(payments_raw[[#This Row],[amount]] &lt;= 0, 1, 0)</f>
        <v>0</v>
      </c>
      <c r="K19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1" spans="1:11" x14ac:dyDescent="0.3">
      <c r="A1931">
        <v>99116571</v>
      </c>
      <c r="B1931">
        <v>3429724</v>
      </c>
      <c r="C1931" s="1">
        <v>45399</v>
      </c>
      <c r="D1931">
        <v>790</v>
      </c>
      <c r="E1931">
        <f>IF(
  ISNA(
    _xlfn.XLOOKUP(
      payments_raw[[#This Row],[subscription_id]],
      subscriptions[subscription_id],
      subscriptions[subscription_id]
    )
  ),
  0,
  1
)</f>
        <v>1</v>
      </c>
      <c r="F1931" s="1">
        <f>_xlfn.XLOOKUP(payments_raw[[#This Row],[subscription_id]], subscriptions[subscription_id], subscriptions[start_date])</f>
        <v>44991</v>
      </c>
      <c r="G19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1" s="2">
        <f>IF(payments_raw[[#This Row],[payment_date]] &lt; payments_raw[[#This Row],[sub_start_date]], 1, 0)</f>
        <v>0</v>
      </c>
      <c r="I1931" s="2">
        <f>IF(AND(payments_raw[[#This Row],[sub_end_date]]&lt;&gt;"", payments_raw[[#This Row],[payment_date]] &gt; payments_raw[[#This Row],[sub_end_date]]), 1, 0)</f>
        <v>0</v>
      </c>
      <c r="J1931" s="2">
        <f>IF(payments_raw[[#This Row],[amount]] &lt;= 0, 1, 0)</f>
        <v>0</v>
      </c>
      <c r="K19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2" spans="1:11" x14ac:dyDescent="0.3">
      <c r="A1932">
        <v>73555662</v>
      </c>
      <c r="B1932">
        <v>3520403</v>
      </c>
      <c r="C1932" s="1">
        <v>45491</v>
      </c>
      <c r="D1932">
        <v>149</v>
      </c>
      <c r="E1932">
        <f>IF(
  ISNA(
    _xlfn.XLOOKUP(
      payments_raw[[#This Row],[subscription_id]],
      subscriptions[subscription_id],
      subscriptions[subscription_id]
    )
  ),
  0,
  1
)</f>
        <v>1</v>
      </c>
      <c r="F1932" s="1">
        <f>_xlfn.XLOOKUP(payments_raw[[#This Row],[subscription_id]], subscriptions[subscription_id], subscriptions[start_date])</f>
        <v>45155</v>
      </c>
      <c r="G19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45525</v>
      </c>
      <c r="H1932" s="2">
        <f>IF(payments_raw[[#This Row],[payment_date]] &lt; payments_raw[[#This Row],[sub_start_date]], 1, 0)</f>
        <v>0</v>
      </c>
      <c r="I1932" s="2">
        <f>IF(AND(payments_raw[[#This Row],[sub_end_date]]&lt;&gt;"", payments_raw[[#This Row],[payment_date]] &gt; payments_raw[[#This Row],[sub_end_date]]), 1, 0)</f>
        <v>0</v>
      </c>
      <c r="J1932" s="2">
        <f>IF(payments_raw[[#This Row],[amount]] &lt;= 0, 1, 0)</f>
        <v>0</v>
      </c>
      <c r="K19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3" spans="1:11" x14ac:dyDescent="0.3">
      <c r="A1933">
        <v>18490284</v>
      </c>
      <c r="B1933">
        <v>9242417</v>
      </c>
      <c r="C1933" s="1">
        <v>45466</v>
      </c>
      <c r="D1933">
        <v>39</v>
      </c>
      <c r="E1933">
        <f>IF(
  ISNA(
    _xlfn.XLOOKUP(
      payments_raw[[#This Row],[subscription_id]],
      subscriptions[subscription_id],
      subscriptions[subscription_id]
    )
  ),
  0,
  1
)</f>
        <v>1</v>
      </c>
      <c r="F1933" s="1">
        <f>_xlfn.XLOOKUP(payments_raw[[#This Row],[subscription_id]], subscriptions[subscription_id], subscriptions[start_date])</f>
        <v>45306</v>
      </c>
      <c r="G19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3" s="2">
        <f>IF(payments_raw[[#This Row],[payment_date]] &lt; payments_raw[[#This Row],[sub_start_date]], 1, 0)</f>
        <v>0</v>
      </c>
      <c r="I1933" s="2">
        <f>IF(AND(payments_raw[[#This Row],[sub_end_date]]&lt;&gt;"", payments_raw[[#This Row],[payment_date]] &gt; payments_raw[[#This Row],[sub_end_date]]), 1, 0)</f>
        <v>0</v>
      </c>
      <c r="J1933" s="2">
        <f>IF(payments_raw[[#This Row],[amount]] &lt;= 0, 1, 0)</f>
        <v>0</v>
      </c>
      <c r="K19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4" spans="1:11" x14ac:dyDescent="0.3">
      <c r="A1934">
        <v>73906952</v>
      </c>
      <c r="B1934">
        <v>9305156</v>
      </c>
      <c r="C1934" s="1">
        <v>44761</v>
      </c>
      <c r="D1934">
        <v>79</v>
      </c>
      <c r="E1934">
        <f>IF(
  ISNA(
    _xlfn.XLOOKUP(
      payments_raw[[#This Row],[subscription_id]],
      subscriptions[subscription_id],
      subscriptions[subscription_id]
    )
  ),
  0,
  1
)</f>
        <v>1</v>
      </c>
      <c r="F1934" s="1">
        <f>_xlfn.XLOOKUP(payments_raw[[#This Row],[subscription_id]], subscriptions[subscription_id], subscriptions[start_date])</f>
        <v>44715</v>
      </c>
      <c r="G19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4" s="2">
        <f>IF(payments_raw[[#This Row],[payment_date]] &lt; payments_raw[[#This Row],[sub_start_date]], 1, 0)</f>
        <v>0</v>
      </c>
      <c r="I1934" s="2">
        <f>IF(AND(payments_raw[[#This Row],[sub_end_date]]&lt;&gt;"", payments_raw[[#This Row],[payment_date]] &gt; payments_raw[[#This Row],[sub_end_date]]), 1, 0)</f>
        <v>0</v>
      </c>
      <c r="J1934" s="2">
        <f>IF(payments_raw[[#This Row],[amount]] &lt;= 0, 1, 0)</f>
        <v>0</v>
      </c>
      <c r="K19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5" spans="1:11" x14ac:dyDescent="0.3">
      <c r="A1935">
        <v>43745968</v>
      </c>
      <c r="B1935">
        <v>7785940</v>
      </c>
      <c r="C1935" s="1">
        <v>44735</v>
      </c>
      <c r="D1935">
        <v>39</v>
      </c>
      <c r="E1935">
        <f>IF(
  ISNA(
    _xlfn.XLOOKUP(
      payments_raw[[#This Row],[subscription_id]],
      subscriptions[subscription_id],
      subscriptions[subscription_id]
    )
  ),
  0,
  1
)</f>
        <v>1</v>
      </c>
      <c r="F1935" s="1">
        <f>_xlfn.XLOOKUP(payments_raw[[#This Row],[subscription_id]], subscriptions[subscription_id], subscriptions[start_date])</f>
        <v>44587</v>
      </c>
      <c r="G19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5" s="2">
        <f>IF(payments_raw[[#This Row],[payment_date]] &lt; payments_raw[[#This Row],[sub_start_date]], 1, 0)</f>
        <v>0</v>
      </c>
      <c r="I1935" s="2">
        <f>IF(AND(payments_raw[[#This Row],[sub_end_date]]&lt;&gt;"", payments_raw[[#This Row],[payment_date]] &gt; payments_raw[[#This Row],[sub_end_date]]), 1, 0)</f>
        <v>0</v>
      </c>
      <c r="J1935" s="2">
        <f>IF(payments_raw[[#This Row],[amount]] &lt;= 0, 1, 0)</f>
        <v>0</v>
      </c>
      <c r="K19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6" spans="1:11" x14ac:dyDescent="0.3">
      <c r="A1936">
        <v>94048378</v>
      </c>
      <c r="B1936">
        <v>7352396</v>
      </c>
      <c r="C1936" s="1">
        <v>44861</v>
      </c>
      <c r="D1936">
        <v>1495</v>
      </c>
      <c r="E1936">
        <f>IF(
  ISNA(
    _xlfn.XLOOKUP(
      payments_raw[[#This Row],[subscription_id]],
      subscriptions[subscription_id],
      subscriptions[subscription_id]
    )
  ),
  0,
  1
)</f>
        <v>1</v>
      </c>
      <c r="F1936" s="1">
        <f>_xlfn.XLOOKUP(payments_raw[[#This Row],[subscription_id]], subscriptions[subscription_id], subscriptions[start_date])</f>
        <v>44777</v>
      </c>
      <c r="G193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44870</v>
      </c>
      <c r="H1936" s="2">
        <f>IF(payments_raw[[#This Row],[payment_date]] &lt; payments_raw[[#This Row],[sub_start_date]], 1, 0)</f>
        <v>0</v>
      </c>
      <c r="I1936" s="2">
        <f>IF(AND(payments_raw[[#This Row],[sub_end_date]]&lt;&gt;"", payments_raw[[#This Row],[payment_date]] &gt; payments_raw[[#This Row],[sub_end_date]]), 1, 0)</f>
        <v>0</v>
      </c>
      <c r="J1936" s="2">
        <f>IF(payments_raw[[#This Row],[amount]] &lt;= 0, 1, 0)</f>
        <v>0</v>
      </c>
      <c r="K19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7" spans="1:11" x14ac:dyDescent="0.3">
      <c r="A1937">
        <v>67461167</v>
      </c>
      <c r="B1937">
        <v>6659575</v>
      </c>
      <c r="C1937" s="1">
        <v>45655</v>
      </c>
      <c r="D1937">
        <v>790</v>
      </c>
      <c r="E1937">
        <f>IF(
  ISNA(
    _xlfn.XLOOKUP(
      payments_raw[[#This Row],[subscription_id]],
      subscriptions[subscription_id],
      subscriptions[subscription_id]
    )
  ),
  0,
  1
)</f>
        <v>1</v>
      </c>
      <c r="F1937" s="1">
        <f>_xlfn.XLOOKUP(payments_raw[[#This Row],[subscription_id]], subscriptions[subscription_id], subscriptions[start_date])</f>
        <v>45471</v>
      </c>
      <c r="G19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1937" s="2">
        <f>IF(payments_raw[[#This Row],[payment_date]] &lt; payments_raw[[#This Row],[sub_start_date]], 1, 0)</f>
        <v>0</v>
      </c>
      <c r="I1937" s="2">
        <f>IF(AND(payments_raw[[#This Row],[sub_end_date]]&lt;&gt;"", payments_raw[[#This Row],[payment_date]] &gt; payments_raw[[#This Row],[sub_end_date]]), 1, 0)</f>
        <v>0</v>
      </c>
      <c r="J1937" s="2">
        <f>IF(payments_raw[[#This Row],[amount]] &lt;= 0, 1, 0)</f>
        <v>0</v>
      </c>
      <c r="K19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8" spans="1:11" x14ac:dyDescent="0.3">
      <c r="A1938">
        <v>20400956</v>
      </c>
      <c r="B1938">
        <v>3146616</v>
      </c>
      <c r="C1938" s="1">
        <v>45459</v>
      </c>
      <c r="D1938">
        <v>79</v>
      </c>
      <c r="E1938">
        <f>IF(
  ISNA(
    _xlfn.XLOOKUP(
      payments_raw[[#This Row],[subscription_id]],
      subscriptions[subscription_id],
      subscriptions[subscription_id]
    )
  ),
  0,
  1
)</f>
        <v>1</v>
      </c>
      <c r="F1938" s="1">
        <f>_xlfn.XLOOKUP(payments_raw[[#This Row],[subscription_id]], subscriptions[subscription_id], subscriptions[start_date])</f>
        <v>44880</v>
      </c>
      <c r="G19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8" s="2">
        <f>IF(payments_raw[[#This Row],[payment_date]] &lt; payments_raw[[#This Row],[sub_start_date]], 1, 0)</f>
        <v>0</v>
      </c>
      <c r="I1938" s="2">
        <f>IF(AND(payments_raw[[#This Row],[sub_end_date]]&lt;&gt;"", payments_raw[[#This Row],[payment_date]] &gt; payments_raw[[#This Row],[sub_end_date]]), 1, 0)</f>
        <v>0</v>
      </c>
      <c r="J1938" s="2">
        <f>IF(payments_raw[[#This Row],[amount]] &lt;= 0, 1, 0)</f>
        <v>0</v>
      </c>
      <c r="K19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39" spans="1:11" x14ac:dyDescent="0.3">
      <c r="A1939">
        <v>55932113</v>
      </c>
      <c r="B1939">
        <v>2155782</v>
      </c>
      <c r="C1939" s="1">
        <v>45261</v>
      </c>
      <c r="D1939">
        <v>790</v>
      </c>
      <c r="E1939">
        <f>IF(
  ISNA(
    _xlfn.XLOOKUP(
      payments_raw[[#This Row],[subscription_id]],
      subscriptions[subscription_id],
      subscriptions[subscription_id]
    )
  ),
  0,
  1
)</f>
        <v>1</v>
      </c>
      <c r="F1939" s="1">
        <f>_xlfn.XLOOKUP(payments_raw[[#This Row],[subscription_id]], subscriptions[subscription_id], subscriptions[start_date])</f>
        <v>44924</v>
      </c>
      <c r="G19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39" s="2">
        <f>IF(payments_raw[[#This Row],[payment_date]] &lt; payments_raw[[#This Row],[sub_start_date]], 1, 0)</f>
        <v>0</v>
      </c>
      <c r="I1939" s="2">
        <f>IF(AND(payments_raw[[#This Row],[sub_end_date]]&lt;&gt;"", payments_raw[[#This Row],[payment_date]] &gt; payments_raw[[#This Row],[sub_end_date]]), 1, 0)</f>
        <v>0</v>
      </c>
      <c r="J1939" s="2">
        <f>IF(payments_raw[[#This Row],[amount]] &lt;= 0, 1, 0)</f>
        <v>0</v>
      </c>
      <c r="K19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0" spans="1:11" x14ac:dyDescent="0.3">
      <c r="A1940">
        <v>12269217</v>
      </c>
      <c r="B1940">
        <v>1597521</v>
      </c>
      <c r="C1940" s="1">
        <v>45373</v>
      </c>
      <c r="D1940">
        <v>2990</v>
      </c>
      <c r="E1940">
        <f>IF(
  ISNA(
    _xlfn.XLOOKUP(
      payments_raw[[#This Row],[subscription_id]],
      subscriptions[subscription_id],
      subscriptions[subscription_id]
    )
  ),
  0,
  1
)</f>
        <v>1</v>
      </c>
      <c r="F1940" s="1">
        <f>_xlfn.XLOOKUP(payments_raw[[#This Row],[subscription_id]], subscriptions[subscription_id], subscriptions[start_date])</f>
        <v>44790</v>
      </c>
      <c r="G19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0" s="2">
        <f>IF(payments_raw[[#This Row],[payment_date]] &lt; payments_raw[[#This Row],[sub_start_date]], 1, 0)</f>
        <v>0</v>
      </c>
      <c r="I1940" s="2">
        <f>IF(AND(payments_raw[[#This Row],[sub_end_date]]&lt;&gt;"", payments_raw[[#This Row],[payment_date]] &gt; payments_raw[[#This Row],[sub_end_date]]), 1, 0)</f>
        <v>0</v>
      </c>
      <c r="J1940" s="2">
        <f>IF(payments_raw[[#This Row],[amount]] &lt;= 0, 1, 0)</f>
        <v>0</v>
      </c>
      <c r="K19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1" spans="1:11" x14ac:dyDescent="0.3">
      <c r="A1941">
        <v>22257297</v>
      </c>
      <c r="B1941">
        <v>5944200</v>
      </c>
      <c r="C1941" s="1">
        <v>45651</v>
      </c>
      <c r="D1941">
        <v>1490</v>
      </c>
      <c r="E1941">
        <f>IF(
  ISNA(
    _xlfn.XLOOKUP(
      payments_raw[[#This Row],[subscription_id]],
      subscriptions[subscription_id],
      subscriptions[subscription_id]
    )
  ),
  0,
  1
)</f>
        <v>1</v>
      </c>
      <c r="F1941" s="1">
        <f>_xlfn.XLOOKUP(payments_raw[[#This Row],[subscription_id]], subscriptions[subscription_id], subscriptions[start_date])</f>
        <v>45504</v>
      </c>
      <c r="G19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1" s="2">
        <f>IF(payments_raw[[#This Row],[payment_date]] &lt; payments_raw[[#This Row],[sub_start_date]], 1, 0)</f>
        <v>0</v>
      </c>
      <c r="I1941" s="2">
        <f>IF(AND(payments_raw[[#This Row],[sub_end_date]]&lt;&gt;"", payments_raw[[#This Row],[payment_date]] &gt; payments_raw[[#This Row],[sub_end_date]]), 1, 0)</f>
        <v>0</v>
      </c>
      <c r="J1941" s="2">
        <f>IF(payments_raw[[#This Row],[amount]] &lt;= 0, 1, 0)</f>
        <v>0</v>
      </c>
      <c r="K19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2" spans="1:11" x14ac:dyDescent="0.3">
      <c r="A1942">
        <v>89513946</v>
      </c>
      <c r="B1942">
        <v>6773384</v>
      </c>
      <c r="C1942" s="1">
        <v>45613</v>
      </c>
      <c r="D1942">
        <v>190</v>
      </c>
      <c r="E1942">
        <f>IF(
  ISNA(
    _xlfn.XLOOKUP(
      payments_raw[[#This Row],[subscription_id]],
      subscriptions[subscription_id],
      subscriptions[subscription_id]
    )
  ),
  0,
  1
)</f>
        <v>1</v>
      </c>
      <c r="F1942" s="1">
        <f>_xlfn.XLOOKUP(payments_raw[[#This Row],[subscription_id]], subscriptions[subscription_id], subscriptions[start_date])</f>
        <v>45586</v>
      </c>
      <c r="G19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2" s="2">
        <f>IF(payments_raw[[#This Row],[payment_date]] &lt; payments_raw[[#This Row],[sub_start_date]], 1, 0)</f>
        <v>0</v>
      </c>
      <c r="I1942" s="2">
        <f>IF(AND(payments_raw[[#This Row],[sub_end_date]]&lt;&gt;"", payments_raw[[#This Row],[payment_date]] &gt; payments_raw[[#This Row],[sub_end_date]]), 1, 0)</f>
        <v>0</v>
      </c>
      <c r="J1942" s="2">
        <f>IF(payments_raw[[#This Row],[amount]] &lt;= 0, 1, 0)</f>
        <v>0</v>
      </c>
      <c r="K19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3" spans="1:11" x14ac:dyDescent="0.3">
      <c r="A1943">
        <v>70513308</v>
      </c>
      <c r="B1943">
        <v>2795982</v>
      </c>
      <c r="C1943" s="1">
        <v>45524</v>
      </c>
      <c r="D1943">
        <v>79</v>
      </c>
      <c r="E1943">
        <f>IF(
  ISNA(
    _xlfn.XLOOKUP(
      payments_raw[[#This Row],[subscription_id]],
      subscriptions[subscription_id],
      subscriptions[subscription_id]
    )
  ),
  0,
  1
)</f>
        <v>1</v>
      </c>
      <c r="F1943" s="1">
        <f>_xlfn.XLOOKUP(payments_raw[[#This Row],[subscription_id]], subscriptions[subscription_id], subscriptions[start_date])</f>
        <v>45244</v>
      </c>
      <c r="G19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3" s="2">
        <f>IF(payments_raw[[#This Row],[payment_date]] &lt; payments_raw[[#This Row],[sub_start_date]], 1, 0)</f>
        <v>0</v>
      </c>
      <c r="I1943" s="2">
        <f>IF(AND(payments_raw[[#This Row],[sub_end_date]]&lt;&gt;"", payments_raw[[#This Row],[payment_date]] &gt; payments_raw[[#This Row],[sub_end_date]]), 1, 0)</f>
        <v>0</v>
      </c>
      <c r="J1943" s="2">
        <f>IF(payments_raw[[#This Row],[amount]] &lt;= 0, 1, 0)</f>
        <v>0</v>
      </c>
      <c r="K19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4" spans="1:11" x14ac:dyDescent="0.3">
      <c r="A1944">
        <v>34811860</v>
      </c>
      <c r="B1944">
        <v>6938069</v>
      </c>
      <c r="C1944" s="1">
        <v>44933</v>
      </c>
      <c r="D1944">
        <v>2990</v>
      </c>
      <c r="E1944">
        <f>IF(
  ISNA(
    _xlfn.XLOOKUP(
      payments_raw[[#This Row],[subscription_id]],
      subscriptions[subscription_id],
      subscriptions[subscription_id]
    )
  ),
  0,
  1
)</f>
        <v>1</v>
      </c>
      <c r="F1944" s="1">
        <f>_xlfn.XLOOKUP(payments_raw[[#This Row],[subscription_id]], subscriptions[subscription_id], subscriptions[start_date])</f>
        <v>44872</v>
      </c>
      <c r="G19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4" s="2">
        <f>IF(payments_raw[[#This Row],[payment_date]] &lt; payments_raw[[#This Row],[sub_start_date]], 1, 0)</f>
        <v>0</v>
      </c>
      <c r="I1944" s="2">
        <f>IF(AND(payments_raw[[#This Row],[sub_end_date]]&lt;&gt;"", payments_raw[[#This Row],[payment_date]] &gt; payments_raw[[#This Row],[sub_end_date]]), 1, 0)</f>
        <v>0</v>
      </c>
      <c r="J1944" s="2">
        <f>IF(payments_raw[[#This Row],[amount]] &lt;= 0, 1, 0)</f>
        <v>0</v>
      </c>
      <c r="K19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5" spans="1:11" x14ac:dyDescent="0.3">
      <c r="A1945">
        <v>10070858</v>
      </c>
      <c r="B1945">
        <v>1518244</v>
      </c>
      <c r="C1945" s="1">
        <v>45125</v>
      </c>
      <c r="D1945">
        <v>395</v>
      </c>
      <c r="E1945">
        <f>IF(
  ISNA(
    _xlfn.XLOOKUP(
      payments_raw[[#This Row],[subscription_id]],
      subscriptions[subscription_id],
      subscriptions[subscription_id]
    )
  ),
  0,
  1
)</f>
        <v>1</v>
      </c>
      <c r="F1945" s="1">
        <f>_xlfn.XLOOKUP(payments_raw[[#This Row],[subscription_id]], subscriptions[subscription_id], subscriptions[start_date])</f>
        <v>44985</v>
      </c>
      <c r="G19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5" s="2">
        <f>IF(payments_raw[[#This Row],[payment_date]] &lt; payments_raw[[#This Row],[sub_start_date]], 1, 0)</f>
        <v>0</v>
      </c>
      <c r="I1945" s="2">
        <f>IF(AND(payments_raw[[#This Row],[sub_end_date]]&lt;&gt;"", payments_raw[[#This Row],[payment_date]] &gt; payments_raw[[#This Row],[sub_end_date]]), 1, 0)</f>
        <v>0</v>
      </c>
      <c r="J1945" s="2">
        <f>IF(payments_raw[[#This Row],[amount]] &lt;= 0, 1, 0)</f>
        <v>0</v>
      </c>
      <c r="K19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6" spans="1:11" x14ac:dyDescent="0.3">
      <c r="A1946">
        <v>68330593</v>
      </c>
      <c r="B1946">
        <v>3481086</v>
      </c>
      <c r="C1946" s="1">
        <v>45178</v>
      </c>
      <c r="D1946">
        <v>79</v>
      </c>
      <c r="E1946">
        <f>IF(
  ISNA(
    _xlfn.XLOOKUP(
      payments_raw[[#This Row],[subscription_id]],
      subscriptions[subscription_id],
      subscriptions[subscription_id]
    )
  ),
  0,
  1
)</f>
        <v>1</v>
      </c>
      <c r="F1946" s="1">
        <f>_xlfn.XLOOKUP(payments_raw[[#This Row],[subscription_id]], subscriptions[subscription_id], subscriptions[start_date])</f>
        <v>45097</v>
      </c>
      <c r="G19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45475</v>
      </c>
      <c r="H1946" s="2">
        <f>IF(payments_raw[[#This Row],[payment_date]] &lt; payments_raw[[#This Row],[sub_start_date]], 1, 0)</f>
        <v>0</v>
      </c>
      <c r="I1946" s="2">
        <f>IF(AND(payments_raw[[#This Row],[sub_end_date]]&lt;&gt;"", payments_raw[[#This Row],[payment_date]] &gt; payments_raw[[#This Row],[sub_end_date]]), 1, 0)</f>
        <v>0</v>
      </c>
      <c r="J1946" s="2">
        <f>IF(payments_raw[[#This Row],[amount]] &lt;= 0, 1, 0)</f>
        <v>0</v>
      </c>
      <c r="K19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7" spans="1:11" x14ac:dyDescent="0.3">
      <c r="A1947">
        <v>19545651</v>
      </c>
      <c r="B1947">
        <v>7500351</v>
      </c>
      <c r="C1947" s="1">
        <v>45650</v>
      </c>
      <c r="D1947">
        <v>711</v>
      </c>
      <c r="E1947">
        <f>IF(
  ISNA(
    _xlfn.XLOOKUP(
      payments_raw[[#This Row],[subscription_id]],
      subscriptions[subscription_id],
      subscriptions[subscription_id]
    )
  ),
  0,
  1
)</f>
        <v>1</v>
      </c>
      <c r="F1947" s="1">
        <f>_xlfn.XLOOKUP(payments_raw[[#This Row],[subscription_id]], subscriptions[subscription_id], subscriptions[start_date])</f>
        <v>45396</v>
      </c>
      <c r="G19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7" s="2">
        <f>IF(payments_raw[[#This Row],[payment_date]] &lt; payments_raw[[#This Row],[sub_start_date]], 1, 0)</f>
        <v>0</v>
      </c>
      <c r="I1947" s="2">
        <f>IF(AND(payments_raw[[#This Row],[sub_end_date]]&lt;&gt;"", payments_raw[[#This Row],[payment_date]] &gt; payments_raw[[#This Row],[sub_end_date]]), 1, 0)</f>
        <v>0</v>
      </c>
      <c r="J1947" s="2">
        <f>IF(payments_raw[[#This Row],[amount]] &lt;= 0, 1, 0)</f>
        <v>0</v>
      </c>
      <c r="K19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8" spans="1:11" x14ac:dyDescent="0.3">
      <c r="A1948">
        <v>98802796</v>
      </c>
      <c r="B1948">
        <v>5547933</v>
      </c>
      <c r="C1948" s="1">
        <v>45061</v>
      </c>
      <c r="D1948">
        <v>149</v>
      </c>
      <c r="E1948">
        <f>IF(
  ISNA(
    _xlfn.XLOOKUP(
      payments_raw[[#This Row],[subscription_id]],
      subscriptions[subscription_id],
      subscriptions[subscription_id]
    )
  ),
  0,
  1
)</f>
        <v>1</v>
      </c>
      <c r="F1948" s="1">
        <f>_xlfn.XLOOKUP(payments_raw[[#This Row],[subscription_id]], subscriptions[subscription_id], subscriptions[start_date])</f>
        <v>45039</v>
      </c>
      <c r="G19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45180</v>
      </c>
      <c r="H1948" s="2">
        <f>IF(payments_raw[[#This Row],[payment_date]] &lt; payments_raw[[#This Row],[sub_start_date]], 1, 0)</f>
        <v>0</v>
      </c>
      <c r="I1948" s="2">
        <f>IF(AND(payments_raw[[#This Row],[sub_end_date]]&lt;&gt;"", payments_raw[[#This Row],[payment_date]] &gt; payments_raw[[#This Row],[sub_end_date]]), 1, 0)</f>
        <v>0</v>
      </c>
      <c r="J1948" s="2">
        <f>IF(payments_raw[[#This Row],[amount]] &lt;= 0, 1, 0)</f>
        <v>0</v>
      </c>
      <c r="K19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49" spans="1:11" x14ac:dyDescent="0.3">
      <c r="A1949">
        <v>19837032</v>
      </c>
      <c r="B1949">
        <v>2738237</v>
      </c>
      <c r="C1949" s="1">
        <v>45652</v>
      </c>
      <c r="D1949">
        <v>299</v>
      </c>
      <c r="E1949">
        <f>IF(
  ISNA(
    _xlfn.XLOOKUP(
      payments_raw[[#This Row],[subscription_id]],
      subscriptions[subscription_id],
      subscriptions[subscription_id]
    )
  ),
  0,
  1
)</f>
        <v>1</v>
      </c>
      <c r="F1949" s="1">
        <f>_xlfn.XLOOKUP(payments_raw[[#This Row],[subscription_id]], subscriptions[subscription_id], subscriptions[start_date])</f>
        <v>45532</v>
      </c>
      <c r="G19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49" s="2">
        <f>IF(payments_raw[[#This Row],[payment_date]] &lt; payments_raw[[#This Row],[sub_start_date]], 1, 0)</f>
        <v>0</v>
      </c>
      <c r="I1949" s="2">
        <f>IF(AND(payments_raw[[#This Row],[sub_end_date]]&lt;&gt;"", payments_raw[[#This Row],[payment_date]] &gt; payments_raw[[#This Row],[sub_end_date]]), 1, 0)</f>
        <v>0</v>
      </c>
      <c r="J1949" s="2">
        <f>IF(payments_raw[[#This Row],[amount]] &lt;= 0, 1, 0)</f>
        <v>0</v>
      </c>
      <c r="K19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0" spans="1:11" x14ac:dyDescent="0.3">
      <c r="A1950">
        <v>42702271</v>
      </c>
      <c r="B1950">
        <v>7100417</v>
      </c>
      <c r="C1950" s="1">
        <v>45496</v>
      </c>
      <c r="D1950">
        <v>390</v>
      </c>
      <c r="E1950">
        <f>IF(
  ISNA(
    _xlfn.XLOOKUP(
      payments_raw[[#This Row],[subscription_id]],
      subscriptions[subscription_id],
      subscriptions[subscription_id]
    )
  ),
  0,
  1
)</f>
        <v>1</v>
      </c>
      <c r="F1950" s="1">
        <f>_xlfn.XLOOKUP(payments_raw[[#This Row],[subscription_id]], subscriptions[subscription_id], subscriptions[start_date])</f>
        <v>45276</v>
      </c>
      <c r="G19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1950" s="2">
        <f>IF(payments_raw[[#This Row],[payment_date]] &lt; payments_raw[[#This Row],[sub_start_date]], 1, 0)</f>
        <v>0</v>
      </c>
      <c r="I1950" s="2">
        <f>IF(AND(payments_raw[[#This Row],[sub_end_date]]&lt;&gt;"", payments_raw[[#This Row],[payment_date]] &gt; payments_raw[[#This Row],[sub_end_date]]), 1, 0)</f>
        <v>0</v>
      </c>
      <c r="J1950" s="2">
        <f>IF(payments_raw[[#This Row],[amount]] &lt;= 0, 1, 0)</f>
        <v>0</v>
      </c>
      <c r="K19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1" spans="1:11" x14ac:dyDescent="0.3">
      <c r="A1951">
        <v>93255820</v>
      </c>
      <c r="B1951">
        <v>3519714</v>
      </c>
      <c r="C1951" s="1">
        <v>45436</v>
      </c>
      <c r="D1951">
        <v>39</v>
      </c>
      <c r="E1951">
        <f>IF(
  ISNA(
    _xlfn.XLOOKUP(
      payments_raw[[#This Row],[subscription_id]],
      subscriptions[subscription_id],
      subscriptions[subscription_id]
    )
  ),
  0,
  1
)</f>
        <v>1</v>
      </c>
      <c r="F1951" s="1">
        <f>_xlfn.XLOOKUP(payments_raw[[#This Row],[subscription_id]], subscriptions[subscription_id], subscriptions[start_date])</f>
        <v>44610</v>
      </c>
      <c r="G19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51" s="2">
        <f>IF(payments_raw[[#This Row],[payment_date]] &lt; payments_raw[[#This Row],[sub_start_date]], 1, 0)</f>
        <v>0</v>
      </c>
      <c r="I1951" s="2">
        <f>IF(AND(payments_raw[[#This Row],[sub_end_date]]&lt;&gt;"", payments_raw[[#This Row],[payment_date]] &gt; payments_raw[[#This Row],[sub_end_date]]), 1, 0)</f>
        <v>0</v>
      </c>
      <c r="J1951" s="2">
        <f>IF(payments_raw[[#This Row],[amount]] &lt;= 0, 1, 0)</f>
        <v>0</v>
      </c>
      <c r="K19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2" spans="1:11" x14ac:dyDescent="0.3">
      <c r="A1952">
        <v>86038301</v>
      </c>
      <c r="B1952">
        <v>5678825</v>
      </c>
      <c r="C1952" s="1">
        <v>45547</v>
      </c>
      <c r="D1952">
        <v>190</v>
      </c>
      <c r="E1952">
        <f>IF(
  ISNA(
    _xlfn.XLOOKUP(
      payments_raw[[#This Row],[subscription_id]],
      subscriptions[subscription_id],
      subscriptions[subscription_id]
    )
  ),
  0,
  1
)</f>
        <v>1</v>
      </c>
      <c r="F1952" s="1">
        <f>_xlfn.XLOOKUP(payments_raw[[#This Row],[subscription_id]], subscriptions[subscription_id], subscriptions[start_date])</f>
        <v>45216</v>
      </c>
      <c r="G19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45568</v>
      </c>
      <c r="H1952" s="2">
        <f>IF(payments_raw[[#This Row],[payment_date]] &lt; payments_raw[[#This Row],[sub_start_date]], 1, 0)</f>
        <v>0</v>
      </c>
      <c r="I1952" s="2">
        <f>IF(AND(payments_raw[[#This Row],[sub_end_date]]&lt;&gt;"", payments_raw[[#This Row],[payment_date]] &gt; payments_raw[[#This Row],[sub_end_date]]), 1, 0)</f>
        <v>0</v>
      </c>
      <c r="J1952" s="2">
        <f>IF(payments_raw[[#This Row],[amount]] &lt;= 0, 1, 0)</f>
        <v>0</v>
      </c>
      <c r="K19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3" spans="1:11" x14ac:dyDescent="0.3">
      <c r="A1953">
        <v>14876892</v>
      </c>
      <c r="B1953">
        <v>1478098</v>
      </c>
      <c r="C1953" s="1">
        <v>45658</v>
      </c>
      <c r="D1953">
        <v>19</v>
      </c>
      <c r="E1953">
        <f>IF(
  ISNA(
    _xlfn.XLOOKUP(
      payments_raw[[#This Row],[subscription_id]],
      subscriptions[subscription_id],
      subscriptions[subscription_id]
    )
  ),
  0,
  1
)</f>
        <v>1</v>
      </c>
      <c r="F1953" s="1">
        <f>_xlfn.XLOOKUP(payments_raw[[#This Row],[subscription_id]], subscriptions[subscription_id], subscriptions[start_date])</f>
        <v>45525</v>
      </c>
      <c r="G19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53" s="2">
        <f>IF(payments_raw[[#This Row],[payment_date]] &lt; payments_raw[[#This Row],[sub_start_date]], 1, 0)</f>
        <v>0</v>
      </c>
      <c r="I1953" s="2">
        <f>IF(AND(payments_raw[[#This Row],[sub_end_date]]&lt;&gt;"", payments_raw[[#This Row],[payment_date]] &gt; payments_raw[[#This Row],[sub_end_date]]), 1, 0)</f>
        <v>0</v>
      </c>
      <c r="J1953" s="2">
        <f>IF(payments_raw[[#This Row],[amount]] &lt;= 0, 1, 0)</f>
        <v>0</v>
      </c>
      <c r="K19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4" spans="1:11" x14ac:dyDescent="0.3">
      <c r="A1954">
        <v>19958063</v>
      </c>
      <c r="B1954">
        <v>6819465</v>
      </c>
      <c r="C1954" s="1">
        <v>45583</v>
      </c>
      <c r="D1954">
        <v>299</v>
      </c>
      <c r="E1954">
        <f>IF(
  ISNA(
    _xlfn.XLOOKUP(
      payments_raw[[#This Row],[subscription_id]],
      subscriptions[subscription_id],
      subscriptions[subscription_id]
    )
  ),
  0,
  1
)</f>
        <v>1</v>
      </c>
      <c r="F1954" s="1">
        <f>_xlfn.XLOOKUP(payments_raw[[#This Row],[subscription_id]], subscriptions[subscription_id], subscriptions[start_date])</f>
        <v>45562</v>
      </c>
      <c r="G19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1954" s="2">
        <f>IF(payments_raw[[#This Row],[payment_date]] &lt; payments_raw[[#This Row],[sub_start_date]], 1, 0)</f>
        <v>0</v>
      </c>
      <c r="I1954" s="2">
        <f>IF(AND(payments_raw[[#This Row],[sub_end_date]]&lt;&gt;"", payments_raw[[#This Row],[payment_date]] &gt; payments_raw[[#This Row],[sub_end_date]]), 1, 0)</f>
        <v>0</v>
      </c>
      <c r="J1954" s="2">
        <f>IF(payments_raw[[#This Row],[amount]] &lt;= 0, 1, 0)</f>
        <v>0</v>
      </c>
      <c r="K19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5" spans="1:11" x14ac:dyDescent="0.3">
      <c r="A1955">
        <v>74944298</v>
      </c>
      <c r="B1955">
        <v>4031041</v>
      </c>
      <c r="C1955" s="1">
        <v>45166</v>
      </c>
      <c r="D1955">
        <v>269.10000000000002</v>
      </c>
      <c r="E1955">
        <f>IF(
  ISNA(
    _xlfn.XLOOKUP(
      payments_raw[[#This Row],[subscription_id]],
      subscriptions[subscription_id],
      subscriptions[subscription_id]
    )
  ),
  0,
  1
)</f>
        <v>1</v>
      </c>
      <c r="F1955" s="1">
        <f>_xlfn.XLOOKUP(payments_raw[[#This Row],[subscription_id]], subscriptions[subscription_id], subscriptions[start_date])</f>
        <v>44930</v>
      </c>
      <c r="G19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55" s="2">
        <f>IF(payments_raw[[#This Row],[payment_date]] &lt; payments_raw[[#This Row],[sub_start_date]], 1, 0)</f>
        <v>0</v>
      </c>
      <c r="I1955" s="2">
        <f>IF(AND(payments_raw[[#This Row],[sub_end_date]]&lt;&gt;"", payments_raw[[#This Row],[payment_date]] &gt; payments_raw[[#This Row],[sub_end_date]]), 1, 0)</f>
        <v>0</v>
      </c>
      <c r="J1955" s="2">
        <f>IF(payments_raw[[#This Row],[amount]] &lt;= 0, 1, 0)</f>
        <v>0</v>
      </c>
      <c r="K19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6" spans="1:11" x14ac:dyDescent="0.3">
      <c r="A1956">
        <v>34880515</v>
      </c>
      <c r="B1956">
        <v>8641031</v>
      </c>
      <c r="C1956" s="1">
        <v>45601</v>
      </c>
      <c r="D1956">
        <v>390</v>
      </c>
      <c r="E1956">
        <f>IF(
  ISNA(
    _xlfn.XLOOKUP(
      payments_raw[[#This Row],[subscription_id]],
      subscriptions[subscription_id],
      subscriptions[subscription_id]
    )
  ),
  0,
  1
)</f>
        <v>1</v>
      </c>
      <c r="F1956" s="1">
        <f>_xlfn.XLOOKUP(payments_raw[[#This Row],[subscription_id]], subscriptions[subscription_id], subscriptions[start_date])</f>
        <v>45593</v>
      </c>
      <c r="G19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45649</v>
      </c>
      <c r="H1956" s="2">
        <f>IF(payments_raw[[#This Row],[payment_date]] &lt; payments_raw[[#This Row],[sub_start_date]], 1, 0)</f>
        <v>0</v>
      </c>
      <c r="I1956" s="2">
        <f>IF(AND(payments_raw[[#This Row],[sub_end_date]]&lt;&gt;"", payments_raw[[#This Row],[payment_date]] &gt; payments_raw[[#This Row],[sub_end_date]]), 1, 0)</f>
        <v>0</v>
      </c>
      <c r="J1956" s="2">
        <f>IF(payments_raw[[#This Row],[amount]] &lt;= 0, 1, 0)</f>
        <v>0</v>
      </c>
      <c r="K19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7" spans="1:11" x14ac:dyDescent="0.3">
      <c r="A1957">
        <v>62264845</v>
      </c>
      <c r="B1957">
        <v>4273103</v>
      </c>
      <c r="C1957" s="1">
        <v>45382</v>
      </c>
      <c r="D1957">
        <v>790</v>
      </c>
      <c r="E1957">
        <f>IF(
  ISNA(
    _xlfn.XLOOKUP(
      payments_raw[[#This Row],[subscription_id]],
      subscriptions[subscription_id],
      subscriptions[subscription_id]
    )
  ),
  0,
  1
)</f>
        <v>1</v>
      </c>
      <c r="F1957" s="1">
        <f>_xlfn.XLOOKUP(payments_raw[[#This Row],[subscription_id]], subscriptions[subscription_id], subscriptions[start_date])</f>
        <v>45368</v>
      </c>
      <c r="G19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57" s="2">
        <f>IF(payments_raw[[#This Row],[payment_date]] &lt; payments_raw[[#This Row],[sub_start_date]], 1, 0)</f>
        <v>0</v>
      </c>
      <c r="I1957" s="2">
        <f>IF(AND(payments_raw[[#This Row],[sub_end_date]]&lt;&gt;"", payments_raw[[#This Row],[payment_date]] &gt; payments_raw[[#This Row],[sub_end_date]]), 1, 0)</f>
        <v>0</v>
      </c>
      <c r="J1957" s="2">
        <f>IF(payments_raw[[#This Row],[amount]] &lt;= 0, 1, 0)</f>
        <v>0</v>
      </c>
      <c r="K19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8" spans="1:11" x14ac:dyDescent="0.3">
      <c r="A1958">
        <v>55515767</v>
      </c>
      <c r="B1958">
        <v>6326787</v>
      </c>
      <c r="C1958" s="1">
        <v>44636</v>
      </c>
      <c r="D1958">
        <v>190</v>
      </c>
      <c r="E1958">
        <f>IF(
  ISNA(
    _xlfn.XLOOKUP(
      payments_raw[[#This Row],[subscription_id]],
      subscriptions[subscription_id],
      subscriptions[subscription_id]
    )
  ),
  0,
  1
)</f>
        <v>1</v>
      </c>
      <c r="F1958" s="1">
        <f>_xlfn.XLOOKUP(payments_raw[[#This Row],[subscription_id]], subscriptions[subscription_id], subscriptions[start_date])</f>
        <v>44603</v>
      </c>
      <c r="G1958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1958" s="2">
        <f>IF(payments_raw[[#This Row],[payment_date]] &lt; payments_raw[[#This Row],[sub_start_date]], 1, 0)</f>
        <v>0</v>
      </c>
      <c r="I1958" s="2">
        <f>IF(AND(payments_raw[[#This Row],[sub_end_date]]&lt;&gt;"", payments_raw[[#This Row],[payment_date]] &gt; payments_raw[[#This Row],[sub_end_date]]), 1, 0)</f>
        <v>0</v>
      </c>
      <c r="J1958" s="2">
        <f>IF(payments_raw[[#This Row],[amount]] &lt;= 0, 1, 0)</f>
        <v>0</v>
      </c>
      <c r="K19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59" spans="1:11" x14ac:dyDescent="0.3">
      <c r="A1959">
        <v>73774133</v>
      </c>
      <c r="B1959">
        <v>3483052</v>
      </c>
      <c r="C1959" s="1">
        <v>45574</v>
      </c>
      <c r="D1959">
        <v>2990</v>
      </c>
      <c r="E1959">
        <f>IF(
  ISNA(
    _xlfn.XLOOKUP(
      payments_raw[[#This Row],[subscription_id]],
      subscriptions[subscription_id],
      subscriptions[subscription_id]
    )
  ),
  0,
  1
)</f>
        <v>1</v>
      </c>
      <c r="F1959" s="1">
        <f>_xlfn.XLOOKUP(payments_raw[[#This Row],[subscription_id]], subscriptions[subscription_id], subscriptions[start_date])</f>
        <v>45408</v>
      </c>
      <c r="G195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1959" s="2">
        <f>IF(payments_raw[[#This Row],[payment_date]] &lt; payments_raw[[#This Row],[sub_start_date]], 1, 0)</f>
        <v>0</v>
      </c>
      <c r="I1959" s="2">
        <f>IF(AND(payments_raw[[#This Row],[sub_end_date]]&lt;&gt;"", payments_raw[[#This Row],[payment_date]] &gt; payments_raw[[#This Row],[sub_end_date]]), 1, 0)</f>
        <v>0</v>
      </c>
      <c r="J1959" s="2">
        <f>IF(payments_raw[[#This Row],[amount]] &lt;= 0, 1, 0)</f>
        <v>0</v>
      </c>
      <c r="K19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0" spans="1:11" x14ac:dyDescent="0.3">
      <c r="A1960">
        <v>57300592</v>
      </c>
      <c r="B1960">
        <v>8228437</v>
      </c>
      <c r="C1960" s="1">
        <v>45366</v>
      </c>
      <c r="D1960">
        <v>149</v>
      </c>
      <c r="E1960">
        <f>IF(
  ISNA(
    _xlfn.XLOOKUP(
      payments_raw[[#This Row],[subscription_id]],
      subscriptions[subscription_id],
      subscriptions[subscription_id]
    )
  ),
  0,
  1
)</f>
        <v>1</v>
      </c>
      <c r="F1960" s="1">
        <f>_xlfn.XLOOKUP(payments_raw[[#This Row],[subscription_id]], subscriptions[subscription_id], subscriptions[start_date])</f>
        <v>45245</v>
      </c>
      <c r="G19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0" s="2">
        <f>IF(payments_raw[[#This Row],[payment_date]] &lt; payments_raw[[#This Row],[sub_start_date]], 1, 0)</f>
        <v>0</v>
      </c>
      <c r="I1960" s="2">
        <f>IF(AND(payments_raw[[#This Row],[sub_end_date]]&lt;&gt;"", payments_raw[[#This Row],[payment_date]] &gt; payments_raw[[#This Row],[sub_end_date]]), 1, 0)</f>
        <v>0</v>
      </c>
      <c r="J1960" s="2">
        <f>IF(payments_raw[[#This Row],[amount]] &lt;= 0, 1, 0)</f>
        <v>0</v>
      </c>
      <c r="K19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1" spans="1:11" x14ac:dyDescent="0.3">
      <c r="A1961">
        <v>37917940</v>
      </c>
      <c r="B1961">
        <v>8962478</v>
      </c>
      <c r="C1961" s="1">
        <v>45599</v>
      </c>
      <c r="D1961">
        <v>39</v>
      </c>
      <c r="E1961">
        <f>IF(
  ISNA(
    _xlfn.XLOOKUP(
      payments_raw[[#This Row],[subscription_id]],
      subscriptions[subscription_id],
      subscriptions[subscription_id]
    )
  ),
  0,
  1
)</f>
        <v>1</v>
      </c>
      <c r="F1961" s="1">
        <f>_xlfn.XLOOKUP(payments_raw[[#This Row],[subscription_id]], subscriptions[subscription_id], subscriptions[start_date])</f>
        <v>45438</v>
      </c>
      <c r="G19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1" s="2">
        <f>IF(payments_raw[[#This Row],[payment_date]] &lt; payments_raw[[#This Row],[sub_start_date]], 1, 0)</f>
        <v>0</v>
      </c>
      <c r="I1961" s="2">
        <f>IF(AND(payments_raw[[#This Row],[sub_end_date]]&lt;&gt;"", payments_raw[[#This Row],[payment_date]] &gt; payments_raw[[#This Row],[sub_end_date]]), 1, 0)</f>
        <v>0</v>
      </c>
      <c r="J1961" s="2">
        <f>IF(payments_raw[[#This Row],[amount]] &lt;= 0, 1, 0)</f>
        <v>0</v>
      </c>
      <c r="K19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2" spans="1:11" x14ac:dyDescent="0.3">
      <c r="A1962">
        <v>51442057</v>
      </c>
      <c r="B1962">
        <v>9900282</v>
      </c>
      <c r="C1962" s="1">
        <v>45386</v>
      </c>
      <c r="D1962">
        <v>390</v>
      </c>
      <c r="E1962">
        <f>IF(
  ISNA(
    _xlfn.XLOOKUP(
      payments_raw[[#This Row],[subscription_id]],
      subscriptions[subscription_id],
      subscriptions[subscription_id]
    )
  ),
  0,
  1
)</f>
        <v>1</v>
      </c>
      <c r="F1962" s="1">
        <f>_xlfn.XLOOKUP(payments_raw[[#This Row],[subscription_id]], subscriptions[subscription_id], subscriptions[start_date])</f>
        <v>45283</v>
      </c>
      <c r="G19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2" s="2">
        <f>IF(payments_raw[[#This Row],[payment_date]] &lt; payments_raw[[#This Row],[sub_start_date]], 1, 0)</f>
        <v>0</v>
      </c>
      <c r="I1962" s="2">
        <f>IF(AND(payments_raw[[#This Row],[sub_end_date]]&lt;&gt;"", payments_raw[[#This Row],[payment_date]] &gt; payments_raw[[#This Row],[sub_end_date]]), 1, 0)</f>
        <v>0</v>
      </c>
      <c r="J1962" s="2">
        <f>IF(payments_raw[[#This Row],[amount]] &lt;= 0, 1, 0)</f>
        <v>0</v>
      </c>
      <c r="K19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3" spans="1:11" x14ac:dyDescent="0.3">
      <c r="A1963">
        <v>22307163</v>
      </c>
      <c r="B1963">
        <v>9580328</v>
      </c>
      <c r="C1963" s="1">
        <v>45542</v>
      </c>
      <c r="D1963">
        <v>149</v>
      </c>
      <c r="E1963">
        <f>IF(
  ISNA(
    _xlfn.XLOOKUP(
      payments_raw[[#This Row],[subscription_id]],
      subscriptions[subscription_id],
      subscriptions[subscription_id]
    )
  ),
  0,
  1
)</f>
        <v>1</v>
      </c>
      <c r="F1963" s="1">
        <f>_xlfn.XLOOKUP(payments_raw[[#This Row],[subscription_id]], subscriptions[subscription_id], subscriptions[start_date])</f>
        <v>44897</v>
      </c>
      <c r="G19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3" s="2">
        <f>IF(payments_raw[[#This Row],[payment_date]] &lt; payments_raw[[#This Row],[sub_start_date]], 1, 0)</f>
        <v>0</v>
      </c>
      <c r="I1963" s="2">
        <f>IF(AND(payments_raw[[#This Row],[sub_end_date]]&lt;&gt;"", payments_raw[[#This Row],[payment_date]] &gt; payments_raw[[#This Row],[sub_end_date]]), 1, 0)</f>
        <v>0</v>
      </c>
      <c r="J1963" s="2">
        <f>IF(payments_raw[[#This Row],[amount]] &lt;= 0, 1, 0)</f>
        <v>0</v>
      </c>
      <c r="K19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4" spans="1:11" x14ac:dyDescent="0.3">
      <c r="A1964">
        <v>54132892</v>
      </c>
      <c r="B1964">
        <v>1364903</v>
      </c>
      <c r="C1964" s="1">
        <v>45540</v>
      </c>
      <c r="D1964">
        <v>390</v>
      </c>
      <c r="E1964">
        <f>IF(
  ISNA(
    _xlfn.XLOOKUP(
      payments_raw[[#This Row],[subscription_id]],
      subscriptions[subscription_id],
      subscriptions[subscription_id]
    )
  ),
  0,
  1
)</f>
        <v>1</v>
      </c>
      <c r="F1964" s="1">
        <f>_xlfn.XLOOKUP(payments_raw[[#This Row],[subscription_id]], subscriptions[subscription_id], subscriptions[start_date])</f>
        <v>45461</v>
      </c>
      <c r="G19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1964" s="2">
        <f>IF(payments_raw[[#This Row],[payment_date]] &lt; payments_raw[[#This Row],[sub_start_date]], 1, 0)</f>
        <v>0</v>
      </c>
      <c r="I1964" s="2">
        <f>IF(AND(payments_raw[[#This Row],[sub_end_date]]&lt;&gt;"", payments_raw[[#This Row],[payment_date]] &gt; payments_raw[[#This Row],[sub_end_date]]), 1, 0)</f>
        <v>0</v>
      </c>
      <c r="J1964" s="2">
        <f>IF(payments_raw[[#This Row],[amount]] &lt;= 0, 1, 0)</f>
        <v>0</v>
      </c>
      <c r="K19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5" spans="1:11" x14ac:dyDescent="0.3">
      <c r="A1965">
        <v>78785805</v>
      </c>
      <c r="B1965">
        <v>3156762</v>
      </c>
      <c r="C1965" s="1">
        <v>45034</v>
      </c>
      <c r="D1965">
        <v>2990</v>
      </c>
      <c r="E1965">
        <f>IF(
  ISNA(
    _xlfn.XLOOKUP(
      payments_raw[[#This Row],[subscription_id]],
      subscriptions[subscription_id],
      subscriptions[subscription_id]
    )
  ),
  0,
  1
)</f>
        <v>1</v>
      </c>
      <c r="F1965" s="1">
        <f>_xlfn.XLOOKUP(payments_raw[[#This Row],[subscription_id]], subscriptions[subscription_id], subscriptions[start_date])</f>
        <v>44862</v>
      </c>
      <c r="G19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45088</v>
      </c>
      <c r="H1965" s="2">
        <f>IF(payments_raw[[#This Row],[payment_date]] &lt; payments_raw[[#This Row],[sub_start_date]], 1, 0)</f>
        <v>0</v>
      </c>
      <c r="I1965" s="2">
        <f>IF(AND(payments_raw[[#This Row],[sub_end_date]]&lt;&gt;"", payments_raw[[#This Row],[payment_date]] &gt; payments_raw[[#This Row],[sub_end_date]]), 1, 0)</f>
        <v>0</v>
      </c>
      <c r="J1965" s="2">
        <f>IF(payments_raw[[#This Row],[amount]] &lt;= 0, 1, 0)</f>
        <v>0</v>
      </c>
      <c r="K19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6" spans="1:11" x14ac:dyDescent="0.3">
      <c r="A1966">
        <v>87607161</v>
      </c>
      <c r="B1966">
        <v>3177810</v>
      </c>
      <c r="C1966" s="1">
        <v>45506</v>
      </c>
      <c r="D1966">
        <v>390</v>
      </c>
      <c r="E1966">
        <f>IF(
  ISNA(
    _xlfn.XLOOKUP(
      payments_raw[[#This Row],[subscription_id]],
      subscriptions[subscription_id],
      subscriptions[subscription_id]
    )
  ),
  0,
  1
)</f>
        <v>1</v>
      </c>
      <c r="F1966" s="1">
        <f>_xlfn.XLOOKUP(payments_raw[[#This Row],[subscription_id]], subscriptions[subscription_id], subscriptions[start_date])</f>
        <v>44854</v>
      </c>
      <c r="G19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6" s="2">
        <f>IF(payments_raw[[#This Row],[payment_date]] &lt; payments_raw[[#This Row],[sub_start_date]], 1, 0)</f>
        <v>0</v>
      </c>
      <c r="I1966" s="2">
        <f>IF(AND(payments_raw[[#This Row],[sub_end_date]]&lt;&gt;"", payments_raw[[#This Row],[payment_date]] &gt; payments_raw[[#This Row],[sub_end_date]]), 1, 0)</f>
        <v>0</v>
      </c>
      <c r="J1966" s="2">
        <f>IF(payments_raw[[#This Row],[amount]] &lt;= 0, 1, 0)</f>
        <v>0</v>
      </c>
      <c r="K19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7" spans="1:11" x14ac:dyDescent="0.3">
      <c r="A1967">
        <v>41296200</v>
      </c>
      <c r="B1967">
        <v>7597584</v>
      </c>
      <c r="C1967" s="1">
        <v>45397</v>
      </c>
      <c r="D1967">
        <v>79</v>
      </c>
      <c r="E1967">
        <f>IF(
  ISNA(
    _xlfn.XLOOKUP(
      payments_raw[[#This Row],[subscription_id]],
      subscriptions[subscription_id],
      subscriptions[subscription_id]
    )
  ),
  0,
  1
)</f>
        <v>1</v>
      </c>
      <c r="F1967" s="1">
        <f>_xlfn.XLOOKUP(payments_raw[[#This Row],[subscription_id]], subscriptions[subscription_id], subscriptions[start_date])</f>
        <v>45334</v>
      </c>
      <c r="G19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1967" s="2">
        <f>IF(payments_raw[[#This Row],[payment_date]] &lt; payments_raw[[#This Row],[sub_start_date]], 1, 0)</f>
        <v>0</v>
      </c>
      <c r="I1967" s="2">
        <f>IF(AND(payments_raw[[#This Row],[sub_end_date]]&lt;&gt;"", payments_raw[[#This Row],[payment_date]] &gt; payments_raw[[#This Row],[sub_end_date]]), 1, 0)</f>
        <v>0</v>
      </c>
      <c r="J1967" s="2">
        <f>IF(payments_raw[[#This Row],[amount]] &lt;= 0, 1, 0)</f>
        <v>0</v>
      </c>
      <c r="K19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8" spans="1:11" x14ac:dyDescent="0.3">
      <c r="A1968">
        <v>31278817</v>
      </c>
      <c r="B1968">
        <v>2092722</v>
      </c>
      <c r="C1968" s="1">
        <v>45462</v>
      </c>
      <c r="D1968">
        <v>19</v>
      </c>
      <c r="E1968">
        <f>IF(
  ISNA(
    _xlfn.XLOOKUP(
      payments_raw[[#This Row],[subscription_id]],
      subscriptions[subscription_id],
      subscriptions[subscription_id]
    )
  ),
  0,
  1
)</f>
        <v>1</v>
      </c>
      <c r="F1968" s="1">
        <f>_xlfn.XLOOKUP(payments_raw[[#This Row],[subscription_id]], subscriptions[subscription_id], subscriptions[start_date])</f>
        <v>45401</v>
      </c>
      <c r="G19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8" s="2">
        <f>IF(payments_raw[[#This Row],[payment_date]] &lt; payments_raw[[#This Row],[sub_start_date]], 1, 0)</f>
        <v>0</v>
      </c>
      <c r="I1968" s="2">
        <f>IF(AND(payments_raw[[#This Row],[sub_end_date]]&lt;&gt;"", payments_raw[[#This Row],[payment_date]] &gt; payments_raw[[#This Row],[sub_end_date]]), 1, 0)</f>
        <v>0</v>
      </c>
      <c r="J1968" s="2">
        <f>IF(payments_raw[[#This Row],[amount]] &lt;= 0, 1, 0)</f>
        <v>0</v>
      </c>
      <c r="K19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69" spans="1:11" x14ac:dyDescent="0.3">
      <c r="A1969">
        <v>57240995</v>
      </c>
      <c r="B1969">
        <v>6938019</v>
      </c>
      <c r="C1969" s="1">
        <v>45638</v>
      </c>
      <c r="D1969">
        <v>1117.5</v>
      </c>
      <c r="E1969">
        <f>IF(
  ISNA(
    _xlfn.XLOOKUP(
      payments_raw[[#This Row],[subscription_id]],
      subscriptions[subscription_id],
      subscriptions[subscription_id]
    )
  ),
  0,
  1
)</f>
        <v>1</v>
      </c>
      <c r="F1969" s="1">
        <f>_xlfn.XLOOKUP(payments_raw[[#This Row],[subscription_id]], subscriptions[subscription_id], subscriptions[start_date])</f>
        <v>45207</v>
      </c>
      <c r="G19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69" s="2">
        <f>IF(payments_raw[[#This Row],[payment_date]] &lt; payments_raw[[#This Row],[sub_start_date]], 1, 0)</f>
        <v>0</v>
      </c>
      <c r="I1969" s="2">
        <f>IF(AND(payments_raw[[#This Row],[sub_end_date]]&lt;&gt;"", payments_raw[[#This Row],[payment_date]] &gt; payments_raw[[#This Row],[sub_end_date]]), 1, 0)</f>
        <v>0</v>
      </c>
      <c r="J1969" s="2">
        <f>IF(payments_raw[[#This Row],[amount]] &lt;= 0, 1, 0)</f>
        <v>0</v>
      </c>
      <c r="K19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0" spans="1:11" x14ac:dyDescent="0.3">
      <c r="A1970">
        <v>75268732</v>
      </c>
      <c r="B1970">
        <v>1865385</v>
      </c>
      <c r="C1970" s="1">
        <v>45646</v>
      </c>
      <c r="D1970">
        <v>299</v>
      </c>
      <c r="E1970">
        <f>IF(
  ISNA(
    _xlfn.XLOOKUP(
      payments_raw[[#This Row],[subscription_id]],
      subscriptions[subscription_id],
      subscriptions[subscription_id]
    )
  ),
  0,
  1
)</f>
        <v>1</v>
      </c>
      <c r="F1970" s="1">
        <f>_xlfn.XLOOKUP(payments_raw[[#This Row],[subscription_id]], subscriptions[subscription_id], subscriptions[start_date])</f>
        <v>45440</v>
      </c>
      <c r="G19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0" s="2">
        <f>IF(payments_raw[[#This Row],[payment_date]] &lt; payments_raw[[#This Row],[sub_start_date]], 1, 0)</f>
        <v>0</v>
      </c>
      <c r="I1970" s="2">
        <f>IF(AND(payments_raw[[#This Row],[sub_end_date]]&lt;&gt;"", payments_raw[[#This Row],[payment_date]] &gt; payments_raw[[#This Row],[sub_end_date]]), 1, 0)</f>
        <v>0</v>
      </c>
      <c r="J1970" s="2">
        <f>IF(payments_raw[[#This Row],[amount]] &lt;= 0, 1, 0)</f>
        <v>0</v>
      </c>
      <c r="K19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1" spans="1:11" x14ac:dyDescent="0.3">
      <c r="A1971">
        <v>47955201</v>
      </c>
      <c r="B1971">
        <v>8728326</v>
      </c>
      <c r="C1971" s="1">
        <v>45567</v>
      </c>
      <c r="D1971">
        <v>190</v>
      </c>
      <c r="E1971">
        <f>IF(
  ISNA(
    _xlfn.XLOOKUP(
      payments_raw[[#This Row],[subscription_id]],
      subscriptions[subscription_id],
      subscriptions[subscription_id]
    )
  ),
  0,
  1
)</f>
        <v>1</v>
      </c>
      <c r="F1971" s="1">
        <f>_xlfn.XLOOKUP(payments_raw[[#This Row],[subscription_id]], subscriptions[subscription_id], subscriptions[start_date])</f>
        <v>45423</v>
      </c>
      <c r="G19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1971" s="2">
        <f>IF(payments_raw[[#This Row],[payment_date]] &lt; payments_raw[[#This Row],[sub_start_date]], 1, 0)</f>
        <v>0</v>
      </c>
      <c r="I1971" s="2">
        <f>IF(AND(payments_raw[[#This Row],[sub_end_date]]&lt;&gt;"", payments_raw[[#This Row],[payment_date]] &gt; payments_raw[[#This Row],[sub_end_date]]), 1, 0)</f>
        <v>0</v>
      </c>
      <c r="J1971" s="2">
        <f>IF(payments_raw[[#This Row],[amount]] &lt;= 0, 1, 0)</f>
        <v>0</v>
      </c>
      <c r="K19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2" spans="1:11" x14ac:dyDescent="0.3">
      <c r="A1972">
        <v>48130237</v>
      </c>
      <c r="B1972">
        <v>1061687</v>
      </c>
      <c r="C1972" s="1">
        <v>45545</v>
      </c>
      <c r="D1972">
        <v>39.5</v>
      </c>
      <c r="E1972">
        <f>IF(
  ISNA(
    _xlfn.XLOOKUP(
      payments_raw[[#This Row],[subscription_id]],
      subscriptions[subscription_id],
      subscriptions[subscription_id]
    )
  ),
  0,
  1
)</f>
        <v>1</v>
      </c>
      <c r="F1972" s="1">
        <f>_xlfn.XLOOKUP(payments_raw[[#This Row],[subscription_id]], subscriptions[subscription_id], subscriptions[start_date])</f>
        <v>45484</v>
      </c>
      <c r="G19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45578</v>
      </c>
      <c r="H1972" s="2">
        <f>IF(payments_raw[[#This Row],[payment_date]] &lt; payments_raw[[#This Row],[sub_start_date]], 1, 0)</f>
        <v>0</v>
      </c>
      <c r="I1972" s="2">
        <f>IF(AND(payments_raw[[#This Row],[sub_end_date]]&lt;&gt;"", payments_raw[[#This Row],[payment_date]] &gt; payments_raw[[#This Row],[sub_end_date]]), 1, 0)</f>
        <v>0</v>
      </c>
      <c r="J1972" s="2">
        <f>IF(payments_raw[[#This Row],[amount]] &lt;= 0, 1, 0)</f>
        <v>0</v>
      </c>
      <c r="K19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3" spans="1:11" x14ac:dyDescent="0.3">
      <c r="A1973">
        <v>10159801</v>
      </c>
      <c r="B1973">
        <v>4310140</v>
      </c>
      <c r="C1973" s="1">
        <v>45593</v>
      </c>
      <c r="D1973">
        <v>19</v>
      </c>
      <c r="E1973">
        <f>IF(
  ISNA(
    _xlfn.XLOOKUP(
      payments_raw[[#This Row],[subscription_id]],
      subscriptions[subscription_id],
      subscriptions[subscription_id]
    )
  ),
  0,
  1
)</f>
        <v>1</v>
      </c>
      <c r="F1973" s="1">
        <f>_xlfn.XLOOKUP(payments_raw[[#This Row],[subscription_id]], subscriptions[subscription_id], subscriptions[start_date])</f>
        <v>45576</v>
      </c>
      <c r="G19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1973" s="2">
        <f>IF(payments_raw[[#This Row],[payment_date]] &lt; payments_raw[[#This Row],[sub_start_date]], 1, 0)</f>
        <v>0</v>
      </c>
      <c r="I1973" s="2">
        <f>IF(AND(payments_raw[[#This Row],[sub_end_date]]&lt;&gt;"", payments_raw[[#This Row],[payment_date]] &gt; payments_raw[[#This Row],[sub_end_date]]), 1, 0)</f>
        <v>0</v>
      </c>
      <c r="J1973" s="2">
        <f>IF(payments_raw[[#This Row],[amount]] &lt;= 0, 1, 0)</f>
        <v>0</v>
      </c>
      <c r="K19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4" spans="1:11" x14ac:dyDescent="0.3">
      <c r="A1974">
        <v>85331364</v>
      </c>
      <c r="B1974">
        <v>8731726</v>
      </c>
      <c r="C1974" s="1">
        <v>45420</v>
      </c>
      <c r="D1974">
        <v>39</v>
      </c>
      <c r="E1974">
        <f>IF(
  ISNA(
    _xlfn.XLOOKUP(
      payments_raw[[#This Row],[subscription_id]],
      subscriptions[subscription_id],
      subscriptions[subscription_id]
    )
  ),
  0,
  1
)</f>
        <v>1</v>
      </c>
      <c r="F1974" s="1">
        <f>_xlfn.XLOOKUP(payments_raw[[#This Row],[subscription_id]], subscriptions[subscription_id], subscriptions[start_date])</f>
        <v>44945</v>
      </c>
      <c r="G19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4" s="2">
        <f>IF(payments_raw[[#This Row],[payment_date]] &lt; payments_raw[[#This Row],[sub_start_date]], 1, 0)</f>
        <v>0</v>
      </c>
      <c r="I1974" s="2">
        <f>IF(AND(payments_raw[[#This Row],[sub_end_date]]&lt;&gt;"", payments_raw[[#This Row],[payment_date]] &gt; payments_raw[[#This Row],[sub_end_date]]), 1, 0)</f>
        <v>0</v>
      </c>
      <c r="J1974" s="2">
        <f>IF(payments_raw[[#This Row],[amount]] &lt;= 0, 1, 0)</f>
        <v>0</v>
      </c>
      <c r="K19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5" spans="1:11" x14ac:dyDescent="0.3">
      <c r="A1975">
        <v>51498353</v>
      </c>
      <c r="B1975">
        <v>7100417</v>
      </c>
      <c r="C1975" s="1">
        <v>45554</v>
      </c>
      <c r="D1975">
        <v>390</v>
      </c>
      <c r="E1975">
        <f>IF(
  ISNA(
    _xlfn.XLOOKUP(
      payments_raw[[#This Row],[subscription_id]],
      subscriptions[subscription_id],
      subscriptions[subscription_id]
    )
  ),
  0,
  1
)</f>
        <v>1</v>
      </c>
      <c r="F1975" s="1">
        <f>_xlfn.XLOOKUP(payments_raw[[#This Row],[subscription_id]], subscriptions[subscription_id], subscriptions[start_date])</f>
        <v>45276</v>
      </c>
      <c r="G19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1975" s="2">
        <f>IF(payments_raw[[#This Row],[payment_date]] &lt; payments_raw[[#This Row],[sub_start_date]], 1, 0)</f>
        <v>0</v>
      </c>
      <c r="I1975" s="2">
        <f>IF(AND(payments_raw[[#This Row],[sub_end_date]]&lt;&gt;"", payments_raw[[#This Row],[payment_date]] &gt; payments_raw[[#This Row],[sub_end_date]]), 1, 0)</f>
        <v>0</v>
      </c>
      <c r="J1975" s="2">
        <f>IF(payments_raw[[#This Row],[amount]] &lt;= 0, 1, 0)</f>
        <v>0</v>
      </c>
      <c r="K19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6" spans="1:11" x14ac:dyDescent="0.3">
      <c r="A1976">
        <v>68419398</v>
      </c>
      <c r="B1976">
        <v>2224379</v>
      </c>
      <c r="C1976" s="1">
        <v>45526</v>
      </c>
      <c r="D1976">
        <v>2990</v>
      </c>
      <c r="E1976">
        <f>IF(
  ISNA(
    _xlfn.XLOOKUP(
      payments_raw[[#This Row],[subscription_id]],
      subscriptions[subscription_id],
      subscriptions[subscription_id]
    )
  ),
  0,
  1
)</f>
        <v>1</v>
      </c>
      <c r="F1976" s="1">
        <f>_xlfn.XLOOKUP(payments_raw[[#This Row],[subscription_id]], subscriptions[subscription_id], subscriptions[start_date])</f>
        <v>45018</v>
      </c>
      <c r="G19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6" s="2">
        <f>IF(payments_raw[[#This Row],[payment_date]] &lt; payments_raw[[#This Row],[sub_start_date]], 1, 0)</f>
        <v>0</v>
      </c>
      <c r="I1976" s="2">
        <f>IF(AND(payments_raw[[#This Row],[sub_end_date]]&lt;&gt;"", payments_raw[[#This Row],[payment_date]] &gt; payments_raw[[#This Row],[sub_end_date]]), 1, 0)</f>
        <v>0</v>
      </c>
      <c r="J1976" s="2">
        <f>IF(payments_raw[[#This Row],[amount]] &lt;= 0, 1, 0)</f>
        <v>0</v>
      </c>
      <c r="K19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7" spans="1:11" x14ac:dyDescent="0.3">
      <c r="A1977">
        <v>86825671</v>
      </c>
      <c r="B1977">
        <v>8962478</v>
      </c>
      <c r="C1977" s="1">
        <v>45552</v>
      </c>
      <c r="D1977">
        <v>39</v>
      </c>
      <c r="E1977">
        <f>IF(
  ISNA(
    _xlfn.XLOOKUP(
      payments_raw[[#This Row],[subscription_id]],
      subscriptions[subscription_id],
      subscriptions[subscription_id]
    )
  ),
  0,
  1
)</f>
        <v>1</v>
      </c>
      <c r="F1977" s="1">
        <f>_xlfn.XLOOKUP(payments_raw[[#This Row],[subscription_id]], subscriptions[subscription_id], subscriptions[start_date])</f>
        <v>45438</v>
      </c>
      <c r="G19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7" s="2">
        <f>IF(payments_raw[[#This Row],[payment_date]] &lt; payments_raw[[#This Row],[sub_start_date]], 1, 0)</f>
        <v>0</v>
      </c>
      <c r="I1977" s="2">
        <f>IF(AND(payments_raw[[#This Row],[sub_end_date]]&lt;&gt;"", payments_raw[[#This Row],[payment_date]] &gt; payments_raw[[#This Row],[sub_end_date]]), 1, 0)</f>
        <v>0</v>
      </c>
      <c r="J1977" s="2">
        <f>IF(payments_raw[[#This Row],[amount]] &lt;= 0, 1, 0)</f>
        <v>0</v>
      </c>
      <c r="K19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8" spans="1:11" x14ac:dyDescent="0.3">
      <c r="A1978">
        <v>51541660</v>
      </c>
      <c r="B1978">
        <v>8263690</v>
      </c>
      <c r="C1978" s="1">
        <v>45298</v>
      </c>
      <c r="D1978">
        <v>790</v>
      </c>
      <c r="E1978">
        <f>IF(
  ISNA(
    _xlfn.XLOOKUP(
      payments_raw[[#This Row],[subscription_id]],
      subscriptions[subscription_id],
      subscriptions[subscription_id]
    )
  ),
  0,
  1
)</f>
        <v>1</v>
      </c>
      <c r="F1978" s="1">
        <f>_xlfn.XLOOKUP(payments_raw[[#This Row],[subscription_id]], subscriptions[subscription_id], subscriptions[start_date])</f>
        <v>45253</v>
      </c>
      <c r="G19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8" s="2">
        <f>IF(payments_raw[[#This Row],[payment_date]] &lt; payments_raw[[#This Row],[sub_start_date]], 1, 0)</f>
        <v>0</v>
      </c>
      <c r="I1978" s="2">
        <f>IF(AND(payments_raw[[#This Row],[sub_end_date]]&lt;&gt;"", payments_raw[[#This Row],[payment_date]] &gt; payments_raw[[#This Row],[sub_end_date]]), 1, 0)</f>
        <v>0</v>
      </c>
      <c r="J1978" s="2">
        <f>IF(payments_raw[[#This Row],[amount]] &lt;= 0, 1, 0)</f>
        <v>0</v>
      </c>
      <c r="K19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79" spans="1:11" x14ac:dyDescent="0.3">
      <c r="A1979">
        <v>37018872</v>
      </c>
      <c r="B1979">
        <v>8127514</v>
      </c>
      <c r="C1979" s="1">
        <v>45259</v>
      </c>
      <c r="D1979">
        <v>2990</v>
      </c>
      <c r="E1979">
        <f>IF(
  ISNA(
    _xlfn.XLOOKUP(
      payments_raw[[#This Row],[subscription_id]],
      subscriptions[subscription_id],
      subscriptions[subscription_id]
    )
  ),
  0,
  1
)</f>
        <v>1</v>
      </c>
      <c r="F1979" s="1">
        <f>_xlfn.XLOOKUP(payments_raw[[#This Row],[subscription_id]], subscriptions[subscription_id], subscriptions[start_date])</f>
        <v>44865</v>
      </c>
      <c r="G19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79" s="2">
        <f>IF(payments_raw[[#This Row],[payment_date]] &lt; payments_raw[[#This Row],[sub_start_date]], 1, 0)</f>
        <v>0</v>
      </c>
      <c r="I1979" s="2">
        <f>IF(AND(payments_raw[[#This Row],[sub_end_date]]&lt;&gt;"", payments_raw[[#This Row],[payment_date]] &gt; payments_raw[[#This Row],[sub_end_date]]), 1, 0)</f>
        <v>0</v>
      </c>
      <c r="J1979" s="2">
        <f>IF(payments_raw[[#This Row],[amount]] &lt;= 0, 1, 0)</f>
        <v>0</v>
      </c>
      <c r="K19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0" spans="1:11" x14ac:dyDescent="0.3">
      <c r="A1980">
        <v>67261364</v>
      </c>
      <c r="B1980">
        <v>6540763</v>
      </c>
      <c r="C1980" s="1">
        <v>45474</v>
      </c>
      <c r="D1980">
        <v>299</v>
      </c>
      <c r="E1980">
        <f>IF(
  ISNA(
    _xlfn.XLOOKUP(
      payments_raw[[#This Row],[subscription_id]],
      subscriptions[subscription_id],
      subscriptions[subscription_id]
    )
  ),
  0,
  1
)</f>
        <v>1</v>
      </c>
      <c r="F1980" s="1">
        <f>_xlfn.XLOOKUP(payments_raw[[#This Row],[subscription_id]], subscriptions[subscription_id], subscriptions[start_date])</f>
        <v>44767</v>
      </c>
      <c r="G19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0" s="2">
        <f>IF(payments_raw[[#This Row],[payment_date]] &lt; payments_raw[[#This Row],[sub_start_date]], 1, 0)</f>
        <v>0</v>
      </c>
      <c r="I1980" s="2">
        <f>IF(AND(payments_raw[[#This Row],[sub_end_date]]&lt;&gt;"", payments_raw[[#This Row],[payment_date]] &gt; payments_raw[[#This Row],[sub_end_date]]), 1, 0)</f>
        <v>0</v>
      </c>
      <c r="J1980" s="2">
        <f>IF(payments_raw[[#This Row],[amount]] &lt;= 0, 1, 0)</f>
        <v>0</v>
      </c>
      <c r="K19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1" spans="1:11" x14ac:dyDescent="0.3">
      <c r="A1981">
        <v>44484770</v>
      </c>
      <c r="B1981">
        <v>8955730</v>
      </c>
      <c r="C1981" s="1">
        <v>45313</v>
      </c>
      <c r="D1981">
        <v>14.25</v>
      </c>
      <c r="E1981">
        <f>IF(
  ISNA(
    _xlfn.XLOOKUP(
      payments_raw[[#This Row],[subscription_id]],
      subscriptions[subscription_id],
      subscriptions[subscription_id]
    )
  ),
  0,
  1
)</f>
        <v>1</v>
      </c>
      <c r="F1981" s="1">
        <f>_xlfn.XLOOKUP(payments_raw[[#This Row],[subscription_id]], subscriptions[subscription_id], subscriptions[start_date])</f>
        <v>44975</v>
      </c>
      <c r="G19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1" s="2">
        <f>IF(payments_raw[[#This Row],[payment_date]] &lt; payments_raw[[#This Row],[sub_start_date]], 1, 0)</f>
        <v>0</v>
      </c>
      <c r="I1981" s="2">
        <f>IF(AND(payments_raw[[#This Row],[sub_end_date]]&lt;&gt;"", payments_raw[[#This Row],[payment_date]] &gt; payments_raw[[#This Row],[sub_end_date]]), 1, 0)</f>
        <v>0</v>
      </c>
      <c r="J1981" s="2">
        <f>IF(payments_raw[[#This Row],[amount]] &lt;= 0, 1, 0)</f>
        <v>0</v>
      </c>
      <c r="K19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2" spans="1:11" x14ac:dyDescent="0.3">
      <c r="A1982">
        <v>42784548</v>
      </c>
      <c r="B1982">
        <v>8275548</v>
      </c>
      <c r="C1982" s="1">
        <v>45353</v>
      </c>
      <c r="D1982">
        <v>790</v>
      </c>
      <c r="E1982">
        <f>IF(
  ISNA(
    _xlfn.XLOOKUP(
      payments_raw[[#This Row],[subscription_id]],
      subscriptions[subscription_id],
      subscriptions[subscription_id]
    )
  ),
  0,
  1
)</f>
        <v>1</v>
      </c>
      <c r="F1982" s="1">
        <f>_xlfn.XLOOKUP(payments_raw[[#This Row],[subscription_id]], subscriptions[subscription_id], subscriptions[start_date])</f>
        <v>45173</v>
      </c>
      <c r="G19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2" s="2">
        <f>IF(payments_raw[[#This Row],[payment_date]] &lt; payments_raw[[#This Row],[sub_start_date]], 1, 0)</f>
        <v>0</v>
      </c>
      <c r="I1982" s="2">
        <f>IF(AND(payments_raw[[#This Row],[sub_end_date]]&lt;&gt;"", payments_raw[[#This Row],[payment_date]] &gt; payments_raw[[#This Row],[sub_end_date]]), 1, 0)</f>
        <v>0</v>
      </c>
      <c r="J1982" s="2">
        <f>IF(payments_raw[[#This Row],[amount]] &lt;= 0, 1, 0)</f>
        <v>0</v>
      </c>
      <c r="K19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3" spans="1:11" x14ac:dyDescent="0.3">
      <c r="A1983">
        <v>39607195</v>
      </c>
      <c r="B1983">
        <v>7408577</v>
      </c>
      <c r="C1983" s="1">
        <v>45329</v>
      </c>
      <c r="D1983">
        <v>19</v>
      </c>
      <c r="E1983">
        <f>IF(
  ISNA(
    _xlfn.XLOOKUP(
      payments_raw[[#This Row],[subscription_id]],
      subscriptions[subscription_id],
      subscriptions[subscription_id]
    )
  ),
  0,
  1
)</f>
        <v>1</v>
      </c>
      <c r="F1983" s="1">
        <f>_xlfn.XLOOKUP(payments_raw[[#This Row],[subscription_id]], subscriptions[subscription_id], subscriptions[start_date])</f>
        <v>45089</v>
      </c>
      <c r="G19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45443</v>
      </c>
      <c r="H1983" s="2">
        <f>IF(payments_raw[[#This Row],[payment_date]] &lt; payments_raw[[#This Row],[sub_start_date]], 1, 0)</f>
        <v>0</v>
      </c>
      <c r="I1983" s="2">
        <f>IF(AND(payments_raw[[#This Row],[sub_end_date]]&lt;&gt;"", payments_raw[[#This Row],[payment_date]] &gt; payments_raw[[#This Row],[sub_end_date]]), 1, 0)</f>
        <v>0</v>
      </c>
      <c r="J1983" s="2">
        <f>IF(payments_raw[[#This Row],[amount]] &lt;= 0, 1, 0)</f>
        <v>0</v>
      </c>
      <c r="K19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4" spans="1:11" x14ac:dyDescent="0.3">
      <c r="A1984">
        <v>89035895</v>
      </c>
      <c r="B1984">
        <v>8493255</v>
      </c>
      <c r="C1984" s="1">
        <v>45464</v>
      </c>
      <c r="D1984">
        <v>19</v>
      </c>
      <c r="E1984">
        <f>IF(
  ISNA(
    _xlfn.XLOOKUP(
      payments_raw[[#This Row],[subscription_id]],
      subscriptions[subscription_id],
      subscriptions[subscription_id]
    )
  ),
  0,
  1
)</f>
        <v>1</v>
      </c>
      <c r="F1984" s="1">
        <f>_xlfn.XLOOKUP(payments_raw[[#This Row],[subscription_id]], subscriptions[subscription_id], subscriptions[start_date])</f>
        <v>45069</v>
      </c>
      <c r="G19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4" s="2">
        <f>IF(payments_raw[[#This Row],[payment_date]] &lt; payments_raw[[#This Row],[sub_start_date]], 1, 0)</f>
        <v>0</v>
      </c>
      <c r="I1984" s="2">
        <f>IF(AND(payments_raw[[#This Row],[sub_end_date]]&lt;&gt;"", payments_raw[[#This Row],[payment_date]] &gt; payments_raw[[#This Row],[sub_end_date]]), 1, 0)</f>
        <v>0</v>
      </c>
      <c r="J1984" s="2">
        <f>IF(payments_raw[[#This Row],[amount]] &lt;= 0, 1, 0)</f>
        <v>0</v>
      </c>
      <c r="K19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5" spans="1:11" x14ac:dyDescent="0.3">
      <c r="A1985">
        <v>85839231</v>
      </c>
      <c r="B1985">
        <v>5603927</v>
      </c>
      <c r="C1985" s="1">
        <v>45533</v>
      </c>
      <c r="D1985">
        <v>299</v>
      </c>
      <c r="E1985">
        <f>IF(
  ISNA(
    _xlfn.XLOOKUP(
      payments_raw[[#This Row],[subscription_id]],
      subscriptions[subscription_id],
      subscriptions[subscription_id]
    )
  ),
  0,
  1
)</f>
        <v>1</v>
      </c>
      <c r="F1985" s="1">
        <f>_xlfn.XLOOKUP(payments_raw[[#This Row],[subscription_id]], subscriptions[subscription_id], subscriptions[start_date])</f>
        <v>45424</v>
      </c>
      <c r="G19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5" s="2">
        <f>IF(payments_raw[[#This Row],[payment_date]] &lt; payments_raw[[#This Row],[sub_start_date]], 1, 0)</f>
        <v>0</v>
      </c>
      <c r="I1985" s="2">
        <f>IF(AND(payments_raw[[#This Row],[sub_end_date]]&lt;&gt;"", payments_raw[[#This Row],[payment_date]] &gt; payments_raw[[#This Row],[sub_end_date]]), 1, 0)</f>
        <v>0</v>
      </c>
      <c r="J1985" s="2">
        <f>IF(payments_raw[[#This Row],[amount]] &lt;= 0, 1, 0)</f>
        <v>0</v>
      </c>
      <c r="K19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6" spans="1:11" x14ac:dyDescent="0.3">
      <c r="A1986">
        <v>72331124</v>
      </c>
      <c r="B1986">
        <v>9712557</v>
      </c>
      <c r="C1986" s="1">
        <v>45507</v>
      </c>
      <c r="D1986">
        <v>171</v>
      </c>
      <c r="E1986">
        <f>IF(
  ISNA(
    _xlfn.XLOOKUP(
      payments_raw[[#This Row],[subscription_id]],
      subscriptions[subscription_id],
      subscriptions[subscription_id]
    )
  ),
  0,
  1
)</f>
        <v>1</v>
      </c>
      <c r="F1986" s="1">
        <f>_xlfn.XLOOKUP(payments_raw[[#This Row],[subscription_id]], subscriptions[subscription_id], subscriptions[start_date])</f>
        <v>44604</v>
      </c>
      <c r="G19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6" s="2">
        <f>IF(payments_raw[[#This Row],[payment_date]] &lt; payments_raw[[#This Row],[sub_start_date]], 1, 0)</f>
        <v>0</v>
      </c>
      <c r="I1986" s="2">
        <f>IF(AND(payments_raw[[#This Row],[sub_end_date]]&lt;&gt;"", payments_raw[[#This Row],[payment_date]] &gt; payments_raw[[#This Row],[sub_end_date]]), 1, 0)</f>
        <v>0</v>
      </c>
      <c r="J1986" s="2">
        <f>IF(payments_raw[[#This Row],[amount]] &lt;= 0, 1, 0)</f>
        <v>0</v>
      </c>
      <c r="K19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7" spans="1:11" x14ac:dyDescent="0.3">
      <c r="A1987">
        <v>85891085</v>
      </c>
      <c r="B1987">
        <v>6773384</v>
      </c>
      <c r="C1987" s="1">
        <v>45631</v>
      </c>
      <c r="D1987">
        <v>190</v>
      </c>
      <c r="E1987">
        <f>IF(
  ISNA(
    _xlfn.XLOOKUP(
      payments_raw[[#This Row],[subscription_id]],
      subscriptions[subscription_id],
      subscriptions[subscription_id]
    )
  ),
  0,
  1
)</f>
        <v>1</v>
      </c>
      <c r="F1987" s="1">
        <f>_xlfn.XLOOKUP(payments_raw[[#This Row],[subscription_id]], subscriptions[subscription_id], subscriptions[start_date])</f>
        <v>45586</v>
      </c>
      <c r="G19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87" s="2">
        <f>IF(payments_raw[[#This Row],[payment_date]] &lt; payments_raw[[#This Row],[sub_start_date]], 1, 0)</f>
        <v>0</v>
      </c>
      <c r="I1987" s="2">
        <f>IF(AND(payments_raw[[#This Row],[sub_end_date]]&lt;&gt;"", payments_raw[[#This Row],[payment_date]] &gt; payments_raw[[#This Row],[sub_end_date]]), 1, 0)</f>
        <v>0</v>
      </c>
      <c r="J1987" s="2">
        <f>IF(payments_raw[[#This Row],[amount]] &lt;= 0, 1, 0)</f>
        <v>0</v>
      </c>
      <c r="K19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8" spans="1:11" x14ac:dyDescent="0.3">
      <c r="A1988">
        <v>61023799</v>
      </c>
      <c r="B1988">
        <v>8728326</v>
      </c>
      <c r="C1988" s="1">
        <v>45480</v>
      </c>
      <c r="D1988">
        <v>190</v>
      </c>
      <c r="E1988">
        <f>IF(
  ISNA(
    _xlfn.XLOOKUP(
      payments_raw[[#This Row],[subscription_id]],
      subscriptions[subscription_id],
      subscriptions[subscription_id]
    )
  ),
  0,
  1
)</f>
        <v>1</v>
      </c>
      <c r="F1988" s="1">
        <f>_xlfn.XLOOKUP(payments_raw[[#This Row],[subscription_id]], subscriptions[subscription_id], subscriptions[start_date])</f>
        <v>45423</v>
      </c>
      <c r="G19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1988" s="2">
        <f>IF(payments_raw[[#This Row],[payment_date]] &lt; payments_raw[[#This Row],[sub_start_date]], 1, 0)</f>
        <v>0</v>
      </c>
      <c r="I1988" s="2">
        <f>IF(AND(payments_raw[[#This Row],[sub_end_date]]&lt;&gt;"", payments_raw[[#This Row],[payment_date]] &gt; payments_raw[[#This Row],[sub_end_date]]), 1, 0)</f>
        <v>0</v>
      </c>
      <c r="J1988" s="2">
        <f>IF(payments_raw[[#This Row],[amount]] &lt;= 0, 1, 0)</f>
        <v>0</v>
      </c>
      <c r="K19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89" spans="1:11" x14ac:dyDescent="0.3">
      <c r="A1989">
        <v>16649866</v>
      </c>
      <c r="B1989">
        <v>9901791</v>
      </c>
      <c r="C1989" s="1">
        <v>44681</v>
      </c>
      <c r="D1989">
        <v>299</v>
      </c>
      <c r="E1989">
        <f>IF(
  ISNA(
    _xlfn.XLOOKUP(
      payments_raw[[#This Row],[subscription_id]],
      subscriptions[subscription_id],
      subscriptions[subscription_id]
    )
  ),
  0,
  1
)</f>
        <v>1</v>
      </c>
      <c r="F1989" s="1">
        <f>_xlfn.XLOOKUP(payments_raw[[#This Row],[subscription_id]], subscriptions[subscription_id], subscriptions[start_date])</f>
        <v>44634</v>
      </c>
      <c r="G1989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44697</v>
      </c>
      <c r="H1989" s="2">
        <f>IF(payments_raw[[#This Row],[payment_date]] &lt; payments_raw[[#This Row],[sub_start_date]], 1, 0)</f>
        <v>0</v>
      </c>
      <c r="I1989" s="2">
        <f>IF(AND(payments_raw[[#This Row],[sub_end_date]]&lt;&gt;"", payments_raw[[#This Row],[payment_date]] &gt; payments_raw[[#This Row],[sub_end_date]]), 1, 0)</f>
        <v>0</v>
      </c>
      <c r="J1989" s="2">
        <f>IF(payments_raw[[#This Row],[amount]] &lt;= 0, 1, 0)</f>
        <v>0</v>
      </c>
      <c r="K19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0" spans="1:11" x14ac:dyDescent="0.3">
      <c r="A1990">
        <v>11067974</v>
      </c>
      <c r="B1990">
        <v>3891398</v>
      </c>
      <c r="C1990" s="1">
        <v>45212</v>
      </c>
      <c r="D1990">
        <v>79</v>
      </c>
      <c r="E1990">
        <f>IF(
  ISNA(
    _xlfn.XLOOKUP(
      payments_raw[[#This Row],[subscription_id]],
      subscriptions[subscription_id],
      subscriptions[subscription_id]
    )
  ),
  0,
  1
)</f>
        <v>1</v>
      </c>
      <c r="F1990" s="1">
        <f>_xlfn.XLOOKUP(payments_raw[[#This Row],[subscription_id]], subscriptions[subscription_id], subscriptions[start_date])</f>
        <v>45121</v>
      </c>
      <c r="G19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1990" s="2">
        <f>IF(payments_raw[[#This Row],[payment_date]] &lt; payments_raw[[#This Row],[sub_start_date]], 1, 0)</f>
        <v>0</v>
      </c>
      <c r="I1990" s="2">
        <f>IF(AND(payments_raw[[#This Row],[sub_end_date]]&lt;&gt;"", payments_raw[[#This Row],[payment_date]] &gt; payments_raw[[#This Row],[sub_end_date]]), 1, 0)</f>
        <v>0</v>
      </c>
      <c r="J1990" s="2">
        <f>IF(payments_raw[[#This Row],[amount]] &lt;= 0, 1, 0)</f>
        <v>0</v>
      </c>
      <c r="K19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1" spans="1:11" x14ac:dyDescent="0.3">
      <c r="A1991">
        <v>24780319</v>
      </c>
      <c r="B1991">
        <v>5474022</v>
      </c>
      <c r="C1991" s="1">
        <v>44814</v>
      </c>
      <c r="D1991">
        <v>149</v>
      </c>
      <c r="E1991">
        <f>IF(
  ISNA(
    _xlfn.XLOOKUP(
      payments_raw[[#This Row],[subscription_id]],
      subscriptions[subscription_id],
      subscriptions[subscription_id]
    )
  ),
  0,
  1
)</f>
        <v>1</v>
      </c>
      <c r="F1991" s="1">
        <f>_xlfn.XLOOKUP(payments_raw[[#This Row],[subscription_id]], subscriptions[subscription_id], subscriptions[start_date])</f>
        <v>44732</v>
      </c>
      <c r="G19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45105</v>
      </c>
      <c r="H1991" s="2">
        <f>IF(payments_raw[[#This Row],[payment_date]] &lt; payments_raw[[#This Row],[sub_start_date]], 1, 0)</f>
        <v>0</v>
      </c>
      <c r="I1991" s="2">
        <f>IF(AND(payments_raw[[#This Row],[sub_end_date]]&lt;&gt;"", payments_raw[[#This Row],[payment_date]] &gt; payments_raw[[#This Row],[sub_end_date]]), 1, 0)</f>
        <v>0</v>
      </c>
      <c r="J1991" s="2">
        <f>IF(payments_raw[[#This Row],[amount]] &lt;= 0, 1, 0)</f>
        <v>0</v>
      </c>
      <c r="K19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2" spans="1:11" x14ac:dyDescent="0.3">
      <c r="A1992">
        <v>72098857</v>
      </c>
      <c r="B1992">
        <v>8127514</v>
      </c>
      <c r="C1992" s="1">
        <v>45288</v>
      </c>
      <c r="D1992">
        <v>2990</v>
      </c>
      <c r="E1992">
        <f>IF(
  ISNA(
    _xlfn.XLOOKUP(
      payments_raw[[#This Row],[subscription_id]],
      subscriptions[subscription_id],
      subscriptions[subscription_id]
    )
  ),
  0,
  1
)</f>
        <v>1</v>
      </c>
      <c r="F1992" s="1">
        <f>_xlfn.XLOOKUP(payments_raw[[#This Row],[subscription_id]], subscriptions[subscription_id], subscriptions[start_date])</f>
        <v>44865</v>
      </c>
      <c r="G19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92" s="2">
        <f>IF(payments_raw[[#This Row],[payment_date]] &lt; payments_raw[[#This Row],[sub_start_date]], 1, 0)</f>
        <v>0</v>
      </c>
      <c r="I1992" s="2">
        <f>IF(AND(payments_raw[[#This Row],[sub_end_date]]&lt;&gt;"", payments_raw[[#This Row],[payment_date]] &gt; payments_raw[[#This Row],[sub_end_date]]), 1, 0)</f>
        <v>0</v>
      </c>
      <c r="J1992" s="2">
        <f>IF(payments_raw[[#This Row],[amount]] &lt;= 0, 1, 0)</f>
        <v>0</v>
      </c>
      <c r="K19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3" spans="1:11" x14ac:dyDescent="0.3">
      <c r="A1993">
        <v>67252780</v>
      </c>
      <c r="B1993">
        <v>7188568</v>
      </c>
      <c r="C1993" s="1">
        <v>45387</v>
      </c>
      <c r="D1993">
        <v>2990</v>
      </c>
      <c r="E1993">
        <f>IF(
  ISNA(
    _xlfn.XLOOKUP(
      payments_raw[[#This Row],[subscription_id]],
      subscriptions[subscription_id],
      subscriptions[subscription_id]
    )
  ),
  0,
  1
)</f>
        <v>1</v>
      </c>
      <c r="F1993" s="1">
        <f>_xlfn.XLOOKUP(payments_raw[[#This Row],[subscription_id]], subscriptions[subscription_id], subscriptions[start_date])</f>
        <v>45081</v>
      </c>
      <c r="G19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93" s="2">
        <f>IF(payments_raw[[#This Row],[payment_date]] &lt; payments_raw[[#This Row],[sub_start_date]], 1, 0)</f>
        <v>0</v>
      </c>
      <c r="I1993" s="2">
        <f>IF(AND(payments_raw[[#This Row],[sub_end_date]]&lt;&gt;"", payments_raw[[#This Row],[payment_date]] &gt; payments_raw[[#This Row],[sub_end_date]]), 1, 0)</f>
        <v>0</v>
      </c>
      <c r="J1993" s="2">
        <f>IF(payments_raw[[#This Row],[amount]] &lt;= 0, 1, 0)</f>
        <v>0</v>
      </c>
      <c r="K19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4" spans="1:11" x14ac:dyDescent="0.3">
      <c r="A1994">
        <v>20517721</v>
      </c>
      <c r="B1994">
        <v>4056507</v>
      </c>
      <c r="C1994" s="1">
        <v>45434</v>
      </c>
      <c r="D1994">
        <v>190</v>
      </c>
      <c r="E1994">
        <f>IF(
  ISNA(
    _xlfn.XLOOKUP(
      payments_raw[[#This Row],[subscription_id]],
      subscriptions[subscription_id],
      subscriptions[subscription_id]
    )
  ),
  0,
  1
)</f>
        <v>1</v>
      </c>
      <c r="F1994" s="1">
        <f>_xlfn.XLOOKUP(payments_raw[[#This Row],[subscription_id]], subscriptions[subscription_id], subscriptions[start_date])</f>
        <v>45113</v>
      </c>
      <c r="G19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94" s="2">
        <f>IF(payments_raw[[#This Row],[payment_date]] &lt; payments_raw[[#This Row],[sub_start_date]], 1, 0)</f>
        <v>0</v>
      </c>
      <c r="I1994" s="2">
        <f>IF(AND(payments_raw[[#This Row],[sub_end_date]]&lt;&gt;"", payments_raw[[#This Row],[payment_date]] &gt; payments_raw[[#This Row],[sub_end_date]]), 1, 0)</f>
        <v>0</v>
      </c>
      <c r="J1994" s="2">
        <f>IF(payments_raw[[#This Row],[amount]] &lt;= 0, 1, 0)</f>
        <v>0</v>
      </c>
      <c r="K19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5" spans="1:11" x14ac:dyDescent="0.3">
      <c r="A1995">
        <v>80399918</v>
      </c>
      <c r="B1995">
        <v>2758380</v>
      </c>
      <c r="C1995" s="1">
        <v>45345</v>
      </c>
      <c r="D1995">
        <v>299</v>
      </c>
      <c r="E1995">
        <f>IF(
  ISNA(
    _xlfn.XLOOKUP(
      payments_raw[[#This Row],[subscription_id]],
      subscriptions[subscription_id],
      subscriptions[subscription_id]
    )
  ),
  0,
  1
)</f>
        <v>1</v>
      </c>
      <c r="F1995" s="1">
        <f>_xlfn.XLOOKUP(payments_raw[[#This Row],[subscription_id]], subscriptions[subscription_id], subscriptions[start_date])</f>
        <v>45028</v>
      </c>
      <c r="G19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1995" s="2">
        <f>IF(payments_raw[[#This Row],[payment_date]] &lt; payments_raw[[#This Row],[sub_start_date]], 1, 0)</f>
        <v>0</v>
      </c>
      <c r="I1995" s="2">
        <f>IF(AND(payments_raw[[#This Row],[sub_end_date]]&lt;&gt;"", payments_raw[[#This Row],[payment_date]] &gt; payments_raw[[#This Row],[sub_end_date]]), 1, 0)</f>
        <v>0</v>
      </c>
      <c r="J1995" s="2">
        <f>IF(payments_raw[[#This Row],[amount]] &lt;= 0, 1, 0)</f>
        <v>0</v>
      </c>
      <c r="K19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6" spans="1:11" x14ac:dyDescent="0.3">
      <c r="A1996">
        <v>86492934</v>
      </c>
      <c r="B1996">
        <v>8015549</v>
      </c>
      <c r="C1996" s="1">
        <v>45271</v>
      </c>
      <c r="D1996">
        <v>190</v>
      </c>
      <c r="E1996">
        <f>IF(
  ISNA(
    _xlfn.XLOOKUP(
      payments_raw[[#This Row],[subscription_id]],
      subscriptions[subscription_id],
      subscriptions[subscription_id]
    )
  ),
  0,
  1
)</f>
        <v>1</v>
      </c>
      <c r="F1996" s="1">
        <f>_xlfn.XLOOKUP(payments_raw[[#This Row],[subscription_id]], subscriptions[subscription_id], subscriptions[start_date])</f>
        <v>45100</v>
      </c>
      <c r="G19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45453</v>
      </c>
      <c r="H1996" s="2">
        <f>IF(payments_raw[[#This Row],[payment_date]] &lt; payments_raw[[#This Row],[sub_start_date]], 1, 0)</f>
        <v>0</v>
      </c>
      <c r="I1996" s="2">
        <f>IF(AND(payments_raw[[#This Row],[sub_end_date]]&lt;&gt;"", payments_raw[[#This Row],[payment_date]] &gt; payments_raw[[#This Row],[sub_end_date]]), 1, 0)</f>
        <v>0</v>
      </c>
      <c r="J1996" s="2">
        <f>IF(payments_raw[[#This Row],[amount]] &lt;= 0, 1, 0)</f>
        <v>0</v>
      </c>
      <c r="K19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7" spans="1:11" x14ac:dyDescent="0.3">
      <c r="A1997">
        <v>56799163</v>
      </c>
      <c r="B1997">
        <v>7235826</v>
      </c>
      <c r="C1997" s="1">
        <v>44816</v>
      </c>
      <c r="D1997">
        <v>39</v>
      </c>
      <c r="E1997">
        <f>IF(
  ISNA(
    _xlfn.XLOOKUP(
      payments_raw[[#This Row],[subscription_id]],
      subscriptions[subscription_id],
      subscriptions[subscription_id]
    )
  ),
  0,
  1
)</f>
        <v>1</v>
      </c>
      <c r="F1997" s="1">
        <f>_xlfn.XLOOKUP(payments_raw[[#This Row],[subscription_id]], subscriptions[subscription_id], subscriptions[start_date])</f>
        <v>44672</v>
      </c>
      <c r="G19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45041</v>
      </c>
      <c r="H1997" s="2">
        <f>IF(payments_raw[[#This Row],[payment_date]] &lt; payments_raw[[#This Row],[sub_start_date]], 1, 0)</f>
        <v>0</v>
      </c>
      <c r="I1997" s="2">
        <f>IF(AND(payments_raw[[#This Row],[sub_end_date]]&lt;&gt;"", payments_raw[[#This Row],[payment_date]] &gt; payments_raw[[#This Row],[sub_end_date]]), 1, 0)</f>
        <v>0</v>
      </c>
      <c r="J1997" s="2">
        <f>IF(payments_raw[[#This Row],[amount]] &lt;= 0, 1, 0)</f>
        <v>0</v>
      </c>
      <c r="K19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8" spans="1:11" x14ac:dyDescent="0.3">
      <c r="A1998">
        <v>68334317</v>
      </c>
      <c r="B1998">
        <v>1336020</v>
      </c>
      <c r="C1998" s="1">
        <v>45024</v>
      </c>
      <c r="D1998">
        <v>299</v>
      </c>
      <c r="E1998">
        <f>IF(
  ISNA(
    _xlfn.XLOOKUP(
      payments_raw[[#This Row],[subscription_id]],
      subscriptions[subscription_id],
      subscriptions[subscription_id]
    )
  ),
  0,
  1
)</f>
        <v>1</v>
      </c>
      <c r="F1998" s="1">
        <f>_xlfn.XLOOKUP(payments_raw[[#This Row],[subscription_id]], subscriptions[subscription_id], subscriptions[start_date])</f>
        <v>44771</v>
      </c>
      <c r="G19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1998" s="2">
        <f>IF(payments_raw[[#This Row],[payment_date]] &lt; payments_raw[[#This Row],[sub_start_date]], 1, 0)</f>
        <v>0</v>
      </c>
      <c r="I1998" s="2">
        <f>IF(AND(payments_raw[[#This Row],[sub_end_date]]&lt;&gt;"", payments_raw[[#This Row],[payment_date]] &gt; payments_raw[[#This Row],[sub_end_date]]), 1, 0)</f>
        <v>0</v>
      </c>
      <c r="J1998" s="2">
        <f>IF(payments_raw[[#This Row],[amount]] &lt;= 0, 1, 0)</f>
        <v>0</v>
      </c>
      <c r="K19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1999" spans="1:11" x14ac:dyDescent="0.3">
      <c r="A1999">
        <v>54346554</v>
      </c>
      <c r="B1999">
        <v>4264878</v>
      </c>
      <c r="C1999" s="1">
        <v>45440</v>
      </c>
      <c r="D1999">
        <v>149</v>
      </c>
      <c r="E1999">
        <f>IF(
  ISNA(
    _xlfn.XLOOKUP(
      payments_raw[[#This Row],[subscription_id]],
      subscriptions[subscription_id],
      subscriptions[subscription_id]
    )
  ),
  0,
  1
)</f>
        <v>1</v>
      </c>
      <c r="F1999" s="1">
        <f>_xlfn.XLOOKUP(payments_raw[[#This Row],[subscription_id]], subscriptions[subscription_id], subscriptions[start_date])</f>
        <v>45306</v>
      </c>
      <c r="G19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45616</v>
      </c>
      <c r="H1999" s="2">
        <f>IF(payments_raw[[#This Row],[payment_date]] &lt; payments_raw[[#This Row],[sub_start_date]], 1, 0)</f>
        <v>0</v>
      </c>
      <c r="I1999" s="2">
        <f>IF(AND(payments_raw[[#This Row],[sub_end_date]]&lt;&gt;"", payments_raw[[#This Row],[payment_date]] &gt; payments_raw[[#This Row],[sub_end_date]]), 1, 0)</f>
        <v>0</v>
      </c>
      <c r="J1999" s="2">
        <f>IF(payments_raw[[#This Row],[amount]] &lt;= 0, 1, 0)</f>
        <v>0</v>
      </c>
      <c r="K19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0" spans="1:11" x14ac:dyDescent="0.3">
      <c r="A2000">
        <v>49213035</v>
      </c>
      <c r="B2000">
        <v>6337250</v>
      </c>
      <c r="C2000" s="1">
        <v>45649</v>
      </c>
      <c r="D2000">
        <v>19</v>
      </c>
      <c r="E2000">
        <f>IF(
  ISNA(
    _xlfn.XLOOKUP(
      payments_raw[[#This Row],[subscription_id]],
      subscriptions[subscription_id],
      subscriptions[subscription_id]
    )
  ),
  0,
  1
)</f>
        <v>1</v>
      </c>
      <c r="F2000" s="1">
        <f>_xlfn.XLOOKUP(payments_raw[[#This Row],[subscription_id]], subscriptions[subscription_id], subscriptions[start_date])</f>
        <v>44886</v>
      </c>
      <c r="G20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0" s="2">
        <f>IF(payments_raw[[#This Row],[payment_date]] &lt; payments_raw[[#This Row],[sub_start_date]], 1, 0)</f>
        <v>0</v>
      </c>
      <c r="I2000" s="2">
        <f>IF(AND(payments_raw[[#This Row],[sub_end_date]]&lt;&gt;"", payments_raw[[#This Row],[payment_date]] &gt; payments_raw[[#This Row],[sub_end_date]]), 1, 0)</f>
        <v>0</v>
      </c>
      <c r="J2000" s="2">
        <f>IF(payments_raw[[#This Row],[amount]] &lt;= 0, 1, 0)</f>
        <v>0</v>
      </c>
      <c r="K20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1" spans="1:11" x14ac:dyDescent="0.3">
      <c r="A2001">
        <v>44547356</v>
      </c>
      <c r="B2001">
        <v>5969984</v>
      </c>
      <c r="C2001" s="1">
        <v>45535</v>
      </c>
      <c r="D2001">
        <v>292.5</v>
      </c>
      <c r="E2001">
        <f>IF(
  ISNA(
    _xlfn.XLOOKUP(
      payments_raw[[#This Row],[subscription_id]],
      subscriptions[subscription_id],
      subscriptions[subscription_id]
    )
  ),
  0,
  1
)</f>
        <v>1</v>
      </c>
      <c r="F2001" s="1">
        <f>_xlfn.XLOOKUP(payments_raw[[#This Row],[subscription_id]], subscriptions[subscription_id], subscriptions[start_date])</f>
        <v>44731</v>
      </c>
      <c r="G20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1" s="2">
        <f>IF(payments_raw[[#This Row],[payment_date]] &lt; payments_raw[[#This Row],[sub_start_date]], 1, 0)</f>
        <v>0</v>
      </c>
      <c r="I2001" s="2">
        <f>IF(AND(payments_raw[[#This Row],[sub_end_date]]&lt;&gt;"", payments_raw[[#This Row],[payment_date]] &gt; payments_raw[[#This Row],[sub_end_date]]), 1, 0)</f>
        <v>0</v>
      </c>
      <c r="J2001" s="2">
        <f>IF(payments_raw[[#This Row],[amount]] &lt;= 0, 1, 0)</f>
        <v>0</v>
      </c>
      <c r="K20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2" spans="1:11" x14ac:dyDescent="0.3">
      <c r="A2002">
        <v>92139466</v>
      </c>
      <c r="B2002">
        <v>1228581</v>
      </c>
      <c r="C2002" s="1">
        <v>45017</v>
      </c>
      <c r="D2002">
        <v>790</v>
      </c>
      <c r="E2002">
        <f>IF(
  ISNA(
    _xlfn.XLOOKUP(
      payments_raw[[#This Row],[subscription_id]],
      subscriptions[subscription_id],
      subscriptions[subscription_id]
    )
  ),
  0,
  1
)</f>
        <v>1</v>
      </c>
      <c r="F2002" s="1">
        <f>_xlfn.XLOOKUP(payments_raw[[#This Row],[subscription_id]], subscriptions[subscription_id], subscriptions[start_date])</f>
        <v>44893</v>
      </c>
      <c r="G20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2" s="2">
        <f>IF(payments_raw[[#This Row],[payment_date]] &lt; payments_raw[[#This Row],[sub_start_date]], 1, 0)</f>
        <v>0</v>
      </c>
      <c r="I2002" s="2">
        <f>IF(AND(payments_raw[[#This Row],[sub_end_date]]&lt;&gt;"", payments_raw[[#This Row],[payment_date]] &gt; payments_raw[[#This Row],[sub_end_date]]), 1, 0)</f>
        <v>0</v>
      </c>
      <c r="J2002" s="2">
        <f>IF(payments_raw[[#This Row],[amount]] &lt;= 0, 1, 0)</f>
        <v>0</v>
      </c>
      <c r="K20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3" spans="1:11" x14ac:dyDescent="0.3">
      <c r="A2003">
        <v>90997797</v>
      </c>
      <c r="B2003">
        <v>8344546</v>
      </c>
      <c r="C2003" s="1">
        <v>45377</v>
      </c>
      <c r="D2003">
        <v>299</v>
      </c>
      <c r="E2003">
        <f>IF(
  ISNA(
    _xlfn.XLOOKUP(
      payments_raw[[#This Row],[subscription_id]],
      subscriptions[subscription_id],
      subscriptions[subscription_id]
    )
  ),
  0,
  1
)</f>
        <v>1</v>
      </c>
      <c r="F2003" s="1">
        <f>_xlfn.XLOOKUP(payments_raw[[#This Row],[subscription_id]], subscriptions[subscription_id], subscriptions[start_date])</f>
        <v>45302</v>
      </c>
      <c r="G20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45418</v>
      </c>
      <c r="H2003" s="2">
        <f>IF(payments_raw[[#This Row],[payment_date]] &lt; payments_raw[[#This Row],[sub_start_date]], 1, 0)</f>
        <v>0</v>
      </c>
      <c r="I2003" s="2">
        <f>IF(AND(payments_raw[[#This Row],[sub_end_date]]&lt;&gt;"", payments_raw[[#This Row],[payment_date]] &gt; payments_raw[[#This Row],[sub_end_date]]), 1, 0)</f>
        <v>0</v>
      </c>
      <c r="J2003" s="2">
        <f>IF(payments_raw[[#This Row],[amount]] &lt;= 0, 1, 0)</f>
        <v>0</v>
      </c>
      <c r="K20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4" spans="1:11" x14ac:dyDescent="0.3">
      <c r="A2004">
        <v>91532029</v>
      </c>
      <c r="B2004">
        <v>1566334</v>
      </c>
      <c r="C2004" s="1">
        <v>45363</v>
      </c>
      <c r="D2004">
        <v>1490</v>
      </c>
      <c r="E2004">
        <f>IF(
  ISNA(
    _xlfn.XLOOKUP(
      payments_raw[[#This Row],[subscription_id]],
      subscriptions[subscription_id],
      subscriptions[subscription_id]
    )
  ),
  0,
  1
)</f>
        <v>1</v>
      </c>
      <c r="F2004" s="1">
        <f>_xlfn.XLOOKUP(payments_raw[[#This Row],[subscription_id]], subscriptions[subscription_id], subscriptions[start_date])</f>
        <v>45115</v>
      </c>
      <c r="G20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4" s="2">
        <f>IF(payments_raw[[#This Row],[payment_date]] &lt; payments_raw[[#This Row],[sub_start_date]], 1, 0)</f>
        <v>0</v>
      </c>
      <c r="I2004" s="2">
        <f>IF(AND(payments_raw[[#This Row],[sub_end_date]]&lt;&gt;"", payments_raw[[#This Row],[payment_date]] &gt; payments_raw[[#This Row],[sub_end_date]]), 1, 0)</f>
        <v>0</v>
      </c>
      <c r="J2004" s="2">
        <f>IF(payments_raw[[#This Row],[amount]] &lt;= 0, 1, 0)</f>
        <v>0</v>
      </c>
      <c r="K20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5" spans="1:11" x14ac:dyDescent="0.3">
      <c r="A2005">
        <v>44692423</v>
      </c>
      <c r="B2005">
        <v>9286841</v>
      </c>
      <c r="C2005" s="1">
        <v>45618</v>
      </c>
      <c r="D2005">
        <v>149</v>
      </c>
      <c r="E2005">
        <f>IF(
  ISNA(
    _xlfn.XLOOKUP(
      payments_raw[[#This Row],[subscription_id]],
      subscriptions[subscription_id],
      subscriptions[subscription_id]
    )
  ),
  0,
  1
)</f>
        <v>1</v>
      </c>
      <c r="F2005" s="1">
        <f>_xlfn.XLOOKUP(payments_raw[[#This Row],[subscription_id]], subscriptions[subscription_id], subscriptions[start_date])</f>
        <v>45583</v>
      </c>
      <c r="G20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5" s="2">
        <f>IF(payments_raw[[#This Row],[payment_date]] &lt; payments_raw[[#This Row],[sub_start_date]], 1, 0)</f>
        <v>0</v>
      </c>
      <c r="I2005" s="2">
        <f>IF(AND(payments_raw[[#This Row],[sub_end_date]]&lt;&gt;"", payments_raw[[#This Row],[payment_date]] &gt; payments_raw[[#This Row],[sub_end_date]]), 1, 0)</f>
        <v>0</v>
      </c>
      <c r="J2005" s="2">
        <f>IF(payments_raw[[#This Row],[amount]] &lt;= 0, 1, 0)</f>
        <v>0</v>
      </c>
      <c r="K20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6" spans="1:11" x14ac:dyDescent="0.3">
      <c r="A2006">
        <v>48263982</v>
      </c>
      <c r="B2006">
        <v>8637262</v>
      </c>
      <c r="C2006" s="1">
        <v>44967</v>
      </c>
      <c r="D2006">
        <v>790</v>
      </c>
      <c r="E2006">
        <f>IF(
  ISNA(
    _xlfn.XLOOKUP(
      payments_raw[[#This Row],[subscription_id]],
      subscriptions[subscription_id],
      subscriptions[subscription_id]
    )
  ),
  0,
  1
)</f>
        <v>1</v>
      </c>
      <c r="F2006" s="1">
        <f>_xlfn.XLOOKUP(payments_raw[[#This Row],[subscription_id]], subscriptions[subscription_id], subscriptions[start_date])</f>
        <v>44852</v>
      </c>
      <c r="G20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45223</v>
      </c>
      <c r="H2006" s="2">
        <f>IF(payments_raw[[#This Row],[payment_date]] &lt; payments_raw[[#This Row],[sub_start_date]], 1, 0)</f>
        <v>0</v>
      </c>
      <c r="I2006" s="2">
        <f>IF(AND(payments_raw[[#This Row],[sub_end_date]]&lt;&gt;"", payments_raw[[#This Row],[payment_date]] &gt; payments_raw[[#This Row],[sub_end_date]]), 1, 0)</f>
        <v>0</v>
      </c>
      <c r="J2006" s="2">
        <f>IF(payments_raw[[#This Row],[amount]] &lt;= 0, 1, 0)</f>
        <v>0</v>
      </c>
      <c r="K20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7" spans="1:11" x14ac:dyDescent="0.3">
      <c r="A2007">
        <v>46190360</v>
      </c>
      <c r="B2007">
        <v>3241313</v>
      </c>
      <c r="C2007" s="1">
        <v>45206</v>
      </c>
      <c r="D2007">
        <v>790</v>
      </c>
      <c r="E2007">
        <f>IF(
  ISNA(
    _xlfn.XLOOKUP(
      payments_raw[[#This Row],[subscription_id]],
      subscriptions[subscription_id],
      subscriptions[subscription_id]
    )
  ),
  0,
  1
)</f>
        <v>1</v>
      </c>
      <c r="F2007" s="1">
        <f>_xlfn.XLOOKUP(payments_raw[[#This Row],[subscription_id]], subscriptions[subscription_id], subscriptions[start_date])</f>
        <v>44787</v>
      </c>
      <c r="G20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7" s="2">
        <f>IF(payments_raw[[#This Row],[payment_date]] &lt; payments_raw[[#This Row],[sub_start_date]], 1, 0)</f>
        <v>0</v>
      </c>
      <c r="I2007" s="2">
        <f>IF(AND(payments_raw[[#This Row],[sub_end_date]]&lt;&gt;"", payments_raw[[#This Row],[payment_date]] &gt; payments_raw[[#This Row],[sub_end_date]]), 1, 0)</f>
        <v>0</v>
      </c>
      <c r="J2007" s="2">
        <f>IF(payments_raw[[#This Row],[amount]] &lt;= 0, 1, 0)</f>
        <v>0</v>
      </c>
      <c r="K20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8" spans="1:11" x14ac:dyDescent="0.3">
      <c r="A2008">
        <v>80574974</v>
      </c>
      <c r="B2008">
        <v>4463308</v>
      </c>
      <c r="C2008" s="1">
        <v>45595</v>
      </c>
      <c r="D2008">
        <v>790</v>
      </c>
      <c r="E2008">
        <f>IF(
  ISNA(
    _xlfn.XLOOKUP(
      payments_raw[[#This Row],[subscription_id]],
      subscriptions[subscription_id],
      subscriptions[subscription_id]
    )
  ),
  0,
  1
)</f>
        <v>1</v>
      </c>
      <c r="F2008" s="1">
        <f>_xlfn.XLOOKUP(payments_raw[[#This Row],[subscription_id]], subscriptions[subscription_id], subscriptions[start_date])</f>
        <v>45021</v>
      </c>
      <c r="G20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08" s="2">
        <f>IF(payments_raw[[#This Row],[payment_date]] &lt; payments_raw[[#This Row],[sub_start_date]], 1, 0)</f>
        <v>0</v>
      </c>
      <c r="I2008" s="2">
        <f>IF(AND(payments_raw[[#This Row],[sub_end_date]]&lt;&gt;"", payments_raw[[#This Row],[payment_date]] &gt; payments_raw[[#This Row],[sub_end_date]]), 1, 0)</f>
        <v>0</v>
      </c>
      <c r="J2008" s="2">
        <f>IF(payments_raw[[#This Row],[amount]] &lt;= 0, 1, 0)</f>
        <v>0</v>
      </c>
      <c r="K20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09" spans="1:11" x14ac:dyDescent="0.3">
      <c r="A2009">
        <v>40135742</v>
      </c>
      <c r="B2009">
        <v>7277502</v>
      </c>
      <c r="C2009" s="1">
        <v>44948</v>
      </c>
      <c r="D2009">
        <v>1490</v>
      </c>
      <c r="E2009">
        <f>IF(
  ISNA(
    _xlfn.XLOOKUP(
      payments_raw[[#This Row],[subscription_id]],
      subscriptions[subscription_id],
      subscriptions[subscription_id]
    )
  ),
  0,
  1
)</f>
        <v>1</v>
      </c>
      <c r="F2009" s="1">
        <f>_xlfn.XLOOKUP(payments_raw[[#This Row],[subscription_id]], subscriptions[subscription_id], subscriptions[start_date])</f>
        <v>44924</v>
      </c>
      <c r="G20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2009" s="2">
        <f>IF(payments_raw[[#This Row],[payment_date]] &lt; payments_raw[[#This Row],[sub_start_date]], 1, 0)</f>
        <v>0</v>
      </c>
      <c r="I2009" s="2">
        <f>IF(AND(payments_raw[[#This Row],[sub_end_date]]&lt;&gt;"", payments_raw[[#This Row],[payment_date]] &gt; payments_raw[[#This Row],[sub_end_date]]), 1, 0)</f>
        <v>0</v>
      </c>
      <c r="J2009" s="2">
        <f>IF(payments_raw[[#This Row],[amount]] &lt;= 0, 1, 0)</f>
        <v>0</v>
      </c>
      <c r="K20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0" spans="1:11" x14ac:dyDescent="0.3">
      <c r="A2010">
        <v>77176544</v>
      </c>
      <c r="B2010">
        <v>5519776</v>
      </c>
      <c r="C2010" s="1">
        <v>45171</v>
      </c>
      <c r="D2010">
        <v>190</v>
      </c>
      <c r="E2010">
        <f>IF(
  ISNA(
    _xlfn.XLOOKUP(
      payments_raw[[#This Row],[subscription_id]],
      subscriptions[subscription_id],
      subscriptions[subscription_id]
    )
  ),
  0,
  1
)</f>
        <v>1</v>
      </c>
      <c r="F2010" s="1">
        <f>_xlfn.XLOOKUP(payments_raw[[#This Row],[subscription_id]], subscriptions[subscription_id], subscriptions[start_date])</f>
        <v>44956</v>
      </c>
      <c r="G20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45274</v>
      </c>
      <c r="H2010" s="2">
        <f>IF(payments_raw[[#This Row],[payment_date]] &lt; payments_raw[[#This Row],[sub_start_date]], 1, 0)</f>
        <v>0</v>
      </c>
      <c r="I2010" s="2">
        <f>IF(AND(payments_raw[[#This Row],[sub_end_date]]&lt;&gt;"", payments_raw[[#This Row],[payment_date]] &gt; payments_raw[[#This Row],[sub_end_date]]), 1, 0)</f>
        <v>0</v>
      </c>
      <c r="J2010" s="2">
        <f>IF(payments_raw[[#This Row],[amount]] &lt;= 0, 1, 0)</f>
        <v>0</v>
      </c>
      <c r="K20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1" spans="1:11" x14ac:dyDescent="0.3">
      <c r="A2011">
        <v>74025619</v>
      </c>
      <c r="B2011">
        <v>8029723</v>
      </c>
      <c r="C2011" s="1">
        <v>45606</v>
      </c>
      <c r="D2011">
        <v>190</v>
      </c>
      <c r="E2011">
        <f>IF(
  ISNA(
    _xlfn.XLOOKUP(
      payments_raw[[#This Row],[subscription_id]],
      subscriptions[subscription_id],
      subscriptions[subscription_id]
    )
  ),
  0,
  1
)</f>
        <v>1</v>
      </c>
      <c r="F2011" s="1">
        <f>_xlfn.XLOOKUP(payments_raw[[#This Row],[subscription_id]], subscriptions[subscription_id], subscriptions[start_date])</f>
        <v>45593</v>
      </c>
      <c r="G20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011" s="2">
        <f>IF(payments_raw[[#This Row],[payment_date]] &lt; payments_raw[[#This Row],[sub_start_date]], 1, 0)</f>
        <v>0</v>
      </c>
      <c r="I2011" s="2">
        <f>IF(AND(payments_raw[[#This Row],[sub_end_date]]&lt;&gt;"", payments_raw[[#This Row],[payment_date]] &gt; payments_raw[[#This Row],[sub_end_date]]), 1, 0)</f>
        <v>0</v>
      </c>
      <c r="J2011" s="2">
        <f>IF(payments_raw[[#This Row],[amount]] &lt;= 0, 1, 0)</f>
        <v>0</v>
      </c>
      <c r="K20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2" spans="1:11" x14ac:dyDescent="0.3">
      <c r="A2012">
        <v>99792714</v>
      </c>
      <c r="B2012">
        <v>7320122</v>
      </c>
      <c r="C2012" s="1">
        <v>44818</v>
      </c>
      <c r="D2012">
        <v>299</v>
      </c>
      <c r="E2012">
        <f>IF(
  ISNA(
    _xlfn.XLOOKUP(
      payments_raw[[#This Row],[subscription_id]],
      subscriptions[subscription_id],
      subscriptions[subscription_id]
    )
  ),
  0,
  1
)</f>
        <v>1</v>
      </c>
      <c r="F2012" s="1">
        <f>_xlfn.XLOOKUP(payments_raw[[#This Row],[subscription_id]], subscriptions[subscription_id], subscriptions[start_date])</f>
        <v>44682</v>
      </c>
      <c r="G201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2012" s="2">
        <f>IF(payments_raw[[#This Row],[payment_date]] &lt; payments_raw[[#This Row],[sub_start_date]], 1, 0)</f>
        <v>0</v>
      </c>
      <c r="I2012" s="2">
        <f>IF(AND(payments_raw[[#This Row],[sub_end_date]]&lt;&gt;"", payments_raw[[#This Row],[payment_date]] &gt; payments_raw[[#This Row],[sub_end_date]]), 1, 0)</f>
        <v>0</v>
      </c>
      <c r="J2012" s="2">
        <f>IF(payments_raw[[#This Row],[amount]] &lt;= 0, 1, 0)</f>
        <v>0</v>
      </c>
      <c r="K20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3" spans="1:11" x14ac:dyDescent="0.3">
      <c r="A2013">
        <v>80113322</v>
      </c>
      <c r="B2013">
        <v>8617224</v>
      </c>
      <c r="C2013" s="1">
        <v>44951</v>
      </c>
      <c r="D2013">
        <v>149</v>
      </c>
      <c r="E2013">
        <f>IF(
  ISNA(
    _xlfn.XLOOKUP(
      payments_raw[[#This Row],[subscription_id]],
      subscriptions[subscription_id],
      subscriptions[subscription_id]
    )
  ),
  0,
  1
)</f>
        <v>1</v>
      </c>
      <c r="F2013" s="1">
        <f>_xlfn.XLOOKUP(payments_raw[[#This Row],[subscription_id]], subscriptions[subscription_id], subscriptions[start_date])</f>
        <v>44877</v>
      </c>
      <c r="G201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2013" s="2">
        <f>IF(payments_raw[[#This Row],[payment_date]] &lt; payments_raw[[#This Row],[sub_start_date]], 1, 0)</f>
        <v>0</v>
      </c>
      <c r="I2013" s="2">
        <f>IF(AND(payments_raw[[#This Row],[sub_end_date]]&lt;&gt;"", payments_raw[[#This Row],[payment_date]] &gt; payments_raw[[#This Row],[sub_end_date]]), 1, 0)</f>
        <v>0</v>
      </c>
      <c r="J2013" s="2">
        <f>IF(payments_raw[[#This Row],[amount]] &lt;= 0, 1, 0)</f>
        <v>0</v>
      </c>
      <c r="K20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4" spans="1:11" x14ac:dyDescent="0.3">
      <c r="A2014">
        <v>46186270</v>
      </c>
      <c r="B2014">
        <v>3341247</v>
      </c>
      <c r="C2014" s="1">
        <v>44834</v>
      </c>
      <c r="D2014">
        <v>1490</v>
      </c>
      <c r="E2014">
        <f>IF(
  ISNA(
    _xlfn.XLOOKUP(
      payments_raw[[#This Row],[subscription_id]],
      subscriptions[subscription_id],
      subscriptions[subscription_id]
    )
  ),
  0,
  1
)</f>
        <v>1</v>
      </c>
      <c r="F2014" s="1">
        <f>_xlfn.XLOOKUP(payments_raw[[#This Row],[subscription_id]], subscriptions[subscription_id], subscriptions[start_date])</f>
        <v>44828</v>
      </c>
      <c r="G201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2014" s="2">
        <f>IF(payments_raw[[#This Row],[payment_date]] &lt; payments_raw[[#This Row],[sub_start_date]], 1, 0)</f>
        <v>0</v>
      </c>
      <c r="I2014" s="2">
        <f>IF(AND(payments_raw[[#This Row],[sub_end_date]]&lt;&gt;"", payments_raw[[#This Row],[payment_date]] &gt; payments_raw[[#This Row],[sub_end_date]]), 1, 0)</f>
        <v>0</v>
      </c>
      <c r="J2014" s="2">
        <f>IF(payments_raw[[#This Row],[amount]] &lt;= 0, 1, 0)</f>
        <v>0</v>
      </c>
      <c r="K20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5" spans="1:11" x14ac:dyDescent="0.3">
      <c r="A2015">
        <v>23906478</v>
      </c>
      <c r="B2015">
        <v>5629265</v>
      </c>
      <c r="C2015" s="1">
        <v>45573</v>
      </c>
      <c r="D2015">
        <v>190</v>
      </c>
      <c r="E2015">
        <f>IF(
  ISNA(
    _xlfn.XLOOKUP(
      payments_raw[[#This Row],[subscription_id]],
      subscriptions[subscription_id],
      subscriptions[subscription_id]
    )
  ),
  0,
  1
)</f>
        <v>1</v>
      </c>
      <c r="F2015" s="1">
        <f>_xlfn.XLOOKUP(payments_raw[[#This Row],[subscription_id]], subscriptions[subscription_id], subscriptions[start_date])</f>
        <v>45572</v>
      </c>
      <c r="G20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5" s="2">
        <f>IF(payments_raw[[#This Row],[payment_date]] &lt; payments_raw[[#This Row],[sub_start_date]], 1, 0)</f>
        <v>0</v>
      </c>
      <c r="I2015" s="2">
        <f>IF(AND(payments_raw[[#This Row],[sub_end_date]]&lt;&gt;"", payments_raw[[#This Row],[payment_date]] &gt; payments_raw[[#This Row],[sub_end_date]]), 1, 0)</f>
        <v>0</v>
      </c>
      <c r="J2015" s="2">
        <f>IF(payments_raw[[#This Row],[amount]] &lt;= 0, 1, 0)</f>
        <v>0</v>
      </c>
      <c r="K20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6" spans="1:11" x14ac:dyDescent="0.3">
      <c r="A2016">
        <v>86639255</v>
      </c>
      <c r="B2016">
        <v>4134994</v>
      </c>
      <c r="C2016" s="1">
        <v>45528</v>
      </c>
      <c r="D2016">
        <v>1490</v>
      </c>
      <c r="E2016">
        <f>IF(
  ISNA(
    _xlfn.XLOOKUP(
      payments_raw[[#This Row],[subscription_id]],
      subscriptions[subscription_id],
      subscriptions[subscription_id]
    )
  ),
  0,
  1
)</f>
        <v>1</v>
      </c>
      <c r="F2016" s="1">
        <f>_xlfn.XLOOKUP(payments_raw[[#This Row],[subscription_id]], subscriptions[subscription_id], subscriptions[start_date])</f>
        <v>45072</v>
      </c>
      <c r="G20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6" s="2">
        <f>IF(payments_raw[[#This Row],[payment_date]] &lt; payments_raw[[#This Row],[sub_start_date]], 1, 0)</f>
        <v>0</v>
      </c>
      <c r="I2016" s="2">
        <f>IF(AND(payments_raw[[#This Row],[sub_end_date]]&lt;&gt;"", payments_raw[[#This Row],[payment_date]] &gt; payments_raw[[#This Row],[sub_end_date]]), 1, 0)</f>
        <v>0</v>
      </c>
      <c r="J2016" s="2">
        <f>IF(payments_raw[[#This Row],[amount]] &lt;= 0, 1, 0)</f>
        <v>0</v>
      </c>
      <c r="K20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7" spans="1:11" x14ac:dyDescent="0.3">
      <c r="A2017">
        <v>33264910</v>
      </c>
      <c r="B2017">
        <v>8027140</v>
      </c>
      <c r="C2017" s="1">
        <v>45149</v>
      </c>
      <c r="D2017">
        <v>299</v>
      </c>
      <c r="E2017">
        <f>IF(
  ISNA(
    _xlfn.XLOOKUP(
      payments_raw[[#This Row],[subscription_id]],
      subscriptions[subscription_id],
      subscriptions[subscription_id]
    )
  ),
  0,
  1
)</f>
        <v>1</v>
      </c>
      <c r="F2017" s="1">
        <f>_xlfn.XLOOKUP(payments_raw[[#This Row],[subscription_id]], subscriptions[subscription_id], subscriptions[start_date])</f>
        <v>45032</v>
      </c>
      <c r="G20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7" s="2">
        <f>IF(payments_raw[[#This Row],[payment_date]] &lt; payments_raw[[#This Row],[sub_start_date]], 1, 0)</f>
        <v>0</v>
      </c>
      <c r="I2017" s="2">
        <f>IF(AND(payments_raw[[#This Row],[sub_end_date]]&lt;&gt;"", payments_raw[[#This Row],[payment_date]] &gt; payments_raw[[#This Row],[sub_end_date]]), 1, 0)</f>
        <v>0</v>
      </c>
      <c r="J2017" s="2">
        <f>IF(payments_raw[[#This Row],[amount]] &lt;= 0, 1, 0)</f>
        <v>0</v>
      </c>
      <c r="K20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8" spans="1:11" x14ac:dyDescent="0.3">
      <c r="A2018">
        <v>15818570</v>
      </c>
      <c r="B2018">
        <v>7796448</v>
      </c>
      <c r="C2018" s="1">
        <v>45586</v>
      </c>
      <c r="D2018">
        <v>149</v>
      </c>
      <c r="E2018">
        <f>IF(
  ISNA(
    _xlfn.XLOOKUP(
      payments_raw[[#This Row],[subscription_id]],
      subscriptions[subscription_id],
      subscriptions[subscription_id]
    )
  ),
  0,
  1
)</f>
        <v>1</v>
      </c>
      <c r="F2018" s="1">
        <f>_xlfn.XLOOKUP(payments_raw[[#This Row],[subscription_id]], subscriptions[subscription_id], subscriptions[start_date])</f>
        <v>45341</v>
      </c>
      <c r="G20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8" s="2">
        <f>IF(payments_raw[[#This Row],[payment_date]] &lt; payments_raw[[#This Row],[sub_start_date]], 1, 0)</f>
        <v>0</v>
      </c>
      <c r="I2018" s="2">
        <f>IF(AND(payments_raw[[#This Row],[sub_end_date]]&lt;&gt;"", payments_raw[[#This Row],[payment_date]] &gt; payments_raw[[#This Row],[sub_end_date]]), 1, 0)</f>
        <v>0</v>
      </c>
      <c r="J2018" s="2">
        <f>IF(payments_raw[[#This Row],[amount]] &lt;= 0, 1, 0)</f>
        <v>0</v>
      </c>
      <c r="K20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19" spans="1:11" x14ac:dyDescent="0.3">
      <c r="A2019">
        <v>79601571</v>
      </c>
      <c r="B2019">
        <v>1876771</v>
      </c>
      <c r="C2019" s="1">
        <v>45364</v>
      </c>
      <c r="D2019">
        <v>149</v>
      </c>
      <c r="E2019">
        <f>IF(
  ISNA(
    _xlfn.XLOOKUP(
      payments_raw[[#This Row],[subscription_id]],
      subscriptions[subscription_id],
      subscriptions[subscription_id]
    )
  ),
  0,
  1
)</f>
        <v>1</v>
      </c>
      <c r="F2019" s="1">
        <f>_xlfn.XLOOKUP(payments_raw[[#This Row],[subscription_id]], subscriptions[subscription_id], subscriptions[start_date])</f>
        <v>45186</v>
      </c>
      <c r="G20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19" s="2">
        <f>IF(payments_raw[[#This Row],[payment_date]] &lt; payments_raw[[#This Row],[sub_start_date]], 1, 0)</f>
        <v>0</v>
      </c>
      <c r="I2019" s="2">
        <f>IF(AND(payments_raw[[#This Row],[sub_end_date]]&lt;&gt;"", payments_raw[[#This Row],[payment_date]] &gt; payments_raw[[#This Row],[sub_end_date]]), 1, 0)</f>
        <v>0</v>
      </c>
      <c r="J2019" s="2">
        <f>IF(payments_raw[[#This Row],[amount]] &lt;= 0, 1, 0)</f>
        <v>0</v>
      </c>
      <c r="K20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0" spans="1:11" x14ac:dyDescent="0.3">
      <c r="A2020">
        <v>94597065</v>
      </c>
      <c r="B2020">
        <v>4535328</v>
      </c>
      <c r="C2020" s="1">
        <v>45512</v>
      </c>
      <c r="D2020">
        <v>39</v>
      </c>
      <c r="E2020">
        <f>IF(
  ISNA(
    _xlfn.XLOOKUP(
      payments_raw[[#This Row],[subscription_id]],
      subscriptions[subscription_id],
      subscriptions[subscription_id]
    )
  ),
  0,
  1
)</f>
        <v>1</v>
      </c>
      <c r="F2020" s="1">
        <f>_xlfn.XLOOKUP(payments_raw[[#This Row],[subscription_id]], subscriptions[subscription_id], subscriptions[start_date])</f>
        <v>45090</v>
      </c>
      <c r="G20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0" s="2">
        <f>IF(payments_raw[[#This Row],[payment_date]] &lt; payments_raw[[#This Row],[sub_start_date]], 1, 0)</f>
        <v>0</v>
      </c>
      <c r="I2020" s="2">
        <f>IF(AND(payments_raw[[#This Row],[sub_end_date]]&lt;&gt;"", payments_raw[[#This Row],[payment_date]] &gt; payments_raw[[#This Row],[sub_end_date]]), 1, 0)</f>
        <v>0</v>
      </c>
      <c r="J2020" s="2">
        <f>IF(payments_raw[[#This Row],[amount]] &lt;= 0, 1, 0)</f>
        <v>0</v>
      </c>
      <c r="K20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1" spans="1:11" x14ac:dyDescent="0.3">
      <c r="A2021">
        <v>73433664</v>
      </c>
      <c r="B2021">
        <v>2536556</v>
      </c>
      <c r="C2021" s="1">
        <v>44839</v>
      </c>
      <c r="D2021">
        <v>790</v>
      </c>
      <c r="E2021">
        <f>IF(
  ISNA(
    _xlfn.XLOOKUP(
      payments_raw[[#This Row],[subscription_id]],
      subscriptions[subscription_id],
      subscriptions[subscription_id]
    )
  ),
  0,
  1
)</f>
        <v>1</v>
      </c>
      <c r="F2021" s="1">
        <f>_xlfn.XLOOKUP(payments_raw[[#This Row],[subscription_id]], subscriptions[subscription_id], subscriptions[start_date])</f>
        <v>44569</v>
      </c>
      <c r="G20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1" s="2">
        <f>IF(payments_raw[[#This Row],[payment_date]] &lt; payments_raw[[#This Row],[sub_start_date]], 1, 0)</f>
        <v>0</v>
      </c>
      <c r="I2021" s="2">
        <f>IF(AND(payments_raw[[#This Row],[sub_end_date]]&lt;&gt;"", payments_raw[[#This Row],[payment_date]] &gt; payments_raw[[#This Row],[sub_end_date]]), 1, 0)</f>
        <v>0</v>
      </c>
      <c r="J2021" s="2">
        <f>IF(payments_raw[[#This Row],[amount]] &lt;= 0, 1, 0)</f>
        <v>0</v>
      </c>
      <c r="K20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2" spans="1:11" x14ac:dyDescent="0.3">
      <c r="A2022">
        <v>26865926</v>
      </c>
      <c r="B2022">
        <v>1518244</v>
      </c>
      <c r="C2022" s="1">
        <v>45023</v>
      </c>
      <c r="D2022">
        <v>790</v>
      </c>
      <c r="E2022">
        <f>IF(
  ISNA(
    _xlfn.XLOOKUP(
      payments_raw[[#This Row],[subscription_id]],
      subscriptions[subscription_id],
      subscriptions[subscription_id]
    )
  ),
  0,
  1
)</f>
        <v>1</v>
      </c>
      <c r="F2022" s="1">
        <f>_xlfn.XLOOKUP(payments_raw[[#This Row],[subscription_id]], subscriptions[subscription_id], subscriptions[start_date])</f>
        <v>44985</v>
      </c>
      <c r="G20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2" s="2">
        <f>IF(payments_raw[[#This Row],[payment_date]] &lt; payments_raw[[#This Row],[sub_start_date]], 1, 0)</f>
        <v>0</v>
      </c>
      <c r="I2022" s="2">
        <f>IF(AND(payments_raw[[#This Row],[sub_end_date]]&lt;&gt;"", payments_raw[[#This Row],[payment_date]] &gt; payments_raw[[#This Row],[sub_end_date]]), 1, 0)</f>
        <v>0</v>
      </c>
      <c r="J2022" s="2">
        <f>IF(payments_raw[[#This Row],[amount]] &lt;= 0, 1, 0)</f>
        <v>0</v>
      </c>
      <c r="K20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3" spans="1:11" x14ac:dyDescent="0.3">
      <c r="A2023">
        <v>15759381</v>
      </c>
      <c r="B2023">
        <v>9305156</v>
      </c>
      <c r="C2023" s="1">
        <v>45024</v>
      </c>
      <c r="D2023">
        <v>79</v>
      </c>
      <c r="E2023">
        <f>IF(
  ISNA(
    _xlfn.XLOOKUP(
      payments_raw[[#This Row],[subscription_id]],
      subscriptions[subscription_id],
      subscriptions[subscription_id]
    )
  ),
  0,
  1
)</f>
        <v>1</v>
      </c>
      <c r="F2023" s="1">
        <f>_xlfn.XLOOKUP(payments_raw[[#This Row],[subscription_id]], subscriptions[subscription_id], subscriptions[start_date])</f>
        <v>44715</v>
      </c>
      <c r="G20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3" s="2">
        <f>IF(payments_raw[[#This Row],[payment_date]] &lt; payments_raw[[#This Row],[sub_start_date]], 1, 0)</f>
        <v>0</v>
      </c>
      <c r="I2023" s="2">
        <f>IF(AND(payments_raw[[#This Row],[sub_end_date]]&lt;&gt;"", payments_raw[[#This Row],[payment_date]] &gt; payments_raw[[#This Row],[sub_end_date]]), 1, 0)</f>
        <v>0</v>
      </c>
      <c r="J2023" s="2">
        <f>IF(payments_raw[[#This Row],[amount]] &lt;= 0, 1, 0)</f>
        <v>0</v>
      </c>
      <c r="K20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4" spans="1:11" x14ac:dyDescent="0.3">
      <c r="A2024">
        <v>68094439</v>
      </c>
      <c r="B2024">
        <v>7459520</v>
      </c>
      <c r="C2024" s="1">
        <v>45439</v>
      </c>
      <c r="D2024">
        <v>390</v>
      </c>
      <c r="E2024">
        <f>IF(
  ISNA(
    _xlfn.XLOOKUP(
      payments_raw[[#This Row],[subscription_id]],
      subscriptions[subscription_id],
      subscriptions[subscription_id]
    )
  ),
  0,
  1
)</f>
        <v>1</v>
      </c>
      <c r="F2024" s="1">
        <f>_xlfn.XLOOKUP(payments_raw[[#This Row],[subscription_id]], subscriptions[subscription_id], subscriptions[start_date])</f>
        <v>45284</v>
      </c>
      <c r="G20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4" s="2">
        <f>IF(payments_raw[[#This Row],[payment_date]] &lt; payments_raw[[#This Row],[sub_start_date]], 1, 0)</f>
        <v>0</v>
      </c>
      <c r="I2024" s="2">
        <f>IF(AND(payments_raw[[#This Row],[sub_end_date]]&lt;&gt;"", payments_raw[[#This Row],[payment_date]] &gt; payments_raw[[#This Row],[sub_end_date]]), 1, 0)</f>
        <v>0</v>
      </c>
      <c r="J2024" s="2">
        <f>IF(payments_raw[[#This Row],[amount]] &lt;= 0, 1, 0)</f>
        <v>0</v>
      </c>
      <c r="K20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5" spans="1:11" x14ac:dyDescent="0.3">
      <c r="A2025">
        <v>18601785</v>
      </c>
      <c r="B2025">
        <v>3864241</v>
      </c>
      <c r="C2025" s="1">
        <v>45577</v>
      </c>
      <c r="D2025">
        <v>2990</v>
      </c>
      <c r="E2025">
        <f>IF(
  ISNA(
    _xlfn.XLOOKUP(
      payments_raw[[#This Row],[subscription_id]],
      subscriptions[subscription_id],
      subscriptions[subscription_id]
    )
  ),
  0,
  1
)</f>
        <v>1</v>
      </c>
      <c r="F2025" s="1">
        <f>_xlfn.XLOOKUP(payments_raw[[#This Row],[subscription_id]], subscriptions[subscription_id], subscriptions[start_date])</f>
        <v>45559</v>
      </c>
      <c r="G20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5" s="2">
        <f>IF(payments_raw[[#This Row],[payment_date]] &lt; payments_raw[[#This Row],[sub_start_date]], 1, 0)</f>
        <v>0</v>
      </c>
      <c r="I2025" s="2">
        <f>IF(AND(payments_raw[[#This Row],[sub_end_date]]&lt;&gt;"", payments_raw[[#This Row],[payment_date]] &gt; payments_raw[[#This Row],[sub_end_date]]), 1, 0)</f>
        <v>0</v>
      </c>
      <c r="J2025" s="2">
        <f>IF(payments_raw[[#This Row],[amount]] &lt;= 0, 1, 0)</f>
        <v>0</v>
      </c>
      <c r="K20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6" spans="1:11" x14ac:dyDescent="0.3">
      <c r="A2026">
        <v>39990423</v>
      </c>
      <c r="B2026">
        <v>5215097</v>
      </c>
      <c r="C2026" s="1">
        <v>45541</v>
      </c>
      <c r="D2026">
        <v>19</v>
      </c>
      <c r="E2026">
        <f>IF(
  ISNA(
    _xlfn.XLOOKUP(
      payments_raw[[#This Row],[subscription_id]],
      subscriptions[subscription_id],
      subscriptions[subscription_id]
    )
  ),
  0,
  1
)</f>
        <v>1</v>
      </c>
      <c r="F2026" s="1">
        <f>_xlfn.XLOOKUP(payments_raw[[#This Row],[subscription_id]], subscriptions[subscription_id], subscriptions[start_date])</f>
        <v>45528</v>
      </c>
      <c r="G20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6" s="2">
        <f>IF(payments_raw[[#This Row],[payment_date]] &lt; payments_raw[[#This Row],[sub_start_date]], 1, 0)</f>
        <v>0</v>
      </c>
      <c r="I2026" s="2">
        <f>IF(AND(payments_raw[[#This Row],[sub_end_date]]&lt;&gt;"", payments_raw[[#This Row],[payment_date]] &gt; payments_raw[[#This Row],[sub_end_date]]), 1, 0)</f>
        <v>0</v>
      </c>
      <c r="J2026" s="2">
        <f>IF(payments_raw[[#This Row],[amount]] &lt;= 0, 1, 0)</f>
        <v>0</v>
      </c>
      <c r="K20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7" spans="1:11" x14ac:dyDescent="0.3">
      <c r="A2027">
        <v>28983103</v>
      </c>
      <c r="B2027">
        <v>7831393</v>
      </c>
      <c r="C2027" s="1">
        <v>45350</v>
      </c>
      <c r="D2027">
        <v>790</v>
      </c>
      <c r="E2027">
        <f>IF(
  ISNA(
    _xlfn.XLOOKUP(
      payments_raw[[#This Row],[subscription_id]],
      subscriptions[subscription_id],
      subscriptions[subscription_id]
    )
  ),
  0,
  1
)</f>
        <v>1</v>
      </c>
      <c r="F2027" s="1">
        <f>_xlfn.XLOOKUP(payments_raw[[#This Row],[subscription_id]], subscriptions[subscription_id], subscriptions[start_date])</f>
        <v>44986</v>
      </c>
      <c r="G20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7" s="2">
        <f>IF(payments_raw[[#This Row],[payment_date]] &lt; payments_raw[[#This Row],[sub_start_date]], 1, 0)</f>
        <v>0</v>
      </c>
      <c r="I2027" s="2">
        <f>IF(AND(payments_raw[[#This Row],[sub_end_date]]&lt;&gt;"", payments_raw[[#This Row],[payment_date]] &gt; payments_raw[[#This Row],[sub_end_date]]), 1, 0)</f>
        <v>0</v>
      </c>
      <c r="J2027" s="2">
        <f>IF(payments_raw[[#This Row],[amount]] &lt;= 0, 1, 0)</f>
        <v>0</v>
      </c>
      <c r="K20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8" spans="1:11" x14ac:dyDescent="0.3">
      <c r="A2028">
        <v>25408026</v>
      </c>
      <c r="B2028">
        <v>2797914</v>
      </c>
      <c r="C2028" s="1">
        <v>44989</v>
      </c>
      <c r="D2028">
        <v>79</v>
      </c>
      <c r="E2028">
        <f>IF(
  ISNA(
    _xlfn.XLOOKUP(
      payments_raw[[#This Row],[subscription_id]],
      subscriptions[subscription_id],
      subscriptions[subscription_id]
    )
  ),
  0,
  1
)</f>
        <v>1</v>
      </c>
      <c r="F2028" s="1">
        <f>_xlfn.XLOOKUP(payments_raw[[#This Row],[subscription_id]], subscriptions[subscription_id], subscriptions[start_date])</f>
        <v>44572</v>
      </c>
      <c r="G20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8" s="2">
        <f>IF(payments_raw[[#This Row],[payment_date]] &lt; payments_raw[[#This Row],[sub_start_date]], 1, 0)</f>
        <v>0</v>
      </c>
      <c r="I2028" s="2">
        <f>IF(AND(payments_raw[[#This Row],[sub_end_date]]&lt;&gt;"", payments_raw[[#This Row],[payment_date]] &gt; payments_raw[[#This Row],[sub_end_date]]), 1, 0)</f>
        <v>0</v>
      </c>
      <c r="J2028" s="2">
        <f>IF(payments_raw[[#This Row],[amount]] &lt;= 0, 1, 0)</f>
        <v>0</v>
      </c>
      <c r="K20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29" spans="1:11" x14ac:dyDescent="0.3">
      <c r="A2029">
        <v>71937580</v>
      </c>
      <c r="B2029">
        <v>4056507</v>
      </c>
      <c r="C2029" s="1">
        <v>45454</v>
      </c>
      <c r="D2029">
        <v>190</v>
      </c>
      <c r="E2029">
        <f>IF(
  ISNA(
    _xlfn.XLOOKUP(
      payments_raw[[#This Row],[subscription_id]],
      subscriptions[subscription_id],
      subscriptions[subscription_id]
    )
  ),
  0,
  1
)</f>
        <v>1</v>
      </c>
      <c r="F2029" s="1">
        <f>_xlfn.XLOOKUP(payments_raw[[#This Row],[subscription_id]], subscriptions[subscription_id], subscriptions[start_date])</f>
        <v>45113</v>
      </c>
      <c r="G20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29" s="2">
        <f>IF(payments_raw[[#This Row],[payment_date]] &lt; payments_raw[[#This Row],[sub_start_date]], 1, 0)</f>
        <v>0</v>
      </c>
      <c r="I2029" s="2">
        <f>IF(AND(payments_raw[[#This Row],[sub_end_date]]&lt;&gt;"", payments_raw[[#This Row],[payment_date]] &gt; payments_raw[[#This Row],[sub_end_date]]), 1, 0)</f>
        <v>0</v>
      </c>
      <c r="J2029" s="2">
        <f>IF(payments_raw[[#This Row],[amount]] &lt;= 0, 1, 0)</f>
        <v>0</v>
      </c>
      <c r="K20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0" spans="1:11" x14ac:dyDescent="0.3">
      <c r="A2030">
        <v>57813594</v>
      </c>
      <c r="B2030">
        <v>9767063</v>
      </c>
      <c r="C2030" s="1">
        <v>45452</v>
      </c>
      <c r="D2030">
        <v>19</v>
      </c>
      <c r="E2030">
        <f>IF(
  ISNA(
    _xlfn.XLOOKUP(
      payments_raw[[#This Row],[subscription_id]],
      subscriptions[subscription_id],
      subscriptions[subscription_id]
    )
  ),
  0,
  1
)</f>
        <v>1</v>
      </c>
      <c r="F2030" s="1">
        <f>_xlfn.XLOOKUP(payments_raw[[#This Row],[subscription_id]], subscriptions[subscription_id], subscriptions[start_date])</f>
        <v>45182</v>
      </c>
      <c r="G20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0" s="2">
        <f>IF(payments_raw[[#This Row],[payment_date]] &lt; payments_raw[[#This Row],[sub_start_date]], 1, 0)</f>
        <v>0</v>
      </c>
      <c r="I2030" s="2">
        <f>IF(AND(payments_raw[[#This Row],[sub_end_date]]&lt;&gt;"", payments_raw[[#This Row],[payment_date]] &gt; payments_raw[[#This Row],[sub_end_date]]), 1, 0)</f>
        <v>0</v>
      </c>
      <c r="J2030" s="2">
        <f>IF(payments_raw[[#This Row],[amount]] &lt;= 0, 1, 0)</f>
        <v>0</v>
      </c>
      <c r="K20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1" spans="1:11" x14ac:dyDescent="0.3">
      <c r="A2031">
        <v>62560511</v>
      </c>
      <c r="B2031">
        <v>6916088</v>
      </c>
      <c r="C2031" s="1">
        <v>45275</v>
      </c>
      <c r="D2031">
        <v>299</v>
      </c>
      <c r="E2031">
        <f>IF(
  ISNA(
    _xlfn.XLOOKUP(
      payments_raw[[#This Row],[subscription_id]],
      subscriptions[subscription_id],
      subscriptions[subscription_id]
    )
  ),
  0,
  1
)</f>
        <v>1</v>
      </c>
      <c r="F2031" s="1">
        <f>_xlfn.XLOOKUP(payments_raw[[#This Row],[subscription_id]], subscriptions[subscription_id], subscriptions[start_date])</f>
        <v>45178</v>
      </c>
      <c r="G20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45473</v>
      </c>
      <c r="H2031" s="2">
        <f>IF(payments_raw[[#This Row],[payment_date]] &lt; payments_raw[[#This Row],[sub_start_date]], 1, 0)</f>
        <v>0</v>
      </c>
      <c r="I2031" s="2">
        <f>IF(AND(payments_raw[[#This Row],[sub_end_date]]&lt;&gt;"", payments_raw[[#This Row],[payment_date]] &gt; payments_raw[[#This Row],[sub_end_date]]), 1, 0)</f>
        <v>0</v>
      </c>
      <c r="J2031" s="2">
        <f>IF(payments_raw[[#This Row],[amount]] &lt;= 0, 1, 0)</f>
        <v>0</v>
      </c>
      <c r="K20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2" spans="1:11" x14ac:dyDescent="0.3">
      <c r="A2032">
        <v>55282621</v>
      </c>
      <c r="B2032">
        <v>9171197</v>
      </c>
      <c r="C2032" s="1">
        <v>45555</v>
      </c>
      <c r="D2032">
        <v>2990</v>
      </c>
      <c r="E2032">
        <f>IF(
  ISNA(
    _xlfn.XLOOKUP(
      payments_raw[[#This Row],[subscription_id]],
      subscriptions[subscription_id],
      subscriptions[subscription_id]
    )
  ),
  0,
  1
)</f>
        <v>1</v>
      </c>
      <c r="F2032" s="1">
        <f>_xlfn.XLOOKUP(payments_raw[[#This Row],[subscription_id]], subscriptions[subscription_id], subscriptions[start_date])</f>
        <v>45073</v>
      </c>
      <c r="G20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2" s="2">
        <f>IF(payments_raw[[#This Row],[payment_date]] &lt; payments_raw[[#This Row],[sub_start_date]], 1, 0)</f>
        <v>0</v>
      </c>
      <c r="I2032" s="2">
        <f>IF(AND(payments_raw[[#This Row],[sub_end_date]]&lt;&gt;"", payments_raw[[#This Row],[payment_date]] &gt; payments_raw[[#This Row],[sub_end_date]]), 1, 0)</f>
        <v>0</v>
      </c>
      <c r="J2032" s="2">
        <f>IF(payments_raw[[#This Row],[amount]] &lt;= 0, 1, 0)</f>
        <v>0</v>
      </c>
      <c r="K20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3" spans="1:11" x14ac:dyDescent="0.3">
      <c r="A2033">
        <v>84541470</v>
      </c>
      <c r="B2033">
        <v>6835191</v>
      </c>
      <c r="C2033" s="1">
        <v>44725</v>
      </c>
      <c r="D2033">
        <v>79</v>
      </c>
      <c r="E2033">
        <f>IF(
  ISNA(
    _xlfn.XLOOKUP(
      payments_raw[[#This Row],[subscription_id]],
      subscriptions[subscription_id],
      subscriptions[subscription_id]
    )
  ),
  0,
  1
)</f>
        <v>1</v>
      </c>
      <c r="F2033" s="1">
        <f>_xlfn.XLOOKUP(payments_raw[[#This Row],[subscription_id]], subscriptions[subscription_id], subscriptions[start_date])</f>
        <v>44615</v>
      </c>
      <c r="G203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44817</v>
      </c>
      <c r="H2033" s="2">
        <f>IF(payments_raw[[#This Row],[payment_date]] &lt; payments_raw[[#This Row],[sub_start_date]], 1, 0)</f>
        <v>0</v>
      </c>
      <c r="I2033" s="2">
        <f>IF(AND(payments_raw[[#This Row],[sub_end_date]]&lt;&gt;"", payments_raw[[#This Row],[payment_date]] &gt; payments_raw[[#This Row],[sub_end_date]]), 1, 0)</f>
        <v>0</v>
      </c>
      <c r="J2033" s="2">
        <f>IF(payments_raw[[#This Row],[amount]] &lt;= 0, 1, 0)</f>
        <v>0</v>
      </c>
      <c r="K20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4" spans="1:11" x14ac:dyDescent="0.3">
      <c r="A2034">
        <v>20587268</v>
      </c>
      <c r="B2034">
        <v>9532750</v>
      </c>
      <c r="C2034" s="1">
        <v>45504</v>
      </c>
      <c r="D2034">
        <v>149</v>
      </c>
      <c r="E2034">
        <f>IF(
  ISNA(
    _xlfn.XLOOKUP(
      payments_raw[[#This Row],[subscription_id]],
      subscriptions[subscription_id],
      subscriptions[subscription_id]
    )
  ),
  0,
  1
)</f>
        <v>1</v>
      </c>
      <c r="F2034" s="1">
        <f>_xlfn.XLOOKUP(payments_raw[[#This Row],[subscription_id]], subscriptions[subscription_id], subscriptions[start_date])</f>
        <v>45393</v>
      </c>
      <c r="G20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4" s="2">
        <f>IF(payments_raw[[#This Row],[payment_date]] &lt; payments_raw[[#This Row],[sub_start_date]], 1, 0)</f>
        <v>0</v>
      </c>
      <c r="I2034" s="2">
        <f>IF(AND(payments_raw[[#This Row],[sub_end_date]]&lt;&gt;"", payments_raw[[#This Row],[payment_date]] &gt; payments_raw[[#This Row],[sub_end_date]]), 1, 0)</f>
        <v>0</v>
      </c>
      <c r="J2034" s="2">
        <f>IF(payments_raw[[#This Row],[amount]] &lt;= 0, 1, 0)</f>
        <v>0</v>
      </c>
      <c r="K20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5" spans="1:11" x14ac:dyDescent="0.3">
      <c r="A2035">
        <v>45043102</v>
      </c>
      <c r="B2035">
        <v>8244130</v>
      </c>
      <c r="C2035" s="1">
        <v>44954</v>
      </c>
      <c r="D2035">
        <v>39</v>
      </c>
      <c r="E2035">
        <f>IF(
  ISNA(
    _xlfn.XLOOKUP(
      payments_raw[[#This Row],[subscription_id]],
      subscriptions[subscription_id],
      subscriptions[subscription_id]
    )
  ),
  0,
  1
)</f>
        <v>1</v>
      </c>
      <c r="F2035" s="1">
        <f>_xlfn.XLOOKUP(payments_raw[[#This Row],[subscription_id]], subscriptions[subscription_id], subscriptions[start_date])</f>
        <v>44931</v>
      </c>
      <c r="G203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44973</v>
      </c>
      <c r="H2035" s="2">
        <f>IF(payments_raw[[#This Row],[payment_date]] &lt; payments_raw[[#This Row],[sub_start_date]], 1, 0)</f>
        <v>0</v>
      </c>
      <c r="I2035" s="2">
        <f>IF(AND(payments_raw[[#This Row],[sub_end_date]]&lt;&gt;"", payments_raw[[#This Row],[payment_date]] &gt; payments_raw[[#This Row],[sub_end_date]]), 1, 0)</f>
        <v>0</v>
      </c>
      <c r="J2035" s="2">
        <f>IF(payments_raw[[#This Row],[amount]] &lt;= 0, 1, 0)</f>
        <v>0</v>
      </c>
      <c r="K20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6" spans="1:11" x14ac:dyDescent="0.3">
      <c r="A2036">
        <v>35387628</v>
      </c>
      <c r="B2036">
        <v>7382330</v>
      </c>
      <c r="C2036" s="1">
        <v>44927</v>
      </c>
      <c r="D2036">
        <v>790</v>
      </c>
      <c r="E2036">
        <f>IF(
  ISNA(
    _xlfn.XLOOKUP(
      payments_raw[[#This Row],[subscription_id]],
      subscriptions[subscription_id],
      subscriptions[subscription_id]
    )
  ),
  0,
  1
)</f>
        <v>1</v>
      </c>
      <c r="F2036" s="1">
        <f>_xlfn.XLOOKUP(payments_raw[[#This Row],[subscription_id]], subscriptions[subscription_id], subscriptions[start_date])</f>
        <v>44662</v>
      </c>
      <c r="G20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6" s="2">
        <f>IF(payments_raw[[#This Row],[payment_date]] &lt; payments_raw[[#This Row],[sub_start_date]], 1, 0)</f>
        <v>0</v>
      </c>
      <c r="I2036" s="2">
        <f>IF(AND(payments_raw[[#This Row],[sub_end_date]]&lt;&gt;"", payments_raw[[#This Row],[payment_date]] &gt; payments_raw[[#This Row],[sub_end_date]]), 1, 0)</f>
        <v>0</v>
      </c>
      <c r="J2036" s="2">
        <f>IF(payments_raw[[#This Row],[amount]] &lt;= 0, 1, 0)</f>
        <v>0</v>
      </c>
      <c r="K20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7" spans="1:11" x14ac:dyDescent="0.3">
      <c r="A2037">
        <v>63223875</v>
      </c>
      <c r="B2037">
        <v>4937877</v>
      </c>
      <c r="C2037" s="1">
        <v>45474</v>
      </c>
      <c r="D2037">
        <v>79</v>
      </c>
      <c r="E2037">
        <f>IF(
  ISNA(
    _xlfn.XLOOKUP(
      payments_raw[[#This Row],[subscription_id]],
      subscriptions[subscription_id],
      subscriptions[subscription_id]
    )
  ),
  0,
  1
)</f>
        <v>1</v>
      </c>
      <c r="F2037" s="1">
        <f>_xlfn.XLOOKUP(payments_raw[[#This Row],[subscription_id]], subscriptions[subscription_id], subscriptions[start_date])</f>
        <v>45276</v>
      </c>
      <c r="G20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7" s="2">
        <f>IF(payments_raw[[#This Row],[payment_date]] &lt; payments_raw[[#This Row],[sub_start_date]], 1, 0)</f>
        <v>0</v>
      </c>
      <c r="I2037" s="2">
        <f>IF(AND(payments_raw[[#This Row],[sub_end_date]]&lt;&gt;"", payments_raw[[#This Row],[payment_date]] &gt; payments_raw[[#This Row],[sub_end_date]]), 1, 0)</f>
        <v>0</v>
      </c>
      <c r="J2037" s="2">
        <f>IF(payments_raw[[#This Row],[amount]] &lt;= 0, 1, 0)</f>
        <v>0</v>
      </c>
      <c r="K20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8" spans="1:11" x14ac:dyDescent="0.3">
      <c r="A2038">
        <v>19727964</v>
      </c>
      <c r="B2038">
        <v>4282547</v>
      </c>
      <c r="C2038" s="1">
        <v>45036</v>
      </c>
      <c r="D2038">
        <v>149</v>
      </c>
      <c r="E2038">
        <f>IF(
  ISNA(
    _xlfn.XLOOKUP(
      payments_raw[[#This Row],[subscription_id]],
      subscriptions[subscription_id],
      subscriptions[subscription_id]
    )
  ),
  0,
  1
)</f>
        <v>1</v>
      </c>
      <c r="F2038" s="1">
        <f>_xlfn.XLOOKUP(payments_raw[[#This Row],[subscription_id]], subscriptions[subscription_id], subscriptions[start_date])</f>
        <v>44580</v>
      </c>
      <c r="G20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8" s="2">
        <f>IF(payments_raw[[#This Row],[payment_date]] &lt; payments_raw[[#This Row],[sub_start_date]], 1, 0)</f>
        <v>0</v>
      </c>
      <c r="I2038" s="2">
        <f>IF(AND(payments_raw[[#This Row],[sub_end_date]]&lt;&gt;"", payments_raw[[#This Row],[payment_date]] &gt; payments_raw[[#This Row],[sub_end_date]]), 1, 0)</f>
        <v>0</v>
      </c>
      <c r="J2038" s="2">
        <f>IF(payments_raw[[#This Row],[amount]] &lt;= 0, 1, 0)</f>
        <v>0</v>
      </c>
      <c r="K20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39" spans="1:11" x14ac:dyDescent="0.3">
      <c r="A2039">
        <v>83917738</v>
      </c>
      <c r="B2039">
        <v>1627774</v>
      </c>
      <c r="C2039" s="1">
        <v>45090</v>
      </c>
      <c r="D2039">
        <v>149.5</v>
      </c>
      <c r="E2039">
        <f>IF(
  ISNA(
    _xlfn.XLOOKUP(
      payments_raw[[#This Row],[subscription_id]],
      subscriptions[subscription_id],
      subscriptions[subscription_id]
    )
  ),
  0,
  1
)</f>
        <v>1</v>
      </c>
      <c r="F2039" s="1">
        <f>_xlfn.XLOOKUP(payments_raw[[#This Row],[subscription_id]], subscriptions[subscription_id], subscriptions[start_date])</f>
        <v>44711</v>
      </c>
      <c r="G20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39" s="2">
        <f>IF(payments_raw[[#This Row],[payment_date]] &lt; payments_raw[[#This Row],[sub_start_date]], 1, 0)</f>
        <v>0</v>
      </c>
      <c r="I2039" s="2">
        <f>IF(AND(payments_raw[[#This Row],[sub_end_date]]&lt;&gt;"", payments_raw[[#This Row],[payment_date]] &gt; payments_raw[[#This Row],[sub_end_date]]), 1, 0)</f>
        <v>0</v>
      </c>
      <c r="J2039" s="2">
        <f>IF(payments_raw[[#This Row],[amount]] &lt;= 0, 1, 0)</f>
        <v>0</v>
      </c>
      <c r="K20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0" spans="1:11" x14ac:dyDescent="0.3">
      <c r="A2040">
        <v>49812119</v>
      </c>
      <c r="B2040">
        <v>3156762</v>
      </c>
      <c r="C2040" s="1">
        <v>44908</v>
      </c>
      <c r="D2040">
        <v>2990</v>
      </c>
      <c r="E2040">
        <f>IF(
  ISNA(
    _xlfn.XLOOKUP(
      payments_raw[[#This Row],[subscription_id]],
      subscriptions[subscription_id],
      subscriptions[subscription_id]
    )
  ),
  0,
  1
)</f>
        <v>1</v>
      </c>
      <c r="F2040" s="1">
        <f>_xlfn.XLOOKUP(payments_raw[[#This Row],[subscription_id]], subscriptions[subscription_id], subscriptions[start_date])</f>
        <v>44862</v>
      </c>
      <c r="G20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45088</v>
      </c>
      <c r="H2040" s="2">
        <f>IF(payments_raw[[#This Row],[payment_date]] &lt; payments_raw[[#This Row],[sub_start_date]], 1, 0)</f>
        <v>0</v>
      </c>
      <c r="I2040" s="2">
        <f>IF(AND(payments_raw[[#This Row],[sub_end_date]]&lt;&gt;"", payments_raw[[#This Row],[payment_date]] &gt; payments_raw[[#This Row],[sub_end_date]]), 1, 0)</f>
        <v>0</v>
      </c>
      <c r="J2040" s="2">
        <f>IF(payments_raw[[#This Row],[amount]] &lt;= 0, 1, 0)</f>
        <v>0</v>
      </c>
      <c r="K20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1" spans="1:11" x14ac:dyDescent="0.3">
      <c r="A2041">
        <v>64679723</v>
      </c>
      <c r="B2041">
        <v>7550021</v>
      </c>
      <c r="C2041" s="1">
        <v>45078</v>
      </c>
      <c r="D2041">
        <v>190</v>
      </c>
      <c r="E2041">
        <f>IF(
  ISNA(
    _xlfn.XLOOKUP(
      payments_raw[[#This Row],[subscription_id]],
      subscriptions[subscription_id],
      subscriptions[subscription_id]
    )
  ),
  0,
  1
)</f>
        <v>1</v>
      </c>
      <c r="F2041" s="1">
        <f>_xlfn.XLOOKUP(payments_raw[[#This Row],[subscription_id]], subscriptions[subscription_id], subscriptions[start_date])</f>
        <v>44917</v>
      </c>
      <c r="G20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41" s="2">
        <f>IF(payments_raw[[#This Row],[payment_date]] &lt; payments_raw[[#This Row],[sub_start_date]], 1, 0)</f>
        <v>0</v>
      </c>
      <c r="I2041" s="2">
        <f>IF(AND(payments_raw[[#This Row],[sub_end_date]]&lt;&gt;"", payments_raw[[#This Row],[payment_date]] &gt; payments_raw[[#This Row],[sub_end_date]]), 1, 0)</f>
        <v>0</v>
      </c>
      <c r="J2041" s="2">
        <f>IF(payments_raw[[#This Row],[amount]] &lt;= 0, 1, 0)</f>
        <v>0</v>
      </c>
      <c r="K20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2" spans="1:11" x14ac:dyDescent="0.3">
      <c r="A2042">
        <v>28217622</v>
      </c>
      <c r="B2042">
        <v>3341247</v>
      </c>
      <c r="C2042" s="1">
        <v>44830</v>
      </c>
      <c r="D2042">
        <v>1490</v>
      </c>
      <c r="E2042">
        <f>IF(
  ISNA(
    _xlfn.XLOOKUP(
      payments_raw[[#This Row],[subscription_id]],
      subscriptions[subscription_id],
      subscriptions[subscription_id]
    )
  ),
  0,
  1
)</f>
        <v>1</v>
      </c>
      <c r="F2042" s="1">
        <f>_xlfn.XLOOKUP(payments_raw[[#This Row],[subscription_id]], subscriptions[subscription_id], subscriptions[start_date])</f>
        <v>44828</v>
      </c>
      <c r="G204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2042" s="2">
        <f>IF(payments_raw[[#This Row],[payment_date]] &lt; payments_raw[[#This Row],[sub_start_date]], 1, 0)</f>
        <v>0</v>
      </c>
      <c r="I2042" s="2">
        <f>IF(AND(payments_raw[[#This Row],[sub_end_date]]&lt;&gt;"", payments_raw[[#This Row],[payment_date]] &gt; payments_raw[[#This Row],[sub_end_date]]), 1, 0)</f>
        <v>0</v>
      </c>
      <c r="J2042" s="2">
        <f>IF(payments_raw[[#This Row],[amount]] &lt;= 0, 1, 0)</f>
        <v>0</v>
      </c>
      <c r="K20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3" spans="1:11" x14ac:dyDescent="0.3">
      <c r="A2043">
        <v>36159411</v>
      </c>
      <c r="B2043">
        <v>3037470</v>
      </c>
      <c r="C2043" s="1">
        <v>44828</v>
      </c>
      <c r="D2043">
        <v>299</v>
      </c>
      <c r="E2043">
        <f>IF(
  ISNA(
    _xlfn.XLOOKUP(
      payments_raw[[#This Row],[subscription_id]],
      subscriptions[subscription_id],
      subscriptions[subscription_id]
    )
  ),
  0,
  1
)</f>
        <v>1</v>
      </c>
      <c r="F2043" s="1">
        <f>_xlfn.XLOOKUP(payments_raw[[#This Row],[subscription_id]], subscriptions[subscription_id], subscriptions[start_date])</f>
        <v>44670</v>
      </c>
      <c r="G204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44964</v>
      </c>
      <c r="H2043" s="2">
        <f>IF(payments_raw[[#This Row],[payment_date]] &lt; payments_raw[[#This Row],[sub_start_date]], 1, 0)</f>
        <v>0</v>
      </c>
      <c r="I2043" s="2">
        <f>IF(AND(payments_raw[[#This Row],[sub_end_date]]&lt;&gt;"", payments_raw[[#This Row],[payment_date]] &gt; payments_raw[[#This Row],[sub_end_date]]), 1, 0)</f>
        <v>0</v>
      </c>
      <c r="J2043" s="2">
        <f>IF(payments_raw[[#This Row],[amount]] &lt;= 0, 1, 0)</f>
        <v>0</v>
      </c>
      <c r="K20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4" spans="1:11" x14ac:dyDescent="0.3">
      <c r="A2044">
        <v>34576822</v>
      </c>
      <c r="B2044">
        <v>2476675</v>
      </c>
      <c r="C2044" s="1">
        <v>45020</v>
      </c>
      <c r="D2044">
        <v>149</v>
      </c>
      <c r="E2044">
        <f>IF(
  ISNA(
    _xlfn.XLOOKUP(
      payments_raw[[#This Row],[subscription_id]],
      subscriptions[subscription_id],
      subscriptions[subscription_id]
    )
  ),
  0,
  1
)</f>
        <v>1</v>
      </c>
      <c r="F2044" s="1">
        <f>_xlfn.XLOOKUP(payments_raw[[#This Row],[subscription_id]], subscriptions[subscription_id], subscriptions[start_date])</f>
        <v>44953</v>
      </c>
      <c r="G20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45171</v>
      </c>
      <c r="H2044" s="2">
        <f>IF(payments_raw[[#This Row],[payment_date]] &lt; payments_raw[[#This Row],[sub_start_date]], 1, 0)</f>
        <v>0</v>
      </c>
      <c r="I2044" s="2">
        <f>IF(AND(payments_raw[[#This Row],[sub_end_date]]&lt;&gt;"", payments_raw[[#This Row],[payment_date]] &gt; payments_raw[[#This Row],[sub_end_date]]), 1, 0)</f>
        <v>0</v>
      </c>
      <c r="J2044" s="2">
        <f>IF(payments_raw[[#This Row],[amount]] &lt;= 0, 1, 0)</f>
        <v>0</v>
      </c>
      <c r="K20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5" spans="1:11" x14ac:dyDescent="0.3">
      <c r="A2045">
        <v>98049954</v>
      </c>
      <c r="B2045">
        <v>6756692</v>
      </c>
      <c r="C2045" s="1">
        <v>45483</v>
      </c>
      <c r="D2045">
        <v>745</v>
      </c>
      <c r="E2045">
        <f>IF(
  ISNA(
    _xlfn.XLOOKUP(
      payments_raw[[#This Row],[subscription_id]],
      subscriptions[subscription_id],
      subscriptions[subscription_id]
    )
  ),
  0,
  1
)</f>
        <v>1</v>
      </c>
      <c r="F2045" s="1">
        <f>_xlfn.XLOOKUP(payments_raw[[#This Row],[subscription_id]], subscriptions[subscription_id], subscriptions[start_date])</f>
        <v>45456</v>
      </c>
      <c r="G20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045" s="2">
        <f>IF(payments_raw[[#This Row],[payment_date]] &lt; payments_raw[[#This Row],[sub_start_date]], 1, 0)</f>
        <v>0</v>
      </c>
      <c r="I2045" s="2">
        <f>IF(AND(payments_raw[[#This Row],[sub_end_date]]&lt;&gt;"", payments_raw[[#This Row],[payment_date]] &gt; payments_raw[[#This Row],[sub_end_date]]), 1, 0)</f>
        <v>0</v>
      </c>
      <c r="J2045" s="2">
        <f>IF(payments_raw[[#This Row],[amount]] &lt;= 0, 1, 0)</f>
        <v>0</v>
      </c>
      <c r="K20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6" spans="1:11" x14ac:dyDescent="0.3">
      <c r="A2046">
        <v>99024698</v>
      </c>
      <c r="B2046">
        <v>2823879</v>
      </c>
      <c r="C2046" s="1">
        <v>45497</v>
      </c>
      <c r="D2046">
        <v>299</v>
      </c>
      <c r="E2046">
        <f>IF(
  ISNA(
    _xlfn.XLOOKUP(
      payments_raw[[#This Row],[subscription_id]],
      subscriptions[subscription_id],
      subscriptions[subscription_id]
    )
  ),
  0,
  1
)</f>
        <v>1</v>
      </c>
      <c r="F2046" s="1">
        <f>_xlfn.XLOOKUP(payments_raw[[#This Row],[subscription_id]], subscriptions[subscription_id], subscriptions[start_date])</f>
        <v>45036</v>
      </c>
      <c r="G20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46" s="2">
        <f>IF(payments_raw[[#This Row],[payment_date]] &lt; payments_raw[[#This Row],[sub_start_date]], 1, 0)</f>
        <v>0</v>
      </c>
      <c r="I2046" s="2">
        <f>IF(AND(payments_raw[[#This Row],[sub_end_date]]&lt;&gt;"", payments_raw[[#This Row],[payment_date]] &gt; payments_raw[[#This Row],[sub_end_date]]), 1, 0)</f>
        <v>0</v>
      </c>
      <c r="J2046" s="2">
        <f>IF(payments_raw[[#This Row],[amount]] &lt;= 0, 1, 0)</f>
        <v>0</v>
      </c>
      <c r="K20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7" spans="1:11" x14ac:dyDescent="0.3">
      <c r="A2047">
        <v>65792325</v>
      </c>
      <c r="B2047">
        <v>1627606</v>
      </c>
      <c r="C2047" s="1">
        <v>45414</v>
      </c>
      <c r="D2047">
        <v>190</v>
      </c>
      <c r="E2047">
        <f>IF(
  ISNA(
    _xlfn.XLOOKUP(
      payments_raw[[#This Row],[subscription_id]],
      subscriptions[subscription_id],
      subscriptions[subscription_id]
    )
  ),
  0,
  1
)</f>
        <v>1</v>
      </c>
      <c r="F2047" s="1">
        <f>_xlfn.XLOOKUP(payments_raw[[#This Row],[subscription_id]], subscriptions[subscription_id], subscriptions[start_date])</f>
        <v>45156</v>
      </c>
      <c r="G20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47" s="2">
        <f>IF(payments_raw[[#This Row],[payment_date]] &lt; payments_raw[[#This Row],[sub_start_date]], 1, 0)</f>
        <v>0</v>
      </c>
      <c r="I2047" s="2">
        <f>IF(AND(payments_raw[[#This Row],[sub_end_date]]&lt;&gt;"", payments_raw[[#This Row],[payment_date]] &gt; payments_raw[[#This Row],[sub_end_date]]), 1, 0)</f>
        <v>0</v>
      </c>
      <c r="J2047" s="2">
        <f>IF(payments_raw[[#This Row],[amount]] &lt;= 0, 1, 0)</f>
        <v>0</v>
      </c>
      <c r="K20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8" spans="1:11" x14ac:dyDescent="0.3">
      <c r="A2048">
        <v>98319658</v>
      </c>
      <c r="B2048">
        <v>2151576</v>
      </c>
      <c r="C2048" s="1">
        <v>45536</v>
      </c>
      <c r="D2048">
        <v>149</v>
      </c>
      <c r="E2048">
        <f>IF(
  ISNA(
    _xlfn.XLOOKUP(
      payments_raw[[#This Row],[subscription_id]],
      subscriptions[subscription_id],
      subscriptions[subscription_id]
    )
  ),
  0,
  1
)</f>
        <v>1</v>
      </c>
      <c r="F2048" s="1">
        <f>_xlfn.XLOOKUP(payments_raw[[#This Row],[subscription_id]], subscriptions[subscription_id], subscriptions[start_date])</f>
        <v>45131</v>
      </c>
      <c r="G20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48" s="2">
        <f>IF(payments_raw[[#This Row],[payment_date]] &lt; payments_raw[[#This Row],[sub_start_date]], 1, 0)</f>
        <v>0</v>
      </c>
      <c r="I2048" s="2">
        <f>IF(AND(payments_raw[[#This Row],[sub_end_date]]&lt;&gt;"", payments_raw[[#This Row],[payment_date]] &gt; payments_raw[[#This Row],[sub_end_date]]), 1, 0)</f>
        <v>0</v>
      </c>
      <c r="J2048" s="2">
        <f>IF(payments_raw[[#This Row],[amount]] &lt;= 0, 1, 0)</f>
        <v>0</v>
      </c>
      <c r="K20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49" spans="1:11" x14ac:dyDescent="0.3">
      <c r="A2049">
        <v>82514117</v>
      </c>
      <c r="B2049">
        <v>7367900</v>
      </c>
      <c r="C2049" s="1">
        <v>45117</v>
      </c>
      <c r="D2049">
        <v>351</v>
      </c>
      <c r="E2049">
        <f>IF(
  ISNA(
    _xlfn.XLOOKUP(
      payments_raw[[#This Row],[subscription_id]],
      subscriptions[subscription_id],
      subscriptions[subscription_id]
    )
  ),
  0,
  1
)</f>
        <v>1</v>
      </c>
      <c r="F2049" s="1">
        <f>_xlfn.XLOOKUP(payments_raw[[#This Row],[subscription_id]], subscriptions[subscription_id], subscriptions[start_date])</f>
        <v>45114</v>
      </c>
      <c r="G20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2049" s="2">
        <f>IF(payments_raw[[#This Row],[payment_date]] &lt; payments_raw[[#This Row],[sub_start_date]], 1, 0)</f>
        <v>0</v>
      </c>
      <c r="I2049" s="2">
        <f>IF(AND(payments_raw[[#This Row],[sub_end_date]]&lt;&gt;"", payments_raw[[#This Row],[payment_date]] &gt; payments_raw[[#This Row],[sub_end_date]]), 1, 0)</f>
        <v>0</v>
      </c>
      <c r="J2049" s="2">
        <f>IF(payments_raw[[#This Row],[amount]] &lt;= 0, 1, 0)</f>
        <v>0</v>
      </c>
      <c r="K20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0" spans="1:11" x14ac:dyDescent="0.3">
      <c r="A2050">
        <v>52116525</v>
      </c>
      <c r="B2050">
        <v>2516637</v>
      </c>
      <c r="C2050" s="1">
        <v>45285</v>
      </c>
      <c r="D2050">
        <v>790</v>
      </c>
      <c r="E2050">
        <f>IF(
  ISNA(
    _xlfn.XLOOKUP(
      payments_raw[[#This Row],[subscription_id]],
      subscriptions[subscription_id],
      subscriptions[subscription_id]
    )
  ),
  0,
  1
)</f>
        <v>1</v>
      </c>
      <c r="F2050" s="1">
        <f>_xlfn.XLOOKUP(payments_raw[[#This Row],[subscription_id]], subscriptions[subscription_id], subscriptions[start_date])</f>
        <v>45195</v>
      </c>
      <c r="G20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45297</v>
      </c>
      <c r="H2050" s="2">
        <f>IF(payments_raw[[#This Row],[payment_date]] &lt; payments_raw[[#This Row],[sub_start_date]], 1, 0)</f>
        <v>0</v>
      </c>
      <c r="I2050" s="2">
        <f>IF(AND(payments_raw[[#This Row],[sub_end_date]]&lt;&gt;"", payments_raw[[#This Row],[payment_date]] &gt; payments_raw[[#This Row],[sub_end_date]]), 1, 0)</f>
        <v>0</v>
      </c>
      <c r="J2050" s="2">
        <f>IF(payments_raw[[#This Row],[amount]] &lt;= 0, 1, 0)</f>
        <v>0</v>
      </c>
      <c r="K20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1" spans="1:11" x14ac:dyDescent="0.3">
      <c r="A2051">
        <v>28907022</v>
      </c>
      <c r="B2051">
        <v>1202445</v>
      </c>
      <c r="C2051" s="1">
        <v>45380</v>
      </c>
      <c r="D2051">
        <v>2990</v>
      </c>
      <c r="E2051">
        <f>IF(
  ISNA(
    _xlfn.XLOOKUP(
      payments_raw[[#This Row],[subscription_id]],
      subscriptions[subscription_id],
      subscriptions[subscription_id]
    )
  ),
  0,
  1
)</f>
        <v>1</v>
      </c>
      <c r="F2051" s="1">
        <f>_xlfn.XLOOKUP(payments_raw[[#This Row],[subscription_id]], subscriptions[subscription_id], subscriptions[start_date])</f>
        <v>45093</v>
      </c>
      <c r="G20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1" s="2">
        <f>IF(payments_raw[[#This Row],[payment_date]] &lt; payments_raw[[#This Row],[sub_start_date]], 1, 0)</f>
        <v>0</v>
      </c>
      <c r="I2051" s="2">
        <f>IF(AND(payments_raw[[#This Row],[sub_end_date]]&lt;&gt;"", payments_raw[[#This Row],[payment_date]] &gt; payments_raw[[#This Row],[sub_end_date]]), 1, 0)</f>
        <v>0</v>
      </c>
      <c r="J2051" s="2">
        <f>IF(payments_raw[[#This Row],[amount]] &lt;= 0, 1, 0)</f>
        <v>0</v>
      </c>
      <c r="K20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2" spans="1:11" x14ac:dyDescent="0.3">
      <c r="A2052">
        <v>88190778</v>
      </c>
      <c r="B2052">
        <v>6272014</v>
      </c>
      <c r="C2052" s="1">
        <v>44773</v>
      </c>
      <c r="D2052">
        <v>190</v>
      </c>
      <c r="E2052">
        <f>IF(
  ISNA(
    _xlfn.XLOOKUP(
      payments_raw[[#This Row],[subscription_id]],
      subscriptions[subscription_id],
      subscriptions[subscription_id]
    )
  ),
  0,
  1
)</f>
        <v>1</v>
      </c>
      <c r="F2052" s="1">
        <f>_xlfn.XLOOKUP(payments_raw[[#This Row],[subscription_id]], subscriptions[subscription_id], subscriptions[start_date])</f>
        <v>44761</v>
      </c>
      <c r="G205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44933</v>
      </c>
      <c r="H2052" s="2">
        <f>IF(payments_raw[[#This Row],[payment_date]] &lt; payments_raw[[#This Row],[sub_start_date]], 1, 0)</f>
        <v>0</v>
      </c>
      <c r="I2052" s="2">
        <f>IF(AND(payments_raw[[#This Row],[sub_end_date]]&lt;&gt;"", payments_raw[[#This Row],[payment_date]] &gt; payments_raw[[#This Row],[sub_end_date]]), 1, 0)</f>
        <v>0</v>
      </c>
      <c r="J2052" s="2">
        <f>IF(payments_raw[[#This Row],[amount]] &lt;= 0, 1, 0)</f>
        <v>0</v>
      </c>
      <c r="K20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3" spans="1:11" x14ac:dyDescent="0.3">
      <c r="A2053">
        <v>97754046</v>
      </c>
      <c r="B2053">
        <v>4317199</v>
      </c>
      <c r="C2053" s="1">
        <v>45192</v>
      </c>
      <c r="D2053">
        <v>149</v>
      </c>
      <c r="E2053">
        <f>IF(
  ISNA(
    _xlfn.XLOOKUP(
      payments_raw[[#This Row],[subscription_id]],
      subscriptions[subscription_id],
      subscriptions[subscription_id]
    )
  ),
  0,
  1
)</f>
        <v>1</v>
      </c>
      <c r="F2053" s="1">
        <f>_xlfn.XLOOKUP(payments_raw[[#This Row],[subscription_id]], subscriptions[subscription_id], subscriptions[start_date])</f>
        <v>45101</v>
      </c>
      <c r="G20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3" s="2">
        <f>IF(payments_raw[[#This Row],[payment_date]] &lt; payments_raw[[#This Row],[sub_start_date]], 1, 0)</f>
        <v>0</v>
      </c>
      <c r="I2053" s="2">
        <f>IF(AND(payments_raw[[#This Row],[sub_end_date]]&lt;&gt;"", payments_raw[[#This Row],[payment_date]] &gt; payments_raw[[#This Row],[sub_end_date]]), 1, 0)</f>
        <v>0</v>
      </c>
      <c r="J2053" s="2">
        <f>IF(payments_raw[[#This Row],[amount]] &lt;= 0, 1, 0)</f>
        <v>0</v>
      </c>
      <c r="K20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4" spans="1:11" x14ac:dyDescent="0.3">
      <c r="A2054">
        <v>75403701</v>
      </c>
      <c r="B2054">
        <v>6290495</v>
      </c>
      <c r="C2054" s="1">
        <v>45514</v>
      </c>
      <c r="D2054">
        <v>190</v>
      </c>
      <c r="E2054">
        <f>IF(
  ISNA(
    _xlfn.XLOOKUP(
      payments_raw[[#This Row],[subscription_id]],
      subscriptions[subscription_id],
      subscriptions[subscription_id]
    )
  ),
  0,
  1
)</f>
        <v>1</v>
      </c>
      <c r="F2054" s="1">
        <f>_xlfn.XLOOKUP(payments_raw[[#This Row],[subscription_id]], subscriptions[subscription_id], subscriptions[start_date])</f>
        <v>45486</v>
      </c>
      <c r="G20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054" s="2">
        <f>IF(payments_raw[[#This Row],[payment_date]] &lt; payments_raw[[#This Row],[sub_start_date]], 1, 0)</f>
        <v>0</v>
      </c>
      <c r="I2054" s="2">
        <f>IF(AND(payments_raw[[#This Row],[sub_end_date]]&lt;&gt;"", payments_raw[[#This Row],[payment_date]] &gt; payments_raw[[#This Row],[sub_end_date]]), 1, 0)</f>
        <v>0</v>
      </c>
      <c r="J2054" s="2">
        <f>IF(payments_raw[[#This Row],[amount]] &lt;= 0, 1, 0)</f>
        <v>0</v>
      </c>
      <c r="K20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5" spans="1:11" x14ac:dyDescent="0.3">
      <c r="A2055">
        <v>18645137</v>
      </c>
      <c r="B2055">
        <v>9126125</v>
      </c>
      <c r="C2055" s="1">
        <v>45268</v>
      </c>
      <c r="D2055">
        <v>19</v>
      </c>
      <c r="E2055">
        <f>IF(
  ISNA(
    _xlfn.XLOOKUP(
      payments_raw[[#This Row],[subscription_id]],
      subscriptions[subscription_id],
      subscriptions[subscription_id]
    )
  ),
  0,
  1
)</f>
        <v>1</v>
      </c>
      <c r="F2055" s="1">
        <f>_xlfn.XLOOKUP(payments_raw[[#This Row],[subscription_id]], subscriptions[subscription_id], subscriptions[start_date])</f>
        <v>44792</v>
      </c>
      <c r="G20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5" s="2">
        <f>IF(payments_raw[[#This Row],[payment_date]] &lt; payments_raw[[#This Row],[sub_start_date]], 1, 0)</f>
        <v>0</v>
      </c>
      <c r="I2055" s="2">
        <f>IF(AND(payments_raw[[#This Row],[sub_end_date]]&lt;&gt;"", payments_raw[[#This Row],[payment_date]] &gt; payments_raw[[#This Row],[sub_end_date]]), 1, 0)</f>
        <v>0</v>
      </c>
      <c r="J2055" s="2">
        <f>IF(payments_raw[[#This Row],[amount]] &lt;= 0, 1, 0)</f>
        <v>0</v>
      </c>
      <c r="K20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6" spans="1:11" x14ac:dyDescent="0.3">
      <c r="A2056">
        <v>15038516</v>
      </c>
      <c r="B2056">
        <v>3013272</v>
      </c>
      <c r="C2056" s="1">
        <v>45109</v>
      </c>
      <c r="D2056">
        <v>190</v>
      </c>
      <c r="E2056">
        <f>IF(
  ISNA(
    _xlfn.XLOOKUP(
      payments_raw[[#This Row],[subscription_id]],
      subscriptions[subscription_id],
      subscriptions[subscription_id]
    )
  ),
  0,
  1
)</f>
        <v>1</v>
      </c>
      <c r="F2056" s="1">
        <f>_xlfn.XLOOKUP(payments_raw[[#This Row],[subscription_id]], subscriptions[subscription_id], subscriptions[start_date])</f>
        <v>44800</v>
      </c>
      <c r="G20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6" s="2">
        <f>IF(payments_raw[[#This Row],[payment_date]] &lt; payments_raw[[#This Row],[sub_start_date]], 1, 0)</f>
        <v>0</v>
      </c>
      <c r="I2056" s="2">
        <f>IF(AND(payments_raw[[#This Row],[sub_end_date]]&lt;&gt;"", payments_raw[[#This Row],[payment_date]] &gt; payments_raw[[#This Row],[sub_end_date]]), 1, 0)</f>
        <v>0</v>
      </c>
      <c r="J2056" s="2">
        <f>IF(payments_raw[[#This Row],[amount]] &lt;= 0, 1, 0)</f>
        <v>0</v>
      </c>
      <c r="K20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7" spans="1:11" x14ac:dyDescent="0.3">
      <c r="A2057">
        <v>52753307</v>
      </c>
      <c r="B2057">
        <v>5021865</v>
      </c>
      <c r="C2057" s="1">
        <v>45075</v>
      </c>
      <c r="D2057">
        <v>39</v>
      </c>
      <c r="E2057">
        <f>IF(
  ISNA(
    _xlfn.XLOOKUP(
      payments_raw[[#This Row],[subscription_id]],
      subscriptions[subscription_id],
      subscriptions[subscription_id]
    )
  ),
  0,
  1
)</f>
        <v>1</v>
      </c>
      <c r="F2057" s="1">
        <f>_xlfn.XLOOKUP(payments_raw[[#This Row],[subscription_id]], subscriptions[subscription_id], subscriptions[start_date])</f>
        <v>45016</v>
      </c>
      <c r="G20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7" s="2">
        <f>IF(payments_raw[[#This Row],[payment_date]] &lt; payments_raw[[#This Row],[sub_start_date]], 1, 0)</f>
        <v>0</v>
      </c>
      <c r="I2057" s="2">
        <f>IF(AND(payments_raw[[#This Row],[sub_end_date]]&lt;&gt;"", payments_raw[[#This Row],[payment_date]] &gt; payments_raw[[#This Row],[sub_end_date]]), 1, 0)</f>
        <v>0</v>
      </c>
      <c r="J2057" s="2">
        <f>IF(payments_raw[[#This Row],[amount]] &lt;= 0, 1, 0)</f>
        <v>0</v>
      </c>
      <c r="K20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8" spans="1:11" x14ac:dyDescent="0.3">
      <c r="A2058">
        <v>82016067</v>
      </c>
      <c r="B2058">
        <v>4739295</v>
      </c>
      <c r="C2058" s="1">
        <v>45586</v>
      </c>
      <c r="D2058">
        <v>790</v>
      </c>
      <c r="E2058">
        <f>IF(
  ISNA(
    _xlfn.XLOOKUP(
      payments_raw[[#This Row],[subscription_id]],
      subscriptions[subscription_id],
      subscriptions[subscription_id]
    )
  ),
  0,
  1
)</f>
        <v>1</v>
      </c>
      <c r="F2058" s="1">
        <f>_xlfn.XLOOKUP(payments_raw[[#This Row],[subscription_id]], subscriptions[subscription_id], subscriptions[start_date])</f>
        <v>45493</v>
      </c>
      <c r="G20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8" s="2">
        <f>IF(payments_raw[[#This Row],[payment_date]] &lt; payments_raw[[#This Row],[sub_start_date]], 1, 0)</f>
        <v>0</v>
      </c>
      <c r="I2058" s="2">
        <f>IF(AND(payments_raw[[#This Row],[sub_end_date]]&lt;&gt;"", payments_raw[[#This Row],[payment_date]] &gt; payments_raw[[#This Row],[sub_end_date]]), 1, 0)</f>
        <v>0</v>
      </c>
      <c r="J2058" s="2">
        <f>IF(payments_raw[[#This Row],[amount]] &lt;= 0, 1, 0)</f>
        <v>0</v>
      </c>
      <c r="K20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59" spans="1:11" x14ac:dyDescent="0.3">
      <c r="A2059">
        <v>31927086</v>
      </c>
      <c r="B2059">
        <v>1954349</v>
      </c>
      <c r="C2059" s="1">
        <v>44883</v>
      </c>
      <c r="D2059">
        <v>2990</v>
      </c>
      <c r="E2059">
        <f>IF(
  ISNA(
    _xlfn.XLOOKUP(
      payments_raw[[#This Row],[subscription_id]],
      subscriptions[subscription_id],
      subscriptions[subscription_id]
    )
  ),
  0,
  1
)</f>
        <v>1</v>
      </c>
      <c r="F2059" s="1">
        <f>_xlfn.XLOOKUP(payments_raw[[#This Row],[subscription_id]], subscriptions[subscription_id], subscriptions[start_date])</f>
        <v>44718</v>
      </c>
      <c r="G20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59" s="2">
        <f>IF(payments_raw[[#This Row],[payment_date]] &lt; payments_raw[[#This Row],[sub_start_date]], 1, 0)</f>
        <v>0</v>
      </c>
      <c r="I2059" s="2">
        <f>IF(AND(payments_raw[[#This Row],[sub_end_date]]&lt;&gt;"", payments_raw[[#This Row],[payment_date]] &gt; payments_raw[[#This Row],[sub_end_date]]), 1, 0)</f>
        <v>0</v>
      </c>
      <c r="J2059" s="2">
        <f>IF(payments_raw[[#This Row],[amount]] &lt;= 0, 1, 0)</f>
        <v>0</v>
      </c>
      <c r="K20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0" spans="1:11" x14ac:dyDescent="0.3">
      <c r="A2060">
        <v>91805966</v>
      </c>
      <c r="B2060">
        <v>7433891</v>
      </c>
      <c r="C2060" s="1">
        <v>45423</v>
      </c>
      <c r="D2060">
        <v>79</v>
      </c>
      <c r="E2060">
        <f>IF(
  ISNA(
    _xlfn.XLOOKUP(
      payments_raw[[#This Row],[subscription_id]],
      subscriptions[subscription_id],
      subscriptions[subscription_id]
    )
  ),
  0,
  1
)</f>
        <v>1</v>
      </c>
      <c r="F2060" s="1">
        <f>_xlfn.XLOOKUP(payments_raw[[#This Row],[subscription_id]], subscriptions[subscription_id], subscriptions[start_date])</f>
        <v>45136</v>
      </c>
      <c r="G20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60" s="2">
        <f>IF(payments_raw[[#This Row],[payment_date]] &lt; payments_raw[[#This Row],[sub_start_date]], 1, 0)</f>
        <v>0</v>
      </c>
      <c r="I2060" s="2">
        <f>IF(AND(payments_raw[[#This Row],[sub_end_date]]&lt;&gt;"", payments_raw[[#This Row],[payment_date]] &gt; payments_raw[[#This Row],[sub_end_date]]), 1, 0)</f>
        <v>0</v>
      </c>
      <c r="J2060" s="2">
        <f>IF(payments_raw[[#This Row],[amount]] &lt;= 0, 1, 0)</f>
        <v>0</v>
      </c>
      <c r="K20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1" spans="1:11" x14ac:dyDescent="0.3">
      <c r="A2061">
        <v>55411287</v>
      </c>
      <c r="B2061">
        <v>4392572</v>
      </c>
      <c r="C2061" s="1">
        <v>45035</v>
      </c>
      <c r="D2061">
        <v>39</v>
      </c>
      <c r="E2061">
        <f>IF(
  ISNA(
    _xlfn.XLOOKUP(
      payments_raw[[#This Row],[subscription_id]],
      subscriptions[subscription_id],
      subscriptions[subscription_id]
    )
  ),
  0,
  1
)</f>
        <v>1</v>
      </c>
      <c r="F2061" s="1">
        <f>_xlfn.XLOOKUP(payments_raw[[#This Row],[subscription_id]], subscriptions[subscription_id], subscriptions[start_date])</f>
        <v>44989</v>
      </c>
      <c r="G20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45150</v>
      </c>
      <c r="H2061" s="2">
        <f>IF(payments_raw[[#This Row],[payment_date]] &lt; payments_raw[[#This Row],[sub_start_date]], 1, 0)</f>
        <v>0</v>
      </c>
      <c r="I2061" s="2">
        <f>IF(AND(payments_raw[[#This Row],[sub_end_date]]&lt;&gt;"", payments_raw[[#This Row],[payment_date]] &gt; payments_raw[[#This Row],[sub_end_date]]), 1, 0)</f>
        <v>0</v>
      </c>
      <c r="J2061" s="2">
        <f>IF(payments_raw[[#This Row],[amount]] &lt;= 0, 1, 0)</f>
        <v>0</v>
      </c>
      <c r="K20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2" spans="1:11" x14ac:dyDescent="0.3">
      <c r="A2062">
        <v>55201053</v>
      </c>
      <c r="B2062">
        <v>4168543</v>
      </c>
      <c r="C2062" s="1">
        <v>45586</v>
      </c>
      <c r="D2062">
        <v>39</v>
      </c>
      <c r="E2062">
        <f>IF(
  ISNA(
    _xlfn.XLOOKUP(
      payments_raw[[#This Row],[subscription_id]],
      subscriptions[subscription_id],
      subscriptions[subscription_id]
    )
  ),
  0,
  1
)</f>
        <v>1</v>
      </c>
      <c r="F2062" s="1">
        <f>_xlfn.XLOOKUP(payments_raw[[#This Row],[subscription_id]], subscriptions[subscription_id], subscriptions[start_date])</f>
        <v>45566</v>
      </c>
      <c r="G20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2062" s="2">
        <f>IF(payments_raw[[#This Row],[payment_date]] &lt; payments_raw[[#This Row],[sub_start_date]], 1, 0)</f>
        <v>0</v>
      </c>
      <c r="I2062" s="2">
        <f>IF(AND(payments_raw[[#This Row],[sub_end_date]]&lt;&gt;"", payments_raw[[#This Row],[payment_date]] &gt; payments_raw[[#This Row],[sub_end_date]]), 1, 0)</f>
        <v>0</v>
      </c>
      <c r="J2062" s="2">
        <f>IF(payments_raw[[#This Row],[amount]] &lt;= 0, 1, 0)</f>
        <v>0</v>
      </c>
      <c r="K20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3" spans="1:11" x14ac:dyDescent="0.3">
      <c r="A2063">
        <v>27914921</v>
      </c>
      <c r="B2063">
        <v>1698478</v>
      </c>
      <c r="C2063" s="1">
        <v>45080</v>
      </c>
      <c r="D2063">
        <v>19</v>
      </c>
      <c r="E2063">
        <f>IF(
  ISNA(
    _xlfn.XLOOKUP(
      payments_raw[[#This Row],[subscription_id]],
      subscriptions[subscription_id],
      subscriptions[subscription_id]
    )
  ),
  0,
  1
)</f>
        <v>1</v>
      </c>
      <c r="F2063" s="1">
        <f>_xlfn.XLOOKUP(payments_raw[[#This Row],[subscription_id]], subscriptions[subscription_id], subscriptions[start_date])</f>
        <v>44947</v>
      </c>
      <c r="G20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45134</v>
      </c>
      <c r="H2063" s="2">
        <f>IF(payments_raw[[#This Row],[payment_date]] &lt; payments_raw[[#This Row],[sub_start_date]], 1, 0)</f>
        <v>0</v>
      </c>
      <c r="I2063" s="2">
        <f>IF(AND(payments_raw[[#This Row],[sub_end_date]]&lt;&gt;"", payments_raw[[#This Row],[payment_date]] &gt; payments_raw[[#This Row],[sub_end_date]]), 1, 0)</f>
        <v>0</v>
      </c>
      <c r="J2063" s="2">
        <f>IF(payments_raw[[#This Row],[amount]] &lt;= 0, 1, 0)</f>
        <v>0</v>
      </c>
      <c r="K20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4" spans="1:11" x14ac:dyDescent="0.3">
      <c r="A2064">
        <v>93699313</v>
      </c>
      <c r="B2064">
        <v>1597875</v>
      </c>
      <c r="C2064" s="1">
        <v>45056</v>
      </c>
      <c r="D2064">
        <v>149.5</v>
      </c>
      <c r="E2064">
        <f>IF(
  ISNA(
    _xlfn.XLOOKUP(
      payments_raw[[#This Row],[subscription_id]],
      subscriptions[subscription_id],
      subscriptions[subscription_id]
    )
  ),
  0,
  1
)</f>
        <v>1</v>
      </c>
      <c r="F2064" s="1">
        <f>_xlfn.XLOOKUP(payments_raw[[#This Row],[subscription_id]], subscriptions[subscription_id], subscriptions[start_date])</f>
        <v>44578</v>
      </c>
      <c r="G20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64" s="2">
        <f>IF(payments_raw[[#This Row],[payment_date]] &lt; payments_raw[[#This Row],[sub_start_date]], 1, 0)</f>
        <v>0</v>
      </c>
      <c r="I2064" s="2">
        <f>IF(AND(payments_raw[[#This Row],[sub_end_date]]&lt;&gt;"", payments_raw[[#This Row],[payment_date]] &gt; payments_raw[[#This Row],[sub_end_date]]), 1, 0)</f>
        <v>0</v>
      </c>
      <c r="J2064" s="2">
        <f>IF(payments_raw[[#This Row],[amount]] &lt;= 0, 1, 0)</f>
        <v>0</v>
      </c>
      <c r="K20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5" spans="1:11" x14ac:dyDescent="0.3">
      <c r="A2065">
        <v>28044506</v>
      </c>
      <c r="B2065">
        <v>6400269</v>
      </c>
      <c r="C2065" s="1">
        <v>45425</v>
      </c>
      <c r="D2065">
        <v>190</v>
      </c>
      <c r="E2065">
        <f>IF(
  ISNA(
    _xlfn.XLOOKUP(
      payments_raw[[#This Row],[subscription_id]],
      subscriptions[subscription_id],
      subscriptions[subscription_id]
    )
  ),
  0,
  1
)</f>
        <v>1</v>
      </c>
      <c r="F2065" s="1">
        <f>_xlfn.XLOOKUP(payments_raw[[#This Row],[subscription_id]], subscriptions[subscription_id], subscriptions[start_date])</f>
        <v>45383</v>
      </c>
      <c r="G20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45501</v>
      </c>
      <c r="H2065" s="2">
        <f>IF(payments_raw[[#This Row],[payment_date]] &lt; payments_raw[[#This Row],[sub_start_date]], 1, 0)</f>
        <v>0</v>
      </c>
      <c r="I2065" s="2">
        <f>IF(AND(payments_raw[[#This Row],[sub_end_date]]&lt;&gt;"", payments_raw[[#This Row],[payment_date]] &gt; payments_raw[[#This Row],[sub_end_date]]), 1, 0)</f>
        <v>0</v>
      </c>
      <c r="J2065" s="2">
        <f>IF(payments_raw[[#This Row],[amount]] &lt;= 0, 1, 0)</f>
        <v>0</v>
      </c>
      <c r="K20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6" spans="1:11" x14ac:dyDescent="0.3">
      <c r="A2066">
        <v>24469628</v>
      </c>
      <c r="B2066">
        <v>3927571</v>
      </c>
      <c r="C2066" s="1">
        <v>45092</v>
      </c>
      <c r="D2066">
        <v>1490</v>
      </c>
      <c r="E2066">
        <f>IF(
  ISNA(
    _xlfn.XLOOKUP(
      payments_raw[[#This Row],[subscription_id]],
      subscriptions[subscription_id],
      subscriptions[subscription_id]
    )
  ),
  0,
  1
)</f>
        <v>1</v>
      </c>
      <c r="F2066" s="1">
        <f>_xlfn.XLOOKUP(payments_raw[[#This Row],[subscription_id]], subscriptions[subscription_id], subscriptions[start_date])</f>
        <v>44872</v>
      </c>
      <c r="G20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66" s="2">
        <f>IF(payments_raw[[#This Row],[payment_date]] &lt; payments_raw[[#This Row],[sub_start_date]], 1, 0)</f>
        <v>0</v>
      </c>
      <c r="I2066" s="2">
        <f>IF(AND(payments_raw[[#This Row],[sub_end_date]]&lt;&gt;"", payments_raw[[#This Row],[payment_date]] &gt; payments_raw[[#This Row],[sub_end_date]]), 1, 0)</f>
        <v>0</v>
      </c>
      <c r="J2066" s="2">
        <f>IF(payments_raw[[#This Row],[amount]] &lt;= 0, 1, 0)</f>
        <v>0</v>
      </c>
      <c r="K20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7" spans="1:11" x14ac:dyDescent="0.3">
      <c r="A2067">
        <v>11336919</v>
      </c>
      <c r="B2067">
        <v>5673426</v>
      </c>
      <c r="C2067" s="1">
        <v>45580</v>
      </c>
      <c r="D2067">
        <v>195</v>
      </c>
      <c r="E2067">
        <f>IF(
  ISNA(
    _xlfn.XLOOKUP(
      payments_raw[[#This Row],[subscription_id]],
      subscriptions[subscription_id],
      subscriptions[subscription_id]
    )
  ),
  0,
  1
)</f>
        <v>1</v>
      </c>
      <c r="F2067" s="1">
        <f>_xlfn.XLOOKUP(payments_raw[[#This Row],[subscription_id]], subscriptions[subscription_id], subscriptions[start_date])</f>
        <v>45551</v>
      </c>
      <c r="G20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67" s="2">
        <f>IF(payments_raw[[#This Row],[payment_date]] &lt; payments_raw[[#This Row],[sub_start_date]], 1, 0)</f>
        <v>0</v>
      </c>
      <c r="I2067" s="2">
        <f>IF(AND(payments_raw[[#This Row],[sub_end_date]]&lt;&gt;"", payments_raw[[#This Row],[payment_date]] &gt; payments_raw[[#This Row],[sub_end_date]]), 1, 0)</f>
        <v>0</v>
      </c>
      <c r="J2067" s="2">
        <f>IF(payments_raw[[#This Row],[amount]] &lt;= 0, 1, 0)</f>
        <v>0</v>
      </c>
      <c r="K20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8" spans="1:11" x14ac:dyDescent="0.3">
      <c r="A2068">
        <v>44042835</v>
      </c>
      <c r="B2068">
        <v>8628047</v>
      </c>
      <c r="C2068" s="1">
        <v>45410</v>
      </c>
      <c r="D2068">
        <v>790</v>
      </c>
      <c r="E2068">
        <f>IF(
  ISNA(
    _xlfn.XLOOKUP(
      payments_raw[[#This Row],[subscription_id]],
      subscriptions[subscription_id],
      subscriptions[subscription_id]
    )
  ),
  0,
  1
)</f>
        <v>1</v>
      </c>
      <c r="F2068" s="1">
        <f>_xlfn.XLOOKUP(payments_raw[[#This Row],[subscription_id]], subscriptions[subscription_id], subscriptions[start_date])</f>
        <v>45358</v>
      </c>
      <c r="G20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45447</v>
      </c>
      <c r="H2068" s="2">
        <f>IF(payments_raw[[#This Row],[payment_date]] &lt; payments_raw[[#This Row],[sub_start_date]], 1, 0)</f>
        <v>0</v>
      </c>
      <c r="I2068" s="2">
        <f>IF(AND(payments_raw[[#This Row],[sub_end_date]]&lt;&gt;"", payments_raw[[#This Row],[payment_date]] &gt; payments_raw[[#This Row],[sub_end_date]]), 1, 0)</f>
        <v>0</v>
      </c>
      <c r="J2068" s="2">
        <f>IF(payments_raw[[#This Row],[amount]] &lt;= 0, 1, 0)</f>
        <v>0</v>
      </c>
      <c r="K20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69" spans="1:11" x14ac:dyDescent="0.3">
      <c r="A2069">
        <v>19089333</v>
      </c>
      <c r="B2069">
        <v>1757936</v>
      </c>
      <c r="C2069" s="1">
        <v>44848</v>
      </c>
      <c r="D2069">
        <v>299</v>
      </c>
      <c r="E2069">
        <f>IF(
  ISNA(
    _xlfn.XLOOKUP(
      payments_raw[[#This Row],[subscription_id]],
      subscriptions[subscription_id],
      subscriptions[subscription_id]
    )
  ),
  0,
  1
)</f>
        <v>1</v>
      </c>
      <c r="F2069" s="1">
        <f>_xlfn.XLOOKUP(payments_raw[[#This Row],[subscription_id]], subscriptions[subscription_id], subscriptions[start_date])</f>
        <v>44597</v>
      </c>
      <c r="G20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69" s="2">
        <f>IF(payments_raw[[#This Row],[payment_date]] &lt; payments_raw[[#This Row],[sub_start_date]], 1, 0)</f>
        <v>0</v>
      </c>
      <c r="I2069" s="2">
        <f>IF(AND(payments_raw[[#This Row],[sub_end_date]]&lt;&gt;"", payments_raw[[#This Row],[payment_date]] &gt; payments_raw[[#This Row],[sub_end_date]]), 1, 0)</f>
        <v>0</v>
      </c>
      <c r="J2069" s="2">
        <f>IF(payments_raw[[#This Row],[amount]] &lt;= 0, 1, 0)</f>
        <v>0</v>
      </c>
      <c r="K20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0" spans="1:11" x14ac:dyDescent="0.3">
      <c r="A2070">
        <v>67415160</v>
      </c>
      <c r="B2070">
        <v>8063586</v>
      </c>
      <c r="C2070" s="1">
        <v>45625</v>
      </c>
      <c r="D2070">
        <v>190</v>
      </c>
      <c r="E2070">
        <f>IF(
  ISNA(
    _xlfn.XLOOKUP(
      payments_raw[[#This Row],[subscription_id]],
      subscriptions[subscription_id],
      subscriptions[subscription_id]
    )
  ),
  0,
  1
)</f>
        <v>1</v>
      </c>
      <c r="F2070" s="1">
        <f>_xlfn.XLOOKUP(payments_raw[[#This Row],[subscription_id]], subscriptions[subscription_id], subscriptions[start_date])</f>
        <v>45596</v>
      </c>
      <c r="G20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070" s="2">
        <f>IF(payments_raw[[#This Row],[payment_date]] &lt; payments_raw[[#This Row],[sub_start_date]], 1, 0)</f>
        <v>0</v>
      </c>
      <c r="I2070" s="2">
        <f>IF(AND(payments_raw[[#This Row],[sub_end_date]]&lt;&gt;"", payments_raw[[#This Row],[payment_date]] &gt; payments_raw[[#This Row],[sub_end_date]]), 1, 0)</f>
        <v>0</v>
      </c>
      <c r="J2070" s="2">
        <f>IF(payments_raw[[#This Row],[amount]] &lt;= 0, 1, 0)</f>
        <v>0</v>
      </c>
      <c r="K20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1" spans="1:11" x14ac:dyDescent="0.3">
      <c r="A2071">
        <v>11436957</v>
      </c>
      <c r="B2071">
        <v>7565971</v>
      </c>
      <c r="C2071" s="1">
        <v>45068</v>
      </c>
      <c r="D2071">
        <v>190</v>
      </c>
      <c r="E2071">
        <f>IF(
  ISNA(
    _xlfn.XLOOKUP(
      payments_raw[[#This Row],[subscription_id]],
      subscriptions[subscription_id],
      subscriptions[subscription_id]
    )
  ),
  0,
  1
)</f>
        <v>1</v>
      </c>
      <c r="F2071" s="1">
        <f>_xlfn.XLOOKUP(payments_raw[[#This Row],[subscription_id]], subscriptions[subscription_id], subscriptions[start_date])</f>
        <v>44956</v>
      </c>
      <c r="G20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45187</v>
      </c>
      <c r="H2071" s="2">
        <f>IF(payments_raw[[#This Row],[payment_date]] &lt; payments_raw[[#This Row],[sub_start_date]], 1, 0)</f>
        <v>0</v>
      </c>
      <c r="I2071" s="2">
        <f>IF(AND(payments_raw[[#This Row],[sub_end_date]]&lt;&gt;"", payments_raw[[#This Row],[payment_date]] &gt; payments_raw[[#This Row],[sub_end_date]]), 1, 0)</f>
        <v>0</v>
      </c>
      <c r="J2071" s="2">
        <f>IF(payments_raw[[#This Row],[amount]] &lt;= 0, 1, 0)</f>
        <v>0</v>
      </c>
      <c r="K20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2" spans="1:11" x14ac:dyDescent="0.3">
      <c r="A2072">
        <v>29058172</v>
      </c>
      <c r="B2072">
        <v>4610191</v>
      </c>
      <c r="C2072" s="1">
        <v>45567</v>
      </c>
      <c r="D2072">
        <v>1490</v>
      </c>
      <c r="E2072">
        <f>IF(
  ISNA(
    _xlfn.XLOOKUP(
      payments_raw[[#This Row],[subscription_id]],
      subscriptions[subscription_id],
      subscriptions[subscription_id]
    )
  ),
  0,
  1
)</f>
        <v>1</v>
      </c>
      <c r="F2072" s="1">
        <f>_xlfn.XLOOKUP(payments_raw[[#This Row],[subscription_id]], subscriptions[subscription_id], subscriptions[start_date])</f>
        <v>45323</v>
      </c>
      <c r="G20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2" s="2">
        <f>IF(payments_raw[[#This Row],[payment_date]] &lt; payments_raw[[#This Row],[sub_start_date]], 1, 0)</f>
        <v>0</v>
      </c>
      <c r="I2072" s="2">
        <f>IF(AND(payments_raw[[#This Row],[sub_end_date]]&lt;&gt;"", payments_raw[[#This Row],[payment_date]] &gt; payments_raw[[#This Row],[sub_end_date]]), 1, 0)</f>
        <v>0</v>
      </c>
      <c r="J2072" s="2">
        <f>IF(payments_raw[[#This Row],[amount]] &lt;= 0, 1, 0)</f>
        <v>0</v>
      </c>
      <c r="K20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3" spans="1:11" x14ac:dyDescent="0.3">
      <c r="A2073">
        <v>56623676</v>
      </c>
      <c r="B2073">
        <v>3146616</v>
      </c>
      <c r="C2073" s="1">
        <v>45648</v>
      </c>
      <c r="D2073">
        <v>79</v>
      </c>
      <c r="E2073">
        <f>IF(
  ISNA(
    _xlfn.XLOOKUP(
      payments_raw[[#This Row],[subscription_id]],
      subscriptions[subscription_id],
      subscriptions[subscription_id]
    )
  ),
  0,
  1
)</f>
        <v>1</v>
      </c>
      <c r="F2073" s="1">
        <f>_xlfn.XLOOKUP(payments_raw[[#This Row],[subscription_id]], subscriptions[subscription_id], subscriptions[start_date])</f>
        <v>44880</v>
      </c>
      <c r="G20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3" s="2">
        <f>IF(payments_raw[[#This Row],[payment_date]] &lt; payments_raw[[#This Row],[sub_start_date]], 1, 0)</f>
        <v>0</v>
      </c>
      <c r="I2073" s="2">
        <f>IF(AND(payments_raw[[#This Row],[sub_end_date]]&lt;&gt;"", payments_raw[[#This Row],[payment_date]] &gt; payments_raw[[#This Row],[sub_end_date]]), 1, 0)</f>
        <v>0</v>
      </c>
      <c r="J2073" s="2">
        <f>IF(payments_raw[[#This Row],[amount]] &lt;= 0, 1, 0)</f>
        <v>0</v>
      </c>
      <c r="K20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4" spans="1:11" x14ac:dyDescent="0.3">
      <c r="A2074">
        <v>43436784</v>
      </c>
      <c r="B2074">
        <v>9534539</v>
      </c>
      <c r="C2074" s="1">
        <v>44965</v>
      </c>
      <c r="D2074">
        <v>790</v>
      </c>
      <c r="E2074">
        <f>IF(
  ISNA(
    _xlfn.XLOOKUP(
      payments_raw[[#This Row],[subscription_id]],
      subscriptions[subscription_id],
      subscriptions[subscription_id]
    )
  ),
  0,
  1
)</f>
        <v>1</v>
      </c>
      <c r="F2074" s="1">
        <f>_xlfn.XLOOKUP(payments_raw[[#This Row],[subscription_id]], subscriptions[subscription_id], subscriptions[start_date])</f>
        <v>44907</v>
      </c>
      <c r="G20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4" s="2">
        <f>IF(payments_raw[[#This Row],[payment_date]] &lt; payments_raw[[#This Row],[sub_start_date]], 1, 0)</f>
        <v>0</v>
      </c>
      <c r="I2074" s="2">
        <f>IF(AND(payments_raw[[#This Row],[sub_end_date]]&lt;&gt;"", payments_raw[[#This Row],[payment_date]] &gt; payments_raw[[#This Row],[sub_end_date]]), 1, 0)</f>
        <v>0</v>
      </c>
      <c r="J2074" s="2">
        <f>IF(payments_raw[[#This Row],[amount]] &lt;= 0, 1, 0)</f>
        <v>0</v>
      </c>
      <c r="K20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5" spans="1:11" x14ac:dyDescent="0.3">
      <c r="A2075">
        <v>96134890</v>
      </c>
      <c r="B2075">
        <v>7634775</v>
      </c>
      <c r="C2075" s="1">
        <v>45259</v>
      </c>
      <c r="D2075">
        <v>299</v>
      </c>
      <c r="E2075">
        <f>IF(
  ISNA(
    _xlfn.XLOOKUP(
      payments_raw[[#This Row],[subscription_id]],
      subscriptions[subscription_id],
      subscriptions[subscription_id]
    )
  ),
  0,
  1
)</f>
        <v>1</v>
      </c>
      <c r="F2075" s="1">
        <f>_xlfn.XLOOKUP(payments_raw[[#This Row],[subscription_id]], subscriptions[subscription_id], subscriptions[start_date])</f>
        <v>44880</v>
      </c>
      <c r="G20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5" s="2">
        <f>IF(payments_raw[[#This Row],[payment_date]] &lt; payments_raw[[#This Row],[sub_start_date]], 1, 0)</f>
        <v>0</v>
      </c>
      <c r="I2075" s="2">
        <f>IF(AND(payments_raw[[#This Row],[sub_end_date]]&lt;&gt;"", payments_raw[[#This Row],[payment_date]] &gt; payments_raw[[#This Row],[sub_end_date]]), 1, 0)</f>
        <v>0</v>
      </c>
      <c r="J2075" s="2">
        <f>IF(payments_raw[[#This Row],[amount]] &lt;= 0, 1, 0)</f>
        <v>0</v>
      </c>
      <c r="K20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6" spans="1:11" x14ac:dyDescent="0.3">
      <c r="A2076">
        <v>20501450</v>
      </c>
      <c r="B2076">
        <v>7311740</v>
      </c>
      <c r="C2076" s="1">
        <v>45056</v>
      </c>
      <c r="D2076">
        <v>19</v>
      </c>
      <c r="E2076">
        <f>IF(
  ISNA(
    _xlfn.XLOOKUP(
      payments_raw[[#This Row],[subscription_id]],
      subscriptions[subscription_id],
      subscriptions[subscription_id]
    )
  ),
  0,
  1
)</f>
        <v>1</v>
      </c>
      <c r="F2076" s="1">
        <f>_xlfn.XLOOKUP(payments_raw[[#This Row],[subscription_id]], subscriptions[subscription_id], subscriptions[start_date])</f>
        <v>45012</v>
      </c>
      <c r="G20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2076" s="2">
        <f>IF(payments_raw[[#This Row],[payment_date]] &lt; payments_raw[[#This Row],[sub_start_date]], 1, 0)</f>
        <v>0</v>
      </c>
      <c r="I2076" s="2">
        <f>IF(AND(payments_raw[[#This Row],[sub_end_date]]&lt;&gt;"", payments_raw[[#This Row],[payment_date]] &gt; payments_raw[[#This Row],[sub_end_date]]), 1, 0)</f>
        <v>0</v>
      </c>
      <c r="J2076" s="2">
        <f>IF(payments_raw[[#This Row],[amount]] &lt;= 0, 1, 0)</f>
        <v>0</v>
      </c>
      <c r="K20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7" spans="1:11" x14ac:dyDescent="0.3">
      <c r="A2077">
        <v>88077298</v>
      </c>
      <c r="B2077">
        <v>3459356</v>
      </c>
      <c r="C2077" s="1">
        <v>45501</v>
      </c>
      <c r="D2077">
        <v>39</v>
      </c>
      <c r="E2077">
        <f>IF(
  ISNA(
    _xlfn.XLOOKUP(
      payments_raw[[#This Row],[subscription_id]],
      subscriptions[subscription_id],
      subscriptions[subscription_id]
    )
  ),
  0,
  1
)</f>
        <v>1</v>
      </c>
      <c r="F2077" s="1">
        <f>_xlfn.XLOOKUP(payments_raw[[#This Row],[subscription_id]], subscriptions[subscription_id], subscriptions[start_date])</f>
        <v>45217</v>
      </c>
      <c r="G20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7" s="2">
        <f>IF(payments_raw[[#This Row],[payment_date]] &lt; payments_raw[[#This Row],[sub_start_date]], 1, 0)</f>
        <v>0</v>
      </c>
      <c r="I2077" s="2">
        <f>IF(AND(payments_raw[[#This Row],[sub_end_date]]&lt;&gt;"", payments_raw[[#This Row],[payment_date]] &gt; payments_raw[[#This Row],[sub_end_date]]), 1, 0)</f>
        <v>0</v>
      </c>
      <c r="J2077" s="2">
        <f>IF(payments_raw[[#This Row],[amount]] &lt;= 0, 1, 0)</f>
        <v>0</v>
      </c>
      <c r="K20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8" spans="1:11" x14ac:dyDescent="0.3">
      <c r="A2078">
        <v>75449429</v>
      </c>
      <c r="B2078">
        <v>6293212</v>
      </c>
      <c r="C2078" s="1">
        <v>45519</v>
      </c>
      <c r="D2078">
        <v>299</v>
      </c>
      <c r="E2078">
        <f>IF(
  ISNA(
    _xlfn.XLOOKUP(
      payments_raw[[#This Row],[subscription_id]],
      subscriptions[subscription_id],
      subscriptions[subscription_id]
    )
  ),
  0,
  1
)</f>
        <v>1</v>
      </c>
      <c r="F2078" s="1">
        <f>_xlfn.XLOOKUP(payments_raw[[#This Row],[subscription_id]], subscriptions[subscription_id], subscriptions[start_date])</f>
        <v>45476</v>
      </c>
      <c r="G20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8" s="2">
        <f>IF(payments_raw[[#This Row],[payment_date]] &lt; payments_raw[[#This Row],[sub_start_date]], 1, 0)</f>
        <v>0</v>
      </c>
      <c r="I2078" s="2">
        <f>IF(AND(payments_raw[[#This Row],[sub_end_date]]&lt;&gt;"", payments_raw[[#This Row],[payment_date]] &gt; payments_raw[[#This Row],[sub_end_date]]), 1, 0)</f>
        <v>0</v>
      </c>
      <c r="J2078" s="2">
        <f>IF(payments_raw[[#This Row],[amount]] &lt;= 0, 1, 0)</f>
        <v>0</v>
      </c>
      <c r="K20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79" spans="1:11" x14ac:dyDescent="0.3">
      <c r="A2079">
        <v>39096366</v>
      </c>
      <c r="B2079">
        <v>1757936</v>
      </c>
      <c r="C2079" s="1">
        <v>45151</v>
      </c>
      <c r="D2079">
        <v>299</v>
      </c>
      <c r="E2079">
        <f>IF(
  ISNA(
    _xlfn.XLOOKUP(
      payments_raw[[#This Row],[subscription_id]],
      subscriptions[subscription_id],
      subscriptions[subscription_id]
    )
  ),
  0,
  1
)</f>
        <v>1</v>
      </c>
      <c r="F2079" s="1">
        <f>_xlfn.XLOOKUP(payments_raw[[#This Row],[subscription_id]], subscriptions[subscription_id], subscriptions[start_date])</f>
        <v>44597</v>
      </c>
      <c r="G20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79" s="2">
        <f>IF(payments_raw[[#This Row],[payment_date]] &lt; payments_raw[[#This Row],[sub_start_date]], 1, 0)</f>
        <v>0</v>
      </c>
      <c r="I2079" s="2">
        <f>IF(AND(payments_raw[[#This Row],[sub_end_date]]&lt;&gt;"", payments_raw[[#This Row],[payment_date]] &gt; payments_raw[[#This Row],[sub_end_date]]), 1, 0)</f>
        <v>0</v>
      </c>
      <c r="J2079" s="2">
        <f>IF(payments_raw[[#This Row],[amount]] &lt;= 0, 1, 0)</f>
        <v>0</v>
      </c>
      <c r="K20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0" spans="1:11" x14ac:dyDescent="0.3">
      <c r="A2080">
        <v>27691237</v>
      </c>
      <c r="B2080">
        <v>3715983</v>
      </c>
      <c r="C2080" s="1">
        <v>45397</v>
      </c>
      <c r="D2080">
        <v>299</v>
      </c>
      <c r="E2080">
        <f>IF(
  ISNA(
    _xlfn.XLOOKUP(
      payments_raw[[#This Row],[subscription_id]],
      subscriptions[subscription_id],
      subscriptions[subscription_id]
    )
  ),
  0,
  1
)</f>
        <v>1</v>
      </c>
      <c r="F2080" s="1">
        <f>_xlfn.XLOOKUP(payments_raw[[#This Row],[subscription_id]], subscriptions[subscription_id], subscriptions[start_date])</f>
        <v>45374</v>
      </c>
      <c r="G20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0" s="2">
        <f>IF(payments_raw[[#This Row],[payment_date]] &lt; payments_raw[[#This Row],[sub_start_date]], 1, 0)</f>
        <v>0</v>
      </c>
      <c r="I2080" s="2">
        <f>IF(AND(payments_raw[[#This Row],[sub_end_date]]&lt;&gt;"", payments_raw[[#This Row],[payment_date]] &gt; payments_raw[[#This Row],[sub_end_date]]), 1, 0)</f>
        <v>0</v>
      </c>
      <c r="J2080" s="2">
        <f>IF(payments_raw[[#This Row],[amount]] &lt;= 0, 1, 0)</f>
        <v>0</v>
      </c>
      <c r="K20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1" spans="1:11" x14ac:dyDescent="0.3">
      <c r="A2081">
        <v>49729133</v>
      </c>
      <c r="B2081">
        <v>2435070</v>
      </c>
      <c r="C2081" s="1">
        <v>45190</v>
      </c>
      <c r="D2081">
        <v>35.1</v>
      </c>
      <c r="E2081">
        <f>IF(
  ISNA(
    _xlfn.XLOOKUP(
      payments_raw[[#This Row],[subscription_id]],
      subscriptions[subscription_id],
      subscriptions[subscription_id]
    )
  ),
  0,
  1
)</f>
        <v>1</v>
      </c>
      <c r="F2081" s="1">
        <f>_xlfn.XLOOKUP(payments_raw[[#This Row],[subscription_id]], subscriptions[subscription_id], subscriptions[start_date])</f>
        <v>45073</v>
      </c>
      <c r="G20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45254</v>
      </c>
      <c r="H2081" s="2">
        <f>IF(payments_raw[[#This Row],[payment_date]] &lt; payments_raw[[#This Row],[sub_start_date]], 1, 0)</f>
        <v>0</v>
      </c>
      <c r="I2081" s="2">
        <f>IF(AND(payments_raw[[#This Row],[sub_end_date]]&lt;&gt;"", payments_raw[[#This Row],[payment_date]] &gt; payments_raw[[#This Row],[sub_end_date]]), 1, 0)</f>
        <v>0</v>
      </c>
      <c r="J2081" s="2">
        <f>IF(payments_raw[[#This Row],[amount]] &lt;= 0, 1, 0)</f>
        <v>0</v>
      </c>
      <c r="K20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2" spans="1:11" x14ac:dyDescent="0.3">
      <c r="A2082">
        <v>12199227</v>
      </c>
      <c r="B2082">
        <v>8363043</v>
      </c>
      <c r="C2082" s="1">
        <v>44624</v>
      </c>
      <c r="D2082">
        <v>390</v>
      </c>
      <c r="E2082">
        <f>IF(
  ISNA(
    _xlfn.XLOOKUP(
      payments_raw[[#This Row],[subscription_id]],
      subscriptions[subscription_id],
      subscriptions[subscription_id]
    )
  ),
  0,
  1
)</f>
        <v>1</v>
      </c>
      <c r="F2082" s="1">
        <f>_xlfn.XLOOKUP(payments_raw[[#This Row],[subscription_id]], subscriptions[subscription_id], subscriptions[start_date])</f>
        <v>44613</v>
      </c>
      <c r="G20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44678</v>
      </c>
      <c r="H2082" s="2">
        <f>IF(payments_raw[[#This Row],[payment_date]] &lt; payments_raw[[#This Row],[sub_start_date]], 1, 0)</f>
        <v>0</v>
      </c>
      <c r="I2082" s="2">
        <f>IF(AND(payments_raw[[#This Row],[sub_end_date]]&lt;&gt;"", payments_raw[[#This Row],[payment_date]] &gt; payments_raw[[#This Row],[sub_end_date]]), 1, 0)</f>
        <v>0</v>
      </c>
      <c r="J2082" s="2">
        <f>IF(payments_raw[[#This Row],[amount]] &lt;= 0, 1, 0)</f>
        <v>0</v>
      </c>
      <c r="K20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3" spans="1:11" x14ac:dyDescent="0.3">
      <c r="A2083">
        <v>31883430</v>
      </c>
      <c r="B2083">
        <v>6478441</v>
      </c>
      <c r="C2083" s="1">
        <v>45382</v>
      </c>
      <c r="D2083">
        <v>19</v>
      </c>
      <c r="E2083">
        <f>IF(
  ISNA(
    _xlfn.XLOOKUP(
      payments_raw[[#This Row],[subscription_id]],
      subscriptions[subscription_id],
      subscriptions[subscription_id]
    )
  ),
  0,
  1
)</f>
        <v>1</v>
      </c>
      <c r="F2083" s="1">
        <f>_xlfn.XLOOKUP(payments_raw[[#This Row],[subscription_id]], subscriptions[subscription_id], subscriptions[start_date])</f>
        <v>45299</v>
      </c>
      <c r="G20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3" s="2">
        <f>IF(payments_raw[[#This Row],[payment_date]] &lt; payments_raw[[#This Row],[sub_start_date]], 1, 0)</f>
        <v>0</v>
      </c>
      <c r="I2083" s="2">
        <f>IF(AND(payments_raw[[#This Row],[sub_end_date]]&lt;&gt;"", payments_raw[[#This Row],[payment_date]] &gt; payments_raw[[#This Row],[sub_end_date]]), 1, 0)</f>
        <v>0</v>
      </c>
      <c r="J2083" s="2">
        <f>IF(payments_raw[[#This Row],[amount]] &lt;= 0, 1, 0)</f>
        <v>0</v>
      </c>
      <c r="K20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4" spans="1:11" x14ac:dyDescent="0.3">
      <c r="A2084">
        <v>27770796</v>
      </c>
      <c r="B2084">
        <v>4517141</v>
      </c>
      <c r="C2084" s="1">
        <v>44957</v>
      </c>
      <c r="D2084">
        <v>224.25</v>
      </c>
      <c r="E2084">
        <f>IF(
  ISNA(
    _xlfn.XLOOKUP(
      payments_raw[[#This Row],[subscription_id]],
      subscriptions[subscription_id],
      subscriptions[subscription_id]
    )
  ),
  0,
  1
)</f>
        <v>1</v>
      </c>
      <c r="F2084" s="1">
        <f>_xlfn.XLOOKUP(payments_raw[[#This Row],[subscription_id]], subscriptions[subscription_id], subscriptions[start_date])</f>
        <v>44808</v>
      </c>
      <c r="G20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2084" s="2">
        <f>IF(payments_raw[[#This Row],[payment_date]] &lt; payments_raw[[#This Row],[sub_start_date]], 1, 0)</f>
        <v>0</v>
      </c>
      <c r="I2084" s="2">
        <f>IF(AND(payments_raw[[#This Row],[sub_end_date]]&lt;&gt;"", payments_raw[[#This Row],[payment_date]] &gt; payments_raw[[#This Row],[sub_end_date]]), 1, 0)</f>
        <v>0</v>
      </c>
      <c r="J2084" s="2">
        <f>IF(payments_raw[[#This Row],[amount]] &lt;= 0, 1, 0)</f>
        <v>0</v>
      </c>
      <c r="K20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5" spans="1:11" x14ac:dyDescent="0.3">
      <c r="A2085">
        <v>17850353</v>
      </c>
      <c r="B2085">
        <v>2081652</v>
      </c>
      <c r="C2085" s="1">
        <v>45435</v>
      </c>
      <c r="D2085">
        <v>790</v>
      </c>
      <c r="E2085">
        <f>IF(
  ISNA(
    _xlfn.XLOOKUP(
      payments_raw[[#This Row],[subscription_id]],
      subscriptions[subscription_id],
      subscriptions[subscription_id]
    )
  ),
  0,
  1
)</f>
        <v>1</v>
      </c>
      <c r="F2085" s="1">
        <f>_xlfn.XLOOKUP(payments_raw[[#This Row],[subscription_id]], subscriptions[subscription_id], subscriptions[start_date])</f>
        <v>45211</v>
      </c>
      <c r="G20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5" s="2">
        <f>IF(payments_raw[[#This Row],[payment_date]] &lt; payments_raw[[#This Row],[sub_start_date]], 1, 0)</f>
        <v>0</v>
      </c>
      <c r="I2085" s="2">
        <f>IF(AND(payments_raw[[#This Row],[sub_end_date]]&lt;&gt;"", payments_raw[[#This Row],[payment_date]] &gt; payments_raw[[#This Row],[sub_end_date]]), 1, 0)</f>
        <v>0</v>
      </c>
      <c r="J2085" s="2">
        <f>IF(payments_raw[[#This Row],[amount]] &lt;= 0, 1, 0)</f>
        <v>0</v>
      </c>
      <c r="K20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6" spans="1:11" x14ac:dyDescent="0.3">
      <c r="A2086">
        <v>65510726</v>
      </c>
      <c r="B2086">
        <v>7994575</v>
      </c>
      <c r="C2086" s="1">
        <v>45378</v>
      </c>
      <c r="D2086">
        <v>390</v>
      </c>
      <c r="E2086">
        <f>IF(
  ISNA(
    _xlfn.XLOOKUP(
      payments_raw[[#This Row],[subscription_id]],
      subscriptions[subscription_id],
      subscriptions[subscription_id]
    )
  ),
  0,
  1
)</f>
        <v>1</v>
      </c>
      <c r="F2086" s="1">
        <f>_xlfn.XLOOKUP(payments_raw[[#This Row],[subscription_id]], subscriptions[subscription_id], subscriptions[start_date])</f>
        <v>45113</v>
      </c>
      <c r="G20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6" s="2">
        <f>IF(payments_raw[[#This Row],[payment_date]] &lt; payments_raw[[#This Row],[sub_start_date]], 1, 0)</f>
        <v>0</v>
      </c>
      <c r="I2086" s="2">
        <f>IF(AND(payments_raw[[#This Row],[sub_end_date]]&lt;&gt;"", payments_raw[[#This Row],[payment_date]] &gt; payments_raw[[#This Row],[sub_end_date]]), 1, 0)</f>
        <v>0</v>
      </c>
      <c r="J2086" s="2">
        <f>IF(payments_raw[[#This Row],[amount]] &lt;= 0, 1, 0)</f>
        <v>0</v>
      </c>
      <c r="K20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7" spans="1:11" x14ac:dyDescent="0.3">
      <c r="A2087">
        <v>83345228</v>
      </c>
      <c r="B2087">
        <v>6531182</v>
      </c>
      <c r="C2087" s="1">
        <v>44855</v>
      </c>
      <c r="D2087">
        <v>790</v>
      </c>
      <c r="E2087">
        <f>IF(
  ISNA(
    _xlfn.XLOOKUP(
      payments_raw[[#This Row],[subscription_id]],
      subscriptions[subscription_id],
      subscriptions[subscription_id]
    )
  ),
  0,
  1
)</f>
        <v>1</v>
      </c>
      <c r="F2087" s="1">
        <f>_xlfn.XLOOKUP(payments_raw[[#This Row],[subscription_id]], subscriptions[subscription_id], subscriptions[start_date])</f>
        <v>44826</v>
      </c>
      <c r="G2087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2087" s="2">
        <f>IF(payments_raw[[#This Row],[payment_date]] &lt; payments_raw[[#This Row],[sub_start_date]], 1, 0)</f>
        <v>0</v>
      </c>
      <c r="I2087" s="2">
        <f>IF(AND(payments_raw[[#This Row],[sub_end_date]]&lt;&gt;"", payments_raw[[#This Row],[payment_date]] &gt; payments_raw[[#This Row],[sub_end_date]]), 1, 0)</f>
        <v>0</v>
      </c>
      <c r="J2087" s="2">
        <f>IF(payments_raw[[#This Row],[amount]] &lt;= 0, 1, 0)</f>
        <v>0</v>
      </c>
      <c r="K20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8" spans="1:11" x14ac:dyDescent="0.3">
      <c r="A2088">
        <v>23635217</v>
      </c>
      <c r="B2088">
        <v>6991611</v>
      </c>
      <c r="C2088" s="1">
        <v>45653</v>
      </c>
      <c r="D2088">
        <v>390</v>
      </c>
      <c r="E2088">
        <f>IF(
  ISNA(
    _xlfn.XLOOKUP(
      payments_raw[[#This Row],[subscription_id]],
      subscriptions[subscription_id],
      subscriptions[subscription_id]
    )
  ),
  0,
  1
)</f>
        <v>1</v>
      </c>
      <c r="F2088" s="1">
        <f>_xlfn.XLOOKUP(payments_raw[[#This Row],[subscription_id]], subscriptions[subscription_id], subscriptions[start_date])</f>
        <v>45547</v>
      </c>
      <c r="G20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8" s="2">
        <f>IF(payments_raw[[#This Row],[payment_date]] &lt; payments_raw[[#This Row],[sub_start_date]], 1, 0)</f>
        <v>0</v>
      </c>
      <c r="I2088" s="2">
        <f>IF(AND(payments_raw[[#This Row],[sub_end_date]]&lt;&gt;"", payments_raw[[#This Row],[payment_date]] &gt; payments_raw[[#This Row],[sub_end_date]]), 1, 0)</f>
        <v>0</v>
      </c>
      <c r="J2088" s="2">
        <f>IF(payments_raw[[#This Row],[amount]] &lt;= 0, 1, 0)</f>
        <v>0</v>
      </c>
      <c r="K20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89" spans="1:11" x14ac:dyDescent="0.3">
      <c r="A2089">
        <v>96193700</v>
      </c>
      <c r="B2089">
        <v>3125741</v>
      </c>
      <c r="C2089" s="1">
        <v>45599</v>
      </c>
      <c r="D2089">
        <v>2990</v>
      </c>
      <c r="E2089">
        <f>IF(
  ISNA(
    _xlfn.XLOOKUP(
      payments_raw[[#This Row],[subscription_id]],
      subscriptions[subscription_id],
      subscriptions[subscription_id]
    )
  ),
  0,
  1
)</f>
        <v>1</v>
      </c>
      <c r="F2089" s="1">
        <f>_xlfn.XLOOKUP(payments_raw[[#This Row],[subscription_id]], subscriptions[subscription_id], subscriptions[start_date])</f>
        <v>45346</v>
      </c>
      <c r="G20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89" s="2">
        <f>IF(payments_raw[[#This Row],[payment_date]] &lt; payments_raw[[#This Row],[sub_start_date]], 1, 0)</f>
        <v>0</v>
      </c>
      <c r="I2089" s="2">
        <f>IF(AND(payments_raw[[#This Row],[sub_end_date]]&lt;&gt;"", payments_raw[[#This Row],[payment_date]] &gt; payments_raw[[#This Row],[sub_end_date]]), 1, 0)</f>
        <v>0</v>
      </c>
      <c r="J2089" s="2">
        <f>IF(payments_raw[[#This Row],[amount]] &lt;= 0, 1, 0)</f>
        <v>0</v>
      </c>
      <c r="K20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0" spans="1:11" x14ac:dyDescent="0.3">
      <c r="A2090">
        <v>44957021</v>
      </c>
      <c r="B2090">
        <v>5811186</v>
      </c>
      <c r="C2090" s="1">
        <v>45212</v>
      </c>
      <c r="D2090">
        <v>39</v>
      </c>
      <c r="E2090">
        <f>IF(
  ISNA(
    _xlfn.XLOOKUP(
      payments_raw[[#This Row],[subscription_id]],
      subscriptions[subscription_id],
      subscriptions[subscription_id]
    )
  ),
  0,
  1
)</f>
        <v>1</v>
      </c>
      <c r="F2090" s="1">
        <f>_xlfn.XLOOKUP(payments_raw[[#This Row],[subscription_id]], subscriptions[subscription_id], subscriptions[start_date])</f>
        <v>44789</v>
      </c>
      <c r="G20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0" s="2">
        <f>IF(payments_raw[[#This Row],[payment_date]] &lt; payments_raw[[#This Row],[sub_start_date]], 1, 0)</f>
        <v>0</v>
      </c>
      <c r="I2090" s="2">
        <f>IF(AND(payments_raw[[#This Row],[sub_end_date]]&lt;&gt;"", payments_raw[[#This Row],[payment_date]] &gt; payments_raw[[#This Row],[sub_end_date]]), 1, 0)</f>
        <v>0</v>
      </c>
      <c r="J2090" s="2">
        <f>IF(payments_raw[[#This Row],[amount]] &lt;= 0, 1, 0)</f>
        <v>0</v>
      </c>
      <c r="K20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1" spans="1:11" x14ac:dyDescent="0.3">
      <c r="A2091">
        <v>90627301</v>
      </c>
      <c r="B2091">
        <v>2673190</v>
      </c>
      <c r="C2091" s="1">
        <v>45428</v>
      </c>
      <c r="D2091">
        <v>790</v>
      </c>
      <c r="E2091">
        <f>IF(
  ISNA(
    _xlfn.XLOOKUP(
      payments_raw[[#This Row],[subscription_id]],
      subscriptions[subscription_id],
      subscriptions[subscription_id]
    )
  ),
  0,
  1
)</f>
        <v>1</v>
      </c>
      <c r="F2091" s="1">
        <f>_xlfn.XLOOKUP(payments_raw[[#This Row],[subscription_id]], subscriptions[subscription_id], subscriptions[start_date])</f>
        <v>45335</v>
      </c>
      <c r="G20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1" s="2">
        <f>IF(payments_raw[[#This Row],[payment_date]] &lt; payments_raw[[#This Row],[sub_start_date]], 1, 0)</f>
        <v>0</v>
      </c>
      <c r="I2091" s="2">
        <f>IF(AND(payments_raw[[#This Row],[sub_end_date]]&lt;&gt;"", payments_raw[[#This Row],[payment_date]] &gt; payments_raw[[#This Row],[sub_end_date]]), 1, 0)</f>
        <v>0</v>
      </c>
      <c r="J2091" s="2">
        <f>IF(payments_raw[[#This Row],[amount]] &lt;= 0, 1, 0)</f>
        <v>0</v>
      </c>
      <c r="K20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2" spans="1:11" x14ac:dyDescent="0.3">
      <c r="A2092">
        <v>16717119</v>
      </c>
      <c r="B2092">
        <v>7796448</v>
      </c>
      <c r="C2092" s="1">
        <v>45538</v>
      </c>
      <c r="D2092">
        <v>149</v>
      </c>
      <c r="E2092">
        <f>IF(
  ISNA(
    _xlfn.XLOOKUP(
      payments_raw[[#This Row],[subscription_id]],
      subscriptions[subscription_id],
      subscriptions[subscription_id]
    )
  ),
  0,
  1
)</f>
        <v>1</v>
      </c>
      <c r="F2092" s="1">
        <f>_xlfn.XLOOKUP(payments_raw[[#This Row],[subscription_id]], subscriptions[subscription_id], subscriptions[start_date])</f>
        <v>45341</v>
      </c>
      <c r="G20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2" s="2">
        <f>IF(payments_raw[[#This Row],[payment_date]] &lt; payments_raw[[#This Row],[sub_start_date]], 1, 0)</f>
        <v>0</v>
      </c>
      <c r="I2092" s="2">
        <f>IF(AND(payments_raw[[#This Row],[sub_end_date]]&lt;&gt;"", payments_raw[[#This Row],[payment_date]] &gt; payments_raw[[#This Row],[sub_end_date]]), 1, 0)</f>
        <v>0</v>
      </c>
      <c r="J2092" s="2">
        <f>IF(payments_raw[[#This Row],[amount]] &lt;= 0, 1, 0)</f>
        <v>0</v>
      </c>
      <c r="K20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3" spans="1:11" x14ac:dyDescent="0.3">
      <c r="A2093">
        <v>82695541</v>
      </c>
      <c r="B2093">
        <v>2610210</v>
      </c>
      <c r="C2093" s="1">
        <v>45217</v>
      </c>
      <c r="D2093">
        <v>299</v>
      </c>
      <c r="E2093">
        <f>IF(
  ISNA(
    _xlfn.XLOOKUP(
      payments_raw[[#This Row],[subscription_id]],
      subscriptions[subscription_id],
      subscriptions[subscription_id]
    )
  ),
  0,
  1
)</f>
        <v>1</v>
      </c>
      <c r="F2093" s="1">
        <f>_xlfn.XLOOKUP(payments_raw[[#This Row],[subscription_id]], subscriptions[subscription_id], subscriptions[start_date])</f>
        <v>44985</v>
      </c>
      <c r="G20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3" s="2">
        <f>IF(payments_raw[[#This Row],[payment_date]] &lt; payments_raw[[#This Row],[sub_start_date]], 1, 0)</f>
        <v>0</v>
      </c>
      <c r="I2093" s="2">
        <f>IF(AND(payments_raw[[#This Row],[sub_end_date]]&lt;&gt;"", payments_raw[[#This Row],[payment_date]] &gt; payments_raw[[#This Row],[sub_end_date]]), 1, 0)</f>
        <v>0</v>
      </c>
      <c r="J2093" s="2">
        <f>IF(payments_raw[[#This Row],[amount]] &lt;= 0, 1, 0)</f>
        <v>0</v>
      </c>
      <c r="K20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4" spans="1:11" x14ac:dyDescent="0.3">
      <c r="A2094">
        <v>69150591</v>
      </c>
      <c r="B2094">
        <v>4860680</v>
      </c>
      <c r="C2094" s="1">
        <v>45427</v>
      </c>
      <c r="D2094">
        <v>2990</v>
      </c>
      <c r="E2094">
        <f>IF(
  ISNA(
    _xlfn.XLOOKUP(
      payments_raw[[#This Row],[subscription_id]],
      subscriptions[subscription_id],
      subscriptions[subscription_id]
    )
  ),
  0,
  1
)</f>
        <v>1</v>
      </c>
      <c r="F2094" s="1">
        <f>_xlfn.XLOOKUP(payments_raw[[#This Row],[subscription_id]], subscriptions[subscription_id], subscriptions[start_date])</f>
        <v>45349</v>
      </c>
      <c r="G20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4" s="2">
        <f>IF(payments_raw[[#This Row],[payment_date]] &lt; payments_raw[[#This Row],[sub_start_date]], 1, 0)</f>
        <v>0</v>
      </c>
      <c r="I2094" s="2">
        <f>IF(AND(payments_raw[[#This Row],[sub_end_date]]&lt;&gt;"", payments_raw[[#This Row],[payment_date]] &gt; payments_raw[[#This Row],[sub_end_date]]), 1, 0)</f>
        <v>0</v>
      </c>
      <c r="J2094" s="2">
        <f>IF(payments_raw[[#This Row],[amount]] &lt;= 0, 1, 0)</f>
        <v>0</v>
      </c>
      <c r="K20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5" spans="1:11" x14ac:dyDescent="0.3">
      <c r="A2095">
        <v>72969714</v>
      </c>
      <c r="B2095">
        <v>1238423</v>
      </c>
      <c r="C2095" s="1">
        <v>45518</v>
      </c>
      <c r="D2095">
        <v>79</v>
      </c>
      <c r="E2095">
        <f>IF(
  ISNA(
    _xlfn.XLOOKUP(
      payments_raw[[#This Row],[subscription_id]],
      subscriptions[subscription_id],
      subscriptions[subscription_id]
    )
  ),
  0,
  1
)</f>
        <v>1</v>
      </c>
      <c r="F2095" s="1">
        <f>_xlfn.XLOOKUP(payments_raw[[#This Row],[subscription_id]], subscriptions[subscription_id], subscriptions[start_date])</f>
        <v>44874</v>
      </c>
      <c r="G20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5" s="2">
        <f>IF(payments_raw[[#This Row],[payment_date]] &lt; payments_raw[[#This Row],[sub_start_date]], 1, 0)</f>
        <v>0</v>
      </c>
      <c r="I2095" s="2">
        <f>IF(AND(payments_raw[[#This Row],[sub_end_date]]&lt;&gt;"", payments_raw[[#This Row],[payment_date]] &gt; payments_raw[[#This Row],[sub_end_date]]), 1, 0)</f>
        <v>0</v>
      </c>
      <c r="J2095" s="2">
        <f>IF(payments_raw[[#This Row],[amount]] &lt;= 0, 1, 0)</f>
        <v>0</v>
      </c>
      <c r="K20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6" spans="1:11" x14ac:dyDescent="0.3">
      <c r="A2096">
        <v>77885883</v>
      </c>
      <c r="B2096">
        <v>1267689</v>
      </c>
      <c r="C2096" s="1">
        <v>45433</v>
      </c>
      <c r="D2096">
        <v>190</v>
      </c>
      <c r="E2096">
        <f>IF(
  ISNA(
    _xlfn.XLOOKUP(
      payments_raw[[#This Row],[subscription_id]],
      subscriptions[subscription_id],
      subscriptions[subscription_id]
    )
  ),
  0,
  1
)</f>
        <v>1</v>
      </c>
      <c r="F2096" s="1">
        <f>_xlfn.XLOOKUP(payments_raw[[#This Row],[subscription_id]], subscriptions[subscription_id], subscriptions[start_date])</f>
        <v>45417</v>
      </c>
      <c r="G20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2096" s="2">
        <f>IF(payments_raw[[#This Row],[payment_date]] &lt; payments_raw[[#This Row],[sub_start_date]], 1, 0)</f>
        <v>0</v>
      </c>
      <c r="I2096" s="2">
        <f>IF(AND(payments_raw[[#This Row],[sub_end_date]]&lt;&gt;"", payments_raw[[#This Row],[payment_date]] &gt; payments_raw[[#This Row],[sub_end_date]]), 1, 0)</f>
        <v>0</v>
      </c>
      <c r="J2096" s="2">
        <f>IF(payments_raw[[#This Row],[amount]] &lt;= 0, 1, 0)</f>
        <v>0</v>
      </c>
      <c r="K20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7" spans="1:11" x14ac:dyDescent="0.3">
      <c r="A2097">
        <v>52501103</v>
      </c>
      <c r="B2097">
        <v>1571694</v>
      </c>
      <c r="C2097" s="1">
        <v>45598</v>
      </c>
      <c r="D2097">
        <v>17.100000000000001</v>
      </c>
      <c r="E2097">
        <f>IF(
  ISNA(
    _xlfn.XLOOKUP(
      payments_raw[[#This Row],[subscription_id]],
      subscriptions[subscription_id],
      subscriptions[subscription_id]
    )
  ),
  0,
  1
)</f>
        <v>1</v>
      </c>
      <c r="F2097" s="1">
        <f>_xlfn.XLOOKUP(payments_raw[[#This Row],[subscription_id]], subscriptions[subscription_id], subscriptions[start_date])</f>
        <v>45445</v>
      </c>
      <c r="G20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7" s="2">
        <f>IF(payments_raw[[#This Row],[payment_date]] &lt; payments_raw[[#This Row],[sub_start_date]], 1, 0)</f>
        <v>0</v>
      </c>
      <c r="I2097" s="2">
        <f>IF(AND(payments_raw[[#This Row],[sub_end_date]]&lt;&gt;"", payments_raw[[#This Row],[payment_date]] &gt; payments_raw[[#This Row],[sub_end_date]]), 1, 0)</f>
        <v>0</v>
      </c>
      <c r="J2097" s="2">
        <f>IF(payments_raw[[#This Row],[amount]] &lt;= 0, 1, 0)</f>
        <v>0</v>
      </c>
      <c r="K20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8" spans="1:11" x14ac:dyDescent="0.3">
      <c r="A2098">
        <v>56069176</v>
      </c>
      <c r="B2098">
        <v>1179053</v>
      </c>
      <c r="C2098" s="1">
        <v>45357</v>
      </c>
      <c r="D2098">
        <v>79</v>
      </c>
      <c r="E2098">
        <f>IF(
  ISNA(
    _xlfn.XLOOKUP(
      payments_raw[[#This Row],[subscription_id]],
      subscriptions[subscription_id],
      subscriptions[subscription_id]
    )
  ),
  0,
  1
)</f>
        <v>1</v>
      </c>
      <c r="F2098" s="1">
        <f>_xlfn.XLOOKUP(payments_raw[[#This Row],[subscription_id]], subscriptions[subscription_id], subscriptions[start_date])</f>
        <v>44963</v>
      </c>
      <c r="G20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8" s="2">
        <f>IF(payments_raw[[#This Row],[payment_date]] &lt; payments_raw[[#This Row],[sub_start_date]], 1, 0)</f>
        <v>0</v>
      </c>
      <c r="I2098" s="2">
        <f>IF(AND(payments_raw[[#This Row],[sub_end_date]]&lt;&gt;"", payments_raw[[#This Row],[payment_date]] &gt; payments_raw[[#This Row],[sub_end_date]]), 1, 0)</f>
        <v>0</v>
      </c>
      <c r="J2098" s="2">
        <f>IF(payments_raw[[#This Row],[amount]] &lt;= 0, 1, 0)</f>
        <v>0</v>
      </c>
      <c r="K20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099" spans="1:11" x14ac:dyDescent="0.3">
      <c r="A2099">
        <v>81642266</v>
      </c>
      <c r="B2099">
        <v>9214437</v>
      </c>
      <c r="C2099" s="1">
        <v>45045</v>
      </c>
      <c r="D2099">
        <v>19</v>
      </c>
      <c r="E2099">
        <f>IF(
  ISNA(
    _xlfn.XLOOKUP(
      payments_raw[[#This Row],[subscription_id]],
      subscriptions[subscription_id],
      subscriptions[subscription_id]
    )
  ),
  0,
  1
)</f>
        <v>1</v>
      </c>
      <c r="F2099" s="1">
        <f>_xlfn.XLOOKUP(payments_raw[[#This Row],[subscription_id]], subscriptions[subscription_id], subscriptions[start_date])</f>
        <v>44757</v>
      </c>
      <c r="G20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099" s="2">
        <f>IF(payments_raw[[#This Row],[payment_date]] &lt; payments_raw[[#This Row],[sub_start_date]], 1, 0)</f>
        <v>0</v>
      </c>
      <c r="I2099" s="2">
        <f>IF(AND(payments_raw[[#This Row],[sub_end_date]]&lt;&gt;"", payments_raw[[#This Row],[payment_date]] &gt; payments_raw[[#This Row],[sub_end_date]]), 1, 0)</f>
        <v>0</v>
      </c>
      <c r="J2099" s="2">
        <f>IF(payments_raw[[#This Row],[amount]] &lt;= 0, 1, 0)</f>
        <v>0</v>
      </c>
      <c r="K20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0" spans="1:11" x14ac:dyDescent="0.3">
      <c r="A2100">
        <v>78066270</v>
      </c>
      <c r="B2100">
        <v>2782083</v>
      </c>
      <c r="C2100" s="1">
        <v>45602</v>
      </c>
      <c r="D2100">
        <v>390</v>
      </c>
      <c r="E2100">
        <f>IF(
  ISNA(
    _xlfn.XLOOKUP(
      payments_raw[[#This Row],[subscription_id]],
      subscriptions[subscription_id],
      subscriptions[subscription_id]
    )
  ),
  0,
  1
)</f>
        <v>1</v>
      </c>
      <c r="F2100" s="1">
        <f>_xlfn.XLOOKUP(payments_raw[[#This Row],[subscription_id]], subscriptions[subscription_id], subscriptions[start_date])</f>
        <v>45584</v>
      </c>
      <c r="G21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2100" s="2">
        <f>IF(payments_raw[[#This Row],[payment_date]] &lt; payments_raw[[#This Row],[sub_start_date]], 1, 0)</f>
        <v>0</v>
      </c>
      <c r="I2100" s="2">
        <f>IF(AND(payments_raw[[#This Row],[sub_end_date]]&lt;&gt;"", payments_raw[[#This Row],[payment_date]] &gt; payments_raw[[#This Row],[sub_end_date]]), 1, 0)</f>
        <v>0</v>
      </c>
      <c r="J2100" s="2">
        <f>IF(payments_raw[[#This Row],[amount]] &lt;= 0, 1, 0)</f>
        <v>0</v>
      </c>
      <c r="K21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1" spans="1:11" x14ac:dyDescent="0.3">
      <c r="A2101">
        <v>75158383</v>
      </c>
      <c r="B2101">
        <v>7503423</v>
      </c>
      <c r="C2101" s="1">
        <v>45306</v>
      </c>
      <c r="D2101">
        <v>790</v>
      </c>
      <c r="E2101">
        <f>IF(
  ISNA(
    _xlfn.XLOOKUP(
      payments_raw[[#This Row],[subscription_id]],
      subscriptions[subscription_id],
      subscriptions[subscription_id]
    )
  ),
  0,
  1
)</f>
        <v>1</v>
      </c>
      <c r="F2101" s="1">
        <f>_xlfn.XLOOKUP(payments_raw[[#This Row],[subscription_id]], subscriptions[subscription_id], subscriptions[start_date])</f>
        <v>45051</v>
      </c>
      <c r="G21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01" s="2">
        <f>IF(payments_raw[[#This Row],[payment_date]] &lt; payments_raw[[#This Row],[sub_start_date]], 1, 0)</f>
        <v>0</v>
      </c>
      <c r="I2101" s="2">
        <f>IF(AND(payments_raw[[#This Row],[sub_end_date]]&lt;&gt;"", payments_raw[[#This Row],[payment_date]] &gt; payments_raw[[#This Row],[sub_end_date]]), 1, 0)</f>
        <v>0</v>
      </c>
      <c r="J2101" s="2">
        <f>IF(payments_raw[[#This Row],[amount]] &lt;= 0, 1, 0)</f>
        <v>0</v>
      </c>
      <c r="K21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2" spans="1:11" x14ac:dyDescent="0.3">
      <c r="A2102">
        <v>70581790</v>
      </c>
      <c r="B2102">
        <v>1968122</v>
      </c>
      <c r="C2102" s="1">
        <v>45497</v>
      </c>
      <c r="D2102">
        <v>149</v>
      </c>
      <c r="E2102">
        <f>IF(
  ISNA(
    _xlfn.XLOOKUP(
      payments_raw[[#This Row],[subscription_id]],
      subscriptions[subscription_id],
      subscriptions[subscription_id]
    )
  ),
  0,
  1
)</f>
        <v>1</v>
      </c>
      <c r="F2102" s="1">
        <f>_xlfn.XLOOKUP(payments_raw[[#This Row],[subscription_id]], subscriptions[subscription_id], subscriptions[start_date])</f>
        <v>45351</v>
      </c>
      <c r="G21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45507</v>
      </c>
      <c r="H2102" s="2">
        <f>IF(payments_raw[[#This Row],[payment_date]] &lt; payments_raw[[#This Row],[sub_start_date]], 1, 0)</f>
        <v>0</v>
      </c>
      <c r="I2102" s="2">
        <f>IF(AND(payments_raw[[#This Row],[sub_end_date]]&lt;&gt;"", payments_raw[[#This Row],[payment_date]] &gt; payments_raw[[#This Row],[sub_end_date]]), 1, 0)</f>
        <v>0</v>
      </c>
      <c r="J2102" s="2">
        <f>IF(payments_raw[[#This Row],[amount]] &lt;= 0, 1, 0)</f>
        <v>0</v>
      </c>
      <c r="K21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3" spans="1:11" x14ac:dyDescent="0.3">
      <c r="A2103">
        <v>20242039</v>
      </c>
      <c r="B2103">
        <v>2579766</v>
      </c>
      <c r="C2103" s="1">
        <v>45483</v>
      </c>
      <c r="D2103">
        <v>395</v>
      </c>
      <c r="E2103">
        <f>IF(
  ISNA(
    _xlfn.XLOOKUP(
      payments_raw[[#This Row],[subscription_id]],
      subscriptions[subscription_id],
      subscriptions[subscription_id]
    )
  ),
  0,
  1
)</f>
        <v>1</v>
      </c>
      <c r="F2103" s="1">
        <f>_xlfn.XLOOKUP(payments_raw[[#This Row],[subscription_id]], subscriptions[subscription_id], subscriptions[start_date])</f>
        <v>45388</v>
      </c>
      <c r="G21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03" s="2">
        <f>IF(payments_raw[[#This Row],[payment_date]] &lt; payments_raw[[#This Row],[sub_start_date]], 1, 0)</f>
        <v>0</v>
      </c>
      <c r="I2103" s="2">
        <f>IF(AND(payments_raw[[#This Row],[sub_end_date]]&lt;&gt;"", payments_raw[[#This Row],[payment_date]] &gt; payments_raw[[#This Row],[sub_end_date]]), 1, 0)</f>
        <v>0</v>
      </c>
      <c r="J2103" s="2">
        <f>IF(payments_raw[[#This Row],[amount]] &lt;= 0, 1, 0)</f>
        <v>0</v>
      </c>
      <c r="K21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4" spans="1:11" x14ac:dyDescent="0.3">
      <c r="A2104">
        <v>21536372</v>
      </c>
      <c r="B2104">
        <v>1435209</v>
      </c>
      <c r="C2104" s="1">
        <v>45038</v>
      </c>
      <c r="D2104">
        <v>39</v>
      </c>
      <c r="E2104">
        <f>IF(
  ISNA(
    _xlfn.XLOOKUP(
      payments_raw[[#This Row],[subscription_id]],
      subscriptions[subscription_id],
      subscriptions[subscription_id]
    )
  ),
  0,
  1
)</f>
        <v>1</v>
      </c>
      <c r="F2104" s="1">
        <f>_xlfn.XLOOKUP(payments_raw[[#This Row],[subscription_id]], subscriptions[subscription_id], subscriptions[start_date])</f>
        <v>45014</v>
      </c>
      <c r="G21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2104" s="2">
        <f>IF(payments_raw[[#This Row],[payment_date]] &lt; payments_raw[[#This Row],[sub_start_date]], 1, 0)</f>
        <v>0</v>
      </c>
      <c r="I2104" s="2">
        <f>IF(AND(payments_raw[[#This Row],[sub_end_date]]&lt;&gt;"", payments_raw[[#This Row],[payment_date]] &gt; payments_raw[[#This Row],[sub_end_date]]), 1, 0)</f>
        <v>0</v>
      </c>
      <c r="J2104" s="2">
        <f>IF(payments_raw[[#This Row],[amount]] &lt;= 0, 1, 0)</f>
        <v>0</v>
      </c>
      <c r="K21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5" spans="1:11" x14ac:dyDescent="0.3">
      <c r="A2105">
        <v>71456902</v>
      </c>
      <c r="B2105">
        <v>8539737</v>
      </c>
      <c r="C2105" s="1">
        <v>45166</v>
      </c>
      <c r="D2105">
        <v>269.10000000000002</v>
      </c>
      <c r="E2105">
        <f>IF(
  ISNA(
    _xlfn.XLOOKUP(
      payments_raw[[#This Row],[subscription_id]],
      subscriptions[subscription_id],
      subscriptions[subscription_id]
    )
  ),
  0,
  1
)</f>
        <v>1</v>
      </c>
      <c r="F2105" s="1">
        <f>_xlfn.XLOOKUP(payments_raw[[#This Row],[subscription_id]], subscriptions[subscription_id], subscriptions[start_date])</f>
        <v>44904</v>
      </c>
      <c r="G21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45195</v>
      </c>
      <c r="H2105" s="2">
        <f>IF(payments_raw[[#This Row],[payment_date]] &lt; payments_raw[[#This Row],[sub_start_date]], 1, 0)</f>
        <v>0</v>
      </c>
      <c r="I2105" s="2">
        <f>IF(AND(payments_raw[[#This Row],[sub_end_date]]&lt;&gt;"", payments_raw[[#This Row],[payment_date]] &gt; payments_raw[[#This Row],[sub_end_date]]), 1, 0)</f>
        <v>0</v>
      </c>
      <c r="J2105" s="2">
        <f>IF(payments_raw[[#This Row],[amount]] &lt;= 0, 1, 0)</f>
        <v>0</v>
      </c>
      <c r="K21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6" spans="1:11" x14ac:dyDescent="0.3">
      <c r="A2106">
        <v>56527328</v>
      </c>
      <c r="B2106">
        <v>5612919</v>
      </c>
      <c r="C2106" s="1">
        <v>45630</v>
      </c>
      <c r="D2106">
        <v>79</v>
      </c>
      <c r="E2106">
        <f>IF(
  ISNA(
    _xlfn.XLOOKUP(
      payments_raw[[#This Row],[subscription_id]],
      subscriptions[subscription_id],
      subscriptions[subscription_id]
    )
  ),
  0,
  1
)</f>
        <v>1</v>
      </c>
      <c r="F2106" s="1">
        <f>_xlfn.XLOOKUP(payments_raw[[#This Row],[subscription_id]], subscriptions[subscription_id], subscriptions[start_date])</f>
        <v>45542</v>
      </c>
      <c r="G21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06" s="2">
        <f>IF(payments_raw[[#This Row],[payment_date]] &lt; payments_raw[[#This Row],[sub_start_date]], 1, 0)</f>
        <v>0</v>
      </c>
      <c r="I2106" s="2">
        <f>IF(AND(payments_raw[[#This Row],[sub_end_date]]&lt;&gt;"", payments_raw[[#This Row],[payment_date]] &gt; payments_raw[[#This Row],[sub_end_date]]), 1, 0)</f>
        <v>0</v>
      </c>
      <c r="J2106" s="2">
        <f>IF(payments_raw[[#This Row],[amount]] &lt;= 0, 1, 0)</f>
        <v>0</v>
      </c>
      <c r="K21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7" spans="1:11" x14ac:dyDescent="0.3">
      <c r="A2107">
        <v>92435286</v>
      </c>
      <c r="B2107">
        <v>2864909</v>
      </c>
      <c r="C2107" s="1">
        <v>45246</v>
      </c>
      <c r="D2107">
        <v>79</v>
      </c>
      <c r="E2107">
        <f>IF(
  ISNA(
    _xlfn.XLOOKUP(
      payments_raw[[#This Row],[subscription_id]],
      subscriptions[subscription_id],
      subscriptions[subscription_id]
    )
  ),
  0,
  1
)</f>
        <v>1</v>
      </c>
      <c r="F2107" s="1">
        <f>_xlfn.XLOOKUP(payments_raw[[#This Row],[subscription_id]], subscriptions[subscription_id], subscriptions[start_date])</f>
        <v>45240</v>
      </c>
      <c r="G21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45351</v>
      </c>
      <c r="H2107" s="2">
        <f>IF(payments_raw[[#This Row],[payment_date]] &lt; payments_raw[[#This Row],[sub_start_date]], 1, 0)</f>
        <v>0</v>
      </c>
      <c r="I2107" s="2">
        <f>IF(AND(payments_raw[[#This Row],[sub_end_date]]&lt;&gt;"", payments_raw[[#This Row],[payment_date]] &gt; payments_raw[[#This Row],[sub_end_date]]), 1, 0)</f>
        <v>0</v>
      </c>
      <c r="J2107" s="2">
        <f>IF(payments_raw[[#This Row],[amount]] &lt;= 0, 1, 0)</f>
        <v>0</v>
      </c>
      <c r="K21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8" spans="1:11" x14ac:dyDescent="0.3">
      <c r="A2108">
        <v>19923241</v>
      </c>
      <c r="B2108">
        <v>2649587</v>
      </c>
      <c r="C2108" s="1">
        <v>45579</v>
      </c>
      <c r="D2108">
        <v>149</v>
      </c>
      <c r="E2108">
        <f>IF(
  ISNA(
    _xlfn.XLOOKUP(
      payments_raw[[#This Row],[subscription_id]],
      subscriptions[subscription_id],
      subscriptions[subscription_id]
    )
  ),
  0,
  1
)</f>
        <v>1</v>
      </c>
      <c r="F2108" s="1">
        <f>_xlfn.XLOOKUP(payments_raw[[#This Row],[subscription_id]], subscriptions[subscription_id], subscriptions[start_date])</f>
        <v>45347</v>
      </c>
      <c r="G21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08" s="2">
        <f>IF(payments_raw[[#This Row],[payment_date]] &lt; payments_raw[[#This Row],[sub_start_date]], 1, 0)</f>
        <v>0</v>
      </c>
      <c r="I2108" s="2">
        <f>IF(AND(payments_raw[[#This Row],[sub_end_date]]&lt;&gt;"", payments_raw[[#This Row],[payment_date]] &gt; payments_raw[[#This Row],[sub_end_date]]), 1, 0)</f>
        <v>0</v>
      </c>
      <c r="J2108" s="2">
        <f>IF(payments_raw[[#This Row],[amount]] &lt;= 0, 1, 0)</f>
        <v>0</v>
      </c>
      <c r="K21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09" spans="1:11" x14ac:dyDescent="0.3">
      <c r="A2109">
        <v>75059528</v>
      </c>
      <c r="B2109">
        <v>5596336</v>
      </c>
      <c r="C2109" s="1">
        <v>45078</v>
      </c>
      <c r="D2109">
        <v>390</v>
      </c>
      <c r="E2109">
        <f>IF(
  ISNA(
    _xlfn.XLOOKUP(
      payments_raw[[#This Row],[subscription_id]],
      subscriptions[subscription_id],
      subscriptions[subscription_id]
    )
  ),
  0,
  1
)</f>
        <v>1</v>
      </c>
      <c r="F2109" s="1">
        <f>_xlfn.XLOOKUP(payments_raw[[#This Row],[subscription_id]], subscriptions[subscription_id], subscriptions[start_date])</f>
        <v>44780</v>
      </c>
      <c r="G21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09" s="2">
        <f>IF(payments_raw[[#This Row],[payment_date]] &lt; payments_raw[[#This Row],[sub_start_date]], 1, 0)</f>
        <v>0</v>
      </c>
      <c r="I2109" s="2">
        <f>IF(AND(payments_raw[[#This Row],[sub_end_date]]&lt;&gt;"", payments_raw[[#This Row],[payment_date]] &gt; payments_raw[[#This Row],[sub_end_date]]), 1, 0)</f>
        <v>0</v>
      </c>
      <c r="J2109" s="2">
        <f>IF(payments_raw[[#This Row],[amount]] &lt;= 0, 1, 0)</f>
        <v>0</v>
      </c>
      <c r="K21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0" spans="1:11" x14ac:dyDescent="0.3">
      <c r="A2110">
        <v>94460467</v>
      </c>
      <c r="B2110">
        <v>1130589</v>
      </c>
      <c r="C2110" s="1">
        <v>45434</v>
      </c>
      <c r="D2110">
        <v>19</v>
      </c>
      <c r="E2110">
        <f>IF(
  ISNA(
    _xlfn.XLOOKUP(
      payments_raw[[#This Row],[subscription_id]],
      subscriptions[subscription_id],
      subscriptions[subscription_id]
    )
  ),
  0,
  1
)</f>
        <v>1</v>
      </c>
      <c r="F2110" s="1">
        <f>_xlfn.XLOOKUP(payments_raw[[#This Row],[subscription_id]], subscriptions[subscription_id], subscriptions[start_date])</f>
        <v>45319</v>
      </c>
      <c r="G21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45581</v>
      </c>
      <c r="H2110" s="2">
        <f>IF(payments_raw[[#This Row],[payment_date]] &lt; payments_raw[[#This Row],[sub_start_date]], 1, 0)</f>
        <v>0</v>
      </c>
      <c r="I2110" s="2">
        <f>IF(AND(payments_raw[[#This Row],[sub_end_date]]&lt;&gt;"", payments_raw[[#This Row],[payment_date]] &gt; payments_raw[[#This Row],[sub_end_date]]), 1, 0)</f>
        <v>0</v>
      </c>
      <c r="J2110" s="2">
        <f>IF(payments_raw[[#This Row],[amount]] &lt;= 0, 1, 0)</f>
        <v>0</v>
      </c>
      <c r="K21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1" spans="1:11" x14ac:dyDescent="0.3">
      <c r="A2111">
        <v>57314672</v>
      </c>
      <c r="B2111">
        <v>8244357</v>
      </c>
      <c r="C2111" s="1">
        <v>44826</v>
      </c>
      <c r="D2111">
        <v>79</v>
      </c>
      <c r="E2111">
        <f>IF(
  ISNA(
    _xlfn.XLOOKUP(
      payments_raw[[#This Row],[subscription_id]],
      subscriptions[subscription_id],
      subscriptions[subscription_id]
    )
  ),
  0,
  1
)</f>
        <v>1</v>
      </c>
      <c r="F2111" s="1">
        <f>_xlfn.XLOOKUP(payments_raw[[#This Row],[subscription_id]], subscriptions[subscription_id], subscriptions[start_date])</f>
        <v>44614</v>
      </c>
      <c r="G21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1" s="2">
        <f>IF(payments_raw[[#This Row],[payment_date]] &lt; payments_raw[[#This Row],[sub_start_date]], 1, 0)</f>
        <v>0</v>
      </c>
      <c r="I2111" s="2">
        <f>IF(AND(payments_raw[[#This Row],[sub_end_date]]&lt;&gt;"", payments_raw[[#This Row],[payment_date]] &gt; payments_raw[[#This Row],[sub_end_date]]), 1, 0)</f>
        <v>0</v>
      </c>
      <c r="J2111" s="2">
        <f>IF(payments_raw[[#This Row],[amount]] &lt;= 0, 1, 0)</f>
        <v>0</v>
      </c>
      <c r="K21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2" spans="1:11" x14ac:dyDescent="0.3">
      <c r="A2112">
        <v>93137998</v>
      </c>
      <c r="B2112">
        <v>9036402</v>
      </c>
      <c r="C2112" s="1">
        <v>45385</v>
      </c>
      <c r="D2112">
        <v>2990</v>
      </c>
      <c r="E2112">
        <f>IF(
  ISNA(
    _xlfn.XLOOKUP(
      payments_raw[[#This Row],[subscription_id]],
      subscriptions[subscription_id],
      subscriptions[subscription_id]
    )
  ),
  0,
  1
)</f>
        <v>1</v>
      </c>
      <c r="F2112" s="1">
        <f>_xlfn.XLOOKUP(payments_raw[[#This Row],[subscription_id]], subscriptions[subscription_id], subscriptions[start_date])</f>
        <v>44753</v>
      </c>
      <c r="G21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2" s="2">
        <f>IF(payments_raw[[#This Row],[payment_date]] &lt; payments_raw[[#This Row],[sub_start_date]], 1, 0)</f>
        <v>0</v>
      </c>
      <c r="I2112" s="2">
        <f>IF(AND(payments_raw[[#This Row],[sub_end_date]]&lt;&gt;"", payments_raw[[#This Row],[payment_date]] &gt; payments_raw[[#This Row],[sub_end_date]]), 1, 0)</f>
        <v>0</v>
      </c>
      <c r="J2112" s="2">
        <f>IF(payments_raw[[#This Row],[amount]] &lt;= 0, 1, 0)</f>
        <v>0</v>
      </c>
      <c r="K21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3" spans="1:11" x14ac:dyDescent="0.3">
      <c r="A2113">
        <v>57641877</v>
      </c>
      <c r="B2113">
        <v>9442389</v>
      </c>
      <c r="C2113" s="1">
        <v>45175</v>
      </c>
      <c r="D2113">
        <v>39</v>
      </c>
      <c r="E2113">
        <f>IF(
  ISNA(
    _xlfn.XLOOKUP(
      payments_raw[[#This Row],[subscription_id]],
      subscriptions[subscription_id],
      subscriptions[subscription_id]
    )
  ),
  0,
  1
)</f>
        <v>1</v>
      </c>
      <c r="F2113" s="1">
        <f>_xlfn.XLOOKUP(payments_raw[[#This Row],[subscription_id]], subscriptions[subscription_id], subscriptions[start_date])</f>
        <v>44993</v>
      </c>
      <c r="G21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3" s="2">
        <f>IF(payments_raw[[#This Row],[payment_date]] &lt; payments_raw[[#This Row],[sub_start_date]], 1, 0)</f>
        <v>0</v>
      </c>
      <c r="I2113" s="2">
        <f>IF(AND(payments_raw[[#This Row],[sub_end_date]]&lt;&gt;"", payments_raw[[#This Row],[payment_date]] &gt; payments_raw[[#This Row],[sub_end_date]]), 1, 0)</f>
        <v>0</v>
      </c>
      <c r="J2113" s="2">
        <f>IF(payments_raw[[#This Row],[amount]] &lt;= 0, 1, 0)</f>
        <v>0</v>
      </c>
      <c r="K21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4" spans="1:11" x14ac:dyDescent="0.3">
      <c r="A2114">
        <v>24682341</v>
      </c>
      <c r="B2114">
        <v>8729158</v>
      </c>
      <c r="C2114" s="1">
        <v>45312</v>
      </c>
      <c r="D2114">
        <v>790</v>
      </c>
      <c r="E2114">
        <f>IF(
  ISNA(
    _xlfn.XLOOKUP(
      payments_raw[[#This Row],[subscription_id]],
      subscriptions[subscription_id],
      subscriptions[subscription_id]
    )
  ),
  0,
  1
)</f>
        <v>1</v>
      </c>
      <c r="F2114" s="1">
        <f>_xlfn.XLOOKUP(payments_raw[[#This Row],[subscription_id]], subscriptions[subscription_id], subscriptions[start_date])</f>
        <v>44807</v>
      </c>
      <c r="G21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4" s="2">
        <f>IF(payments_raw[[#This Row],[payment_date]] &lt; payments_raw[[#This Row],[sub_start_date]], 1, 0)</f>
        <v>0</v>
      </c>
      <c r="I2114" s="2">
        <f>IF(AND(payments_raw[[#This Row],[sub_end_date]]&lt;&gt;"", payments_raw[[#This Row],[payment_date]] &gt; payments_raw[[#This Row],[sub_end_date]]), 1, 0)</f>
        <v>0</v>
      </c>
      <c r="J2114" s="2">
        <f>IF(payments_raw[[#This Row],[amount]] &lt;= 0, 1, 0)</f>
        <v>0</v>
      </c>
      <c r="K21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5" spans="1:11" x14ac:dyDescent="0.3">
      <c r="A2115">
        <v>33555599</v>
      </c>
      <c r="B2115">
        <v>8908785</v>
      </c>
      <c r="C2115" s="1">
        <v>45405</v>
      </c>
      <c r="D2115">
        <v>19</v>
      </c>
      <c r="E2115">
        <f>IF(
  ISNA(
    _xlfn.XLOOKUP(
      payments_raw[[#This Row],[subscription_id]],
      subscriptions[subscription_id],
      subscriptions[subscription_id]
    )
  ),
  0,
  1
)</f>
        <v>1</v>
      </c>
      <c r="F2115" s="1">
        <f>_xlfn.XLOOKUP(payments_raw[[#This Row],[subscription_id]], subscriptions[subscription_id], subscriptions[start_date])</f>
        <v>45333</v>
      </c>
      <c r="G21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5" s="2">
        <f>IF(payments_raw[[#This Row],[payment_date]] &lt; payments_raw[[#This Row],[sub_start_date]], 1, 0)</f>
        <v>0</v>
      </c>
      <c r="I2115" s="2">
        <f>IF(AND(payments_raw[[#This Row],[sub_end_date]]&lt;&gt;"", payments_raw[[#This Row],[payment_date]] &gt; payments_raw[[#This Row],[sub_end_date]]), 1, 0)</f>
        <v>0</v>
      </c>
      <c r="J2115" s="2">
        <f>IF(payments_raw[[#This Row],[amount]] &lt;= 0, 1, 0)</f>
        <v>0</v>
      </c>
      <c r="K21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6" spans="1:11" x14ac:dyDescent="0.3">
      <c r="A2116">
        <v>62051034</v>
      </c>
      <c r="B2116">
        <v>4346251</v>
      </c>
      <c r="C2116" s="1">
        <v>45132</v>
      </c>
      <c r="D2116">
        <v>2990</v>
      </c>
      <c r="E2116">
        <f>IF(
  ISNA(
    _xlfn.XLOOKUP(
      payments_raw[[#This Row],[subscription_id]],
      subscriptions[subscription_id],
      subscriptions[subscription_id]
    )
  ),
  0,
  1
)</f>
        <v>1</v>
      </c>
      <c r="F2116" s="1">
        <f>_xlfn.XLOOKUP(payments_raw[[#This Row],[subscription_id]], subscriptions[subscription_id], subscriptions[start_date])</f>
        <v>45002</v>
      </c>
      <c r="G21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2116" s="2">
        <f>IF(payments_raw[[#This Row],[payment_date]] &lt; payments_raw[[#This Row],[sub_start_date]], 1, 0)</f>
        <v>0</v>
      </c>
      <c r="I2116" s="2">
        <f>IF(AND(payments_raw[[#This Row],[sub_end_date]]&lt;&gt;"", payments_raw[[#This Row],[payment_date]] &gt; payments_raw[[#This Row],[sub_end_date]]), 1, 0)</f>
        <v>0</v>
      </c>
      <c r="J2116" s="2">
        <f>IF(payments_raw[[#This Row],[amount]] &lt;= 0, 1, 0)</f>
        <v>0</v>
      </c>
      <c r="K21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7" spans="1:11" x14ac:dyDescent="0.3">
      <c r="A2117">
        <v>84833941</v>
      </c>
      <c r="B2117">
        <v>2171745</v>
      </c>
      <c r="C2117" s="1">
        <v>45533</v>
      </c>
      <c r="D2117">
        <v>2990</v>
      </c>
      <c r="E2117">
        <f>IF(
  ISNA(
    _xlfn.XLOOKUP(
      payments_raw[[#This Row],[subscription_id]],
      subscriptions[subscription_id],
      subscriptions[subscription_id]
    )
  ),
  0,
  1
)</f>
        <v>1</v>
      </c>
      <c r="F2117" s="1">
        <f>_xlfn.XLOOKUP(payments_raw[[#This Row],[subscription_id]], subscriptions[subscription_id], subscriptions[start_date])</f>
        <v>45417</v>
      </c>
      <c r="G21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7" s="2">
        <f>IF(payments_raw[[#This Row],[payment_date]] &lt; payments_raw[[#This Row],[sub_start_date]], 1, 0)</f>
        <v>0</v>
      </c>
      <c r="I2117" s="2">
        <f>IF(AND(payments_raw[[#This Row],[sub_end_date]]&lt;&gt;"", payments_raw[[#This Row],[payment_date]] &gt; payments_raw[[#This Row],[sub_end_date]]), 1, 0)</f>
        <v>0</v>
      </c>
      <c r="J2117" s="2">
        <f>IF(payments_raw[[#This Row],[amount]] &lt;= 0, 1, 0)</f>
        <v>0</v>
      </c>
      <c r="K21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8" spans="1:11" x14ac:dyDescent="0.3">
      <c r="A2118">
        <v>12880851</v>
      </c>
      <c r="B2118">
        <v>1226440</v>
      </c>
      <c r="C2118" s="1">
        <v>44627</v>
      </c>
      <c r="D2118">
        <v>190</v>
      </c>
      <c r="E2118">
        <f>IF(
  ISNA(
    _xlfn.XLOOKUP(
      payments_raw[[#This Row],[subscription_id]],
      subscriptions[subscription_id],
      subscriptions[subscription_id]
    )
  ),
  0,
  1
)</f>
        <v>1</v>
      </c>
      <c r="F2118" s="1">
        <f>_xlfn.XLOOKUP(payments_raw[[#This Row],[subscription_id]], subscriptions[subscription_id], subscriptions[start_date])</f>
        <v>44581</v>
      </c>
      <c r="G21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44665</v>
      </c>
      <c r="H2118" s="2">
        <f>IF(payments_raw[[#This Row],[payment_date]] &lt; payments_raw[[#This Row],[sub_start_date]], 1, 0)</f>
        <v>0</v>
      </c>
      <c r="I2118" s="2">
        <f>IF(AND(payments_raw[[#This Row],[sub_end_date]]&lt;&gt;"", payments_raw[[#This Row],[payment_date]] &gt; payments_raw[[#This Row],[sub_end_date]]), 1, 0)</f>
        <v>0</v>
      </c>
      <c r="J2118" s="2">
        <f>IF(payments_raw[[#This Row],[amount]] &lt;= 0, 1, 0)</f>
        <v>0</v>
      </c>
      <c r="K21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19" spans="1:11" x14ac:dyDescent="0.3">
      <c r="A2119">
        <v>30086155</v>
      </c>
      <c r="B2119">
        <v>1875589</v>
      </c>
      <c r="C2119" s="1">
        <v>44989</v>
      </c>
      <c r="D2119">
        <v>790</v>
      </c>
      <c r="E2119">
        <f>IF(
  ISNA(
    _xlfn.XLOOKUP(
      payments_raw[[#This Row],[subscription_id]],
      subscriptions[subscription_id],
      subscriptions[subscription_id]
    )
  ),
  0,
  1
)</f>
        <v>1</v>
      </c>
      <c r="F2119" s="1">
        <f>_xlfn.XLOOKUP(payments_raw[[#This Row],[subscription_id]], subscriptions[subscription_id], subscriptions[start_date])</f>
        <v>44842</v>
      </c>
      <c r="G21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19" s="2">
        <f>IF(payments_raw[[#This Row],[payment_date]] &lt; payments_raw[[#This Row],[sub_start_date]], 1, 0)</f>
        <v>0</v>
      </c>
      <c r="I2119" s="2">
        <f>IF(AND(payments_raw[[#This Row],[sub_end_date]]&lt;&gt;"", payments_raw[[#This Row],[payment_date]] &gt; payments_raw[[#This Row],[sub_end_date]]), 1, 0)</f>
        <v>0</v>
      </c>
      <c r="J2119" s="2">
        <f>IF(payments_raw[[#This Row],[amount]] &lt;= 0, 1, 0)</f>
        <v>0</v>
      </c>
      <c r="K21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0" spans="1:11" x14ac:dyDescent="0.3">
      <c r="A2120">
        <v>33642126</v>
      </c>
      <c r="B2120">
        <v>9725395</v>
      </c>
      <c r="C2120" s="1">
        <v>45298</v>
      </c>
      <c r="D2120">
        <v>1490</v>
      </c>
      <c r="E2120">
        <f>IF(
  ISNA(
    _xlfn.XLOOKUP(
      payments_raw[[#This Row],[subscription_id]],
      subscriptions[subscription_id],
      subscriptions[subscription_id]
    )
  ),
  0,
  1
)</f>
        <v>1</v>
      </c>
      <c r="F2120" s="1">
        <f>_xlfn.XLOOKUP(payments_raw[[#This Row],[subscription_id]], subscriptions[subscription_id], subscriptions[start_date])</f>
        <v>45106</v>
      </c>
      <c r="G21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45378</v>
      </c>
      <c r="H2120" s="2">
        <f>IF(payments_raw[[#This Row],[payment_date]] &lt; payments_raw[[#This Row],[sub_start_date]], 1, 0)</f>
        <v>0</v>
      </c>
      <c r="I2120" s="2">
        <f>IF(AND(payments_raw[[#This Row],[sub_end_date]]&lt;&gt;"", payments_raw[[#This Row],[payment_date]] &gt; payments_raw[[#This Row],[sub_end_date]]), 1, 0)</f>
        <v>0</v>
      </c>
      <c r="J2120" s="2">
        <f>IF(payments_raw[[#This Row],[amount]] &lt;= 0, 1, 0)</f>
        <v>0</v>
      </c>
      <c r="K21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1" spans="1:11" x14ac:dyDescent="0.3">
      <c r="A2121">
        <v>44986948</v>
      </c>
      <c r="B2121">
        <v>9286653</v>
      </c>
      <c r="C2121" s="1">
        <v>45303</v>
      </c>
      <c r="D2121">
        <v>390</v>
      </c>
      <c r="E2121">
        <f>IF(
  ISNA(
    _xlfn.XLOOKUP(
      payments_raw[[#This Row],[subscription_id]],
      subscriptions[subscription_id],
      subscriptions[subscription_id]
    )
  ),
  0,
  1
)</f>
        <v>1</v>
      </c>
      <c r="F2121" s="1">
        <f>_xlfn.XLOOKUP(payments_raw[[#This Row],[subscription_id]], subscriptions[subscription_id], subscriptions[start_date])</f>
        <v>45266</v>
      </c>
      <c r="G21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45326</v>
      </c>
      <c r="H2121" s="2">
        <f>IF(payments_raw[[#This Row],[payment_date]] &lt; payments_raw[[#This Row],[sub_start_date]], 1, 0)</f>
        <v>0</v>
      </c>
      <c r="I2121" s="2">
        <f>IF(AND(payments_raw[[#This Row],[sub_end_date]]&lt;&gt;"", payments_raw[[#This Row],[payment_date]] &gt; payments_raw[[#This Row],[sub_end_date]]), 1, 0)</f>
        <v>0</v>
      </c>
      <c r="J2121" s="2">
        <f>IF(payments_raw[[#This Row],[amount]] &lt;= 0, 1, 0)</f>
        <v>0</v>
      </c>
      <c r="K21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2" spans="1:11" x14ac:dyDescent="0.3">
      <c r="A2122">
        <v>61338299</v>
      </c>
      <c r="B2122">
        <v>7281485</v>
      </c>
      <c r="C2122" s="1">
        <v>45647</v>
      </c>
      <c r="D2122">
        <v>19</v>
      </c>
      <c r="E2122">
        <f>IF(
  ISNA(
    _xlfn.XLOOKUP(
      payments_raw[[#This Row],[subscription_id]],
      subscriptions[subscription_id],
      subscriptions[subscription_id]
    )
  ),
  0,
  1
)</f>
        <v>1</v>
      </c>
      <c r="F2122" s="1">
        <f>_xlfn.XLOOKUP(payments_raw[[#This Row],[subscription_id]], subscriptions[subscription_id], subscriptions[start_date])</f>
        <v>45212</v>
      </c>
      <c r="G21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2" s="2">
        <f>IF(payments_raw[[#This Row],[payment_date]] &lt; payments_raw[[#This Row],[sub_start_date]], 1, 0)</f>
        <v>0</v>
      </c>
      <c r="I2122" s="2">
        <f>IF(AND(payments_raw[[#This Row],[sub_end_date]]&lt;&gt;"", payments_raw[[#This Row],[payment_date]] &gt; payments_raw[[#This Row],[sub_end_date]]), 1, 0)</f>
        <v>0</v>
      </c>
      <c r="J2122" s="2">
        <f>IF(payments_raw[[#This Row],[amount]] &lt;= 0, 1, 0)</f>
        <v>0</v>
      </c>
      <c r="K21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3" spans="1:11" x14ac:dyDescent="0.3">
      <c r="A2123">
        <v>36212551</v>
      </c>
      <c r="B2123">
        <v>7454929</v>
      </c>
      <c r="C2123" s="1">
        <v>45549</v>
      </c>
      <c r="D2123">
        <v>190</v>
      </c>
      <c r="E2123">
        <f>IF(
  ISNA(
    _xlfn.XLOOKUP(
      payments_raw[[#This Row],[subscription_id]],
      subscriptions[subscription_id],
      subscriptions[subscription_id]
    )
  ),
  0,
  1
)</f>
        <v>1</v>
      </c>
      <c r="F2123" s="1">
        <f>_xlfn.XLOOKUP(payments_raw[[#This Row],[subscription_id]], subscriptions[subscription_id], subscriptions[start_date])</f>
        <v>44792</v>
      </c>
      <c r="G21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3" s="2">
        <f>IF(payments_raw[[#This Row],[payment_date]] &lt; payments_raw[[#This Row],[sub_start_date]], 1, 0)</f>
        <v>0</v>
      </c>
      <c r="I2123" s="2">
        <f>IF(AND(payments_raw[[#This Row],[sub_end_date]]&lt;&gt;"", payments_raw[[#This Row],[payment_date]] &gt; payments_raw[[#This Row],[sub_end_date]]), 1, 0)</f>
        <v>0</v>
      </c>
      <c r="J2123" s="2">
        <f>IF(payments_raw[[#This Row],[amount]] &lt;= 0, 1, 0)</f>
        <v>0</v>
      </c>
      <c r="K21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4" spans="1:11" x14ac:dyDescent="0.3">
      <c r="A2124">
        <v>82420995</v>
      </c>
      <c r="B2124">
        <v>4967894</v>
      </c>
      <c r="C2124" s="1">
        <v>44718</v>
      </c>
      <c r="D2124">
        <v>19</v>
      </c>
      <c r="E2124">
        <f>IF(
  ISNA(
    _xlfn.XLOOKUP(
      payments_raw[[#This Row],[subscription_id]],
      subscriptions[subscription_id],
      subscriptions[subscription_id]
    )
  ),
  0,
  1
)</f>
        <v>1</v>
      </c>
      <c r="F2124" s="1">
        <f>_xlfn.XLOOKUP(payments_raw[[#This Row],[subscription_id]], subscriptions[subscription_id], subscriptions[start_date])</f>
        <v>44668</v>
      </c>
      <c r="G212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2124" s="2">
        <f>IF(payments_raw[[#This Row],[payment_date]] &lt; payments_raw[[#This Row],[sub_start_date]], 1, 0)</f>
        <v>0</v>
      </c>
      <c r="I2124" s="2">
        <f>IF(AND(payments_raw[[#This Row],[sub_end_date]]&lt;&gt;"", payments_raw[[#This Row],[payment_date]] &gt; payments_raw[[#This Row],[sub_end_date]]), 1, 0)</f>
        <v>0</v>
      </c>
      <c r="J2124" s="2">
        <f>IF(payments_raw[[#This Row],[amount]] &lt;= 0, 1, 0)</f>
        <v>0</v>
      </c>
      <c r="K21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5" spans="1:11" x14ac:dyDescent="0.3">
      <c r="A2125">
        <v>48909287</v>
      </c>
      <c r="B2125">
        <v>5573282</v>
      </c>
      <c r="C2125" s="1">
        <v>45469</v>
      </c>
      <c r="D2125">
        <v>390</v>
      </c>
      <c r="E2125">
        <f>IF(
  ISNA(
    _xlfn.XLOOKUP(
      payments_raw[[#This Row],[subscription_id]],
      subscriptions[subscription_id],
      subscriptions[subscription_id]
    )
  ),
  0,
  1
)</f>
        <v>1</v>
      </c>
      <c r="F2125" s="1">
        <f>_xlfn.XLOOKUP(payments_raw[[#This Row],[subscription_id]], subscriptions[subscription_id], subscriptions[start_date])</f>
        <v>45319</v>
      </c>
      <c r="G21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5" s="2">
        <f>IF(payments_raw[[#This Row],[payment_date]] &lt; payments_raw[[#This Row],[sub_start_date]], 1, 0)</f>
        <v>0</v>
      </c>
      <c r="I2125" s="2">
        <f>IF(AND(payments_raw[[#This Row],[sub_end_date]]&lt;&gt;"", payments_raw[[#This Row],[payment_date]] &gt; payments_raw[[#This Row],[sub_end_date]]), 1, 0)</f>
        <v>0</v>
      </c>
      <c r="J2125" s="2">
        <f>IF(payments_raw[[#This Row],[amount]] &lt;= 0, 1, 0)</f>
        <v>0</v>
      </c>
      <c r="K21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6" spans="1:11" x14ac:dyDescent="0.3">
      <c r="A2126">
        <v>12485938</v>
      </c>
      <c r="B2126">
        <v>8426297</v>
      </c>
      <c r="C2126" s="1">
        <v>45272</v>
      </c>
      <c r="D2126">
        <v>1490</v>
      </c>
      <c r="E2126">
        <f>IF(
  ISNA(
    _xlfn.XLOOKUP(
      payments_raw[[#This Row],[subscription_id]],
      subscriptions[subscription_id],
      subscriptions[subscription_id]
    )
  ),
  0,
  1
)</f>
        <v>1</v>
      </c>
      <c r="F2126" s="1">
        <f>_xlfn.XLOOKUP(payments_raw[[#This Row],[subscription_id]], subscriptions[subscription_id], subscriptions[start_date])</f>
        <v>44960</v>
      </c>
      <c r="G21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6" s="2">
        <f>IF(payments_raw[[#This Row],[payment_date]] &lt; payments_raw[[#This Row],[sub_start_date]], 1, 0)</f>
        <v>0</v>
      </c>
      <c r="I2126" s="2">
        <f>IF(AND(payments_raw[[#This Row],[sub_end_date]]&lt;&gt;"", payments_raw[[#This Row],[payment_date]] &gt; payments_raw[[#This Row],[sub_end_date]]), 1, 0)</f>
        <v>0</v>
      </c>
      <c r="J2126" s="2">
        <f>IF(payments_raw[[#This Row],[amount]] &lt;= 0, 1, 0)</f>
        <v>0</v>
      </c>
      <c r="K21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7" spans="1:11" x14ac:dyDescent="0.3">
      <c r="A2127">
        <v>79600607</v>
      </c>
      <c r="B2127">
        <v>7416570</v>
      </c>
      <c r="C2127" s="1">
        <v>45583</v>
      </c>
      <c r="D2127">
        <v>1490</v>
      </c>
      <c r="E2127">
        <f>IF(
  ISNA(
    _xlfn.XLOOKUP(
      payments_raw[[#This Row],[subscription_id]],
      subscriptions[subscription_id],
      subscriptions[subscription_id]
    )
  ),
  0,
  1
)</f>
        <v>1</v>
      </c>
      <c r="F2127" s="1">
        <f>_xlfn.XLOOKUP(payments_raw[[#This Row],[subscription_id]], subscriptions[subscription_id], subscriptions[start_date])</f>
        <v>45328</v>
      </c>
      <c r="G21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7" s="2">
        <f>IF(payments_raw[[#This Row],[payment_date]] &lt; payments_raw[[#This Row],[sub_start_date]], 1, 0)</f>
        <v>0</v>
      </c>
      <c r="I2127" s="2">
        <f>IF(AND(payments_raw[[#This Row],[sub_end_date]]&lt;&gt;"", payments_raw[[#This Row],[payment_date]] &gt; payments_raw[[#This Row],[sub_end_date]]), 1, 0)</f>
        <v>0</v>
      </c>
      <c r="J2127" s="2">
        <f>IF(payments_raw[[#This Row],[amount]] &lt;= 0, 1, 0)</f>
        <v>0</v>
      </c>
      <c r="K21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8" spans="1:11" x14ac:dyDescent="0.3">
      <c r="A2128">
        <v>87861127</v>
      </c>
      <c r="B2128">
        <v>1864361</v>
      </c>
      <c r="C2128" s="1">
        <v>45155</v>
      </c>
      <c r="D2128">
        <v>111.75</v>
      </c>
      <c r="E2128">
        <f>IF(
  ISNA(
    _xlfn.XLOOKUP(
      payments_raw[[#This Row],[subscription_id]],
      subscriptions[subscription_id],
      subscriptions[subscription_id]
    )
  ),
  0,
  1
)</f>
        <v>1</v>
      </c>
      <c r="F2128" s="1">
        <f>_xlfn.XLOOKUP(payments_raw[[#This Row],[subscription_id]], subscriptions[subscription_id], subscriptions[start_date])</f>
        <v>45071</v>
      </c>
      <c r="G21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45208</v>
      </c>
      <c r="H2128" s="2">
        <f>IF(payments_raw[[#This Row],[payment_date]] &lt; payments_raw[[#This Row],[sub_start_date]], 1, 0)</f>
        <v>0</v>
      </c>
      <c r="I2128" s="2">
        <f>IF(AND(payments_raw[[#This Row],[sub_end_date]]&lt;&gt;"", payments_raw[[#This Row],[payment_date]] &gt; payments_raw[[#This Row],[sub_end_date]]), 1, 0)</f>
        <v>0</v>
      </c>
      <c r="J2128" s="2">
        <f>IF(payments_raw[[#This Row],[amount]] &lt;= 0, 1, 0)</f>
        <v>0</v>
      </c>
      <c r="K21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29" spans="1:11" x14ac:dyDescent="0.3">
      <c r="A2129">
        <v>12793011</v>
      </c>
      <c r="B2129">
        <v>6175949</v>
      </c>
      <c r="C2129" s="1">
        <v>45520</v>
      </c>
      <c r="D2129">
        <v>1117.5</v>
      </c>
      <c r="E2129">
        <f>IF(
  ISNA(
    _xlfn.XLOOKUP(
      payments_raw[[#This Row],[subscription_id]],
      subscriptions[subscription_id],
      subscriptions[subscription_id]
    )
  ),
  0,
  1
)</f>
        <v>1</v>
      </c>
      <c r="F2129" s="1">
        <f>_xlfn.XLOOKUP(payments_raw[[#This Row],[subscription_id]], subscriptions[subscription_id], subscriptions[start_date])</f>
        <v>45478</v>
      </c>
      <c r="G21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29" s="2">
        <f>IF(payments_raw[[#This Row],[payment_date]] &lt; payments_raw[[#This Row],[sub_start_date]], 1, 0)</f>
        <v>0</v>
      </c>
      <c r="I2129" s="2">
        <f>IF(AND(payments_raw[[#This Row],[sub_end_date]]&lt;&gt;"", payments_raw[[#This Row],[payment_date]] &gt; payments_raw[[#This Row],[sub_end_date]]), 1, 0)</f>
        <v>0</v>
      </c>
      <c r="J2129" s="2">
        <f>IF(payments_raw[[#This Row],[amount]] &lt;= 0, 1, 0)</f>
        <v>0</v>
      </c>
      <c r="K21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0" spans="1:11" x14ac:dyDescent="0.3">
      <c r="A2130">
        <v>92389507</v>
      </c>
      <c r="B2130">
        <v>2741350</v>
      </c>
      <c r="C2130" s="1">
        <v>45426</v>
      </c>
      <c r="D2130">
        <v>190</v>
      </c>
      <c r="E2130">
        <f>IF(
  ISNA(
    _xlfn.XLOOKUP(
      payments_raw[[#This Row],[subscription_id]],
      subscriptions[subscription_id],
      subscriptions[subscription_id]
    )
  ),
  0,
  1
)</f>
        <v>1</v>
      </c>
      <c r="F2130" s="1">
        <f>_xlfn.XLOOKUP(payments_raw[[#This Row],[subscription_id]], subscriptions[subscription_id], subscriptions[start_date])</f>
        <v>45040</v>
      </c>
      <c r="G21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30" s="2">
        <f>IF(payments_raw[[#This Row],[payment_date]] &lt; payments_raw[[#This Row],[sub_start_date]], 1, 0)</f>
        <v>0</v>
      </c>
      <c r="I2130" s="2">
        <f>IF(AND(payments_raw[[#This Row],[sub_end_date]]&lt;&gt;"", payments_raw[[#This Row],[payment_date]] &gt; payments_raw[[#This Row],[sub_end_date]]), 1, 0)</f>
        <v>0</v>
      </c>
      <c r="J2130" s="2">
        <f>IF(payments_raw[[#This Row],[amount]] &lt;= 0, 1, 0)</f>
        <v>0</v>
      </c>
      <c r="K21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1" spans="1:11" x14ac:dyDescent="0.3">
      <c r="A2131">
        <v>56890422</v>
      </c>
      <c r="B2131">
        <v>8544263</v>
      </c>
      <c r="C2131" s="1">
        <v>44984</v>
      </c>
      <c r="D2131">
        <v>39</v>
      </c>
      <c r="E2131">
        <f>IF(
  ISNA(
    _xlfn.XLOOKUP(
      payments_raw[[#This Row],[subscription_id]],
      subscriptions[subscription_id],
      subscriptions[subscription_id]
    )
  ),
  0,
  1
)</f>
        <v>1</v>
      </c>
      <c r="F2131" s="1">
        <f>_xlfn.XLOOKUP(payments_raw[[#This Row],[subscription_id]], subscriptions[subscription_id], subscriptions[start_date])</f>
        <v>44911</v>
      </c>
      <c r="G21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31" s="2">
        <f>IF(payments_raw[[#This Row],[payment_date]] &lt; payments_raw[[#This Row],[sub_start_date]], 1, 0)</f>
        <v>0</v>
      </c>
      <c r="I2131" s="2">
        <f>IF(AND(payments_raw[[#This Row],[sub_end_date]]&lt;&gt;"", payments_raw[[#This Row],[payment_date]] &gt; payments_raw[[#This Row],[sub_end_date]]), 1, 0)</f>
        <v>0</v>
      </c>
      <c r="J2131" s="2">
        <f>IF(payments_raw[[#This Row],[amount]] &lt;= 0, 1, 0)</f>
        <v>0</v>
      </c>
      <c r="K21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2" spans="1:11" x14ac:dyDescent="0.3">
      <c r="A2132">
        <v>52039919</v>
      </c>
      <c r="B2132">
        <v>5678825</v>
      </c>
      <c r="C2132" s="1">
        <v>45313</v>
      </c>
      <c r="D2132">
        <v>190</v>
      </c>
      <c r="E2132">
        <f>IF(
  ISNA(
    _xlfn.XLOOKUP(
      payments_raw[[#This Row],[subscription_id]],
      subscriptions[subscription_id],
      subscriptions[subscription_id]
    )
  ),
  0,
  1
)</f>
        <v>1</v>
      </c>
      <c r="F2132" s="1">
        <f>_xlfn.XLOOKUP(payments_raw[[#This Row],[subscription_id]], subscriptions[subscription_id], subscriptions[start_date])</f>
        <v>45216</v>
      </c>
      <c r="G21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45568</v>
      </c>
      <c r="H2132" s="2">
        <f>IF(payments_raw[[#This Row],[payment_date]] &lt; payments_raw[[#This Row],[sub_start_date]], 1, 0)</f>
        <v>0</v>
      </c>
      <c r="I2132" s="2">
        <f>IF(AND(payments_raw[[#This Row],[sub_end_date]]&lt;&gt;"", payments_raw[[#This Row],[payment_date]] &gt; payments_raw[[#This Row],[sub_end_date]]), 1, 0)</f>
        <v>0</v>
      </c>
      <c r="J2132" s="2">
        <f>IF(payments_raw[[#This Row],[amount]] &lt;= 0, 1, 0)</f>
        <v>0</v>
      </c>
      <c r="K21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3" spans="1:11" x14ac:dyDescent="0.3">
      <c r="A2133">
        <v>70155720</v>
      </c>
      <c r="B2133">
        <v>2098296</v>
      </c>
      <c r="C2133" s="1">
        <v>45508</v>
      </c>
      <c r="D2133">
        <v>299</v>
      </c>
      <c r="E2133">
        <f>IF(
  ISNA(
    _xlfn.XLOOKUP(
      payments_raw[[#This Row],[subscription_id]],
      subscriptions[subscription_id],
      subscriptions[subscription_id]
    )
  ),
  0,
  1
)</f>
        <v>1</v>
      </c>
      <c r="F2133" s="1">
        <f>_xlfn.XLOOKUP(payments_raw[[#This Row],[subscription_id]], subscriptions[subscription_id], subscriptions[start_date])</f>
        <v>45254</v>
      </c>
      <c r="G21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33" s="2">
        <f>IF(payments_raw[[#This Row],[payment_date]] &lt; payments_raw[[#This Row],[sub_start_date]], 1, 0)</f>
        <v>0</v>
      </c>
      <c r="I2133" s="2">
        <f>IF(AND(payments_raw[[#This Row],[sub_end_date]]&lt;&gt;"", payments_raw[[#This Row],[payment_date]] &gt; payments_raw[[#This Row],[sub_end_date]]), 1, 0)</f>
        <v>0</v>
      </c>
      <c r="J2133" s="2">
        <f>IF(payments_raw[[#This Row],[amount]] &lt;= 0, 1, 0)</f>
        <v>0</v>
      </c>
      <c r="K21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4" spans="1:11" x14ac:dyDescent="0.3">
      <c r="A2134">
        <v>34381903</v>
      </c>
      <c r="B2134">
        <v>5488496</v>
      </c>
      <c r="C2134" s="1">
        <v>45418</v>
      </c>
      <c r="D2134">
        <v>190</v>
      </c>
      <c r="E2134">
        <f>IF(
  ISNA(
    _xlfn.XLOOKUP(
      payments_raw[[#This Row],[subscription_id]],
      subscriptions[subscription_id],
      subscriptions[subscription_id]
    )
  ),
  0,
  1
)</f>
        <v>1</v>
      </c>
      <c r="F2134" s="1">
        <f>_xlfn.XLOOKUP(payments_raw[[#This Row],[subscription_id]], subscriptions[subscription_id], subscriptions[start_date])</f>
        <v>45215</v>
      </c>
      <c r="G21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45502</v>
      </c>
      <c r="H2134" s="2">
        <f>IF(payments_raw[[#This Row],[payment_date]] &lt; payments_raw[[#This Row],[sub_start_date]], 1, 0)</f>
        <v>0</v>
      </c>
      <c r="I2134" s="2">
        <f>IF(AND(payments_raw[[#This Row],[sub_end_date]]&lt;&gt;"", payments_raw[[#This Row],[payment_date]] &gt; payments_raw[[#This Row],[sub_end_date]]), 1, 0)</f>
        <v>0</v>
      </c>
      <c r="J2134" s="2">
        <f>IF(payments_raw[[#This Row],[amount]] &lt;= 0, 1, 0)</f>
        <v>0</v>
      </c>
      <c r="K21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5" spans="1:11" x14ac:dyDescent="0.3">
      <c r="A2135">
        <v>98306222</v>
      </c>
      <c r="B2135">
        <v>1645952</v>
      </c>
      <c r="C2135" s="1">
        <v>45046</v>
      </c>
      <c r="D2135">
        <v>790</v>
      </c>
      <c r="E2135">
        <f>IF(
  ISNA(
    _xlfn.XLOOKUP(
      payments_raw[[#This Row],[subscription_id]],
      subscriptions[subscription_id],
      subscriptions[subscription_id]
    )
  ),
  0,
  1
)</f>
        <v>1</v>
      </c>
      <c r="F2135" s="1">
        <f>_xlfn.XLOOKUP(payments_raw[[#This Row],[subscription_id]], subscriptions[subscription_id], subscriptions[start_date])</f>
        <v>44939</v>
      </c>
      <c r="G21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45194</v>
      </c>
      <c r="H2135" s="2">
        <f>IF(payments_raw[[#This Row],[payment_date]] &lt; payments_raw[[#This Row],[sub_start_date]], 1, 0)</f>
        <v>0</v>
      </c>
      <c r="I2135" s="2">
        <f>IF(AND(payments_raw[[#This Row],[sub_end_date]]&lt;&gt;"", payments_raw[[#This Row],[payment_date]] &gt; payments_raw[[#This Row],[sub_end_date]]), 1, 0)</f>
        <v>0</v>
      </c>
      <c r="J2135" s="2">
        <f>IF(payments_raw[[#This Row],[amount]] &lt;= 0, 1, 0)</f>
        <v>0</v>
      </c>
      <c r="K21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6" spans="1:11" x14ac:dyDescent="0.3">
      <c r="A2136">
        <v>90226319</v>
      </c>
      <c r="B2136">
        <v>4453773</v>
      </c>
      <c r="C2136" s="1">
        <v>45622</v>
      </c>
      <c r="D2136">
        <v>299</v>
      </c>
      <c r="E2136">
        <f>IF(
  ISNA(
    _xlfn.XLOOKUP(
      payments_raw[[#This Row],[subscription_id]],
      subscriptions[subscription_id],
      subscriptions[subscription_id]
    )
  ),
  0,
  1
)</f>
        <v>1</v>
      </c>
      <c r="F2136" s="1">
        <f>_xlfn.XLOOKUP(payments_raw[[#This Row],[subscription_id]], subscriptions[subscription_id], subscriptions[start_date])</f>
        <v>45575</v>
      </c>
      <c r="G21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45629</v>
      </c>
      <c r="H2136" s="2">
        <f>IF(payments_raw[[#This Row],[payment_date]] &lt; payments_raw[[#This Row],[sub_start_date]], 1, 0)</f>
        <v>0</v>
      </c>
      <c r="I2136" s="2">
        <f>IF(AND(payments_raw[[#This Row],[sub_end_date]]&lt;&gt;"", payments_raw[[#This Row],[payment_date]] &gt; payments_raw[[#This Row],[sub_end_date]]), 1, 0)</f>
        <v>0</v>
      </c>
      <c r="J2136" s="2">
        <f>IF(payments_raw[[#This Row],[amount]] &lt;= 0, 1, 0)</f>
        <v>0</v>
      </c>
      <c r="K21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7" spans="1:11" x14ac:dyDescent="0.3">
      <c r="A2137">
        <v>41295743</v>
      </c>
      <c r="B2137">
        <v>8825556</v>
      </c>
      <c r="C2137" s="1">
        <v>44774</v>
      </c>
      <c r="D2137">
        <v>79</v>
      </c>
      <c r="E2137">
        <f>IF(
  ISNA(
    _xlfn.XLOOKUP(
      payments_raw[[#This Row],[subscription_id]],
      subscriptions[subscription_id],
      subscriptions[subscription_id]
    )
  ),
  0,
  1
)</f>
        <v>1</v>
      </c>
      <c r="F2137" s="1">
        <f>_xlfn.XLOOKUP(payments_raw[[#This Row],[subscription_id]], subscriptions[subscription_id], subscriptions[start_date])</f>
        <v>44637</v>
      </c>
      <c r="G213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44912</v>
      </c>
      <c r="H2137" s="2">
        <f>IF(payments_raw[[#This Row],[payment_date]] &lt; payments_raw[[#This Row],[sub_start_date]], 1, 0)</f>
        <v>0</v>
      </c>
      <c r="I2137" s="2">
        <f>IF(AND(payments_raw[[#This Row],[sub_end_date]]&lt;&gt;"", payments_raw[[#This Row],[payment_date]] &gt; payments_raw[[#This Row],[sub_end_date]]), 1, 0)</f>
        <v>0</v>
      </c>
      <c r="J2137" s="2">
        <f>IF(payments_raw[[#This Row],[amount]] &lt;= 0, 1, 0)</f>
        <v>0</v>
      </c>
      <c r="K21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8" spans="1:11" x14ac:dyDescent="0.3">
      <c r="A2138">
        <v>76841520</v>
      </c>
      <c r="B2138">
        <v>4156740</v>
      </c>
      <c r="C2138" s="1">
        <v>45284</v>
      </c>
      <c r="D2138">
        <v>39</v>
      </c>
      <c r="E2138">
        <f>IF(
  ISNA(
    _xlfn.XLOOKUP(
      payments_raw[[#This Row],[subscription_id]],
      subscriptions[subscription_id],
      subscriptions[subscription_id]
    )
  ),
  0,
  1
)</f>
        <v>1</v>
      </c>
      <c r="F2138" s="1">
        <f>_xlfn.XLOOKUP(payments_raw[[#This Row],[subscription_id]], subscriptions[subscription_id], subscriptions[start_date])</f>
        <v>44799</v>
      </c>
      <c r="G21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38" s="2">
        <f>IF(payments_raw[[#This Row],[payment_date]] &lt; payments_raw[[#This Row],[sub_start_date]], 1, 0)</f>
        <v>0</v>
      </c>
      <c r="I2138" s="2">
        <f>IF(AND(payments_raw[[#This Row],[sub_end_date]]&lt;&gt;"", payments_raw[[#This Row],[payment_date]] &gt; payments_raw[[#This Row],[sub_end_date]]), 1, 0)</f>
        <v>0</v>
      </c>
      <c r="J2138" s="2">
        <f>IF(payments_raw[[#This Row],[amount]] &lt;= 0, 1, 0)</f>
        <v>0</v>
      </c>
      <c r="K21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39" spans="1:11" x14ac:dyDescent="0.3">
      <c r="A2139">
        <v>32883633</v>
      </c>
      <c r="B2139">
        <v>9339992</v>
      </c>
      <c r="C2139" s="1">
        <v>45590</v>
      </c>
      <c r="D2139">
        <v>299</v>
      </c>
      <c r="E2139">
        <f>IF(
  ISNA(
    _xlfn.XLOOKUP(
      payments_raw[[#This Row],[subscription_id]],
      subscriptions[subscription_id],
      subscriptions[subscription_id]
    )
  ),
  0,
  1
)</f>
        <v>1</v>
      </c>
      <c r="F2139" s="1">
        <f>_xlfn.XLOOKUP(payments_raw[[#This Row],[subscription_id]], subscriptions[subscription_id], subscriptions[start_date])</f>
        <v>45570</v>
      </c>
      <c r="G21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39" s="2">
        <f>IF(payments_raw[[#This Row],[payment_date]] &lt; payments_raw[[#This Row],[sub_start_date]], 1, 0)</f>
        <v>0</v>
      </c>
      <c r="I2139" s="2">
        <f>IF(AND(payments_raw[[#This Row],[sub_end_date]]&lt;&gt;"", payments_raw[[#This Row],[payment_date]] &gt; payments_raw[[#This Row],[sub_end_date]]), 1, 0)</f>
        <v>0</v>
      </c>
      <c r="J2139" s="2">
        <f>IF(payments_raw[[#This Row],[amount]] &lt;= 0, 1, 0)</f>
        <v>0</v>
      </c>
      <c r="K21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0" spans="1:11" x14ac:dyDescent="0.3">
      <c r="A2140">
        <v>86133493</v>
      </c>
      <c r="B2140">
        <v>1627774</v>
      </c>
      <c r="C2140" s="1">
        <v>44868</v>
      </c>
      <c r="D2140">
        <v>149.5</v>
      </c>
      <c r="E2140">
        <f>IF(
  ISNA(
    _xlfn.XLOOKUP(
      payments_raw[[#This Row],[subscription_id]],
      subscriptions[subscription_id],
      subscriptions[subscription_id]
    )
  ),
  0,
  1
)</f>
        <v>1</v>
      </c>
      <c r="F2140" s="1">
        <f>_xlfn.XLOOKUP(payments_raw[[#This Row],[subscription_id]], subscriptions[subscription_id], subscriptions[start_date])</f>
        <v>44711</v>
      </c>
      <c r="G21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0" s="2">
        <f>IF(payments_raw[[#This Row],[payment_date]] &lt; payments_raw[[#This Row],[sub_start_date]], 1, 0)</f>
        <v>0</v>
      </c>
      <c r="I2140" s="2">
        <f>IF(AND(payments_raw[[#This Row],[sub_end_date]]&lt;&gt;"", payments_raw[[#This Row],[payment_date]] &gt; payments_raw[[#This Row],[sub_end_date]]), 1, 0)</f>
        <v>0</v>
      </c>
      <c r="J2140" s="2">
        <f>IF(payments_raw[[#This Row],[amount]] &lt;= 0, 1, 0)</f>
        <v>0</v>
      </c>
      <c r="K21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1" spans="1:11" x14ac:dyDescent="0.3">
      <c r="A2141">
        <v>63602194</v>
      </c>
      <c r="B2141">
        <v>1355809</v>
      </c>
      <c r="C2141" s="1">
        <v>45010</v>
      </c>
      <c r="D2141">
        <v>2990</v>
      </c>
      <c r="E2141">
        <f>IF(
  ISNA(
    _xlfn.XLOOKUP(
      payments_raw[[#This Row],[subscription_id]],
      subscriptions[subscription_id],
      subscriptions[subscription_id]
    )
  ),
  0,
  1
)</f>
        <v>1</v>
      </c>
      <c r="F2141" s="1">
        <f>_xlfn.XLOOKUP(payments_raw[[#This Row],[subscription_id]], subscriptions[subscription_id], subscriptions[start_date])</f>
        <v>44653</v>
      </c>
      <c r="G21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1" s="2">
        <f>IF(payments_raw[[#This Row],[payment_date]] &lt; payments_raw[[#This Row],[sub_start_date]], 1, 0)</f>
        <v>0</v>
      </c>
      <c r="I2141" s="2">
        <f>IF(AND(payments_raw[[#This Row],[sub_end_date]]&lt;&gt;"", payments_raw[[#This Row],[payment_date]] &gt; payments_raw[[#This Row],[sub_end_date]]), 1, 0)</f>
        <v>0</v>
      </c>
      <c r="J2141" s="2">
        <f>IF(payments_raw[[#This Row],[amount]] &lt;= 0, 1, 0)</f>
        <v>0</v>
      </c>
      <c r="K21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2" spans="1:11" x14ac:dyDescent="0.3">
      <c r="A2142">
        <v>29026689</v>
      </c>
      <c r="B2142">
        <v>8350507</v>
      </c>
      <c r="C2142" s="1">
        <v>45281</v>
      </c>
      <c r="D2142">
        <v>592.5</v>
      </c>
      <c r="E2142">
        <f>IF(
  ISNA(
    _xlfn.XLOOKUP(
      payments_raw[[#This Row],[subscription_id]],
      subscriptions[subscription_id],
      subscriptions[subscription_id]
    )
  ),
  0,
  1
)</f>
        <v>1</v>
      </c>
      <c r="F2142" s="1">
        <f>_xlfn.XLOOKUP(payments_raw[[#This Row],[subscription_id]], subscriptions[subscription_id], subscriptions[start_date])</f>
        <v>45144</v>
      </c>
      <c r="G21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2" s="2">
        <f>IF(payments_raw[[#This Row],[payment_date]] &lt; payments_raw[[#This Row],[sub_start_date]], 1, 0)</f>
        <v>0</v>
      </c>
      <c r="I2142" s="2">
        <f>IF(AND(payments_raw[[#This Row],[sub_end_date]]&lt;&gt;"", payments_raw[[#This Row],[payment_date]] &gt; payments_raw[[#This Row],[sub_end_date]]), 1, 0)</f>
        <v>0</v>
      </c>
      <c r="J2142" s="2">
        <f>IF(payments_raw[[#This Row],[amount]] &lt;= 0, 1, 0)</f>
        <v>0</v>
      </c>
      <c r="K21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3" spans="1:11" x14ac:dyDescent="0.3">
      <c r="A2143">
        <v>86867112</v>
      </c>
      <c r="B2143">
        <v>2470022</v>
      </c>
      <c r="C2143" s="1">
        <v>45516</v>
      </c>
      <c r="D2143">
        <v>2990</v>
      </c>
      <c r="E2143">
        <f>IF(
  ISNA(
    _xlfn.XLOOKUP(
      payments_raw[[#This Row],[subscription_id]],
      subscriptions[subscription_id],
      subscriptions[subscription_id]
    )
  ),
  0,
  1
)</f>
        <v>1</v>
      </c>
      <c r="F2143" s="1">
        <f>_xlfn.XLOOKUP(payments_raw[[#This Row],[subscription_id]], subscriptions[subscription_id], subscriptions[start_date])</f>
        <v>44774</v>
      </c>
      <c r="G21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3" s="2">
        <f>IF(payments_raw[[#This Row],[payment_date]] &lt; payments_raw[[#This Row],[sub_start_date]], 1, 0)</f>
        <v>0</v>
      </c>
      <c r="I2143" s="2">
        <f>IF(AND(payments_raw[[#This Row],[sub_end_date]]&lt;&gt;"", payments_raw[[#This Row],[payment_date]] &gt; payments_raw[[#This Row],[sub_end_date]]), 1, 0)</f>
        <v>0</v>
      </c>
      <c r="J2143" s="2">
        <f>IF(payments_raw[[#This Row],[amount]] &lt;= 0, 1, 0)</f>
        <v>0</v>
      </c>
      <c r="K21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4" spans="1:11" x14ac:dyDescent="0.3">
      <c r="A2144">
        <v>30254713</v>
      </c>
      <c r="B2144">
        <v>1211031</v>
      </c>
      <c r="C2144" s="1">
        <v>45156</v>
      </c>
      <c r="D2144">
        <v>299</v>
      </c>
      <c r="E2144">
        <f>IF(
  ISNA(
    _xlfn.XLOOKUP(
      payments_raw[[#This Row],[subscription_id]],
      subscriptions[subscription_id],
      subscriptions[subscription_id]
    )
  ),
  0,
  1
)</f>
        <v>1</v>
      </c>
      <c r="F2144" s="1">
        <f>_xlfn.XLOOKUP(payments_raw[[#This Row],[subscription_id]], subscriptions[subscription_id], subscriptions[start_date])</f>
        <v>44571</v>
      </c>
      <c r="G21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4" s="2">
        <f>IF(payments_raw[[#This Row],[payment_date]] &lt; payments_raw[[#This Row],[sub_start_date]], 1, 0)</f>
        <v>0</v>
      </c>
      <c r="I2144" s="2">
        <f>IF(AND(payments_raw[[#This Row],[sub_end_date]]&lt;&gt;"", payments_raw[[#This Row],[payment_date]] &gt; payments_raw[[#This Row],[sub_end_date]]), 1, 0)</f>
        <v>0</v>
      </c>
      <c r="J2144" s="2">
        <f>IF(payments_raw[[#This Row],[amount]] &lt;= 0, 1, 0)</f>
        <v>0</v>
      </c>
      <c r="K21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5" spans="1:11" x14ac:dyDescent="0.3">
      <c r="A2145">
        <v>53295997</v>
      </c>
      <c r="B2145">
        <v>6777952</v>
      </c>
      <c r="C2145" s="1">
        <v>45641</v>
      </c>
      <c r="D2145">
        <v>190</v>
      </c>
      <c r="E2145">
        <f>IF(
  ISNA(
    _xlfn.XLOOKUP(
      payments_raw[[#This Row],[subscription_id]],
      subscriptions[subscription_id],
      subscriptions[subscription_id]
    )
  ),
  0,
  1
)</f>
        <v>1</v>
      </c>
      <c r="F2145" s="1">
        <f>_xlfn.XLOOKUP(payments_raw[[#This Row],[subscription_id]], subscriptions[subscription_id], subscriptions[start_date])</f>
        <v>44854</v>
      </c>
      <c r="G21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5" s="2">
        <f>IF(payments_raw[[#This Row],[payment_date]] &lt; payments_raw[[#This Row],[sub_start_date]], 1, 0)</f>
        <v>0</v>
      </c>
      <c r="I2145" s="2">
        <f>IF(AND(payments_raw[[#This Row],[sub_end_date]]&lt;&gt;"", payments_raw[[#This Row],[payment_date]] &gt; payments_raw[[#This Row],[sub_end_date]]), 1, 0)</f>
        <v>0</v>
      </c>
      <c r="J2145" s="2">
        <f>IF(payments_raw[[#This Row],[amount]] &lt;= 0, 1, 0)</f>
        <v>0</v>
      </c>
      <c r="K21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6" spans="1:11" x14ac:dyDescent="0.3">
      <c r="A2146">
        <v>15642716</v>
      </c>
      <c r="B2146">
        <v>2256271</v>
      </c>
      <c r="C2146" s="1">
        <v>45341</v>
      </c>
      <c r="D2146">
        <v>190</v>
      </c>
      <c r="E2146">
        <f>IF(
  ISNA(
    _xlfn.XLOOKUP(
      payments_raw[[#This Row],[subscription_id]],
      subscriptions[subscription_id],
      subscriptions[subscription_id]
    )
  ),
  0,
  1
)</f>
        <v>1</v>
      </c>
      <c r="F2146" s="1">
        <f>_xlfn.XLOOKUP(payments_raw[[#This Row],[subscription_id]], subscriptions[subscription_id], subscriptions[start_date])</f>
        <v>45264</v>
      </c>
      <c r="G21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6" s="2">
        <f>IF(payments_raw[[#This Row],[payment_date]] &lt; payments_raw[[#This Row],[sub_start_date]], 1, 0)</f>
        <v>0</v>
      </c>
      <c r="I2146" s="2">
        <f>IF(AND(payments_raw[[#This Row],[sub_end_date]]&lt;&gt;"", payments_raw[[#This Row],[payment_date]] &gt; payments_raw[[#This Row],[sub_end_date]]), 1, 0)</f>
        <v>0</v>
      </c>
      <c r="J2146" s="2">
        <f>IF(payments_raw[[#This Row],[amount]] &lt;= 0, 1, 0)</f>
        <v>0</v>
      </c>
      <c r="K21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7" spans="1:11" x14ac:dyDescent="0.3">
      <c r="A2147">
        <v>52386580</v>
      </c>
      <c r="B2147">
        <v>5968479</v>
      </c>
      <c r="C2147" s="1">
        <v>45433</v>
      </c>
      <c r="D2147">
        <v>1490</v>
      </c>
      <c r="E2147">
        <f>IF(
  ISNA(
    _xlfn.XLOOKUP(
      payments_raw[[#This Row],[subscription_id]],
      subscriptions[subscription_id],
      subscriptions[subscription_id]
    )
  ),
  0,
  1
)</f>
        <v>1</v>
      </c>
      <c r="F2147" s="1">
        <f>_xlfn.XLOOKUP(payments_raw[[#This Row],[subscription_id]], subscriptions[subscription_id], subscriptions[start_date])</f>
        <v>44610</v>
      </c>
      <c r="G21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7" s="2">
        <f>IF(payments_raw[[#This Row],[payment_date]] &lt; payments_raw[[#This Row],[sub_start_date]], 1, 0)</f>
        <v>0</v>
      </c>
      <c r="I2147" s="2">
        <f>IF(AND(payments_raw[[#This Row],[sub_end_date]]&lt;&gt;"", payments_raw[[#This Row],[payment_date]] &gt; payments_raw[[#This Row],[sub_end_date]]), 1, 0)</f>
        <v>0</v>
      </c>
      <c r="J2147" s="2">
        <f>IF(payments_raw[[#This Row],[amount]] &lt;= 0, 1, 0)</f>
        <v>0</v>
      </c>
      <c r="K21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8" spans="1:11" x14ac:dyDescent="0.3">
      <c r="A2148">
        <v>42797947</v>
      </c>
      <c r="B2148">
        <v>7833312</v>
      </c>
      <c r="C2148" s="1">
        <v>45307</v>
      </c>
      <c r="D2148">
        <v>39</v>
      </c>
      <c r="E2148">
        <f>IF(
  ISNA(
    _xlfn.XLOOKUP(
      payments_raw[[#This Row],[subscription_id]],
      subscriptions[subscription_id],
      subscriptions[subscription_id]
    )
  ),
  0,
  1
)</f>
        <v>1</v>
      </c>
      <c r="F2148" s="1">
        <f>_xlfn.XLOOKUP(payments_raw[[#This Row],[subscription_id]], subscriptions[subscription_id], subscriptions[start_date])</f>
        <v>45189</v>
      </c>
      <c r="G21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2148" s="2">
        <f>IF(payments_raw[[#This Row],[payment_date]] &lt; payments_raw[[#This Row],[sub_start_date]], 1, 0)</f>
        <v>0</v>
      </c>
      <c r="I2148" s="2">
        <f>IF(AND(payments_raw[[#This Row],[sub_end_date]]&lt;&gt;"", payments_raw[[#This Row],[payment_date]] &gt; payments_raw[[#This Row],[sub_end_date]]), 1, 0)</f>
        <v>0</v>
      </c>
      <c r="J2148" s="2">
        <f>IF(payments_raw[[#This Row],[amount]] &lt;= 0, 1, 0)</f>
        <v>0</v>
      </c>
      <c r="K21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49" spans="1:11" x14ac:dyDescent="0.3">
      <c r="A2149">
        <v>30692256</v>
      </c>
      <c r="B2149">
        <v>5021865</v>
      </c>
      <c r="C2149" s="1">
        <v>45434</v>
      </c>
      <c r="D2149">
        <v>39</v>
      </c>
      <c r="E2149">
        <f>IF(
  ISNA(
    _xlfn.XLOOKUP(
      payments_raw[[#This Row],[subscription_id]],
      subscriptions[subscription_id],
      subscriptions[subscription_id]
    )
  ),
  0,
  1
)</f>
        <v>1</v>
      </c>
      <c r="F2149" s="1">
        <f>_xlfn.XLOOKUP(payments_raw[[#This Row],[subscription_id]], subscriptions[subscription_id], subscriptions[start_date])</f>
        <v>45016</v>
      </c>
      <c r="G21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49" s="2">
        <f>IF(payments_raw[[#This Row],[payment_date]] &lt; payments_raw[[#This Row],[sub_start_date]], 1, 0)</f>
        <v>0</v>
      </c>
      <c r="I2149" s="2">
        <f>IF(AND(payments_raw[[#This Row],[sub_end_date]]&lt;&gt;"", payments_raw[[#This Row],[payment_date]] &gt; payments_raw[[#This Row],[sub_end_date]]), 1, 0)</f>
        <v>0</v>
      </c>
      <c r="J2149" s="2">
        <f>IF(payments_raw[[#This Row],[amount]] &lt;= 0, 1, 0)</f>
        <v>0</v>
      </c>
      <c r="K21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0" spans="1:11" x14ac:dyDescent="0.3">
      <c r="A2150">
        <v>93540199</v>
      </c>
      <c r="B2150">
        <v>9044647</v>
      </c>
      <c r="C2150" s="1">
        <v>45159</v>
      </c>
      <c r="D2150">
        <v>39</v>
      </c>
      <c r="E2150">
        <f>IF(
  ISNA(
    _xlfn.XLOOKUP(
      payments_raw[[#This Row],[subscription_id]],
      subscriptions[subscription_id],
      subscriptions[subscription_id]
    )
  ),
  0,
  1
)</f>
        <v>1</v>
      </c>
      <c r="F2150" s="1">
        <f>_xlfn.XLOOKUP(payments_raw[[#This Row],[subscription_id]], subscriptions[subscription_id], subscriptions[start_date])</f>
        <v>45122</v>
      </c>
      <c r="G21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45200</v>
      </c>
      <c r="H2150" s="2">
        <f>IF(payments_raw[[#This Row],[payment_date]] &lt; payments_raw[[#This Row],[sub_start_date]], 1, 0)</f>
        <v>0</v>
      </c>
      <c r="I2150" s="2">
        <f>IF(AND(payments_raw[[#This Row],[sub_end_date]]&lt;&gt;"", payments_raw[[#This Row],[payment_date]] &gt; payments_raw[[#This Row],[sub_end_date]]), 1, 0)</f>
        <v>0</v>
      </c>
      <c r="J2150" s="2">
        <f>IF(payments_raw[[#This Row],[amount]] &lt;= 0, 1, 0)</f>
        <v>0</v>
      </c>
      <c r="K21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1" spans="1:11" x14ac:dyDescent="0.3">
      <c r="A2151">
        <v>34143808</v>
      </c>
      <c r="B2151">
        <v>6826801</v>
      </c>
      <c r="C2151" s="1">
        <v>45473</v>
      </c>
      <c r="D2151">
        <v>19</v>
      </c>
      <c r="E2151">
        <f>IF(
  ISNA(
    _xlfn.XLOOKUP(
      payments_raw[[#This Row],[subscription_id]],
      subscriptions[subscription_id],
      subscriptions[subscription_id]
    )
  ),
  0,
  1
)</f>
        <v>1</v>
      </c>
      <c r="F2151" s="1">
        <f>_xlfn.XLOOKUP(payments_raw[[#This Row],[subscription_id]], subscriptions[subscription_id], subscriptions[start_date])</f>
        <v>45463</v>
      </c>
      <c r="G21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151" s="2">
        <f>IF(payments_raw[[#This Row],[payment_date]] &lt; payments_raw[[#This Row],[sub_start_date]], 1, 0)</f>
        <v>0</v>
      </c>
      <c r="I2151" s="2">
        <f>IF(AND(payments_raw[[#This Row],[sub_end_date]]&lt;&gt;"", payments_raw[[#This Row],[payment_date]] &gt; payments_raw[[#This Row],[sub_end_date]]), 1, 0)</f>
        <v>0</v>
      </c>
      <c r="J2151" s="2">
        <f>IF(payments_raw[[#This Row],[amount]] &lt;= 0, 1, 0)</f>
        <v>0</v>
      </c>
      <c r="K21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2" spans="1:11" x14ac:dyDescent="0.3">
      <c r="A2152">
        <v>20200250</v>
      </c>
      <c r="B2152">
        <v>2516637</v>
      </c>
      <c r="C2152" s="1">
        <v>45237</v>
      </c>
      <c r="D2152">
        <v>790</v>
      </c>
      <c r="E2152">
        <f>IF(
  ISNA(
    _xlfn.XLOOKUP(
      payments_raw[[#This Row],[subscription_id]],
      subscriptions[subscription_id],
      subscriptions[subscription_id]
    )
  ),
  0,
  1
)</f>
        <v>1</v>
      </c>
      <c r="F2152" s="1">
        <f>_xlfn.XLOOKUP(payments_raw[[#This Row],[subscription_id]], subscriptions[subscription_id], subscriptions[start_date])</f>
        <v>45195</v>
      </c>
      <c r="G21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45297</v>
      </c>
      <c r="H2152" s="2">
        <f>IF(payments_raw[[#This Row],[payment_date]] &lt; payments_raw[[#This Row],[sub_start_date]], 1, 0)</f>
        <v>0</v>
      </c>
      <c r="I2152" s="2">
        <f>IF(AND(payments_raw[[#This Row],[sub_end_date]]&lt;&gt;"", payments_raw[[#This Row],[payment_date]] &gt; payments_raw[[#This Row],[sub_end_date]]), 1, 0)</f>
        <v>0</v>
      </c>
      <c r="J2152" s="2">
        <f>IF(payments_raw[[#This Row],[amount]] &lt;= 0, 1, 0)</f>
        <v>0</v>
      </c>
      <c r="K21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3" spans="1:11" x14ac:dyDescent="0.3">
      <c r="A2153">
        <v>93685072</v>
      </c>
      <c r="B2153">
        <v>1547533</v>
      </c>
      <c r="C2153" s="1">
        <v>45286</v>
      </c>
      <c r="D2153">
        <v>171</v>
      </c>
      <c r="E2153">
        <f>IF(
  ISNA(
    _xlfn.XLOOKUP(
      payments_raw[[#This Row],[subscription_id]],
      subscriptions[subscription_id],
      subscriptions[subscription_id]
    )
  ),
  0,
  1
)</f>
        <v>1</v>
      </c>
      <c r="F2153" s="1">
        <f>_xlfn.XLOOKUP(payments_raw[[#This Row],[subscription_id]], subscriptions[subscription_id], subscriptions[start_date])</f>
        <v>45155</v>
      </c>
      <c r="G21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45293</v>
      </c>
      <c r="H2153" s="2">
        <f>IF(payments_raw[[#This Row],[payment_date]] &lt; payments_raw[[#This Row],[sub_start_date]], 1, 0)</f>
        <v>0</v>
      </c>
      <c r="I2153" s="2">
        <f>IF(AND(payments_raw[[#This Row],[sub_end_date]]&lt;&gt;"", payments_raw[[#This Row],[payment_date]] &gt; payments_raw[[#This Row],[sub_end_date]]), 1, 0)</f>
        <v>0</v>
      </c>
      <c r="J2153" s="2">
        <f>IF(payments_raw[[#This Row],[amount]] &lt;= 0, 1, 0)</f>
        <v>0</v>
      </c>
      <c r="K21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4" spans="1:11" x14ac:dyDescent="0.3">
      <c r="A2154">
        <v>83984145</v>
      </c>
      <c r="B2154">
        <v>3981886</v>
      </c>
      <c r="C2154" s="1">
        <v>45412</v>
      </c>
      <c r="D2154">
        <v>74.5</v>
      </c>
      <c r="E2154">
        <f>IF(
  ISNA(
    _xlfn.XLOOKUP(
      payments_raw[[#This Row],[subscription_id]],
      subscriptions[subscription_id],
      subscriptions[subscription_id]
    )
  ),
  0,
  1
)</f>
        <v>1</v>
      </c>
      <c r="F2154" s="1">
        <f>_xlfn.XLOOKUP(payments_raw[[#This Row],[subscription_id]], subscriptions[subscription_id], subscriptions[start_date])</f>
        <v>45369</v>
      </c>
      <c r="G21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2154" s="2">
        <f>IF(payments_raw[[#This Row],[payment_date]] &lt; payments_raw[[#This Row],[sub_start_date]], 1, 0)</f>
        <v>0</v>
      </c>
      <c r="I2154" s="2">
        <f>IF(AND(payments_raw[[#This Row],[sub_end_date]]&lt;&gt;"", payments_raw[[#This Row],[payment_date]] &gt; payments_raw[[#This Row],[sub_end_date]]), 1, 0)</f>
        <v>0</v>
      </c>
      <c r="J2154" s="2">
        <f>IF(payments_raw[[#This Row],[amount]] &lt;= 0, 1, 0)</f>
        <v>0</v>
      </c>
      <c r="K21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5" spans="1:11" x14ac:dyDescent="0.3">
      <c r="A2155">
        <v>24357156</v>
      </c>
      <c r="B2155">
        <v>5837546</v>
      </c>
      <c r="C2155" s="1">
        <v>45501</v>
      </c>
      <c r="D2155">
        <v>39</v>
      </c>
      <c r="E2155">
        <f>IF(
  ISNA(
    _xlfn.XLOOKUP(
      payments_raw[[#This Row],[subscription_id]],
      subscriptions[subscription_id],
      subscriptions[subscription_id]
    )
  ),
  0,
  1
)</f>
        <v>1</v>
      </c>
      <c r="F2155" s="1">
        <f>_xlfn.XLOOKUP(payments_raw[[#This Row],[subscription_id]], subscriptions[subscription_id], subscriptions[start_date])</f>
        <v>45444</v>
      </c>
      <c r="G21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55" s="2">
        <f>IF(payments_raw[[#This Row],[payment_date]] &lt; payments_raw[[#This Row],[sub_start_date]], 1, 0)</f>
        <v>0</v>
      </c>
      <c r="I2155" s="2">
        <f>IF(AND(payments_raw[[#This Row],[sub_end_date]]&lt;&gt;"", payments_raw[[#This Row],[payment_date]] &gt; payments_raw[[#This Row],[sub_end_date]]), 1, 0)</f>
        <v>0</v>
      </c>
      <c r="J2155" s="2">
        <f>IF(payments_raw[[#This Row],[amount]] &lt;= 0, 1, 0)</f>
        <v>0</v>
      </c>
      <c r="K21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6" spans="1:11" x14ac:dyDescent="0.3">
      <c r="A2156">
        <v>15428771</v>
      </c>
      <c r="B2156">
        <v>6227531</v>
      </c>
      <c r="C2156" s="1">
        <v>44923</v>
      </c>
      <c r="D2156">
        <v>2990</v>
      </c>
      <c r="E2156">
        <f>IF(
  ISNA(
    _xlfn.XLOOKUP(
      payments_raw[[#This Row],[subscription_id]],
      subscriptions[subscription_id],
      subscriptions[subscription_id]
    )
  ),
  0,
  1
)</f>
        <v>1</v>
      </c>
      <c r="F2156" s="1">
        <f>_xlfn.XLOOKUP(payments_raw[[#This Row],[subscription_id]], subscriptions[subscription_id], subscriptions[start_date])</f>
        <v>44901</v>
      </c>
      <c r="G21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45300</v>
      </c>
      <c r="H2156" s="2">
        <f>IF(payments_raw[[#This Row],[payment_date]] &lt; payments_raw[[#This Row],[sub_start_date]], 1, 0)</f>
        <v>0</v>
      </c>
      <c r="I2156" s="2">
        <f>IF(AND(payments_raw[[#This Row],[sub_end_date]]&lt;&gt;"", payments_raw[[#This Row],[payment_date]] &gt; payments_raw[[#This Row],[sub_end_date]]), 1, 0)</f>
        <v>0</v>
      </c>
      <c r="J2156" s="2">
        <f>IF(payments_raw[[#This Row],[amount]] &lt;= 0, 1, 0)</f>
        <v>0</v>
      </c>
      <c r="K21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7" spans="1:11" x14ac:dyDescent="0.3">
      <c r="A2157">
        <v>81730341</v>
      </c>
      <c r="B2157">
        <v>1567905</v>
      </c>
      <c r="C2157" s="1">
        <v>45336</v>
      </c>
      <c r="D2157">
        <v>1490</v>
      </c>
      <c r="E2157">
        <f>IF(
  ISNA(
    _xlfn.XLOOKUP(
      payments_raw[[#This Row],[subscription_id]],
      subscriptions[subscription_id],
      subscriptions[subscription_id]
    )
  ),
  0,
  1
)</f>
        <v>1</v>
      </c>
      <c r="F2157" s="1">
        <f>_xlfn.XLOOKUP(payments_raw[[#This Row],[subscription_id]], subscriptions[subscription_id], subscriptions[start_date])</f>
        <v>45222</v>
      </c>
      <c r="G21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2157" s="2">
        <f>IF(payments_raw[[#This Row],[payment_date]] &lt; payments_raw[[#This Row],[sub_start_date]], 1, 0)</f>
        <v>0</v>
      </c>
      <c r="I2157" s="2">
        <f>IF(AND(payments_raw[[#This Row],[sub_end_date]]&lt;&gt;"", payments_raw[[#This Row],[payment_date]] &gt; payments_raw[[#This Row],[sub_end_date]]), 1, 0)</f>
        <v>0</v>
      </c>
      <c r="J2157" s="2">
        <f>IF(payments_raw[[#This Row],[amount]] &lt;= 0, 1, 0)</f>
        <v>0</v>
      </c>
      <c r="K21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8" spans="1:11" x14ac:dyDescent="0.3">
      <c r="A2158">
        <v>31076736</v>
      </c>
      <c r="B2158">
        <v>9824859</v>
      </c>
      <c r="C2158" s="1">
        <v>45026</v>
      </c>
      <c r="D2158">
        <v>79</v>
      </c>
      <c r="E2158">
        <f>IF(
  ISNA(
    _xlfn.XLOOKUP(
      payments_raw[[#This Row],[subscription_id]],
      subscriptions[subscription_id],
      subscriptions[subscription_id]
    )
  ),
  0,
  1
)</f>
        <v>1</v>
      </c>
      <c r="F2158" s="1">
        <f>_xlfn.XLOOKUP(payments_raw[[#This Row],[subscription_id]], subscriptions[subscription_id], subscriptions[start_date])</f>
        <v>44961</v>
      </c>
      <c r="G21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58" s="2">
        <f>IF(payments_raw[[#This Row],[payment_date]] &lt; payments_raw[[#This Row],[sub_start_date]], 1, 0)</f>
        <v>0</v>
      </c>
      <c r="I2158" s="2">
        <f>IF(AND(payments_raw[[#This Row],[sub_end_date]]&lt;&gt;"", payments_raw[[#This Row],[payment_date]] &gt; payments_raw[[#This Row],[sub_end_date]]), 1, 0)</f>
        <v>0</v>
      </c>
      <c r="J2158" s="2">
        <f>IF(payments_raw[[#This Row],[amount]] &lt;= 0, 1, 0)</f>
        <v>0</v>
      </c>
      <c r="K21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59" spans="1:11" x14ac:dyDescent="0.3">
      <c r="A2159">
        <v>21235092</v>
      </c>
      <c r="B2159">
        <v>5504928</v>
      </c>
      <c r="C2159" s="1">
        <v>44986</v>
      </c>
      <c r="D2159">
        <v>299</v>
      </c>
      <c r="E2159">
        <f>IF(
  ISNA(
    _xlfn.XLOOKUP(
      payments_raw[[#This Row],[subscription_id]],
      subscriptions[subscription_id],
      subscriptions[subscription_id]
    )
  ),
  0,
  1
)</f>
        <v>1</v>
      </c>
      <c r="F2159" s="1">
        <f>_xlfn.XLOOKUP(payments_raw[[#This Row],[subscription_id]], subscriptions[subscription_id], subscriptions[start_date])</f>
        <v>44805</v>
      </c>
      <c r="G21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59" s="2">
        <f>IF(payments_raw[[#This Row],[payment_date]] &lt; payments_raw[[#This Row],[sub_start_date]], 1, 0)</f>
        <v>0</v>
      </c>
      <c r="I2159" s="2">
        <f>IF(AND(payments_raw[[#This Row],[sub_end_date]]&lt;&gt;"", payments_raw[[#This Row],[payment_date]] &gt; payments_raw[[#This Row],[sub_end_date]]), 1, 0)</f>
        <v>0</v>
      </c>
      <c r="J2159" s="2">
        <f>IF(payments_raw[[#This Row],[amount]] &lt;= 0, 1, 0)</f>
        <v>0</v>
      </c>
      <c r="K21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0" spans="1:11" x14ac:dyDescent="0.3">
      <c r="A2160">
        <v>22664947</v>
      </c>
      <c r="B2160">
        <v>2378902</v>
      </c>
      <c r="C2160" s="1">
        <v>44800</v>
      </c>
      <c r="D2160">
        <v>190</v>
      </c>
      <c r="E2160">
        <f>IF(
  ISNA(
    _xlfn.XLOOKUP(
      payments_raw[[#This Row],[subscription_id]],
      subscriptions[subscription_id],
      subscriptions[subscription_id]
    )
  ),
  0,
  1
)</f>
        <v>1</v>
      </c>
      <c r="F2160" s="1">
        <f>_xlfn.XLOOKUP(payments_raw[[#This Row],[subscription_id]], subscriptions[subscription_id], subscriptions[start_date])</f>
        <v>44756</v>
      </c>
      <c r="G216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44930</v>
      </c>
      <c r="H2160" s="2">
        <f>IF(payments_raw[[#This Row],[payment_date]] &lt; payments_raw[[#This Row],[sub_start_date]], 1, 0)</f>
        <v>0</v>
      </c>
      <c r="I2160" s="2">
        <f>IF(AND(payments_raw[[#This Row],[sub_end_date]]&lt;&gt;"", payments_raw[[#This Row],[payment_date]] &gt; payments_raw[[#This Row],[sub_end_date]]), 1, 0)</f>
        <v>0</v>
      </c>
      <c r="J2160" s="2">
        <f>IF(payments_raw[[#This Row],[amount]] &lt;= 0, 1, 0)</f>
        <v>0</v>
      </c>
      <c r="K21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1" spans="1:11" x14ac:dyDescent="0.3">
      <c r="A2161">
        <v>59944187</v>
      </c>
      <c r="B2161">
        <v>2832243</v>
      </c>
      <c r="C2161" s="1">
        <v>45507</v>
      </c>
      <c r="D2161">
        <v>79</v>
      </c>
      <c r="E2161">
        <f>IF(
  ISNA(
    _xlfn.XLOOKUP(
      payments_raw[[#This Row],[subscription_id]],
      subscriptions[subscription_id],
      subscriptions[subscription_id]
    )
  ),
  0,
  1
)</f>
        <v>1</v>
      </c>
      <c r="F2161" s="1">
        <f>_xlfn.XLOOKUP(payments_raw[[#This Row],[subscription_id]], subscriptions[subscription_id], subscriptions[start_date])</f>
        <v>45356</v>
      </c>
      <c r="G21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2161" s="2">
        <f>IF(payments_raw[[#This Row],[payment_date]] &lt; payments_raw[[#This Row],[sub_start_date]], 1, 0)</f>
        <v>0</v>
      </c>
      <c r="I2161" s="2">
        <f>IF(AND(payments_raw[[#This Row],[sub_end_date]]&lt;&gt;"", payments_raw[[#This Row],[payment_date]] &gt; payments_raw[[#This Row],[sub_end_date]]), 1, 0)</f>
        <v>0</v>
      </c>
      <c r="J2161" s="2">
        <f>IF(payments_raw[[#This Row],[amount]] &lt;= 0, 1, 0)</f>
        <v>0</v>
      </c>
      <c r="K21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2" spans="1:11" x14ac:dyDescent="0.3">
      <c r="A2162">
        <v>25119992</v>
      </c>
      <c r="B2162">
        <v>3612902</v>
      </c>
      <c r="C2162" s="1">
        <v>45619</v>
      </c>
      <c r="D2162">
        <v>190</v>
      </c>
      <c r="E2162">
        <f>IF(
  ISNA(
    _xlfn.XLOOKUP(
      payments_raw[[#This Row],[subscription_id]],
      subscriptions[subscription_id],
      subscriptions[subscription_id]
    )
  ),
  0,
  1
)</f>
        <v>1</v>
      </c>
      <c r="F2162" s="1">
        <f>_xlfn.XLOOKUP(payments_raw[[#This Row],[subscription_id]], subscriptions[subscription_id], subscriptions[start_date])</f>
        <v>45524</v>
      </c>
      <c r="G21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2" s="2">
        <f>IF(payments_raw[[#This Row],[payment_date]] &lt; payments_raw[[#This Row],[sub_start_date]], 1, 0)</f>
        <v>0</v>
      </c>
      <c r="I2162" s="2">
        <f>IF(AND(payments_raw[[#This Row],[sub_end_date]]&lt;&gt;"", payments_raw[[#This Row],[payment_date]] &gt; payments_raw[[#This Row],[sub_end_date]]), 1, 0)</f>
        <v>0</v>
      </c>
      <c r="J2162" s="2">
        <f>IF(payments_raw[[#This Row],[amount]] &lt;= 0, 1, 0)</f>
        <v>0</v>
      </c>
      <c r="K21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3" spans="1:11" x14ac:dyDescent="0.3">
      <c r="A2163">
        <v>68443796</v>
      </c>
      <c r="B2163">
        <v>6418889</v>
      </c>
      <c r="C2163" s="1">
        <v>45602</v>
      </c>
      <c r="D2163">
        <v>299</v>
      </c>
      <c r="E2163">
        <f>IF(
  ISNA(
    _xlfn.XLOOKUP(
      payments_raw[[#This Row],[subscription_id]],
      subscriptions[subscription_id],
      subscriptions[subscription_id]
    )
  ),
  0,
  1
)</f>
        <v>1</v>
      </c>
      <c r="F2163" s="1">
        <f>_xlfn.XLOOKUP(payments_raw[[#This Row],[subscription_id]], subscriptions[subscription_id], subscriptions[start_date])</f>
        <v>45324</v>
      </c>
      <c r="G21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3" s="2">
        <f>IF(payments_raw[[#This Row],[payment_date]] &lt; payments_raw[[#This Row],[sub_start_date]], 1, 0)</f>
        <v>0</v>
      </c>
      <c r="I2163" s="2">
        <f>IF(AND(payments_raw[[#This Row],[sub_end_date]]&lt;&gt;"", payments_raw[[#This Row],[payment_date]] &gt; payments_raw[[#This Row],[sub_end_date]]), 1, 0)</f>
        <v>0</v>
      </c>
      <c r="J2163" s="2">
        <f>IF(payments_raw[[#This Row],[amount]] &lt;= 0, 1, 0)</f>
        <v>0</v>
      </c>
      <c r="K21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4" spans="1:11" x14ac:dyDescent="0.3">
      <c r="A2164">
        <v>77042229</v>
      </c>
      <c r="B2164">
        <v>7556539</v>
      </c>
      <c r="C2164" s="1">
        <v>45179</v>
      </c>
      <c r="D2164">
        <v>790</v>
      </c>
      <c r="E2164">
        <f>IF(
  ISNA(
    _xlfn.XLOOKUP(
      payments_raw[[#This Row],[subscription_id]],
      subscriptions[subscription_id],
      subscriptions[subscription_id]
    )
  ),
  0,
  1
)</f>
        <v>1</v>
      </c>
      <c r="F2164" s="1">
        <f>_xlfn.XLOOKUP(payments_raw[[#This Row],[subscription_id]], subscriptions[subscription_id], subscriptions[start_date])</f>
        <v>44768</v>
      </c>
      <c r="G21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4" s="2">
        <f>IF(payments_raw[[#This Row],[payment_date]] &lt; payments_raw[[#This Row],[sub_start_date]], 1, 0)</f>
        <v>0</v>
      </c>
      <c r="I2164" s="2">
        <f>IF(AND(payments_raw[[#This Row],[sub_end_date]]&lt;&gt;"", payments_raw[[#This Row],[payment_date]] &gt; payments_raw[[#This Row],[sub_end_date]]), 1, 0)</f>
        <v>0</v>
      </c>
      <c r="J2164" s="2">
        <f>IF(payments_raw[[#This Row],[amount]] &lt;= 0, 1, 0)</f>
        <v>0</v>
      </c>
      <c r="K21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5" spans="1:11" x14ac:dyDescent="0.3">
      <c r="A2165">
        <v>11132274</v>
      </c>
      <c r="B2165">
        <v>3630678</v>
      </c>
      <c r="C2165" s="1">
        <v>45171</v>
      </c>
      <c r="D2165">
        <v>1490</v>
      </c>
      <c r="E2165">
        <f>IF(
  ISNA(
    _xlfn.XLOOKUP(
      payments_raw[[#This Row],[subscription_id]],
      subscriptions[subscription_id],
      subscriptions[subscription_id]
    )
  ),
  0,
  1
)</f>
        <v>1</v>
      </c>
      <c r="F2165" s="1">
        <f>_xlfn.XLOOKUP(payments_raw[[#This Row],[subscription_id]], subscriptions[subscription_id], subscriptions[start_date])</f>
        <v>45118</v>
      </c>
      <c r="G21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45415</v>
      </c>
      <c r="H2165" s="2">
        <f>IF(payments_raw[[#This Row],[payment_date]] &lt; payments_raw[[#This Row],[sub_start_date]], 1, 0)</f>
        <v>0</v>
      </c>
      <c r="I2165" s="2">
        <f>IF(AND(payments_raw[[#This Row],[sub_end_date]]&lt;&gt;"", payments_raw[[#This Row],[payment_date]] &gt; payments_raw[[#This Row],[sub_end_date]]), 1, 0)</f>
        <v>0</v>
      </c>
      <c r="J2165" s="2">
        <f>IF(payments_raw[[#This Row],[amount]] &lt;= 0, 1, 0)</f>
        <v>0</v>
      </c>
      <c r="K21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6" spans="1:11" x14ac:dyDescent="0.3">
      <c r="A2166">
        <v>24728419</v>
      </c>
      <c r="B2166">
        <v>8940001</v>
      </c>
      <c r="C2166" s="1">
        <v>45253</v>
      </c>
      <c r="D2166">
        <v>790</v>
      </c>
      <c r="E2166">
        <f>IF(
  ISNA(
    _xlfn.XLOOKUP(
      payments_raw[[#This Row],[subscription_id]],
      subscriptions[subscription_id],
      subscriptions[subscription_id]
    )
  ),
  0,
  1
)</f>
        <v>1</v>
      </c>
      <c r="F2166" s="1">
        <f>_xlfn.XLOOKUP(payments_raw[[#This Row],[subscription_id]], subscriptions[subscription_id], subscriptions[start_date])</f>
        <v>45086</v>
      </c>
      <c r="G21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45342</v>
      </c>
      <c r="H2166" s="2">
        <f>IF(payments_raw[[#This Row],[payment_date]] &lt; payments_raw[[#This Row],[sub_start_date]], 1, 0)</f>
        <v>0</v>
      </c>
      <c r="I2166" s="2">
        <f>IF(AND(payments_raw[[#This Row],[sub_end_date]]&lt;&gt;"", payments_raw[[#This Row],[payment_date]] &gt; payments_raw[[#This Row],[sub_end_date]]), 1, 0)</f>
        <v>0</v>
      </c>
      <c r="J2166" s="2">
        <f>IF(payments_raw[[#This Row],[amount]] &lt;= 0, 1, 0)</f>
        <v>0</v>
      </c>
      <c r="K21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7" spans="1:11" x14ac:dyDescent="0.3">
      <c r="A2167">
        <v>82106291</v>
      </c>
      <c r="B2167">
        <v>4026182</v>
      </c>
      <c r="C2167" s="1">
        <v>45151</v>
      </c>
      <c r="D2167">
        <v>1490</v>
      </c>
      <c r="E2167">
        <f>IF(
  ISNA(
    _xlfn.XLOOKUP(
      payments_raw[[#This Row],[subscription_id]],
      subscriptions[subscription_id],
      subscriptions[subscription_id]
    )
  ),
  0,
  1
)</f>
        <v>1</v>
      </c>
      <c r="F2167" s="1">
        <f>_xlfn.XLOOKUP(payments_raw[[#This Row],[subscription_id]], subscriptions[subscription_id], subscriptions[start_date])</f>
        <v>45092</v>
      </c>
      <c r="G21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7" s="2">
        <f>IF(payments_raw[[#This Row],[payment_date]] &lt; payments_raw[[#This Row],[sub_start_date]], 1, 0)</f>
        <v>0</v>
      </c>
      <c r="I2167" s="2">
        <f>IF(AND(payments_raw[[#This Row],[sub_end_date]]&lt;&gt;"", payments_raw[[#This Row],[payment_date]] &gt; payments_raw[[#This Row],[sub_end_date]]), 1, 0)</f>
        <v>0</v>
      </c>
      <c r="J2167" s="2">
        <f>IF(payments_raw[[#This Row],[amount]] &lt;= 0, 1, 0)</f>
        <v>0</v>
      </c>
      <c r="K21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8" spans="1:11" x14ac:dyDescent="0.3">
      <c r="A2168">
        <v>51016226</v>
      </c>
      <c r="B2168">
        <v>2868688</v>
      </c>
      <c r="C2168" s="1">
        <v>45512</v>
      </c>
      <c r="D2168">
        <v>390</v>
      </c>
      <c r="E2168">
        <f>IF(
  ISNA(
    _xlfn.XLOOKUP(
      payments_raw[[#This Row],[subscription_id]],
      subscriptions[subscription_id],
      subscriptions[subscription_id]
    )
  ),
  0,
  1
)</f>
        <v>1</v>
      </c>
      <c r="F2168" s="1">
        <f>_xlfn.XLOOKUP(payments_raw[[#This Row],[subscription_id]], subscriptions[subscription_id], subscriptions[start_date])</f>
        <v>44744</v>
      </c>
      <c r="G21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8" s="2">
        <f>IF(payments_raw[[#This Row],[payment_date]] &lt; payments_raw[[#This Row],[sub_start_date]], 1, 0)</f>
        <v>0</v>
      </c>
      <c r="I2168" s="2">
        <f>IF(AND(payments_raw[[#This Row],[sub_end_date]]&lt;&gt;"", payments_raw[[#This Row],[payment_date]] &gt; payments_raw[[#This Row],[sub_end_date]]), 1, 0)</f>
        <v>0</v>
      </c>
      <c r="J2168" s="2">
        <f>IF(payments_raw[[#This Row],[amount]] &lt;= 0, 1, 0)</f>
        <v>0</v>
      </c>
      <c r="K21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69" spans="1:11" x14ac:dyDescent="0.3">
      <c r="A2169">
        <v>10128848</v>
      </c>
      <c r="B2169">
        <v>6783305</v>
      </c>
      <c r="C2169" s="1">
        <v>44809</v>
      </c>
      <c r="D2169">
        <v>79</v>
      </c>
      <c r="E2169">
        <f>IF(
  ISNA(
    _xlfn.XLOOKUP(
      payments_raw[[#This Row],[subscription_id]],
      subscriptions[subscription_id],
      subscriptions[subscription_id]
    )
  ),
  0,
  1
)</f>
        <v>1</v>
      </c>
      <c r="F2169" s="1">
        <f>_xlfn.XLOOKUP(payments_raw[[#This Row],[subscription_id]], subscriptions[subscription_id], subscriptions[start_date])</f>
        <v>44766</v>
      </c>
      <c r="G21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69" s="2">
        <f>IF(payments_raw[[#This Row],[payment_date]] &lt; payments_raw[[#This Row],[sub_start_date]], 1, 0)</f>
        <v>0</v>
      </c>
      <c r="I2169" s="2">
        <f>IF(AND(payments_raw[[#This Row],[sub_end_date]]&lt;&gt;"", payments_raw[[#This Row],[payment_date]] &gt; payments_raw[[#This Row],[sub_end_date]]), 1, 0)</f>
        <v>0</v>
      </c>
      <c r="J2169" s="2">
        <f>IF(payments_raw[[#This Row],[amount]] &lt;= 0, 1, 0)</f>
        <v>0</v>
      </c>
      <c r="K21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0" spans="1:11" x14ac:dyDescent="0.3">
      <c r="A2170">
        <v>33845304</v>
      </c>
      <c r="B2170">
        <v>8938605</v>
      </c>
      <c r="C2170" s="1">
        <v>45579</v>
      </c>
      <c r="D2170">
        <v>299</v>
      </c>
      <c r="E2170">
        <f>IF(
  ISNA(
    _xlfn.XLOOKUP(
      payments_raw[[#This Row],[subscription_id]],
      subscriptions[subscription_id],
      subscriptions[subscription_id]
    )
  ),
  0,
  1
)</f>
        <v>1</v>
      </c>
      <c r="F2170" s="1">
        <f>_xlfn.XLOOKUP(payments_raw[[#This Row],[subscription_id]], subscriptions[subscription_id], subscriptions[start_date])</f>
        <v>45288</v>
      </c>
      <c r="G21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0" s="2">
        <f>IF(payments_raw[[#This Row],[payment_date]] &lt; payments_raw[[#This Row],[sub_start_date]], 1, 0)</f>
        <v>0</v>
      </c>
      <c r="I2170" s="2">
        <f>IF(AND(payments_raw[[#This Row],[sub_end_date]]&lt;&gt;"", payments_raw[[#This Row],[payment_date]] &gt; payments_raw[[#This Row],[sub_end_date]]), 1, 0)</f>
        <v>0</v>
      </c>
      <c r="J2170" s="2">
        <f>IF(payments_raw[[#This Row],[amount]] &lt;= 0, 1, 0)</f>
        <v>0</v>
      </c>
      <c r="K21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1" spans="1:11" x14ac:dyDescent="0.3">
      <c r="A2171">
        <v>76817345</v>
      </c>
      <c r="B2171">
        <v>8128056</v>
      </c>
      <c r="C2171" s="1">
        <v>45251</v>
      </c>
      <c r="D2171">
        <v>2990</v>
      </c>
      <c r="E2171">
        <f>IF(
  ISNA(
    _xlfn.XLOOKUP(
      payments_raw[[#This Row],[subscription_id]],
      subscriptions[subscription_id],
      subscriptions[subscription_id]
    )
  ),
  0,
  1
)</f>
        <v>1</v>
      </c>
      <c r="F2171" s="1">
        <f>_xlfn.XLOOKUP(payments_raw[[#This Row],[subscription_id]], subscriptions[subscription_id], subscriptions[start_date])</f>
        <v>44799</v>
      </c>
      <c r="G21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1" s="2">
        <f>IF(payments_raw[[#This Row],[payment_date]] &lt; payments_raw[[#This Row],[sub_start_date]], 1, 0)</f>
        <v>0</v>
      </c>
      <c r="I2171" s="2">
        <f>IF(AND(payments_raw[[#This Row],[sub_end_date]]&lt;&gt;"", payments_raw[[#This Row],[payment_date]] &gt; payments_raw[[#This Row],[sub_end_date]]), 1, 0)</f>
        <v>0</v>
      </c>
      <c r="J2171" s="2">
        <f>IF(payments_raw[[#This Row],[amount]] &lt;= 0, 1, 0)</f>
        <v>0</v>
      </c>
      <c r="K21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2" spans="1:11" x14ac:dyDescent="0.3">
      <c r="A2172">
        <v>74483772</v>
      </c>
      <c r="B2172">
        <v>5105861</v>
      </c>
      <c r="C2172" s="1">
        <v>45344</v>
      </c>
      <c r="D2172">
        <v>79</v>
      </c>
      <c r="E2172">
        <f>IF(
  ISNA(
    _xlfn.XLOOKUP(
      payments_raw[[#This Row],[subscription_id]],
      subscriptions[subscription_id],
      subscriptions[subscription_id]
    )
  ),
  0,
  1
)</f>
        <v>1</v>
      </c>
      <c r="F2172" s="1">
        <f>_xlfn.XLOOKUP(payments_raw[[#This Row],[subscription_id]], subscriptions[subscription_id], subscriptions[start_date])</f>
        <v>45094</v>
      </c>
      <c r="G21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2" s="2">
        <f>IF(payments_raw[[#This Row],[payment_date]] &lt; payments_raw[[#This Row],[sub_start_date]], 1, 0)</f>
        <v>0</v>
      </c>
      <c r="I2172" s="2">
        <f>IF(AND(payments_raw[[#This Row],[sub_end_date]]&lt;&gt;"", payments_raw[[#This Row],[payment_date]] &gt; payments_raw[[#This Row],[sub_end_date]]), 1, 0)</f>
        <v>0</v>
      </c>
      <c r="J2172" s="2">
        <f>IF(payments_raw[[#This Row],[amount]] &lt;= 0, 1, 0)</f>
        <v>0</v>
      </c>
      <c r="K21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3" spans="1:11" x14ac:dyDescent="0.3">
      <c r="A2173">
        <v>79898039</v>
      </c>
      <c r="B2173">
        <v>6583476</v>
      </c>
      <c r="C2173" s="1">
        <v>45187</v>
      </c>
      <c r="D2173">
        <v>299</v>
      </c>
      <c r="E2173">
        <f>IF(
  ISNA(
    _xlfn.XLOOKUP(
      payments_raw[[#This Row],[subscription_id]],
      subscriptions[subscription_id],
      subscriptions[subscription_id]
    )
  ),
  0,
  1
)</f>
        <v>1</v>
      </c>
      <c r="F2173" s="1">
        <f>_xlfn.XLOOKUP(payments_raw[[#This Row],[subscription_id]], subscriptions[subscription_id], subscriptions[start_date])</f>
        <v>45020</v>
      </c>
      <c r="G21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2173" s="2">
        <f>IF(payments_raw[[#This Row],[payment_date]] &lt; payments_raw[[#This Row],[sub_start_date]], 1, 0)</f>
        <v>0</v>
      </c>
      <c r="I2173" s="2">
        <f>IF(AND(payments_raw[[#This Row],[sub_end_date]]&lt;&gt;"", payments_raw[[#This Row],[payment_date]] &gt; payments_raw[[#This Row],[sub_end_date]]), 1, 0)</f>
        <v>0</v>
      </c>
      <c r="J2173" s="2">
        <f>IF(payments_raw[[#This Row],[amount]] &lt;= 0, 1, 0)</f>
        <v>0</v>
      </c>
      <c r="K21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4" spans="1:11" x14ac:dyDescent="0.3">
      <c r="A2174">
        <v>62038466</v>
      </c>
      <c r="B2174">
        <v>9116934</v>
      </c>
      <c r="C2174" s="1">
        <v>45308</v>
      </c>
      <c r="D2174">
        <v>1490</v>
      </c>
      <c r="E2174">
        <f>IF(
  ISNA(
    _xlfn.XLOOKUP(
      payments_raw[[#This Row],[subscription_id]],
      subscriptions[subscription_id],
      subscriptions[subscription_id]
    )
  ),
  0,
  1
)</f>
        <v>1</v>
      </c>
      <c r="F2174" s="1">
        <f>_xlfn.XLOOKUP(payments_raw[[#This Row],[subscription_id]], subscriptions[subscription_id], subscriptions[start_date])</f>
        <v>44655</v>
      </c>
      <c r="G21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4" s="2">
        <f>IF(payments_raw[[#This Row],[payment_date]] &lt; payments_raw[[#This Row],[sub_start_date]], 1, 0)</f>
        <v>0</v>
      </c>
      <c r="I2174" s="2">
        <f>IF(AND(payments_raw[[#This Row],[sub_end_date]]&lt;&gt;"", payments_raw[[#This Row],[payment_date]] &gt; payments_raw[[#This Row],[sub_end_date]]), 1, 0)</f>
        <v>0</v>
      </c>
      <c r="J2174" s="2">
        <f>IF(payments_raw[[#This Row],[amount]] &lt;= 0, 1, 0)</f>
        <v>0</v>
      </c>
      <c r="K21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5" spans="1:11" x14ac:dyDescent="0.3">
      <c r="A2175">
        <v>63592573</v>
      </c>
      <c r="B2175">
        <v>6501987</v>
      </c>
      <c r="C2175" s="1">
        <v>45617</v>
      </c>
      <c r="D2175">
        <v>190</v>
      </c>
      <c r="E2175">
        <f>IF(
  ISNA(
    _xlfn.XLOOKUP(
      payments_raw[[#This Row],[subscription_id]],
      subscriptions[subscription_id],
      subscriptions[subscription_id]
    )
  ),
  0,
  1
)</f>
        <v>1</v>
      </c>
      <c r="F2175" s="1">
        <f>_xlfn.XLOOKUP(payments_raw[[#This Row],[subscription_id]], subscriptions[subscription_id], subscriptions[start_date])</f>
        <v>45426</v>
      </c>
      <c r="G21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5" s="2">
        <f>IF(payments_raw[[#This Row],[payment_date]] &lt; payments_raw[[#This Row],[sub_start_date]], 1, 0)</f>
        <v>0</v>
      </c>
      <c r="I2175" s="2">
        <f>IF(AND(payments_raw[[#This Row],[sub_end_date]]&lt;&gt;"", payments_raw[[#This Row],[payment_date]] &gt; payments_raw[[#This Row],[sub_end_date]]), 1, 0)</f>
        <v>0</v>
      </c>
      <c r="J2175" s="2">
        <f>IF(payments_raw[[#This Row],[amount]] &lt;= 0, 1, 0)</f>
        <v>0</v>
      </c>
      <c r="K21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6" spans="1:11" x14ac:dyDescent="0.3">
      <c r="A2176">
        <v>25938617</v>
      </c>
      <c r="B2176">
        <v>3251636</v>
      </c>
      <c r="C2176" s="1">
        <v>45614</v>
      </c>
      <c r="D2176">
        <v>149</v>
      </c>
      <c r="E2176">
        <f>IF(
  ISNA(
    _xlfn.XLOOKUP(
      payments_raw[[#This Row],[subscription_id]],
      subscriptions[subscription_id],
      subscriptions[subscription_id]
    )
  ),
  0,
  1
)</f>
        <v>1</v>
      </c>
      <c r="F2176" s="1">
        <f>_xlfn.XLOOKUP(payments_raw[[#This Row],[subscription_id]], subscriptions[subscription_id], subscriptions[start_date])</f>
        <v>45004</v>
      </c>
      <c r="G21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6" s="2">
        <f>IF(payments_raw[[#This Row],[payment_date]] &lt; payments_raw[[#This Row],[sub_start_date]], 1, 0)</f>
        <v>0</v>
      </c>
      <c r="I2176" s="2">
        <f>IF(AND(payments_raw[[#This Row],[sub_end_date]]&lt;&gt;"", payments_raw[[#This Row],[payment_date]] &gt; payments_raw[[#This Row],[sub_end_date]]), 1, 0)</f>
        <v>0</v>
      </c>
      <c r="J2176" s="2">
        <f>IF(payments_raw[[#This Row],[amount]] &lt;= 0, 1, 0)</f>
        <v>0</v>
      </c>
      <c r="K21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7" spans="1:11" x14ac:dyDescent="0.3">
      <c r="A2177">
        <v>27354510</v>
      </c>
      <c r="B2177">
        <v>1184878</v>
      </c>
      <c r="C2177" s="1">
        <v>45293</v>
      </c>
      <c r="D2177">
        <v>2990</v>
      </c>
      <c r="E2177">
        <f>IF(
  ISNA(
    _xlfn.XLOOKUP(
      payments_raw[[#This Row],[subscription_id]],
      subscriptions[subscription_id],
      subscriptions[subscription_id]
    )
  ),
  0,
  1
)</f>
        <v>1</v>
      </c>
      <c r="F2177" s="1">
        <f>_xlfn.XLOOKUP(payments_raw[[#This Row],[subscription_id]], subscriptions[subscription_id], subscriptions[start_date])</f>
        <v>45182</v>
      </c>
      <c r="G21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7" s="2">
        <f>IF(payments_raw[[#This Row],[payment_date]] &lt; payments_raw[[#This Row],[sub_start_date]], 1, 0)</f>
        <v>0</v>
      </c>
      <c r="I2177" s="2">
        <f>IF(AND(payments_raw[[#This Row],[sub_end_date]]&lt;&gt;"", payments_raw[[#This Row],[payment_date]] &gt; payments_raw[[#This Row],[sub_end_date]]), 1, 0)</f>
        <v>0</v>
      </c>
      <c r="J2177" s="2">
        <f>IF(payments_raw[[#This Row],[amount]] &lt;= 0, 1, 0)</f>
        <v>0</v>
      </c>
      <c r="K21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8" spans="1:11" x14ac:dyDescent="0.3">
      <c r="A2178">
        <v>34198463</v>
      </c>
      <c r="B2178">
        <v>4530452</v>
      </c>
      <c r="C2178" s="1">
        <v>45270</v>
      </c>
      <c r="D2178">
        <v>19</v>
      </c>
      <c r="E2178">
        <f>IF(
  ISNA(
    _xlfn.XLOOKUP(
      payments_raw[[#This Row],[subscription_id]],
      subscriptions[subscription_id],
      subscriptions[subscription_id]
    )
  ),
  0,
  1
)</f>
        <v>1</v>
      </c>
      <c r="F2178" s="1">
        <f>_xlfn.XLOOKUP(payments_raw[[#This Row],[subscription_id]], subscriptions[subscription_id], subscriptions[start_date])</f>
        <v>45213</v>
      </c>
      <c r="G21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8" s="2">
        <f>IF(payments_raw[[#This Row],[payment_date]] &lt; payments_raw[[#This Row],[sub_start_date]], 1, 0)</f>
        <v>0</v>
      </c>
      <c r="I2178" s="2">
        <f>IF(AND(payments_raw[[#This Row],[sub_end_date]]&lt;&gt;"", payments_raw[[#This Row],[payment_date]] &gt; payments_raw[[#This Row],[sub_end_date]]), 1, 0)</f>
        <v>0</v>
      </c>
      <c r="J2178" s="2">
        <f>IF(payments_raw[[#This Row],[amount]] &lt;= 0, 1, 0)</f>
        <v>0</v>
      </c>
      <c r="K21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79" spans="1:11" x14ac:dyDescent="0.3">
      <c r="A2179">
        <v>68534862</v>
      </c>
      <c r="B2179">
        <v>7162932</v>
      </c>
      <c r="C2179" s="1">
        <v>45273</v>
      </c>
      <c r="D2179">
        <v>39</v>
      </c>
      <c r="E2179">
        <f>IF(
  ISNA(
    _xlfn.XLOOKUP(
      payments_raw[[#This Row],[subscription_id]],
      subscriptions[subscription_id],
      subscriptions[subscription_id]
    )
  ),
  0,
  1
)</f>
        <v>1</v>
      </c>
      <c r="F2179" s="1">
        <f>_xlfn.XLOOKUP(payments_raw[[#This Row],[subscription_id]], subscriptions[subscription_id], subscriptions[start_date])</f>
        <v>45125</v>
      </c>
      <c r="G21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79" s="2">
        <f>IF(payments_raw[[#This Row],[payment_date]] &lt; payments_raw[[#This Row],[sub_start_date]], 1, 0)</f>
        <v>0</v>
      </c>
      <c r="I2179" s="2">
        <f>IF(AND(payments_raw[[#This Row],[sub_end_date]]&lt;&gt;"", payments_raw[[#This Row],[payment_date]] &gt; payments_raw[[#This Row],[sub_end_date]]), 1, 0)</f>
        <v>0</v>
      </c>
      <c r="J2179" s="2">
        <f>IF(payments_raw[[#This Row],[amount]] &lt;= 0, 1, 0)</f>
        <v>0</v>
      </c>
      <c r="K21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0" spans="1:11" x14ac:dyDescent="0.3">
      <c r="A2180">
        <v>35945352</v>
      </c>
      <c r="B2180">
        <v>5831713</v>
      </c>
      <c r="C2180" s="1">
        <v>45174</v>
      </c>
      <c r="D2180">
        <v>711</v>
      </c>
      <c r="E2180">
        <f>IF(
  ISNA(
    _xlfn.XLOOKUP(
      payments_raw[[#This Row],[subscription_id]],
      subscriptions[subscription_id],
      subscriptions[subscription_id]
    )
  ),
  0,
  1
)</f>
        <v>1</v>
      </c>
      <c r="F2180" s="1">
        <f>_xlfn.XLOOKUP(payments_raw[[#This Row],[subscription_id]], subscriptions[subscription_id], subscriptions[start_date])</f>
        <v>45151</v>
      </c>
      <c r="G21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45229</v>
      </c>
      <c r="H2180" s="2">
        <f>IF(payments_raw[[#This Row],[payment_date]] &lt; payments_raw[[#This Row],[sub_start_date]], 1, 0)</f>
        <v>0</v>
      </c>
      <c r="I2180" s="2">
        <f>IF(AND(payments_raw[[#This Row],[sub_end_date]]&lt;&gt;"", payments_raw[[#This Row],[payment_date]] &gt; payments_raw[[#This Row],[sub_end_date]]), 1, 0)</f>
        <v>0</v>
      </c>
      <c r="J2180" s="2">
        <f>IF(payments_raw[[#This Row],[amount]] &lt;= 0, 1, 0)</f>
        <v>0</v>
      </c>
      <c r="K21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1" spans="1:11" x14ac:dyDescent="0.3">
      <c r="A2181">
        <v>18585082</v>
      </c>
      <c r="B2181">
        <v>5978445</v>
      </c>
      <c r="C2181" s="1">
        <v>44818</v>
      </c>
      <c r="D2181">
        <v>149</v>
      </c>
      <c r="E2181">
        <f>IF(
  ISNA(
    _xlfn.XLOOKUP(
      payments_raw[[#This Row],[subscription_id]],
      subscriptions[subscription_id],
      subscriptions[subscription_id]
    )
  ),
  0,
  1
)</f>
        <v>1</v>
      </c>
      <c r="F2181" s="1">
        <f>_xlfn.XLOOKUP(payments_raw[[#This Row],[subscription_id]], subscriptions[subscription_id], subscriptions[start_date])</f>
        <v>44772</v>
      </c>
      <c r="G21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1" s="2">
        <f>IF(payments_raw[[#This Row],[payment_date]] &lt; payments_raw[[#This Row],[sub_start_date]], 1, 0)</f>
        <v>0</v>
      </c>
      <c r="I2181" s="2">
        <f>IF(AND(payments_raw[[#This Row],[sub_end_date]]&lt;&gt;"", payments_raw[[#This Row],[payment_date]] &gt; payments_raw[[#This Row],[sub_end_date]]), 1, 0)</f>
        <v>0</v>
      </c>
      <c r="J2181" s="2">
        <f>IF(payments_raw[[#This Row],[amount]] &lt;= 0, 1, 0)</f>
        <v>0</v>
      </c>
      <c r="K21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2" spans="1:11" x14ac:dyDescent="0.3">
      <c r="A2182">
        <v>92105579</v>
      </c>
      <c r="B2182">
        <v>2180827</v>
      </c>
      <c r="C2182" s="1">
        <v>45140</v>
      </c>
      <c r="D2182">
        <v>1490</v>
      </c>
      <c r="E2182">
        <f>IF(
  ISNA(
    _xlfn.XLOOKUP(
      payments_raw[[#This Row],[subscription_id]],
      subscriptions[subscription_id],
      subscriptions[subscription_id]
    )
  ),
  0,
  1
)</f>
        <v>1</v>
      </c>
      <c r="F2182" s="1">
        <f>_xlfn.XLOOKUP(payments_raw[[#This Row],[subscription_id]], subscriptions[subscription_id], subscriptions[start_date])</f>
        <v>44881</v>
      </c>
      <c r="G21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2" s="2">
        <f>IF(payments_raw[[#This Row],[payment_date]] &lt; payments_raw[[#This Row],[sub_start_date]], 1, 0)</f>
        <v>0</v>
      </c>
      <c r="I2182" s="2">
        <f>IF(AND(payments_raw[[#This Row],[sub_end_date]]&lt;&gt;"", payments_raw[[#This Row],[payment_date]] &gt; payments_raw[[#This Row],[sub_end_date]]), 1, 0)</f>
        <v>0</v>
      </c>
      <c r="J2182" s="2">
        <f>IF(payments_raw[[#This Row],[amount]] &lt;= 0, 1, 0)</f>
        <v>0</v>
      </c>
      <c r="K21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3" spans="1:11" x14ac:dyDescent="0.3">
      <c r="A2183">
        <v>25135451</v>
      </c>
      <c r="B2183">
        <v>8630409</v>
      </c>
      <c r="C2183" s="1">
        <v>45348</v>
      </c>
      <c r="D2183">
        <v>1490</v>
      </c>
      <c r="E2183">
        <f>IF(
  ISNA(
    _xlfn.XLOOKUP(
      payments_raw[[#This Row],[subscription_id]],
      subscriptions[subscription_id],
      subscriptions[subscription_id]
    )
  ),
  0,
  1
)</f>
        <v>1</v>
      </c>
      <c r="F2183" s="1">
        <f>_xlfn.XLOOKUP(payments_raw[[#This Row],[subscription_id]], subscriptions[subscription_id], subscriptions[start_date])</f>
        <v>45204</v>
      </c>
      <c r="G21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3" s="2">
        <f>IF(payments_raw[[#This Row],[payment_date]] &lt; payments_raw[[#This Row],[sub_start_date]], 1, 0)</f>
        <v>0</v>
      </c>
      <c r="I2183" s="2">
        <f>IF(AND(payments_raw[[#This Row],[sub_end_date]]&lt;&gt;"", payments_raw[[#This Row],[payment_date]] &gt; payments_raw[[#This Row],[sub_end_date]]), 1, 0)</f>
        <v>0</v>
      </c>
      <c r="J2183" s="2">
        <f>IF(payments_raw[[#This Row],[amount]] &lt;= 0, 1, 0)</f>
        <v>0</v>
      </c>
      <c r="K21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4" spans="1:11" x14ac:dyDescent="0.3">
      <c r="A2184">
        <v>78595982</v>
      </c>
      <c r="B2184">
        <v>3655874</v>
      </c>
      <c r="C2184" s="1">
        <v>45655</v>
      </c>
      <c r="D2184">
        <v>2990</v>
      </c>
      <c r="E2184">
        <f>IF(
  ISNA(
    _xlfn.XLOOKUP(
      payments_raw[[#This Row],[subscription_id]],
      subscriptions[subscription_id],
      subscriptions[subscription_id]
    )
  ),
  0,
  1
)</f>
        <v>1</v>
      </c>
      <c r="F2184" s="1">
        <f>_xlfn.XLOOKUP(payments_raw[[#This Row],[subscription_id]], subscriptions[subscription_id], subscriptions[start_date])</f>
        <v>45186</v>
      </c>
      <c r="G21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4" s="2">
        <f>IF(payments_raw[[#This Row],[payment_date]] &lt; payments_raw[[#This Row],[sub_start_date]], 1, 0)</f>
        <v>0</v>
      </c>
      <c r="I2184" s="2">
        <f>IF(AND(payments_raw[[#This Row],[sub_end_date]]&lt;&gt;"", payments_raw[[#This Row],[payment_date]] &gt; payments_raw[[#This Row],[sub_end_date]]), 1, 0)</f>
        <v>0</v>
      </c>
      <c r="J2184" s="2">
        <f>IF(payments_raw[[#This Row],[amount]] &lt;= 0, 1, 0)</f>
        <v>0</v>
      </c>
      <c r="K21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5" spans="1:11" x14ac:dyDescent="0.3">
      <c r="A2185">
        <v>25021199</v>
      </c>
      <c r="B2185">
        <v>8876684</v>
      </c>
      <c r="C2185" s="1">
        <v>45180</v>
      </c>
      <c r="D2185">
        <v>299</v>
      </c>
      <c r="E2185">
        <f>IF(
  ISNA(
    _xlfn.XLOOKUP(
      payments_raw[[#This Row],[subscription_id]],
      subscriptions[subscription_id],
      subscriptions[subscription_id]
    )
  ),
  0,
  1
)</f>
        <v>1</v>
      </c>
      <c r="F2185" s="1">
        <f>_xlfn.XLOOKUP(payments_raw[[#This Row],[subscription_id]], subscriptions[subscription_id], subscriptions[start_date])</f>
        <v>45088</v>
      </c>
      <c r="G21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5" s="2">
        <f>IF(payments_raw[[#This Row],[payment_date]] &lt; payments_raw[[#This Row],[sub_start_date]], 1, 0)</f>
        <v>0</v>
      </c>
      <c r="I2185" s="2">
        <f>IF(AND(payments_raw[[#This Row],[sub_end_date]]&lt;&gt;"", payments_raw[[#This Row],[payment_date]] &gt; payments_raw[[#This Row],[sub_end_date]]), 1, 0)</f>
        <v>0</v>
      </c>
      <c r="J2185" s="2">
        <f>IF(payments_raw[[#This Row],[amount]] &lt;= 0, 1, 0)</f>
        <v>0</v>
      </c>
      <c r="K21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6" spans="1:11" x14ac:dyDescent="0.3">
      <c r="A2186">
        <v>92543545</v>
      </c>
      <c r="B2186">
        <v>5644836</v>
      </c>
      <c r="C2186" s="1">
        <v>45617</v>
      </c>
      <c r="D2186">
        <v>299</v>
      </c>
      <c r="E2186">
        <f>IF(
  ISNA(
    _xlfn.XLOOKUP(
      payments_raw[[#This Row],[subscription_id]],
      subscriptions[subscription_id],
      subscriptions[subscription_id]
    )
  ),
  0,
  1
)</f>
        <v>1</v>
      </c>
      <c r="F2186" s="1">
        <f>_xlfn.XLOOKUP(payments_raw[[#This Row],[subscription_id]], subscriptions[subscription_id], subscriptions[start_date])</f>
        <v>45589</v>
      </c>
      <c r="G21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2186" s="2">
        <f>IF(payments_raw[[#This Row],[payment_date]] &lt; payments_raw[[#This Row],[sub_start_date]], 1, 0)</f>
        <v>0</v>
      </c>
      <c r="I2186" s="2">
        <f>IF(AND(payments_raw[[#This Row],[sub_end_date]]&lt;&gt;"", payments_raw[[#This Row],[payment_date]] &gt; payments_raw[[#This Row],[sub_end_date]]), 1, 0)</f>
        <v>0</v>
      </c>
      <c r="J2186" s="2">
        <f>IF(payments_raw[[#This Row],[amount]] &lt;= 0, 1, 0)</f>
        <v>0</v>
      </c>
      <c r="K21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7" spans="1:11" x14ac:dyDescent="0.3">
      <c r="A2187">
        <v>64526122</v>
      </c>
      <c r="B2187">
        <v>6844074</v>
      </c>
      <c r="C2187" s="1">
        <v>45588</v>
      </c>
      <c r="D2187">
        <v>149</v>
      </c>
      <c r="E2187">
        <f>IF(
  ISNA(
    _xlfn.XLOOKUP(
      payments_raw[[#This Row],[subscription_id]],
      subscriptions[subscription_id],
      subscriptions[subscription_id]
    )
  ),
  0,
  1
)</f>
        <v>1</v>
      </c>
      <c r="F2187" s="1">
        <f>_xlfn.XLOOKUP(payments_raw[[#This Row],[subscription_id]], subscriptions[subscription_id], subscriptions[start_date])</f>
        <v>45438</v>
      </c>
      <c r="G21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2187" s="2">
        <f>IF(payments_raw[[#This Row],[payment_date]] &lt; payments_raw[[#This Row],[sub_start_date]], 1, 0)</f>
        <v>0</v>
      </c>
      <c r="I2187" s="2">
        <f>IF(AND(payments_raw[[#This Row],[sub_end_date]]&lt;&gt;"", payments_raw[[#This Row],[payment_date]] &gt; payments_raw[[#This Row],[sub_end_date]]), 1, 0)</f>
        <v>0</v>
      </c>
      <c r="J2187" s="2">
        <f>IF(payments_raw[[#This Row],[amount]] &lt;= 0, 1, 0)</f>
        <v>0</v>
      </c>
      <c r="K21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8" spans="1:11" x14ac:dyDescent="0.3">
      <c r="A2188">
        <v>92270938</v>
      </c>
      <c r="B2188">
        <v>9176462</v>
      </c>
      <c r="C2188" s="1">
        <v>45567</v>
      </c>
      <c r="D2188">
        <v>790</v>
      </c>
      <c r="E2188">
        <f>IF(
  ISNA(
    _xlfn.XLOOKUP(
      payments_raw[[#This Row],[subscription_id]],
      subscriptions[subscription_id],
      subscriptions[subscription_id]
    )
  ),
  0,
  1
)</f>
        <v>1</v>
      </c>
      <c r="F2188" s="1">
        <f>_xlfn.XLOOKUP(payments_raw[[#This Row],[subscription_id]], subscriptions[subscription_id], subscriptions[start_date])</f>
        <v>45496</v>
      </c>
      <c r="G21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188" s="2">
        <f>IF(payments_raw[[#This Row],[payment_date]] &lt; payments_raw[[#This Row],[sub_start_date]], 1, 0)</f>
        <v>0</v>
      </c>
      <c r="I2188" s="2">
        <f>IF(AND(payments_raw[[#This Row],[sub_end_date]]&lt;&gt;"", payments_raw[[#This Row],[payment_date]] &gt; payments_raw[[#This Row],[sub_end_date]]), 1, 0)</f>
        <v>0</v>
      </c>
      <c r="J2188" s="2">
        <f>IF(payments_raw[[#This Row],[amount]] &lt;= 0, 1, 0)</f>
        <v>0</v>
      </c>
      <c r="K21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89" spans="1:11" x14ac:dyDescent="0.3">
      <c r="A2189">
        <v>80712066</v>
      </c>
      <c r="B2189">
        <v>7556539</v>
      </c>
      <c r="C2189" s="1">
        <v>44866</v>
      </c>
      <c r="D2189">
        <v>790</v>
      </c>
      <c r="E2189">
        <f>IF(
  ISNA(
    _xlfn.XLOOKUP(
      payments_raw[[#This Row],[subscription_id]],
      subscriptions[subscription_id],
      subscriptions[subscription_id]
    )
  ),
  0,
  1
)</f>
        <v>1</v>
      </c>
      <c r="F2189" s="1">
        <f>_xlfn.XLOOKUP(payments_raw[[#This Row],[subscription_id]], subscriptions[subscription_id], subscriptions[start_date])</f>
        <v>44768</v>
      </c>
      <c r="G21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89" s="2">
        <f>IF(payments_raw[[#This Row],[payment_date]] &lt; payments_raw[[#This Row],[sub_start_date]], 1, 0)</f>
        <v>0</v>
      </c>
      <c r="I2189" s="2">
        <f>IF(AND(payments_raw[[#This Row],[sub_end_date]]&lt;&gt;"", payments_raw[[#This Row],[payment_date]] &gt; payments_raw[[#This Row],[sub_end_date]]), 1, 0)</f>
        <v>0</v>
      </c>
      <c r="J2189" s="2">
        <f>IF(payments_raw[[#This Row],[amount]] &lt;= 0, 1, 0)</f>
        <v>0</v>
      </c>
      <c r="K21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0" spans="1:11" x14ac:dyDescent="0.3">
      <c r="A2190">
        <v>78945937</v>
      </c>
      <c r="B2190">
        <v>1700297</v>
      </c>
      <c r="C2190" s="1">
        <v>45490</v>
      </c>
      <c r="D2190">
        <v>79</v>
      </c>
      <c r="E2190">
        <f>IF(
  ISNA(
    _xlfn.XLOOKUP(
      payments_raw[[#This Row],[subscription_id]],
      subscriptions[subscription_id],
      subscriptions[subscription_id]
    )
  ),
  0,
  1
)</f>
        <v>1</v>
      </c>
      <c r="F2190" s="1">
        <f>_xlfn.XLOOKUP(payments_raw[[#This Row],[subscription_id]], subscriptions[subscription_id], subscriptions[start_date])</f>
        <v>44775</v>
      </c>
      <c r="G21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0" s="2">
        <f>IF(payments_raw[[#This Row],[payment_date]] &lt; payments_raw[[#This Row],[sub_start_date]], 1, 0)</f>
        <v>0</v>
      </c>
      <c r="I2190" s="2">
        <f>IF(AND(payments_raw[[#This Row],[sub_end_date]]&lt;&gt;"", payments_raw[[#This Row],[payment_date]] &gt; payments_raw[[#This Row],[sub_end_date]]), 1, 0)</f>
        <v>0</v>
      </c>
      <c r="J2190" s="2">
        <f>IF(payments_raw[[#This Row],[amount]] &lt;= 0, 1, 0)</f>
        <v>0</v>
      </c>
      <c r="K21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1" spans="1:11" x14ac:dyDescent="0.3">
      <c r="A2191">
        <v>83759721</v>
      </c>
      <c r="B2191">
        <v>2299399</v>
      </c>
      <c r="C2191" s="1">
        <v>45067</v>
      </c>
      <c r="D2191">
        <v>142.5</v>
      </c>
      <c r="E2191">
        <f>IF(
  ISNA(
    _xlfn.XLOOKUP(
      payments_raw[[#This Row],[subscription_id]],
      subscriptions[subscription_id],
      subscriptions[subscription_id]
    )
  ),
  0,
  1
)</f>
        <v>1</v>
      </c>
      <c r="F2191" s="1">
        <f>_xlfn.XLOOKUP(payments_raw[[#This Row],[subscription_id]], subscriptions[subscription_id], subscriptions[start_date])</f>
        <v>45047</v>
      </c>
      <c r="G21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1" s="2">
        <f>IF(payments_raw[[#This Row],[payment_date]] &lt; payments_raw[[#This Row],[sub_start_date]], 1, 0)</f>
        <v>0</v>
      </c>
      <c r="I2191" s="2">
        <f>IF(AND(payments_raw[[#This Row],[sub_end_date]]&lt;&gt;"", payments_raw[[#This Row],[payment_date]] &gt; payments_raw[[#This Row],[sub_end_date]]), 1, 0)</f>
        <v>0</v>
      </c>
      <c r="J2191" s="2">
        <f>IF(payments_raw[[#This Row],[amount]] &lt;= 0, 1, 0)</f>
        <v>0</v>
      </c>
      <c r="K21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2" spans="1:11" x14ac:dyDescent="0.3">
      <c r="A2192">
        <v>66673212</v>
      </c>
      <c r="B2192">
        <v>4310140</v>
      </c>
      <c r="C2192" s="1">
        <v>45628</v>
      </c>
      <c r="D2192">
        <v>17.100000000000001</v>
      </c>
      <c r="E2192">
        <f>IF(
  ISNA(
    _xlfn.XLOOKUP(
      payments_raw[[#This Row],[subscription_id]],
      subscriptions[subscription_id],
      subscriptions[subscription_id]
    )
  ),
  0,
  1
)</f>
        <v>1</v>
      </c>
      <c r="F2192" s="1">
        <f>_xlfn.XLOOKUP(payments_raw[[#This Row],[subscription_id]], subscriptions[subscription_id], subscriptions[start_date])</f>
        <v>45576</v>
      </c>
      <c r="G21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192" s="2">
        <f>IF(payments_raw[[#This Row],[payment_date]] &lt; payments_raw[[#This Row],[sub_start_date]], 1, 0)</f>
        <v>0</v>
      </c>
      <c r="I2192" s="2">
        <f>IF(AND(payments_raw[[#This Row],[sub_end_date]]&lt;&gt;"", payments_raw[[#This Row],[payment_date]] &gt; payments_raw[[#This Row],[sub_end_date]]), 1, 0)</f>
        <v>0</v>
      </c>
      <c r="J2192" s="2">
        <f>IF(payments_raw[[#This Row],[amount]] &lt;= 0, 1, 0)</f>
        <v>0</v>
      </c>
      <c r="K21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3" spans="1:11" x14ac:dyDescent="0.3">
      <c r="A2193">
        <v>32560859</v>
      </c>
      <c r="B2193">
        <v>9303529</v>
      </c>
      <c r="C2193" s="1">
        <v>45545</v>
      </c>
      <c r="D2193">
        <v>195</v>
      </c>
      <c r="E2193">
        <f>IF(
  ISNA(
    _xlfn.XLOOKUP(
      payments_raw[[#This Row],[subscription_id]],
      subscriptions[subscription_id],
      subscriptions[subscription_id]
    )
  ),
  0,
  1
)</f>
        <v>1</v>
      </c>
      <c r="F2193" s="1">
        <f>_xlfn.XLOOKUP(payments_raw[[#This Row],[subscription_id]], subscriptions[subscription_id], subscriptions[start_date])</f>
        <v>44822</v>
      </c>
      <c r="G21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3" s="2">
        <f>IF(payments_raw[[#This Row],[payment_date]] &lt; payments_raw[[#This Row],[sub_start_date]], 1, 0)</f>
        <v>0</v>
      </c>
      <c r="I2193" s="2">
        <f>IF(AND(payments_raw[[#This Row],[sub_end_date]]&lt;&gt;"", payments_raw[[#This Row],[payment_date]] &gt; payments_raw[[#This Row],[sub_end_date]]), 1, 0)</f>
        <v>0</v>
      </c>
      <c r="J2193" s="2">
        <f>IF(payments_raw[[#This Row],[amount]] &lt;= 0, 1, 0)</f>
        <v>0</v>
      </c>
      <c r="K21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4" spans="1:11" x14ac:dyDescent="0.3">
      <c r="A2194">
        <v>56685693</v>
      </c>
      <c r="B2194">
        <v>4463308</v>
      </c>
      <c r="C2194" s="1">
        <v>45222</v>
      </c>
      <c r="D2194">
        <v>790</v>
      </c>
      <c r="E2194">
        <f>IF(
  ISNA(
    _xlfn.XLOOKUP(
      payments_raw[[#This Row],[subscription_id]],
      subscriptions[subscription_id],
      subscriptions[subscription_id]
    )
  ),
  0,
  1
)</f>
        <v>1</v>
      </c>
      <c r="F2194" s="1">
        <f>_xlfn.XLOOKUP(payments_raw[[#This Row],[subscription_id]], subscriptions[subscription_id], subscriptions[start_date])</f>
        <v>45021</v>
      </c>
      <c r="G21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4" s="2">
        <f>IF(payments_raw[[#This Row],[payment_date]] &lt; payments_raw[[#This Row],[sub_start_date]], 1, 0)</f>
        <v>0</v>
      </c>
      <c r="I2194" s="2">
        <f>IF(AND(payments_raw[[#This Row],[sub_end_date]]&lt;&gt;"", payments_raw[[#This Row],[payment_date]] &gt; payments_raw[[#This Row],[sub_end_date]]), 1, 0)</f>
        <v>0</v>
      </c>
      <c r="J2194" s="2">
        <f>IF(payments_raw[[#This Row],[amount]] &lt;= 0, 1, 0)</f>
        <v>0</v>
      </c>
      <c r="K21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5" spans="1:11" x14ac:dyDescent="0.3">
      <c r="A2195">
        <v>82375751</v>
      </c>
      <c r="B2195">
        <v>5617358</v>
      </c>
      <c r="C2195" s="1">
        <v>45559</v>
      </c>
      <c r="D2195">
        <v>190</v>
      </c>
      <c r="E2195">
        <f>IF(
  ISNA(
    _xlfn.XLOOKUP(
      payments_raw[[#This Row],[subscription_id]],
      subscriptions[subscription_id],
      subscriptions[subscription_id]
    )
  ),
  0,
  1
)</f>
        <v>1</v>
      </c>
      <c r="F2195" s="1">
        <f>_xlfn.XLOOKUP(payments_raw[[#This Row],[subscription_id]], subscriptions[subscription_id], subscriptions[start_date])</f>
        <v>45473</v>
      </c>
      <c r="G21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5" s="2">
        <f>IF(payments_raw[[#This Row],[payment_date]] &lt; payments_raw[[#This Row],[sub_start_date]], 1, 0)</f>
        <v>0</v>
      </c>
      <c r="I2195" s="2">
        <f>IF(AND(payments_raw[[#This Row],[sub_end_date]]&lt;&gt;"", payments_raw[[#This Row],[payment_date]] &gt; payments_raw[[#This Row],[sub_end_date]]), 1, 0)</f>
        <v>0</v>
      </c>
      <c r="J2195" s="2">
        <f>IF(payments_raw[[#This Row],[amount]] &lt;= 0, 1, 0)</f>
        <v>0</v>
      </c>
      <c r="K21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6" spans="1:11" x14ac:dyDescent="0.3">
      <c r="A2196">
        <v>63154202</v>
      </c>
      <c r="B2196">
        <v>3751899</v>
      </c>
      <c r="C2196" s="1">
        <v>44998</v>
      </c>
      <c r="D2196">
        <v>79</v>
      </c>
      <c r="E2196">
        <f>IF(
  ISNA(
    _xlfn.XLOOKUP(
      payments_raw[[#This Row],[subscription_id]],
      subscriptions[subscription_id],
      subscriptions[subscription_id]
    )
  ),
  0,
  1
)</f>
        <v>1</v>
      </c>
      <c r="F2196" s="1">
        <f>_xlfn.XLOOKUP(payments_raw[[#This Row],[subscription_id]], subscriptions[subscription_id], subscriptions[start_date])</f>
        <v>44902</v>
      </c>
      <c r="G21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2196" s="2">
        <f>IF(payments_raw[[#This Row],[payment_date]] &lt; payments_raw[[#This Row],[sub_start_date]], 1, 0)</f>
        <v>0</v>
      </c>
      <c r="I2196" s="2">
        <f>IF(AND(payments_raw[[#This Row],[sub_end_date]]&lt;&gt;"", payments_raw[[#This Row],[payment_date]] &gt; payments_raw[[#This Row],[sub_end_date]]), 1, 0)</f>
        <v>0</v>
      </c>
      <c r="J2196" s="2">
        <f>IF(payments_raw[[#This Row],[amount]] &lt;= 0, 1, 0)</f>
        <v>0</v>
      </c>
      <c r="K21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7" spans="1:11" x14ac:dyDescent="0.3">
      <c r="A2197">
        <v>10516583</v>
      </c>
      <c r="B2197">
        <v>2155782</v>
      </c>
      <c r="C2197" s="1">
        <v>45253</v>
      </c>
      <c r="D2197">
        <v>790</v>
      </c>
      <c r="E2197">
        <f>IF(
  ISNA(
    _xlfn.XLOOKUP(
      payments_raw[[#This Row],[subscription_id]],
      subscriptions[subscription_id],
      subscriptions[subscription_id]
    )
  ),
  0,
  1
)</f>
        <v>1</v>
      </c>
      <c r="F2197" s="1">
        <f>_xlfn.XLOOKUP(payments_raw[[#This Row],[subscription_id]], subscriptions[subscription_id], subscriptions[start_date])</f>
        <v>44924</v>
      </c>
      <c r="G21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7" s="2">
        <f>IF(payments_raw[[#This Row],[payment_date]] &lt; payments_raw[[#This Row],[sub_start_date]], 1, 0)</f>
        <v>0</v>
      </c>
      <c r="I2197" s="2">
        <f>IF(AND(payments_raw[[#This Row],[sub_end_date]]&lt;&gt;"", payments_raw[[#This Row],[payment_date]] &gt; payments_raw[[#This Row],[sub_end_date]]), 1, 0)</f>
        <v>0</v>
      </c>
      <c r="J2197" s="2">
        <f>IF(payments_raw[[#This Row],[amount]] &lt;= 0, 1, 0)</f>
        <v>0</v>
      </c>
      <c r="K21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8" spans="1:11" x14ac:dyDescent="0.3">
      <c r="A2198">
        <v>53840537</v>
      </c>
      <c r="B2198">
        <v>3961713</v>
      </c>
      <c r="C2198" s="1">
        <v>45649</v>
      </c>
      <c r="D2198">
        <v>190</v>
      </c>
      <c r="E2198">
        <f>IF(
  ISNA(
    _xlfn.XLOOKUP(
      payments_raw[[#This Row],[subscription_id]],
      subscriptions[subscription_id],
      subscriptions[subscription_id]
    )
  ),
  0,
  1
)</f>
        <v>1</v>
      </c>
      <c r="F2198" s="1">
        <f>_xlfn.XLOOKUP(payments_raw[[#This Row],[subscription_id]], subscriptions[subscription_id], subscriptions[start_date])</f>
        <v>45235</v>
      </c>
      <c r="G21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8" s="2">
        <f>IF(payments_raw[[#This Row],[payment_date]] &lt; payments_raw[[#This Row],[sub_start_date]], 1, 0)</f>
        <v>0</v>
      </c>
      <c r="I2198" s="2">
        <f>IF(AND(payments_raw[[#This Row],[sub_end_date]]&lt;&gt;"", payments_raw[[#This Row],[payment_date]] &gt; payments_raw[[#This Row],[sub_end_date]]), 1, 0)</f>
        <v>0</v>
      </c>
      <c r="J2198" s="2">
        <f>IF(payments_raw[[#This Row],[amount]] &lt;= 0, 1, 0)</f>
        <v>0</v>
      </c>
      <c r="K21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199" spans="1:11" x14ac:dyDescent="0.3">
      <c r="A2199">
        <v>42785604</v>
      </c>
      <c r="B2199">
        <v>4649478</v>
      </c>
      <c r="C2199" s="1">
        <v>45600</v>
      </c>
      <c r="D2199">
        <v>19</v>
      </c>
      <c r="E2199">
        <f>IF(
  ISNA(
    _xlfn.XLOOKUP(
      payments_raw[[#This Row],[subscription_id]],
      subscriptions[subscription_id],
      subscriptions[subscription_id]
    )
  ),
  0,
  1
)</f>
        <v>1</v>
      </c>
      <c r="F2199" s="1">
        <f>_xlfn.XLOOKUP(payments_raw[[#This Row],[subscription_id]], subscriptions[subscription_id], subscriptions[start_date])</f>
        <v>45329</v>
      </c>
      <c r="G21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199" s="2">
        <f>IF(payments_raw[[#This Row],[payment_date]] &lt; payments_raw[[#This Row],[sub_start_date]], 1, 0)</f>
        <v>0</v>
      </c>
      <c r="I2199" s="2">
        <f>IF(AND(payments_raw[[#This Row],[sub_end_date]]&lt;&gt;"", payments_raw[[#This Row],[payment_date]] &gt; payments_raw[[#This Row],[sub_end_date]]), 1, 0)</f>
        <v>0</v>
      </c>
      <c r="J2199" s="2">
        <f>IF(payments_raw[[#This Row],[amount]] &lt;= 0, 1, 0)</f>
        <v>0</v>
      </c>
      <c r="K21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0" spans="1:11" x14ac:dyDescent="0.3">
      <c r="A2200">
        <v>83797377</v>
      </c>
      <c r="B2200">
        <v>7320122</v>
      </c>
      <c r="C2200" s="1">
        <v>44863</v>
      </c>
      <c r="D2200">
        <v>224.25</v>
      </c>
      <c r="E2200">
        <f>IF(
  ISNA(
    _xlfn.XLOOKUP(
      payments_raw[[#This Row],[subscription_id]],
      subscriptions[subscription_id],
      subscriptions[subscription_id]
    )
  ),
  0,
  1
)</f>
        <v>1</v>
      </c>
      <c r="F2200" s="1">
        <f>_xlfn.XLOOKUP(payments_raw[[#This Row],[subscription_id]], subscriptions[subscription_id], subscriptions[start_date])</f>
        <v>44682</v>
      </c>
      <c r="G220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2200" s="2">
        <f>IF(payments_raw[[#This Row],[payment_date]] &lt; payments_raw[[#This Row],[sub_start_date]], 1, 0)</f>
        <v>0</v>
      </c>
      <c r="I2200" s="2">
        <f>IF(AND(payments_raw[[#This Row],[sub_end_date]]&lt;&gt;"", payments_raw[[#This Row],[payment_date]] &gt; payments_raw[[#This Row],[sub_end_date]]), 1, 0)</f>
        <v>0</v>
      </c>
      <c r="J2200" s="2">
        <f>IF(payments_raw[[#This Row],[amount]] &lt;= 0, 1, 0)</f>
        <v>0</v>
      </c>
      <c r="K22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1" spans="1:11" x14ac:dyDescent="0.3">
      <c r="A2201">
        <v>84242633</v>
      </c>
      <c r="B2201">
        <v>3949666</v>
      </c>
      <c r="C2201" s="1">
        <v>45542</v>
      </c>
      <c r="D2201">
        <v>390</v>
      </c>
      <c r="E2201">
        <f>IF(
  ISNA(
    _xlfn.XLOOKUP(
      payments_raw[[#This Row],[subscription_id]],
      subscriptions[subscription_id],
      subscriptions[subscription_id]
    )
  ),
  0,
  1
)</f>
        <v>1</v>
      </c>
      <c r="F2201" s="1">
        <f>_xlfn.XLOOKUP(payments_raw[[#This Row],[subscription_id]], subscriptions[subscription_id], subscriptions[start_date])</f>
        <v>45501</v>
      </c>
      <c r="G22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1" s="2">
        <f>IF(payments_raw[[#This Row],[payment_date]] &lt; payments_raw[[#This Row],[sub_start_date]], 1, 0)</f>
        <v>0</v>
      </c>
      <c r="I2201" s="2">
        <f>IF(AND(payments_raw[[#This Row],[sub_end_date]]&lt;&gt;"", payments_raw[[#This Row],[payment_date]] &gt; payments_raw[[#This Row],[sub_end_date]]), 1, 0)</f>
        <v>0</v>
      </c>
      <c r="J2201" s="2">
        <f>IF(payments_raw[[#This Row],[amount]] &lt;= 0, 1, 0)</f>
        <v>0</v>
      </c>
      <c r="K22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2" spans="1:11" x14ac:dyDescent="0.3">
      <c r="A2202">
        <v>92670664</v>
      </c>
      <c r="B2202">
        <v>8859233</v>
      </c>
      <c r="C2202" s="1">
        <v>45039</v>
      </c>
      <c r="D2202">
        <v>1490</v>
      </c>
      <c r="E2202">
        <f>IF(
  ISNA(
    _xlfn.XLOOKUP(
      payments_raw[[#This Row],[subscription_id]],
      subscriptions[subscription_id],
      subscriptions[subscription_id]
    )
  ),
  0,
  1
)</f>
        <v>1</v>
      </c>
      <c r="F2202" s="1">
        <f>_xlfn.XLOOKUP(payments_raw[[#This Row],[subscription_id]], subscriptions[subscription_id], subscriptions[start_date])</f>
        <v>44952</v>
      </c>
      <c r="G22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2202" s="2">
        <f>IF(payments_raw[[#This Row],[payment_date]] &lt; payments_raw[[#This Row],[sub_start_date]], 1, 0)</f>
        <v>0</v>
      </c>
      <c r="I2202" s="2">
        <f>IF(AND(payments_raw[[#This Row],[sub_end_date]]&lt;&gt;"", payments_raw[[#This Row],[payment_date]] &gt; payments_raw[[#This Row],[sub_end_date]]), 1, 0)</f>
        <v>0</v>
      </c>
      <c r="J2202" s="2">
        <f>IF(payments_raw[[#This Row],[amount]] &lt;= 0, 1, 0)</f>
        <v>0</v>
      </c>
      <c r="K22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3" spans="1:11" x14ac:dyDescent="0.3">
      <c r="A2203">
        <v>85773321</v>
      </c>
      <c r="B2203">
        <v>3529124</v>
      </c>
      <c r="C2203" s="1">
        <v>45208</v>
      </c>
      <c r="D2203">
        <v>224.25</v>
      </c>
      <c r="E2203">
        <f>IF(
  ISNA(
    _xlfn.XLOOKUP(
      payments_raw[[#This Row],[subscription_id]],
      subscriptions[subscription_id],
      subscriptions[subscription_id]
    )
  ),
  0,
  1
)</f>
        <v>1</v>
      </c>
      <c r="F2203" s="1">
        <f>_xlfn.XLOOKUP(payments_raw[[#This Row],[subscription_id]], subscriptions[subscription_id], subscriptions[start_date])</f>
        <v>45145</v>
      </c>
      <c r="G22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3" s="2">
        <f>IF(payments_raw[[#This Row],[payment_date]] &lt; payments_raw[[#This Row],[sub_start_date]], 1, 0)</f>
        <v>0</v>
      </c>
      <c r="I2203" s="2">
        <f>IF(AND(payments_raw[[#This Row],[sub_end_date]]&lt;&gt;"", payments_raw[[#This Row],[payment_date]] &gt; payments_raw[[#This Row],[sub_end_date]]), 1, 0)</f>
        <v>0</v>
      </c>
      <c r="J2203" s="2">
        <f>IF(payments_raw[[#This Row],[amount]] &lt;= 0, 1, 0)</f>
        <v>0</v>
      </c>
      <c r="K22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4" spans="1:11" x14ac:dyDescent="0.3">
      <c r="A2204">
        <v>81669833</v>
      </c>
      <c r="B2204">
        <v>8955730</v>
      </c>
      <c r="C2204" s="1">
        <v>45417</v>
      </c>
      <c r="D2204">
        <v>19</v>
      </c>
      <c r="E2204">
        <f>IF(
  ISNA(
    _xlfn.XLOOKUP(
      payments_raw[[#This Row],[subscription_id]],
      subscriptions[subscription_id],
      subscriptions[subscription_id]
    )
  ),
  0,
  1
)</f>
        <v>1</v>
      </c>
      <c r="F2204" s="1">
        <f>_xlfn.XLOOKUP(payments_raw[[#This Row],[subscription_id]], subscriptions[subscription_id], subscriptions[start_date])</f>
        <v>44975</v>
      </c>
      <c r="G22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4" s="2">
        <f>IF(payments_raw[[#This Row],[payment_date]] &lt; payments_raw[[#This Row],[sub_start_date]], 1, 0)</f>
        <v>0</v>
      </c>
      <c r="I2204" s="2">
        <f>IF(AND(payments_raw[[#This Row],[sub_end_date]]&lt;&gt;"", payments_raw[[#This Row],[payment_date]] &gt; payments_raw[[#This Row],[sub_end_date]]), 1, 0)</f>
        <v>0</v>
      </c>
      <c r="J2204" s="2">
        <f>IF(payments_raw[[#This Row],[amount]] &lt;= 0, 1, 0)</f>
        <v>0</v>
      </c>
      <c r="K22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5" spans="1:11" x14ac:dyDescent="0.3">
      <c r="A2205">
        <v>71389663</v>
      </c>
      <c r="B2205">
        <v>6501987</v>
      </c>
      <c r="C2205" s="1">
        <v>45619</v>
      </c>
      <c r="D2205">
        <v>190</v>
      </c>
      <c r="E2205">
        <f>IF(
  ISNA(
    _xlfn.XLOOKUP(
      payments_raw[[#This Row],[subscription_id]],
      subscriptions[subscription_id],
      subscriptions[subscription_id]
    )
  ),
  0,
  1
)</f>
        <v>1</v>
      </c>
      <c r="F2205" s="1">
        <f>_xlfn.XLOOKUP(payments_raw[[#This Row],[subscription_id]], subscriptions[subscription_id], subscriptions[start_date])</f>
        <v>45426</v>
      </c>
      <c r="G22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5" s="2">
        <f>IF(payments_raw[[#This Row],[payment_date]] &lt; payments_raw[[#This Row],[sub_start_date]], 1, 0)</f>
        <v>0</v>
      </c>
      <c r="I2205" s="2">
        <f>IF(AND(payments_raw[[#This Row],[sub_end_date]]&lt;&gt;"", payments_raw[[#This Row],[payment_date]] &gt; payments_raw[[#This Row],[sub_end_date]]), 1, 0)</f>
        <v>0</v>
      </c>
      <c r="J2205" s="2">
        <f>IF(payments_raw[[#This Row],[amount]] &lt;= 0, 1, 0)</f>
        <v>0</v>
      </c>
      <c r="K22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6" spans="1:11" x14ac:dyDescent="0.3">
      <c r="A2206">
        <v>42757933</v>
      </c>
      <c r="B2206">
        <v>5052611</v>
      </c>
      <c r="C2206" s="1">
        <v>44789</v>
      </c>
      <c r="D2206">
        <v>2990</v>
      </c>
      <c r="E2206">
        <f>IF(
  ISNA(
    _xlfn.XLOOKUP(
      payments_raw[[#This Row],[subscription_id]],
      subscriptions[subscription_id],
      subscriptions[subscription_id]
    )
  ),
  0,
  1
)</f>
        <v>1</v>
      </c>
      <c r="F2206" s="1">
        <f>_xlfn.XLOOKUP(payments_raw[[#This Row],[subscription_id]], subscriptions[subscription_id], subscriptions[start_date])</f>
        <v>44570</v>
      </c>
      <c r="G220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44812</v>
      </c>
      <c r="H2206" s="2">
        <f>IF(payments_raw[[#This Row],[payment_date]] &lt; payments_raw[[#This Row],[sub_start_date]], 1, 0)</f>
        <v>0</v>
      </c>
      <c r="I2206" s="2">
        <f>IF(AND(payments_raw[[#This Row],[sub_end_date]]&lt;&gt;"", payments_raw[[#This Row],[payment_date]] &gt; payments_raw[[#This Row],[sub_end_date]]), 1, 0)</f>
        <v>0</v>
      </c>
      <c r="J2206" s="2">
        <f>IF(payments_raw[[#This Row],[amount]] &lt;= 0, 1, 0)</f>
        <v>0</v>
      </c>
      <c r="K22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7" spans="1:11" x14ac:dyDescent="0.3">
      <c r="A2207">
        <v>84599555</v>
      </c>
      <c r="B2207">
        <v>5387112</v>
      </c>
      <c r="C2207" s="1">
        <v>45359</v>
      </c>
      <c r="D2207">
        <v>790</v>
      </c>
      <c r="E2207">
        <f>IF(
  ISNA(
    _xlfn.XLOOKUP(
      payments_raw[[#This Row],[subscription_id]],
      subscriptions[subscription_id],
      subscriptions[subscription_id]
    )
  ),
  0,
  1
)</f>
        <v>1</v>
      </c>
      <c r="F2207" s="1">
        <f>_xlfn.XLOOKUP(payments_raw[[#This Row],[subscription_id]], subscriptions[subscription_id], subscriptions[start_date])</f>
        <v>45307</v>
      </c>
      <c r="G22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45471</v>
      </c>
      <c r="H2207" s="2">
        <f>IF(payments_raw[[#This Row],[payment_date]] &lt; payments_raw[[#This Row],[sub_start_date]], 1, 0)</f>
        <v>0</v>
      </c>
      <c r="I2207" s="2">
        <f>IF(AND(payments_raw[[#This Row],[sub_end_date]]&lt;&gt;"", payments_raw[[#This Row],[payment_date]] &gt; payments_raw[[#This Row],[sub_end_date]]), 1, 0)</f>
        <v>0</v>
      </c>
      <c r="J2207" s="2">
        <f>IF(payments_raw[[#This Row],[amount]] &lt;= 0, 1, 0)</f>
        <v>0</v>
      </c>
      <c r="K22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8" spans="1:11" x14ac:dyDescent="0.3">
      <c r="A2208">
        <v>77323835</v>
      </c>
      <c r="B2208">
        <v>8426297</v>
      </c>
      <c r="C2208" s="1">
        <v>45584</v>
      </c>
      <c r="D2208">
        <v>1490</v>
      </c>
      <c r="E2208">
        <f>IF(
  ISNA(
    _xlfn.XLOOKUP(
      payments_raw[[#This Row],[subscription_id]],
      subscriptions[subscription_id],
      subscriptions[subscription_id]
    )
  ),
  0,
  1
)</f>
        <v>1</v>
      </c>
      <c r="F2208" s="1">
        <f>_xlfn.XLOOKUP(payments_raw[[#This Row],[subscription_id]], subscriptions[subscription_id], subscriptions[start_date])</f>
        <v>44960</v>
      </c>
      <c r="G22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08" s="2">
        <f>IF(payments_raw[[#This Row],[payment_date]] &lt; payments_raw[[#This Row],[sub_start_date]], 1, 0)</f>
        <v>0</v>
      </c>
      <c r="I2208" s="2">
        <f>IF(AND(payments_raw[[#This Row],[sub_end_date]]&lt;&gt;"", payments_raw[[#This Row],[payment_date]] &gt; payments_raw[[#This Row],[sub_end_date]]), 1, 0)</f>
        <v>0</v>
      </c>
      <c r="J2208" s="2">
        <f>IF(payments_raw[[#This Row],[amount]] &lt;= 0, 1, 0)</f>
        <v>0</v>
      </c>
      <c r="K22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09" spans="1:11" x14ac:dyDescent="0.3">
      <c r="A2209">
        <v>37359832</v>
      </c>
      <c r="B2209">
        <v>3561918</v>
      </c>
      <c r="C2209" s="1">
        <v>45047</v>
      </c>
      <c r="D2209">
        <v>79</v>
      </c>
      <c r="E2209">
        <f>IF(
  ISNA(
    _xlfn.XLOOKUP(
      payments_raw[[#This Row],[subscription_id]],
      subscriptions[subscription_id],
      subscriptions[subscription_id]
    )
  ),
  0,
  1
)</f>
        <v>1</v>
      </c>
      <c r="F2209" s="1">
        <f>_xlfn.XLOOKUP(payments_raw[[#This Row],[subscription_id]], subscriptions[subscription_id], subscriptions[start_date])</f>
        <v>44993</v>
      </c>
      <c r="G22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2209" s="2">
        <f>IF(payments_raw[[#This Row],[payment_date]] &lt; payments_raw[[#This Row],[sub_start_date]], 1, 0)</f>
        <v>0</v>
      </c>
      <c r="I2209" s="2">
        <f>IF(AND(payments_raw[[#This Row],[sub_end_date]]&lt;&gt;"", payments_raw[[#This Row],[payment_date]] &gt; payments_raw[[#This Row],[sub_end_date]]), 1, 0)</f>
        <v>0</v>
      </c>
      <c r="J2209" s="2">
        <f>IF(payments_raw[[#This Row],[amount]] &lt;= 0, 1, 0)</f>
        <v>0</v>
      </c>
      <c r="K22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0" spans="1:11" x14ac:dyDescent="0.3">
      <c r="A2210">
        <v>64694937</v>
      </c>
      <c r="B2210">
        <v>8654679</v>
      </c>
      <c r="C2210" s="1">
        <v>44733</v>
      </c>
      <c r="D2210">
        <v>2990</v>
      </c>
      <c r="E2210">
        <f>IF(
  ISNA(
    _xlfn.XLOOKUP(
      payments_raw[[#This Row],[subscription_id]],
      subscriptions[subscription_id],
      subscriptions[subscription_id]
    )
  ),
  0,
  1
)</f>
        <v>1</v>
      </c>
      <c r="F2210" s="1">
        <f>_xlfn.XLOOKUP(payments_raw[[#This Row],[subscription_id]], subscriptions[subscription_id], subscriptions[start_date])</f>
        <v>44563</v>
      </c>
      <c r="G22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0" s="2">
        <f>IF(payments_raw[[#This Row],[payment_date]] &lt; payments_raw[[#This Row],[sub_start_date]], 1, 0)</f>
        <v>0</v>
      </c>
      <c r="I2210" s="2">
        <f>IF(AND(payments_raw[[#This Row],[sub_end_date]]&lt;&gt;"", payments_raw[[#This Row],[payment_date]] &gt; payments_raw[[#This Row],[sub_end_date]]), 1, 0)</f>
        <v>0</v>
      </c>
      <c r="J2210" s="2">
        <f>IF(payments_raw[[#This Row],[amount]] &lt;= 0, 1, 0)</f>
        <v>0</v>
      </c>
      <c r="K22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1" spans="1:11" x14ac:dyDescent="0.3">
      <c r="A2211">
        <v>95228222</v>
      </c>
      <c r="B2211">
        <v>3252923</v>
      </c>
      <c r="C2211" s="1">
        <v>44829</v>
      </c>
      <c r="D2211">
        <v>1490</v>
      </c>
      <c r="E2211">
        <f>IF(
  ISNA(
    _xlfn.XLOOKUP(
      payments_raw[[#This Row],[subscription_id]],
      subscriptions[subscription_id],
      subscriptions[subscription_id]
    )
  ),
  0,
  1
)</f>
        <v>1</v>
      </c>
      <c r="F2211" s="1">
        <f>_xlfn.XLOOKUP(payments_raw[[#This Row],[subscription_id]], subscriptions[subscription_id], subscriptions[start_date])</f>
        <v>44713</v>
      </c>
      <c r="G22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1" s="2">
        <f>IF(payments_raw[[#This Row],[payment_date]] &lt; payments_raw[[#This Row],[sub_start_date]], 1, 0)</f>
        <v>0</v>
      </c>
      <c r="I2211" s="2">
        <f>IF(AND(payments_raw[[#This Row],[sub_end_date]]&lt;&gt;"", payments_raw[[#This Row],[payment_date]] &gt; payments_raw[[#This Row],[sub_end_date]]), 1, 0)</f>
        <v>0</v>
      </c>
      <c r="J2211" s="2">
        <f>IF(payments_raw[[#This Row],[amount]] &lt;= 0, 1, 0)</f>
        <v>0</v>
      </c>
      <c r="K22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2" spans="1:11" x14ac:dyDescent="0.3">
      <c r="A2212">
        <v>82790437</v>
      </c>
      <c r="B2212">
        <v>7758043</v>
      </c>
      <c r="C2212" s="1">
        <v>44843</v>
      </c>
      <c r="D2212">
        <v>299</v>
      </c>
      <c r="E2212">
        <f>IF(
  ISNA(
    _xlfn.XLOOKUP(
      payments_raw[[#This Row],[subscription_id]],
      subscriptions[subscription_id],
      subscriptions[subscription_id]
    )
  ),
  0,
  1
)</f>
        <v>1</v>
      </c>
      <c r="F2212" s="1">
        <f>_xlfn.XLOOKUP(payments_raw[[#This Row],[subscription_id]], subscriptions[subscription_id], subscriptions[start_date])</f>
        <v>44637</v>
      </c>
      <c r="G221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44937</v>
      </c>
      <c r="H2212" s="2">
        <f>IF(payments_raw[[#This Row],[payment_date]] &lt; payments_raw[[#This Row],[sub_start_date]], 1, 0)</f>
        <v>0</v>
      </c>
      <c r="I2212" s="2">
        <f>IF(AND(payments_raw[[#This Row],[sub_end_date]]&lt;&gt;"", payments_raw[[#This Row],[payment_date]] &gt; payments_raw[[#This Row],[sub_end_date]]), 1, 0)</f>
        <v>0</v>
      </c>
      <c r="J2212" s="2">
        <f>IF(payments_raw[[#This Row],[amount]] &lt;= 0, 1, 0)</f>
        <v>0</v>
      </c>
      <c r="K22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3" spans="1:11" x14ac:dyDescent="0.3">
      <c r="A2213">
        <v>71052396</v>
      </c>
      <c r="B2213">
        <v>1750496</v>
      </c>
      <c r="C2213" s="1">
        <v>45149</v>
      </c>
      <c r="D2213">
        <v>39</v>
      </c>
      <c r="E2213">
        <f>IF(
  ISNA(
    _xlfn.XLOOKUP(
      payments_raw[[#This Row],[subscription_id]],
      subscriptions[subscription_id],
      subscriptions[subscription_id]
    )
  ),
  0,
  1
)</f>
        <v>1</v>
      </c>
      <c r="F2213" s="1">
        <f>_xlfn.XLOOKUP(payments_raw[[#This Row],[subscription_id]], subscriptions[subscription_id], subscriptions[start_date])</f>
        <v>45042</v>
      </c>
      <c r="G22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3" s="2">
        <f>IF(payments_raw[[#This Row],[payment_date]] &lt; payments_raw[[#This Row],[sub_start_date]], 1, 0)</f>
        <v>0</v>
      </c>
      <c r="I2213" s="2">
        <f>IF(AND(payments_raw[[#This Row],[sub_end_date]]&lt;&gt;"", payments_raw[[#This Row],[payment_date]] &gt; payments_raw[[#This Row],[sub_end_date]]), 1, 0)</f>
        <v>0</v>
      </c>
      <c r="J2213" s="2">
        <f>IF(payments_raw[[#This Row],[amount]] &lt;= 0, 1, 0)</f>
        <v>0</v>
      </c>
      <c r="K22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4" spans="1:11" x14ac:dyDescent="0.3">
      <c r="A2214">
        <v>84108315</v>
      </c>
      <c r="B2214">
        <v>2696696</v>
      </c>
      <c r="C2214" s="1">
        <v>45595</v>
      </c>
      <c r="D2214">
        <v>149</v>
      </c>
      <c r="E2214">
        <f>IF(
  ISNA(
    _xlfn.XLOOKUP(
      payments_raw[[#This Row],[subscription_id]],
      subscriptions[subscription_id],
      subscriptions[subscription_id]
    )
  ),
  0,
  1
)</f>
        <v>1</v>
      </c>
      <c r="F2214" s="1">
        <f>_xlfn.XLOOKUP(payments_raw[[#This Row],[subscription_id]], subscriptions[subscription_id], subscriptions[start_date])</f>
        <v>45556</v>
      </c>
      <c r="G22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4" s="2">
        <f>IF(payments_raw[[#This Row],[payment_date]] &lt; payments_raw[[#This Row],[sub_start_date]], 1, 0)</f>
        <v>0</v>
      </c>
      <c r="I2214" s="2">
        <f>IF(AND(payments_raw[[#This Row],[sub_end_date]]&lt;&gt;"", payments_raw[[#This Row],[payment_date]] &gt; payments_raw[[#This Row],[sub_end_date]]), 1, 0)</f>
        <v>0</v>
      </c>
      <c r="J2214" s="2">
        <f>IF(payments_raw[[#This Row],[amount]] &lt;= 0, 1, 0)</f>
        <v>0</v>
      </c>
      <c r="K22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5" spans="1:11" x14ac:dyDescent="0.3">
      <c r="A2215">
        <v>24584120</v>
      </c>
      <c r="B2215">
        <v>9705913</v>
      </c>
      <c r="C2215" s="1">
        <v>45094</v>
      </c>
      <c r="D2215">
        <v>39</v>
      </c>
      <c r="E2215">
        <f>IF(
  ISNA(
    _xlfn.XLOOKUP(
      payments_raw[[#This Row],[subscription_id]],
      subscriptions[subscription_id],
      subscriptions[subscription_id]
    )
  ),
  0,
  1
)</f>
        <v>1</v>
      </c>
      <c r="F2215" s="1">
        <f>_xlfn.XLOOKUP(payments_raw[[#This Row],[subscription_id]], subscriptions[subscription_id], subscriptions[start_date])</f>
        <v>45094</v>
      </c>
      <c r="G22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5" s="2">
        <f>IF(payments_raw[[#This Row],[payment_date]] &lt; payments_raw[[#This Row],[sub_start_date]], 1, 0)</f>
        <v>0</v>
      </c>
      <c r="I2215" s="2">
        <f>IF(AND(payments_raw[[#This Row],[sub_end_date]]&lt;&gt;"", payments_raw[[#This Row],[payment_date]] &gt; payments_raw[[#This Row],[sub_end_date]]), 1, 0)</f>
        <v>0</v>
      </c>
      <c r="J2215" s="2">
        <f>IF(payments_raw[[#This Row],[amount]] &lt;= 0, 1, 0)</f>
        <v>0</v>
      </c>
      <c r="K22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6" spans="1:11" x14ac:dyDescent="0.3">
      <c r="A2216">
        <v>35484177</v>
      </c>
      <c r="B2216">
        <v>1432471</v>
      </c>
      <c r="C2216" s="1">
        <v>45397</v>
      </c>
      <c r="D2216">
        <v>19</v>
      </c>
      <c r="E2216">
        <f>IF(
  ISNA(
    _xlfn.XLOOKUP(
      payments_raw[[#This Row],[subscription_id]],
      subscriptions[subscription_id],
      subscriptions[subscription_id]
    )
  ),
  0,
  1
)</f>
        <v>1</v>
      </c>
      <c r="F2216" s="1">
        <f>_xlfn.XLOOKUP(payments_raw[[#This Row],[subscription_id]], subscriptions[subscription_id], subscriptions[start_date])</f>
        <v>45318</v>
      </c>
      <c r="G22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6" s="2">
        <f>IF(payments_raw[[#This Row],[payment_date]] &lt; payments_raw[[#This Row],[sub_start_date]], 1, 0)</f>
        <v>0</v>
      </c>
      <c r="I2216" s="2">
        <f>IF(AND(payments_raw[[#This Row],[sub_end_date]]&lt;&gt;"", payments_raw[[#This Row],[payment_date]] &gt; payments_raw[[#This Row],[sub_end_date]]), 1, 0)</f>
        <v>0</v>
      </c>
      <c r="J2216" s="2">
        <f>IF(payments_raw[[#This Row],[amount]] &lt;= 0, 1, 0)</f>
        <v>0</v>
      </c>
      <c r="K22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7" spans="1:11" x14ac:dyDescent="0.3">
      <c r="A2217">
        <v>31052222</v>
      </c>
      <c r="B2217">
        <v>2987101</v>
      </c>
      <c r="C2217" s="1">
        <v>45503</v>
      </c>
      <c r="D2217">
        <v>19</v>
      </c>
      <c r="E2217">
        <f>IF(
  ISNA(
    _xlfn.XLOOKUP(
      payments_raw[[#This Row],[subscription_id]],
      subscriptions[subscription_id],
      subscriptions[subscription_id]
    )
  ),
  0,
  1
)</f>
        <v>1</v>
      </c>
      <c r="F2217" s="1">
        <f>_xlfn.XLOOKUP(payments_raw[[#This Row],[subscription_id]], subscriptions[subscription_id], subscriptions[start_date])</f>
        <v>45401</v>
      </c>
      <c r="G22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7" s="2">
        <f>IF(payments_raw[[#This Row],[payment_date]] &lt; payments_raw[[#This Row],[sub_start_date]], 1, 0)</f>
        <v>0</v>
      </c>
      <c r="I2217" s="2">
        <f>IF(AND(payments_raw[[#This Row],[sub_end_date]]&lt;&gt;"", payments_raw[[#This Row],[payment_date]] &gt; payments_raw[[#This Row],[sub_end_date]]), 1, 0)</f>
        <v>0</v>
      </c>
      <c r="J2217" s="2">
        <f>IF(payments_raw[[#This Row],[amount]] &lt;= 0, 1, 0)</f>
        <v>0</v>
      </c>
      <c r="K22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8" spans="1:11" x14ac:dyDescent="0.3">
      <c r="A2218">
        <v>91708236</v>
      </c>
      <c r="B2218">
        <v>1082902</v>
      </c>
      <c r="C2218" s="1">
        <v>44825</v>
      </c>
      <c r="D2218">
        <v>711</v>
      </c>
      <c r="E2218">
        <f>IF(
  ISNA(
    _xlfn.XLOOKUP(
      payments_raw[[#This Row],[subscription_id]],
      subscriptions[subscription_id],
      subscriptions[subscription_id]
    )
  ),
  0,
  1
)</f>
        <v>1</v>
      </c>
      <c r="F2218" s="1">
        <f>_xlfn.XLOOKUP(payments_raw[[#This Row],[subscription_id]], subscriptions[subscription_id], subscriptions[start_date])</f>
        <v>44669</v>
      </c>
      <c r="G22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8" s="2">
        <f>IF(payments_raw[[#This Row],[payment_date]] &lt; payments_raw[[#This Row],[sub_start_date]], 1, 0)</f>
        <v>0</v>
      </c>
      <c r="I2218" s="2">
        <f>IF(AND(payments_raw[[#This Row],[sub_end_date]]&lt;&gt;"", payments_raw[[#This Row],[payment_date]] &gt; payments_raw[[#This Row],[sub_end_date]]), 1, 0)</f>
        <v>0</v>
      </c>
      <c r="J2218" s="2">
        <f>IF(payments_raw[[#This Row],[amount]] &lt;= 0, 1, 0)</f>
        <v>0</v>
      </c>
      <c r="K22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19" spans="1:11" x14ac:dyDescent="0.3">
      <c r="A2219">
        <v>78196270</v>
      </c>
      <c r="B2219">
        <v>7711798</v>
      </c>
      <c r="C2219" s="1">
        <v>45526</v>
      </c>
      <c r="D2219">
        <v>299</v>
      </c>
      <c r="E2219">
        <f>IF(
  ISNA(
    _xlfn.XLOOKUP(
      payments_raw[[#This Row],[subscription_id]],
      subscriptions[subscription_id],
      subscriptions[subscription_id]
    )
  ),
  0,
  1
)</f>
        <v>1</v>
      </c>
      <c r="F2219" s="1">
        <f>_xlfn.XLOOKUP(payments_raw[[#This Row],[subscription_id]], subscriptions[subscription_id], subscriptions[start_date])</f>
        <v>45152</v>
      </c>
      <c r="G22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19" s="2">
        <f>IF(payments_raw[[#This Row],[payment_date]] &lt; payments_raw[[#This Row],[sub_start_date]], 1, 0)</f>
        <v>0</v>
      </c>
      <c r="I2219" s="2">
        <f>IF(AND(payments_raw[[#This Row],[sub_end_date]]&lt;&gt;"", payments_raw[[#This Row],[payment_date]] &gt; payments_raw[[#This Row],[sub_end_date]]), 1, 0)</f>
        <v>0</v>
      </c>
      <c r="J2219" s="2">
        <f>IF(payments_raw[[#This Row],[amount]] &lt;= 0, 1, 0)</f>
        <v>0</v>
      </c>
      <c r="K22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0" spans="1:11" x14ac:dyDescent="0.3">
      <c r="A2220">
        <v>56885958</v>
      </c>
      <c r="B2220">
        <v>6293212</v>
      </c>
      <c r="C2220" s="1">
        <v>45523</v>
      </c>
      <c r="D2220">
        <v>299</v>
      </c>
      <c r="E2220">
        <f>IF(
  ISNA(
    _xlfn.XLOOKUP(
      payments_raw[[#This Row],[subscription_id]],
      subscriptions[subscription_id],
      subscriptions[subscription_id]
    )
  ),
  0,
  1
)</f>
        <v>1</v>
      </c>
      <c r="F2220" s="1">
        <f>_xlfn.XLOOKUP(payments_raw[[#This Row],[subscription_id]], subscriptions[subscription_id], subscriptions[start_date])</f>
        <v>45476</v>
      </c>
      <c r="G22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0" s="2">
        <f>IF(payments_raw[[#This Row],[payment_date]] &lt; payments_raw[[#This Row],[sub_start_date]], 1, 0)</f>
        <v>0</v>
      </c>
      <c r="I2220" s="2">
        <f>IF(AND(payments_raw[[#This Row],[sub_end_date]]&lt;&gt;"", payments_raw[[#This Row],[payment_date]] &gt; payments_raw[[#This Row],[sub_end_date]]), 1, 0)</f>
        <v>0</v>
      </c>
      <c r="J2220" s="2">
        <f>IF(payments_raw[[#This Row],[amount]] &lt;= 0, 1, 0)</f>
        <v>0</v>
      </c>
      <c r="K22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1" spans="1:11" x14ac:dyDescent="0.3">
      <c r="A2221">
        <v>90542263</v>
      </c>
      <c r="B2221">
        <v>4683937</v>
      </c>
      <c r="C2221" s="1">
        <v>45542</v>
      </c>
      <c r="D2221">
        <v>149</v>
      </c>
      <c r="E2221">
        <f>IF(
  ISNA(
    _xlfn.XLOOKUP(
      payments_raw[[#This Row],[subscription_id]],
      subscriptions[subscription_id],
      subscriptions[subscription_id]
    )
  ),
  0,
  1
)</f>
        <v>1</v>
      </c>
      <c r="F2221" s="1">
        <f>_xlfn.XLOOKUP(payments_raw[[#This Row],[subscription_id]], subscriptions[subscription_id], subscriptions[start_date])</f>
        <v>44797</v>
      </c>
      <c r="G22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1" s="2">
        <f>IF(payments_raw[[#This Row],[payment_date]] &lt; payments_raw[[#This Row],[sub_start_date]], 1, 0)</f>
        <v>0</v>
      </c>
      <c r="I2221" s="2">
        <f>IF(AND(payments_raw[[#This Row],[sub_end_date]]&lt;&gt;"", payments_raw[[#This Row],[payment_date]] &gt; payments_raw[[#This Row],[sub_end_date]]), 1, 0)</f>
        <v>0</v>
      </c>
      <c r="J2221" s="2">
        <f>IF(payments_raw[[#This Row],[amount]] &lt;= 0, 1, 0)</f>
        <v>0</v>
      </c>
      <c r="K22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2" spans="1:11" x14ac:dyDescent="0.3">
      <c r="A2222">
        <v>80914604</v>
      </c>
      <c r="B2222">
        <v>7400536</v>
      </c>
      <c r="C2222" s="1">
        <v>45573</v>
      </c>
      <c r="D2222">
        <v>190</v>
      </c>
      <c r="E2222">
        <f>IF(
  ISNA(
    _xlfn.XLOOKUP(
      payments_raw[[#This Row],[subscription_id]],
      subscriptions[subscription_id],
      subscriptions[subscription_id]
    )
  ),
  0,
  1
)</f>
        <v>1</v>
      </c>
      <c r="F2222" s="1">
        <f>_xlfn.XLOOKUP(payments_raw[[#This Row],[subscription_id]], subscriptions[subscription_id], subscriptions[start_date])</f>
        <v>45085</v>
      </c>
      <c r="G22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2" s="2">
        <f>IF(payments_raw[[#This Row],[payment_date]] &lt; payments_raw[[#This Row],[sub_start_date]], 1, 0)</f>
        <v>0</v>
      </c>
      <c r="I2222" s="2">
        <f>IF(AND(payments_raw[[#This Row],[sub_end_date]]&lt;&gt;"", payments_raw[[#This Row],[payment_date]] &gt; payments_raw[[#This Row],[sub_end_date]]), 1, 0)</f>
        <v>0</v>
      </c>
      <c r="J2222" s="2">
        <f>IF(payments_raw[[#This Row],[amount]] &lt;= 0, 1, 0)</f>
        <v>0</v>
      </c>
      <c r="K22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3" spans="1:11" x14ac:dyDescent="0.3">
      <c r="A2223">
        <v>12655477</v>
      </c>
      <c r="B2223">
        <v>6901033</v>
      </c>
      <c r="C2223" s="1">
        <v>45386</v>
      </c>
      <c r="D2223">
        <v>190</v>
      </c>
      <c r="E2223">
        <f>IF(
  ISNA(
    _xlfn.XLOOKUP(
      payments_raw[[#This Row],[subscription_id]],
      subscriptions[subscription_id],
      subscriptions[subscription_id]
    )
  ),
  0,
  1
)</f>
        <v>1</v>
      </c>
      <c r="F2223" s="1">
        <f>_xlfn.XLOOKUP(payments_raw[[#This Row],[subscription_id]], subscriptions[subscription_id], subscriptions[start_date])</f>
        <v>45283</v>
      </c>
      <c r="G22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223" s="2">
        <f>IF(payments_raw[[#This Row],[payment_date]] &lt; payments_raw[[#This Row],[sub_start_date]], 1, 0)</f>
        <v>0</v>
      </c>
      <c r="I2223" s="2">
        <f>IF(AND(payments_raw[[#This Row],[sub_end_date]]&lt;&gt;"", payments_raw[[#This Row],[payment_date]] &gt; payments_raw[[#This Row],[sub_end_date]]), 1, 0)</f>
        <v>0</v>
      </c>
      <c r="J2223" s="2">
        <f>IF(payments_raw[[#This Row],[amount]] &lt;= 0, 1, 0)</f>
        <v>0</v>
      </c>
      <c r="K22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4" spans="1:11" x14ac:dyDescent="0.3">
      <c r="A2224">
        <v>74730322</v>
      </c>
      <c r="B2224">
        <v>3630678</v>
      </c>
      <c r="C2224" s="1">
        <v>45370</v>
      </c>
      <c r="D2224">
        <v>1490</v>
      </c>
      <c r="E2224">
        <f>IF(
  ISNA(
    _xlfn.XLOOKUP(
      payments_raw[[#This Row],[subscription_id]],
      subscriptions[subscription_id],
      subscriptions[subscription_id]
    )
  ),
  0,
  1
)</f>
        <v>1</v>
      </c>
      <c r="F2224" s="1">
        <f>_xlfn.XLOOKUP(payments_raw[[#This Row],[subscription_id]], subscriptions[subscription_id], subscriptions[start_date])</f>
        <v>45118</v>
      </c>
      <c r="G22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45415</v>
      </c>
      <c r="H2224" s="2">
        <f>IF(payments_raw[[#This Row],[payment_date]] &lt; payments_raw[[#This Row],[sub_start_date]], 1, 0)</f>
        <v>0</v>
      </c>
      <c r="I2224" s="2">
        <f>IF(AND(payments_raw[[#This Row],[sub_end_date]]&lt;&gt;"", payments_raw[[#This Row],[payment_date]] &gt; payments_raw[[#This Row],[sub_end_date]]), 1, 0)</f>
        <v>0</v>
      </c>
      <c r="J2224" s="2">
        <f>IF(payments_raw[[#This Row],[amount]] &lt;= 0, 1, 0)</f>
        <v>0</v>
      </c>
      <c r="K22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5" spans="1:11" x14ac:dyDescent="0.3">
      <c r="A2225">
        <v>97327774</v>
      </c>
      <c r="B2225">
        <v>7192680</v>
      </c>
      <c r="C2225" s="1">
        <v>45127</v>
      </c>
      <c r="D2225">
        <v>790</v>
      </c>
      <c r="E2225">
        <f>IF(
  ISNA(
    _xlfn.XLOOKUP(
      payments_raw[[#This Row],[subscription_id]],
      subscriptions[subscription_id],
      subscriptions[subscription_id]
    )
  ),
  0,
  1
)</f>
        <v>1</v>
      </c>
      <c r="F2225" s="1">
        <f>_xlfn.XLOOKUP(payments_raw[[#This Row],[subscription_id]], subscriptions[subscription_id], subscriptions[start_date])</f>
        <v>45105</v>
      </c>
      <c r="G22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2225" s="2">
        <f>IF(payments_raw[[#This Row],[payment_date]] &lt; payments_raw[[#This Row],[sub_start_date]], 1, 0)</f>
        <v>0</v>
      </c>
      <c r="I2225" s="2">
        <f>IF(AND(payments_raw[[#This Row],[sub_end_date]]&lt;&gt;"", payments_raw[[#This Row],[payment_date]] &gt; payments_raw[[#This Row],[sub_end_date]]), 1, 0)</f>
        <v>0</v>
      </c>
      <c r="J2225" s="2">
        <f>IF(payments_raw[[#This Row],[amount]] &lt;= 0, 1, 0)</f>
        <v>0</v>
      </c>
      <c r="K22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6" spans="1:11" x14ac:dyDescent="0.3">
      <c r="A2226">
        <v>94443038</v>
      </c>
      <c r="B2226">
        <v>2426723</v>
      </c>
      <c r="C2226" s="1">
        <v>45393</v>
      </c>
      <c r="D2226">
        <v>190</v>
      </c>
      <c r="E2226">
        <f>IF(
  ISNA(
    _xlfn.XLOOKUP(
      payments_raw[[#This Row],[subscription_id]],
      subscriptions[subscription_id],
      subscriptions[subscription_id]
    )
  ),
  0,
  1
)</f>
        <v>1</v>
      </c>
      <c r="F2226" s="1">
        <f>_xlfn.XLOOKUP(payments_raw[[#This Row],[subscription_id]], subscriptions[subscription_id], subscriptions[start_date])</f>
        <v>44653</v>
      </c>
      <c r="G22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6" s="2">
        <f>IF(payments_raw[[#This Row],[payment_date]] &lt; payments_raw[[#This Row],[sub_start_date]], 1, 0)</f>
        <v>0</v>
      </c>
      <c r="I2226" s="2">
        <f>IF(AND(payments_raw[[#This Row],[sub_end_date]]&lt;&gt;"", payments_raw[[#This Row],[payment_date]] &gt; payments_raw[[#This Row],[sub_end_date]]), 1, 0)</f>
        <v>0</v>
      </c>
      <c r="J2226" s="2">
        <f>IF(payments_raw[[#This Row],[amount]] &lt;= 0, 1, 0)</f>
        <v>0</v>
      </c>
      <c r="K22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7" spans="1:11" x14ac:dyDescent="0.3">
      <c r="A2227">
        <v>88114875</v>
      </c>
      <c r="B2227">
        <v>6461406</v>
      </c>
      <c r="C2227" s="1">
        <v>45513</v>
      </c>
      <c r="D2227">
        <v>2691</v>
      </c>
      <c r="E2227">
        <f>IF(
  ISNA(
    _xlfn.XLOOKUP(
      payments_raw[[#This Row],[subscription_id]],
      subscriptions[subscription_id],
      subscriptions[subscription_id]
    )
  ),
  0,
  1
)</f>
        <v>1</v>
      </c>
      <c r="F2227" s="1">
        <f>_xlfn.XLOOKUP(payments_raw[[#This Row],[subscription_id]], subscriptions[subscription_id], subscriptions[start_date])</f>
        <v>45471</v>
      </c>
      <c r="G22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7" s="2">
        <f>IF(payments_raw[[#This Row],[payment_date]] &lt; payments_raw[[#This Row],[sub_start_date]], 1, 0)</f>
        <v>0</v>
      </c>
      <c r="I2227" s="2">
        <f>IF(AND(payments_raw[[#This Row],[sub_end_date]]&lt;&gt;"", payments_raw[[#This Row],[payment_date]] &gt; payments_raw[[#This Row],[sub_end_date]]), 1, 0)</f>
        <v>0</v>
      </c>
      <c r="J2227" s="2">
        <f>IF(payments_raw[[#This Row],[amount]] &lt;= 0, 1, 0)</f>
        <v>0</v>
      </c>
      <c r="K22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8" spans="1:11" x14ac:dyDescent="0.3">
      <c r="A2228">
        <v>80148449</v>
      </c>
      <c r="B2228">
        <v>6740356</v>
      </c>
      <c r="C2228" s="1">
        <v>44827</v>
      </c>
      <c r="D2228">
        <v>19</v>
      </c>
      <c r="E2228">
        <f>IF(
  ISNA(
    _xlfn.XLOOKUP(
      payments_raw[[#This Row],[subscription_id]],
      subscriptions[subscription_id],
      subscriptions[subscription_id]
    )
  ),
  0,
  1
)</f>
        <v>1</v>
      </c>
      <c r="F2228" s="1">
        <f>_xlfn.XLOOKUP(payments_raw[[#This Row],[subscription_id]], subscriptions[subscription_id], subscriptions[start_date])</f>
        <v>44622</v>
      </c>
      <c r="G22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8" s="2">
        <f>IF(payments_raw[[#This Row],[payment_date]] &lt; payments_raw[[#This Row],[sub_start_date]], 1, 0)</f>
        <v>0</v>
      </c>
      <c r="I2228" s="2">
        <f>IF(AND(payments_raw[[#This Row],[sub_end_date]]&lt;&gt;"", payments_raw[[#This Row],[payment_date]] &gt; payments_raw[[#This Row],[sub_end_date]]), 1, 0)</f>
        <v>0</v>
      </c>
      <c r="J2228" s="2">
        <f>IF(payments_raw[[#This Row],[amount]] &lt;= 0, 1, 0)</f>
        <v>0</v>
      </c>
      <c r="K22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29" spans="1:11" x14ac:dyDescent="0.3">
      <c r="A2229">
        <v>45755742</v>
      </c>
      <c r="B2229">
        <v>7914190</v>
      </c>
      <c r="C2229" s="1">
        <v>44919</v>
      </c>
      <c r="D2229">
        <v>1490</v>
      </c>
      <c r="E2229">
        <f>IF(
  ISNA(
    _xlfn.XLOOKUP(
      payments_raw[[#This Row],[subscription_id]],
      subscriptions[subscription_id],
      subscriptions[subscription_id]
    )
  ),
  0,
  1
)</f>
        <v>1</v>
      </c>
      <c r="F2229" s="1">
        <f>_xlfn.XLOOKUP(payments_raw[[#This Row],[subscription_id]], subscriptions[subscription_id], subscriptions[start_date])</f>
        <v>44666</v>
      </c>
      <c r="G22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29" s="2">
        <f>IF(payments_raw[[#This Row],[payment_date]] &lt; payments_raw[[#This Row],[sub_start_date]], 1, 0)</f>
        <v>0</v>
      </c>
      <c r="I2229" s="2">
        <f>IF(AND(payments_raw[[#This Row],[sub_end_date]]&lt;&gt;"", payments_raw[[#This Row],[payment_date]] &gt; payments_raw[[#This Row],[sub_end_date]]), 1, 0)</f>
        <v>0</v>
      </c>
      <c r="J2229" s="2">
        <f>IF(payments_raw[[#This Row],[amount]] &lt;= 0, 1, 0)</f>
        <v>0</v>
      </c>
      <c r="K22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0" spans="1:11" x14ac:dyDescent="0.3">
      <c r="A2230">
        <v>93372014</v>
      </c>
      <c r="B2230">
        <v>9985927</v>
      </c>
      <c r="C2230" s="1">
        <v>44982</v>
      </c>
      <c r="D2230">
        <v>2990</v>
      </c>
      <c r="E2230">
        <f>IF(
  ISNA(
    _xlfn.XLOOKUP(
      payments_raw[[#This Row],[subscription_id]],
      subscriptions[subscription_id],
      subscriptions[subscription_id]
    )
  ),
  0,
  1
)</f>
        <v>1</v>
      </c>
      <c r="F2230" s="1">
        <f>_xlfn.XLOOKUP(payments_raw[[#This Row],[subscription_id]], subscriptions[subscription_id], subscriptions[start_date])</f>
        <v>44950</v>
      </c>
      <c r="G22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45196</v>
      </c>
      <c r="H2230" s="2">
        <f>IF(payments_raw[[#This Row],[payment_date]] &lt; payments_raw[[#This Row],[sub_start_date]], 1, 0)</f>
        <v>0</v>
      </c>
      <c r="I2230" s="2">
        <f>IF(AND(payments_raw[[#This Row],[sub_end_date]]&lt;&gt;"", payments_raw[[#This Row],[payment_date]] &gt; payments_raw[[#This Row],[sub_end_date]]), 1, 0)</f>
        <v>0</v>
      </c>
      <c r="J2230" s="2">
        <f>IF(payments_raw[[#This Row],[amount]] &lt;= 0, 1, 0)</f>
        <v>0</v>
      </c>
      <c r="K22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1" spans="1:11" x14ac:dyDescent="0.3">
      <c r="A2231">
        <v>69672487</v>
      </c>
      <c r="B2231">
        <v>2497768</v>
      </c>
      <c r="C2231" s="1">
        <v>45062</v>
      </c>
      <c r="D2231">
        <v>390</v>
      </c>
      <c r="E2231">
        <f>IF(
  ISNA(
    _xlfn.XLOOKUP(
      payments_raw[[#This Row],[subscription_id]],
      subscriptions[subscription_id],
      subscriptions[subscription_id]
    )
  ),
  0,
  1
)</f>
        <v>1</v>
      </c>
      <c r="F2231" s="1">
        <f>_xlfn.XLOOKUP(payments_raw[[#This Row],[subscription_id]], subscriptions[subscription_id], subscriptions[start_date])</f>
        <v>44958</v>
      </c>
      <c r="G22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45181</v>
      </c>
      <c r="H2231" s="2">
        <f>IF(payments_raw[[#This Row],[payment_date]] &lt; payments_raw[[#This Row],[sub_start_date]], 1, 0)</f>
        <v>0</v>
      </c>
      <c r="I2231" s="2">
        <f>IF(AND(payments_raw[[#This Row],[sub_end_date]]&lt;&gt;"", payments_raw[[#This Row],[payment_date]] &gt; payments_raw[[#This Row],[sub_end_date]]), 1, 0)</f>
        <v>0</v>
      </c>
      <c r="J2231" s="2">
        <f>IF(payments_raw[[#This Row],[amount]] &lt;= 0, 1, 0)</f>
        <v>0</v>
      </c>
      <c r="K22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2" spans="1:11" x14ac:dyDescent="0.3">
      <c r="A2232">
        <v>77534062</v>
      </c>
      <c r="B2232">
        <v>9783147</v>
      </c>
      <c r="C2232" s="1">
        <v>45135</v>
      </c>
      <c r="D2232">
        <v>149</v>
      </c>
      <c r="E2232">
        <f>IF(
  ISNA(
    _xlfn.XLOOKUP(
      payments_raw[[#This Row],[subscription_id]],
      subscriptions[subscription_id],
      subscriptions[subscription_id]
    )
  ),
  0,
  1
)</f>
        <v>1</v>
      </c>
      <c r="F2232" s="1">
        <f>_xlfn.XLOOKUP(payments_raw[[#This Row],[subscription_id]], subscriptions[subscription_id], subscriptions[start_date])</f>
        <v>45022</v>
      </c>
      <c r="G22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2" s="2">
        <f>IF(payments_raw[[#This Row],[payment_date]] &lt; payments_raw[[#This Row],[sub_start_date]], 1, 0)</f>
        <v>0</v>
      </c>
      <c r="I2232" s="2">
        <f>IF(AND(payments_raw[[#This Row],[sub_end_date]]&lt;&gt;"", payments_raw[[#This Row],[payment_date]] &gt; payments_raw[[#This Row],[sub_end_date]]), 1, 0)</f>
        <v>0</v>
      </c>
      <c r="J2232" s="2">
        <f>IF(payments_raw[[#This Row],[amount]] &lt;= 0, 1, 0)</f>
        <v>0</v>
      </c>
      <c r="K22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3" spans="1:11" x14ac:dyDescent="0.3">
      <c r="A2233">
        <v>89647594</v>
      </c>
      <c r="B2233">
        <v>1121243</v>
      </c>
      <c r="C2233" s="1">
        <v>45076</v>
      </c>
      <c r="D2233">
        <v>79</v>
      </c>
      <c r="E2233">
        <f>IF(
  ISNA(
    _xlfn.XLOOKUP(
      payments_raw[[#This Row],[subscription_id]],
      subscriptions[subscription_id],
      subscriptions[subscription_id]
    )
  ),
  0,
  1
)</f>
        <v>1</v>
      </c>
      <c r="F2233" s="1">
        <f>_xlfn.XLOOKUP(payments_raw[[#This Row],[subscription_id]], subscriptions[subscription_id], subscriptions[start_date])</f>
        <v>44647</v>
      </c>
      <c r="G22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3" s="2">
        <f>IF(payments_raw[[#This Row],[payment_date]] &lt; payments_raw[[#This Row],[sub_start_date]], 1, 0)</f>
        <v>0</v>
      </c>
      <c r="I2233" s="2">
        <f>IF(AND(payments_raw[[#This Row],[sub_end_date]]&lt;&gt;"", payments_raw[[#This Row],[payment_date]] &gt; payments_raw[[#This Row],[sub_end_date]]), 1, 0)</f>
        <v>0</v>
      </c>
      <c r="J2233" s="2">
        <f>IF(payments_raw[[#This Row],[amount]] &lt;= 0, 1, 0)</f>
        <v>0</v>
      </c>
      <c r="K22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4" spans="1:11" x14ac:dyDescent="0.3">
      <c r="A2234">
        <v>81570396</v>
      </c>
      <c r="B2234">
        <v>8666411</v>
      </c>
      <c r="C2234" s="1">
        <v>45100</v>
      </c>
      <c r="D2234">
        <v>1490</v>
      </c>
      <c r="E2234">
        <f>IF(
  ISNA(
    _xlfn.XLOOKUP(
      payments_raw[[#This Row],[subscription_id]],
      subscriptions[subscription_id],
      subscriptions[subscription_id]
    )
  ),
  0,
  1
)</f>
        <v>1</v>
      </c>
      <c r="F2234" s="1">
        <f>_xlfn.XLOOKUP(payments_raw[[#This Row],[subscription_id]], subscriptions[subscription_id], subscriptions[start_date])</f>
        <v>44595</v>
      </c>
      <c r="G22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4" s="2">
        <f>IF(payments_raw[[#This Row],[payment_date]] &lt; payments_raw[[#This Row],[sub_start_date]], 1, 0)</f>
        <v>0</v>
      </c>
      <c r="I2234" s="2">
        <f>IF(AND(payments_raw[[#This Row],[sub_end_date]]&lt;&gt;"", payments_raw[[#This Row],[payment_date]] &gt; payments_raw[[#This Row],[sub_end_date]]), 1, 0)</f>
        <v>0</v>
      </c>
      <c r="J2234" s="2">
        <f>IF(payments_raw[[#This Row],[amount]] &lt;= 0, 1, 0)</f>
        <v>0</v>
      </c>
      <c r="K22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5" spans="1:11" x14ac:dyDescent="0.3">
      <c r="A2235">
        <v>50118830</v>
      </c>
      <c r="B2235">
        <v>2470022</v>
      </c>
      <c r="C2235" s="1">
        <v>45132</v>
      </c>
      <c r="D2235">
        <v>2990</v>
      </c>
      <c r="E2235">
        <f>IF(
  ISNA(
    _xlfn.XLOOKUP(
      payments_raw[[#This Row],[subscription_id]],
      subscriptions[subscription_id],
      subscriptions[subscription_id]
    )
  ),
  0,
  1
)</f>
        <v>1</v>
      </c>
      <c r="F2235" s="1">
        <f>_xlfn.XLOOKUP(payments_raw[[#This Row],[subscription_id]], subscriptions[subscription_id], subscriptions[start_date])</f>
        <v>44774</v>
      </c>
      <c r="G22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5" s="2">
        <f>IF(payments_raw[[#This Row],[payment_date]] &lt; payments_raw[[#This Row],[sub_start_date]], 1, 0)</f>
        <v>0</v>
      </c>
      <c r="I2235" s="2">
        <f>IF(AND(payments_raw[[#This Row],[sub_end_date]]&lt;&gt;"", payments_raw[[#This Row],[payment_date]] &gt; payments_raw[[#This Row],[sub_end_date]]), 1, 0)</f>
        <v>0</v>
      </c>
      <c r="J2235" s="2">
        <f>IF(payments_raw[[#This Row],[amount]] &lt;= 0, 1, 0)</f>
        <v>0</v>
      </c>
      <c r="K22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6" spans="1:11" x14ac:dyDescent="0.3">
      <c r="A2236">
        <v>33916938</v>
      </c>
      <c r="B2236">
        <v>5596336</v>
      </c>
      <c r="C2236" s="1">
        <v>45532</v>
      </c>
      <c r="D2236">
        <v>390</v>
      </c>
      <c r="E2236">
        <f>IF(
  ISNA(
    _xlfn.XLOOKUP(
      payments_raw[[#This Row],[subscription_id]],
      subscriptions[subscription_id],
      subscriptions[subscription_id]
    )
  ),
  0,
  1
)</f>
        <v>1</v>
      </c>
      <c r="F2236" s="1">
        <f>_xlfn.XLOOKUP(payments_raw[[#This Row],[subscription_id]], subscriptions[subscription_id], subscriptions[start_date])</f>
        <v>44780</v>
      </c>
      <c r="G22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6" s="2">
        <f>IF(payments_raw[[#This Row],[payment_date]] &lt; payments_raw[[#This Row],[sub_start_date]], 1, 0)</f>
        <v>0</v>
      </c>
      <c r="I2236" s="2">
        <f>IF(AND(payments_raw[[#This Row],[sub_end_date]]&lt;&gt;"", payments_raw[[#This Row],[payment_date]] &gt; payments_raw[[#This Row],[sub_end_date]]), 1, 0)</f>
        <v>0</v>
      </c>
      <c r="J2236" s="2">
        <f>IF(payments_raw[[#This Row],[amount]] &lt;= 0, 1, 0)</f>
        <v>0</v>
      </c>
      <c r="K22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7" spans="1:11" x14ac:dyDescent="0.3">
      <c r="A2237">
        <v>30223295</v>
      </c>
      <c r="B2237">
        <v>8729158</v>
      </c>
      <c r="C2237" s="1">
        <v>45525</v>
      </c>
      <c r="D2237">
        <v>790</v>
      </c>
      <c r="E2237">
        <f>IF(
  ISNA(
    _xlfn.XLOOKUP(
      payments_raw[[#This Row],[subscription_id]],
      subscriptions[subscription_id],
      subscriptions[subscription_id]
    )
  ),
  0,
  1
)</f>
        <v>1</v>
      </c>
      <c r="F2237" s="1">
        <f>_xlfn.XLOOKUP(payments_raw[[#This Row],[subscription_id]], subscriptions[subscription_id], subscriptions[start_date])</f>
        <v>44807</v>
      </c>
      <c r="G22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7" s="2">
        <f>IF(payments_raw[[#This Row],[payment_date]] &lt; payments_raw[[#This Row],[sub_start_date]], 1, 0)</f>
        <v>0</v>
      </c>
      <c r="I2237" s="2">
        <f>IF(AND(payments_raw[[#This Row],[sub_end_date]]&lt;&gt;"", payments_raw[[#This Row],[payment_date]] &gt; payments_raw[[#This Row],[sub_end_date]]), 1, 0)</f>
        <v>0</v>
      </c>
      <c r="J2237" s="2">
        <f>IF(payments_raw[[#This Row],[amount]] &lt;= 0, 1, 0)</f>
        <v>0</v>
      </c>
      <c r="K22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8" spans="1:11" x14ac:dyDescent="0.3">
      <c r="A2238">
        <v>59477949</v>
      </c>
      <c r="B2238">
        <v>3937636</v>
      </c>
      <c r="C2238" s="1">
        <v>45523</v>
      </c>
      <c r="D2238">
        <v>79</v>
      </c>
      <c r="E2238">
        <f>IF(
  ISNA(
    _xlfn.XLOOKUP(
      payments_raw[[#This Row],[subscription_id]],
      subscriptions[subscription_id],
      subscriptions[subscription_id]
    )
  ),
  0,
  1
)</f>
        <v>1</v>
      </c>
      <c r="F2238" s="1">
        <f>_xlfn.XLOOKUP(payments_raw[[#This Row],[subscription_id]], subscriptions[subscription_id], subscriptions[start_date])</f>
        <v>44811</v>
      </c>
      <c r="G22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8" s="2">
        <f>IF(payments_raw[[#This Row],[payment_date]] &lt; payments_raw[[#This Row],[sub_start_date]], 1, 0)</f>
        <v>0</v>
      </c>
      <c r="I2238" s="2">
        <f>IF(AND(payments_raw[[#This Row],[sub_end_date]]&lt;&gt;"", payments_raw[[#This Row],[payment_date]] &gt; payments_raw[[#This Row],[sub_end_date]]), 1, 0)</f>
        <v>0</v>
      </c>
      <c r="J2238" s="2">
        <f>IF(payments_raw[[#This Row],[amount]] &lt;= 0, 1, 0)</f>
        <v>0</v>
      </c>
      <c r="K22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39" spans="1:11" x14ac:dyDescent="0.3">
      <c r="A2239">
        <v>63586934</v>
      </c>
      <c r="B2239">
        <v>9447259</v>
      </c>
      <c r="C2239" s="1">
        <v>45554</v>
      </c>
      <c r="D2239">
        <v>149</v>
      </c>
      <c r="E2239">
        <f>IF(
  ISNA(
    _xlfn.XLOOKUP(
      payments_raw[[#This Row],[subscription_id]],
      subscriptions[subscription_id],
      subscriptions[subscription_id]
    )
  ),
  0,
  1
)</f>
        <v>1</v>
      </c>
      <c r="F2239" s="1">
        <f>_xlfn.XLOOKUP(payments_raw[[#This Row],[subscription_id]], subscriptions[subscription_id], subscriptions[start_date])</f>
        <v>45418</v>
      </c>
      <c r="G22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39" s="2">
        <f>IF(payments_raw[[#This Row],[payment_date]] &lt; payments_raw[[#This Row],[sub_start_date]], 1, 0)</f>
        <v>0</v>
      </c>
      <c r="I2239" s="2">
        <f>IF(AND(payments_raw[[#This Row],[sub_end_date]]&lt;&gt;"", payments_raw[[#This Row],[payment_date]] &gt; payments_raw[[#This Row],[sub_end_date]]), 1, 0)</f>
        <v>0</v>
      </c>
      <c r="J2239" s="2">
        <f>IF(payments_raw[[#This Row],[amount]] &lt;= 0, 1, 0)</f>
        <v>0</v>
      </c>
      <c r="K22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0" spans="1:11" x14ac:dyDescent="0.3">
      <c r="A2240">
        <v>32926391</v>
      </c>
      <c r="B2240">
        <v>7556539</v>
      </c>
      <c r="C2240" s="1">
        <v>45394</v>
      </c>
      <c r="D2240">
        <v>790</v>
      </c>
      <c r="E2240">
        <f>IF(
  ISNA(
    _xlfn.XLOOKUP(
      payments_raw[[#This Row],[subscription_id]],
      subscriptions[subscription_id],
      subscriptions[subscription_id]
    )
  ),
  0,
  1
)</f>
        <v>1</v>
      </c>
      <c r="F2240" s="1">
        <f>_xlfn.XLOOKUP(payments_raw[[#This Row],[subscription_id]], subscriptions[subscription_id], subscriptions[start_date])</f>
        <v>44768</v>
      </c>
      <c r="G22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0" s="2">
        <f>IF(payments_raw[[#This Row],[payment_date]] &lt; payments_raw[[#This Row],[sub_start_date]], 1, 0)</f>
        <v>0</v>
      </c>
      <c r="I2240" s="2">
        <f>IF(AND(payments_raw[[#This Row],[sub_end_date]]&lt;&gt;"", payments_raw[[#This Row],[payment_date]] &gt; payments_raw[[#This Row],[sub_end_date]]), 1, 0)</f>
        <v>0</v>
      </c>
      <c r="J2240" s="2">
        <f>IF(payments_raw[[#This Row],[amount]] &lt;= 0, 1, 0)</f>
        <v>0</v>
      </c>
      <c r="K22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1" spans="1:11" x14ac:dyDescent="0.3">
      <c r="A2241">
        <v>87141121</v>
      </c>
      <c r="B2241">
        <v>8283809</v>
      </c>
      <c r="C2241" s="1">
        <v>45601</v>
      </c>
      <c r="D2241">
        <v>292.5</v>
      </c>
      <c r="E2241">
        <f>IF(
  ISNA(
    _xlfn.XLOOKUP(
      payments_raw[[#This Row],[subscription_id]],
      subscriptions[subscription_id],
      subscriptions[subscription_id]
    )
  ),
  0,
  1
)</f>
        <v>1</v>
      </c>
      <c r="F2241" s="1">
        <f>_xlfn.XLOOKUP(payments_raw[[#This Row],[subscription_id]], subscriptions[subscription_id], subscriptions[start_date])</f>
        <v>45177</v>
      </c>
      <c r="G22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1" s="2">
        <f>IF(payments_raw[[#This Row],[payment_date]] &lt; payments_raw[[#This Row],[sub_start_date]], 1, 0)</f>
        <v>0</v>
      </c>
      <c r="I2241" s="2">
        <f>IF(AND(payments_raw[[#This Row],[sub_end_date]]&lt;&gt;"", payments_raw[[#This Row],[payment_date]] &gt; payments_raw[[#This Row],[sub_end_date]]), 1, 0)</f>
        <v>0</v>
      </c>
      <c r="J2241" s="2">
        <f>IF(payments_raw[[#This Row],[amount]] &lt;= 0, 1, 0)</f>
        <v>0</v>
      </c>
      <c r="K22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2" spans="1:11" x14ac:dyDescent="0.3">
      <c r="A2242">
        <v>70158717</v>
      </c>
      <c r="B2242">
        <v>1133260</v>
      </c>
      <c r="C2242" s="1">
        <v>44930</v>
      </c>
      <c r="D2242">
        <v>79</v>
      </c>
      <c r="E2242">
        <f>IF(
  ISNA(
    _xlfn.XLOOKUP(
      payments_raw[[#This Row],[subscription_id]],
      subscriptions[subscription_id],
      subscriptions[subscription_id]
    )
  ),
  0,
  1
)</f>
        <v>1</v>
      </c>
      <c r="F2242" s="1">
        <f>_xlfn.XLOOKUP(payments_raw[[#This Row],[subscription_id]], subscriptions[subscription_id], subscriptions[start_date])</f>
        <v>44878</v>
      </c>
      <c r="G22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45056</v>
      </c>
      <c r="H2242" s="2">
        <f>IF(payments_raw[[#This Row],[payment_date]] &lt; payments_raw[[#This Row],[sub_start_date]], 1, 0)</f>
        <v>0</v>
      </c>
      <c r="I2242" s="2">
        <f>IF(AND(payments_raw[[#This Row],[sub_end_date]]&lt;&gt;"", payments_raw[[#This Row],[payment_date]] &gt; payments_raw[[#This Row],[sub_end_date]]), 1, 0)</f>
        <v>0</v>
      </c>
      <c r="J2242" s="2">
        <f>IF(payments_raw[[#This Row],[amount]] &lt;= 0, 1, 0)</f>
        <v>0</v>
      </c>
      <c r="K22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3" spans="1:11" x14ac:dyDescent="0.3">
      <c r="A2243">
        <v>78079231</v>
      </c>
      <c r="B2243">
        <v>4329683</v>
      </c>
      <c r="C2243" s="1">
        <v>45395</v>
      </c>
      <c r="D2243">
        <v>299</v>
      </c>
      <c r="E2243">
        <f>IF(
  ISNA(
    _xlfn.XLOOKUP(
      payments_raw[[#This Row],[subscription_id]],
      subscriptions[subscription_id],
      subscriptions[subscription_id]
    )
  ),
  0,
  1
)</f>
        <v>1</v>
      </c>
      <c r="F2243" s="1">
        <f>_xlfn.XLOOKUP(payments_raw[[#This Row],[subscription_id]], subscriptions[subscription_id], subscriptions[start_date])</f>
        <v>44788</v>
      </c>
      <c r="G22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3" s="2">
        <f>IF(payments_raw[[#This Row],[payment_date]] &lt; payments_raw[[#This Row],[sub_start_date]], 1, 0)</f>
        <v>0</v>
      </c>
      <c r="I2243" s="2">
        <f>IF(AND(payments_raw[[#This Row],[sub_end_date]]&lt;&gt;"", payments_raw[[#This Row],[payment_date]] &gt; payments_raw[[#This Row],[sub_end_date]]), 1, 0)</f>
        <v>0</v>
      </c>
      <c r="J2243" s="2">
        <f>IF(payments_raw[[#This Row],[amount]] &lt;= 0, 1, 0)</f>
        <v>0</v>
      </c>
      <c r="K22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4" spans="1:11" x14ac:dyDescent="0.3">
      <c r="A2244">
        <v>31811407</v>
      </c>
      <c r="B2244">
        <v>4056507</v>
      </c>
      <c r="C2244" s="1">
        <v>45464</v>
      </c>
      <c r="D2244">
        <v>190</v>
      </c>
      <c r="E2244">
        <f>IF(
  ISNA(
    _xlfn.XLOOKUP(
      payments_raw[[#This Row],[subscription_id]],
      subscriptions[subscription_id],
      subscriptions[subscription_id]
    )
  ),
  0,
  1
)</f>
        <v>1</v>
      </c>
      <c r="F2244" s="1">
        <f>_xlfn.XLOOKUP(payments_raw[[#This Row],[subscription_id]], subscriptions[subscription_id], subscriptions[start_date])</f>
        <v>45113</v>
      </c>
      <c r="G22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4" s="2">
        <f>IF(payments_raw[[#This Row],[payment_date]] &lt; payments_raw[[#This Row],[sub_start_date]], 1, 0)</f>
        <v>0</v>
      </c>
      <c r="I2244" s="2">
        <f>IF(AND(payments_raw[[#This Row],[sub_end_date]]&lt;&gt;"", payments_raw[[#This Row],[payment_date]] &gt; payments_raw[[#This Row],[sub_end_date]]), 1, 0)</f>
        <v>0</v>
      </c>
      <c r="J2244" s="2">
        <f>IF(payments_raw[[#This Row],[amount]] &lt;= 0, 1, 0)</f>
        <v>0</v>
      </c>
      <c r="K22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5" spans="1:11" x14ac:dyDescent="0.3">
      <c r="A2245">
        <v>90845239</v>
      </c>
      <c r="B2245">
        <v>3555942</v>
      </c>
      <c r="C2245" s="1">
        <v>45038</v>
      </c>
      <c r="D2245">
        <v>39</v>
      </c>
      <c r="E2245">
        <f>IF(
  ISNA(
    _xlfn.XLOOKUP(
      payments_raw[[#This Row],[subscription_id]],
      subscriptions[subscription_id],
      subscriptions[subscription_id]
    )
  ),
  0,
  1
)</f>
        <v>1</v>
      </c>
      <c r="F2245" s="1">
        <f>_xlfn.XLOOKUP(payments_raw[[#This Row],[subscription_id]], subscriptions[subscription_id], subscriptions[start_date])</f>
        <v>45004</v>
      </c>
      <c r="G22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45092</v>
      </c>
      <c r="H2245" s="2">
        <f>IF(payments_raw[[#This Row],[payment_date]] &lt; payments_raw[[#This Row],[sub_start_date]], 1, 0)</f>
        <v>0</v>
      </c>
      <c r="I2245" s="2">
        <f>IF(AND(payments_raw[[#This Row],[sub_end_date]]&lt;&gt;"", payments_raw[[#This Row],[payment_date]] &gt; payments_raw[[#This Row],[sub_end_date]]), 1, 0)</f>
        <v>0</v>
      </c>
      <c r="J2245" s="2">
        <f>IF(payments_raw[[#This Row],[amount]] &lt;= 0, 1, 0)</f>
        <v>0</v>
      </c>
      <c r="K22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6" spans="1:11" x14ac:dyDescent="0.3">
      <c r="A2246">
        <v>94325586</v>
      </c>
      <c r="B2246">
        <v>8228437</v>
      </c>
      <c r="C2246" s="1">
        <v>45570</v>
      </c>
      <c r="D2246">
        <v>111.75</v>
      </c>
      <c r="E2246">
        <f>IF(
  ISNA(
    _xlfn.XLOOKUP(
      payments_raw[[#This Row],[subscription_id]],
      subscriptions[subscription_id],
      subscriptions[subscription_id]
    )
  ),
  0,
  1
)</f>
        <v>1</v>
      </c>
      <c r="F2246" s="1">
        <f>_xlfn.XLOOKUP(payments_raw[[#This Row],[subscription_id]], subscriptions[subscription_id], subscriptions[start_date])</f>
        <v>45245</v>
      </c>
      <c r="G22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6" s="2">
        <f>IF(payments_raw[[#This Row],[payment_date]] &lt; payments_raw[[#This Row],[sub_start_date]], 1, 0)</f>
        <v>0</v>
      </c>
      <c r="I2246" s="2">
        <f>IF(AND(payments_raw[[#This Row],[sub_end_date]]&lt;&gt;"", payments_raw[[#This Row],[payment_date]] &gt; payments_raw[[#This Row],[sub_end_date]]), 1, 0)</f>
        <v>0</v>
      </c>
      <c r="J2246" s="2">
        <f>IF(payments_raw[[#This Row],[amount]] &lt;= 0, 1, 0)</f>
        <v>0</v>
      </c>
      <c r="K22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7" spans="1:11" x14ac:dyDescent="0.3">
      <c r="A2247">
        <v>49978296</v>
      </c>
      <c r="B2247">
        <v>8357746</v>
      </c>
      <c r="C2247" s="1">
        <v>45070</v>
      </c>
      <c r="D2247">
        <v>79</v>
      </c>
      <c r="E2247">
        <f>IF(
  ISNA(
    _xlfn.XLOOKUP(
      payments_raw[[#This Row],[subscription_id]],
      subscriptions[subscription_id],
      subscriptions[subscription_id]
    )
  ),
  0,
  1
)</f>
        <v>1</v>
      </c>
      <c r="F2247" s="1">
        <f>_xlfn.XLOOKUP(payments_raw[[#This Row],[subscription_id]], subscriptions[subscription_id], subscriptions[start_date])</f>
        <v>44931</v>
      </c>
      <c r="G22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7" s="2">
        <f>IF(payments_raw[[#This Row],[payment_date]] &lt; payments_raw[[#This Row],[sub_start_date]], 1, 0)</f>
        <v>0</v>
      </c>
      <c r="I2247" s="2">
        <f>IF(AND(payments_raw[[#This Row],[sub_end_date]]&lt;&gt;"", payments_raw[[#This Row],[payment_date]] &gt; payments_raw[[#This Row],[sub_end_date]]), 1, 0)</f>
        <v>0</v>
      </c>
      <c r="J2247" s="2">
        <f>IF(payments_raw[[#This Row],[amount]] &lt;= 0, 1, 0)</f>
        <v>0</v>
      </c>
      <c r="K22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8" spans="1:11" x14ac:dyDescent="0.3">
      <c r="A2248">
        <v>91581531</v>
      </c>
      <c r="B2248">
        <v>6422262</v>
      </c>
      <c r="C2248" s="1">
        <v>45102</v>
      </c>
      <c r="D2248">
        <v>39</v>
      </c>
      <c r="E2248">
        <f>IF(
  ISNA(
    _xlfn.XLOOKUP(
      payments_raw[[#This Row],[subscription_id]],
      subscriptions[subscription_id],
      subscriptions[subscription_id]
    )
  ),
  0,
  1
)</f>
        <v>1</v>
      </c>
      <c r="F2248" s="1">
        <f>_xlfn.XLOOKUP(payments_raw[[#This Row],[subscription_id]], subscriptions[subscription_id], subscriptions[start_date])</f>
        <v>45097</v>
      </c>
      <c r="G22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2248" s="2">
        <f>IF(payments_raw[[#This Row],[payment_date]] &lt; payments_raw[[#This Row],[sub_start_date]], 1, 0)</f>
        <v>0</v>
      </c>
      <c r="I2248" s="2">
        <f>IF(AND(payments_raw[[#This Row],[sub_end_date]]&lt;&gt;"", payments_raw[[#This Row],[payment_date]] &gt; payments_raw[[#This Row],[sub_end_date]]), 1, 0)</f>
        <v>0</v>
      </c>
      <c r="J2248" s="2">
        <f>IF(payments_raw[[#This Row],[amount]] &lt;= 0, 1, 0)</f>
        <v>0</v>
      </c>
      <c r="K22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49" spans="1:11" x14ac:dyDescent="0.3">
      <c r="A2249">
        <v>94208414</v>
      </c>
      <c r="B2249">
        <v>4757489</v>
      </c>
      <c r="C2249" s="1">
        <v>45635</v>
      </c>
      <c r="D2249">
        <v>79</v>
      </c>
      <c r="E2249">
        <f>IF(
  ISNA(
    _xlfn.XLOOKUP(
      payments_raw[[#This Row],[subscription_id]],
      subscriptions[subscription_id],
      subscriptions[subscription_id]
    )
  ),
  0,
  1
)</f>
        <v>1</v>
      </c>
      <c r="F2249" s="1">
        <f>_xlfn.XLOOKUP(payments_raw[[#This Row],[subscription_id]], subscriptions[subscription_id], subscriptions[start_date])</f>
        <v>45514</v>
      </c>
      <c r="G22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49" s="2">
        <f>IF(payments_raw[[#This Row],[payment_date]] &lt; payments_raw[[#This Row],[sub_start_date]], 1, 0)</f>
        <v>0</v>
      </c>
      <c r="I2249" s="2">
        <f>IF(AND(payments_raw[[#This Row],[sub_end_date]]&lt;&gt;"", payments_raw[[#This Row],[payment_date]] &gt; payments_raw[[#This Row],[sub_end_date]]), 1, 0)</f>
        <v>0</v>
      </c>
      <c r="J2249" s="2">
        <f>IF(payments_raw[[#This Row],[amount]] &lt;= 0, 1, 0)</f>
        <v>0</v>
      </c>
      <c r="K22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0" spans="1:11" x14ac:dyDescent="0.3">
      <c r="A2250">
        <v>92858314</v>
      </c>
      <c r="B2250">
        <v>5319211</v>
      </c>
      <c r="C2250" s="1">
        <v>44700</v>
      </c>
      <c r="D2250">
        <v>190</v>
      </c>
      <c r="E2250">
        <f>IF(
  ISNA(
    _xlfn.XLOOKUP(
      payments_raw[[#This Row],[subscription_id]],
      subscriptions[subscription_id],
      subscriptions[subscription_id]
    )
  ),
  0,
  1
)</f>
        <v>1</v>
      </c>
      <c r="F2250" s="1">
        <f>_xlfn.XLOOKUP(payments_raw[[#This Row],[subscription_id]], subscriptions[subscription_id], subscriptions[start_date])</f>
        <v>44595</v>
      </c>
      <c r="G225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44805</v>
      </c>
      <c r="H2250" s="2">
        <f>IF(payments_raw[[#This Row],[payment_date]] &lt; payments_raw[[#This Row],[sub_start_date]], 1, 0)</f>
        <v>0</v>
      </c>
      <c r="I2250" s="2">
        <f>IF(AND(payments_raw[[#This Row],[sub_end_date]]&lt;&gt;"", payments_raw[[#This Row],[payment_date]] &gt; payments_raw[[#This Row],[sub_end_date]]), 1, 0)</f>
        <v>0</v>
      </c>
      <c r="J2250" s="2">
        <f>IF(payments_raw[[#This Row],[amount]] &lt;= 0, 1, 0)</f>
        <v>0</v>
      </c>
      <c r="K22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1" spans="1:11" x14ac:dyDescent="0.3">
      <c r="A2251">
        <v>50871016</v>
      </c>
      <c r="B2251">
        <v>1950399</v>
      </c>
      <c r="C2251" s="1">
        <v>44853</v>
      </c>
      <c r="D2251">
        <v>149</v>
      </c>
      <c r="E2251">
        <f>IF(
  ISNA(
    _xlfn.XLOOKUP(
      payments_raw[[#This Row],[subscription_id]],
      subscriptions[subscription_id],
      subscriptions[subscription_id]
    )
  ),
  0,
  1
)</f>
        <v>1</v>
      </c>
      <c r="F2251" s="1">
        <f>_xlfn.XLOOKUP(payments_raw[[#This Row],[subscription_id]], subscriptions[subscription_id], subscriptions[start_date])</f>
        <v>44789</v>
      </c>
      <c r="G22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1" s="2">
        <f>IF(payments_raw[[#This Row],[payment_date]] &lt; payments_raw[[#This Row],[sub_start_date]], 1, 0)</f>
        <v>0</v>
      </c>
      <c r="I2251" s="2">
        <f>IF(AND(payments_raw[[#This Row],[sub_end_date]]&lt;&gt;"", payments_raw[[#This Row],[payment_date]] &gt; payments_raw[[#This Row],[sub_end_date]]), 1, 0)</f>
        <v>0</v>
      </c>
      <c r="J2251" s="2">
        <f>IF(payments_raw[[#This Row],[amount]] &lt;= 0, 1, 0)</f>
        <v>0</v>
      </c>
      <c r="K22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2" spans="1:11" x14ac:dyDescent="0.3">
      <c r="A2252">
        <v>87053633</v>
      </c>
      <c r="B2252">
        <v>5003283</v>
      </c>
      <c r="C2252" s="1">
        <v>45616</v>
      </c>
      <c r="D2252">
        <v>790</v>
      </c>
      <c r="E2252">
        <f>IF(
  ISNA(
    _xlfn.XLOOKUP(
      payments_raw[[#This Row],[subscription_id]],
      subscriptions[subscription_id],
      subscriptions[subscription_id]
    )
  ),
  0,
  1
)</f>
        <v>1</v>
      </c>
      <c r="F2252" s="1">
        <f>_xlfn.XLOOKUP(payments_raw[[#This Row],[subscription_id]], subscriptions[subscription_id], subscriptions[start_date])</f>
        <v>45300</v>
      </c>
      <c r="G22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2" s="2">
        <f>IF(payments_raw[[#This Row],[payment_date]] &lt; payments_raw[[#This Row],[sub_start_date]], 1, 0)</f>
        <v>0</v>
      </c>
      <c r="I2252" s="2">
        <f>IF(AND(payments_raw[[#This Row],[sub_end_date]]&lt;&gt;"", payments_raw[[#This Row],[payment_date]] &gt; payments_raw[[#This Row],[sub_end_date]]), 1, 0)</f>
        <v>0</v>
      </c>
      <c r="J2252" s="2">
        <f>IF(payments_raw[[#This Row],[amount]] &lt;= 0, 1, 0)</f>
        <v>0</v>
      </c>
      <c r="K22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3" spans="1:11" x14ac:dyDescent="0.3">
      <c r="A2253">
        <v>12898255</v>
      </c>
      <c r="B2253">
        <v>3358634</v>
      </c>
      <c r="C2253" s="1">
        <v>45468</v>
      </c>
      <c r="D2253">
        <v>134.1</v>
      </c>
      <c r="E2253">
        <f>IF(
  ISNA(
    _xlfn.XLOOKUP(
      payments_raw[[#This Row],[subscription_id]],
      subscriptions[subscription_id],
      subscriptions[subscription_id]
    )
  ),
  0,
  1
)</f>
        <v>1</v>
      </c>
      <c r="F2253" s="1">
        <f>_xlfn.XLOOKUP(payments_raw[[#This Row],[subscription_id]], subscriptions[subscription_id], subscriptions[start_date])</f>
        <v>45181</v>
      </c>
      <c r="G22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45508</v>
      </c>
      <c r="H2253" s="2">
        <f>IF(payments_raw[[#This Row],[payment_date]] &lt; payments_raw[[#This Row],[sub_start_date]], 1, 0)</f>
        <v>0</v>
      </c>
      <c r="I2253" s="2">
        <f>IF(AND(payments_raw[[#This Row],[sub_end_date]]&lt;&gt;"", payments_raw[[#This Row],[payment_date]] &gt; payments_raw[[#This Row],[sub_end_date]]), 1, 0)</f>
        <v>0</v>
      </c>
      <c r="J2253" s="2">
        <f>IF(payments_raw[[#This Row],[amount]] &lt;= 0, 1, 0)</f>
        <v>0</v>
      </c>
      <c r="K22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4" spans="1:11" x14ac:dyDescent="0.3">
      <c r="A2254">
        <v>71375663</v>
      </c>
      <c r="B2254">
        <v>1139836</v>
      </c>
      <c r="C2254" s="1">
        <v>45602</v>
      </c>
      <c r="D2254">
        <v>2990</v>
      </c>
      <c r="E2254">
        <f>IF(
  ISNA(
    _xlfn.XLOOKUP(
      payments_raw[[#This Row],[subscription_id]],
      subscriptions[subscription_id],
      subscriptions[subscription_id]
    )
  ),
  0,
  1
)</f>
        <v>1</v>
      </c>
      <c r="F2254" s="1">
        <f>_xlfn.XLOOKUP(payments_raw[[#This Row],[subscription_id]], subscriptions[subscription_id], subscriptions[start_date])</f>
        <v>45583</v>
      </c>
      <c r="G22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2254" s="2">
        <f>IF(payments_raw[[#This Row],[payment_date]] &lt; payments_raw[[#This Row],[sub_start_date]], 1, 0)</f>
        <v>0</v>
      </c>
      <c r="I2254" s="2">
        <f>IF(AND(payments_raw[[#This Row],[sub_end_date]]&lt;&gt;"", payments_raw[[#This Row],[payment_date]] &gt; payments_raw[[#This Row],[sub_end_date]]), 1, 0)</f>
        <v>0</v>
      </c>
      <c r="J2254" s="2">
        <f>IF(payments_raw[[#This Row],[amount]] &lt;= 0, 1, 0)</f>
        <v>0</v>
      </c>
      <c r="K22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5" spans="1:11" x14ac:dyDescent="0.3">
      <c r="A2255">
        <v>76844525</v>
      </c>
      <c r="B2255">
        <v>8254420</v>
      </c>
      <c r="C2255" s="1">
        <v>45127</v>
      </c>
      <c r="D2255">
        <v>1490</v>
      </c>
      <c r="E2255">
        <f>IF(
  ISNA(
    _xlfn.XLOOKUP(
      payments_raw[[#This Row],[subscription_id]],
      subscriptions[subscription_id],
      subscriptions[subscription_id]
    )
  ),
  0,
  1
)</f>
        <v>1</v>
      </c>
      <c r="F2255" s="1">
        <f>_xlfn.XLOOKUP(payments_raw[[#This Row],[subscription_id]], subscriptions[subscription_id], subscriptions[start_date])</f>
        <v>44605</v>
      </c>
      <c r="G22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5" s="2">
        <f>IF(payments_raw[[#This Row],[payment_date]] &lt; payments_raw[[#This Row],[sub_start_date]], 1, 0)</f>
        <v>0</v>
      </c>
      <c r="I2255" s="2">
        <f>IF(AND(payments_raw[[#This Row],[sub_end_date]]&lt;&gt;"", payments_raw[[#This Row],[payment_date]] &gt; payments_raw[[#This Row],[sub_end_date]]), 1, 0)</f>
        <v>0</v>
      </c>
      <c r="J2255" s="2">
        <f>IF(payments_raw[[#This Row],[amount]] &lt;= 0, 1, 0)</f>
        <v>0</v>
      </c>
      <c r="K22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6" spans="1:11" x14ac:dyDescent="0.3">
      <c r="A2256">
        <v>92920642</v>
      </c>
      <c r="B2256">
        <v>6756692</v>
      </c>
      <c r="C2256" s="1">
        <v>45602</v>
      </c>
      <c r="D2256">
        <v>1490</v>
      </c>
      <c r="E2256">
        <f>IF(
  ISNA(
    _xlfn.XLOOKUP(
      payments_raw[[#This Row],[subscription_id]],
      subscriptions[subscription_id],
      subscriptions[subscription_id]
    )
  ),
  0,
  1
)</f>
        <v>1</v>
      </c>
      <c r="F2256" s="1">
        <f>_xlfn.XLOOKUP(payments_raw[[#This Row],[subscription_id]], subscriptions[subscription_id], subscriptions[start_date])</f>
        <v>45456</v>
      </c>
      <c r="G22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256" s="2">
        <f>IF(payments_raw[[#This Row],[payment_date]] &lt; payments_raw[[#This Row],[sub_start_date]], 1, 0)</f>
        <v>0</v>
      </c>
      <c r="I2256" s="2">
        <f>IF(AND(payments_raw[[#This Row],[sub_end_date]]&lt;&gt;"", payments_raw[[#This Row],[payment_date]] &gt; payments_raw[[#This Row],[sub_end_date]]), 1, 0)</f>
        <v>0</v>
      </c>
      <c r="J2256" s="2">
        <f>IF(payments_raw[[#This Row],[amount]] &lt;= 0, 1, 0)</f>
        <v>0</v>
      </c>
      <c r="K22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7" spans="1:11" x14ac:dyDescent="0.3">
      <c r="A2257">
        <v>47017197</v>
      </c>
      <c r="B2257">
        <v>9126125</v>
      </c>
      <c r="C2257" s="1">
        <v>44869</v>
      </c>
      <c r="D2257">
        <v>19</v>
      </c>
      <c r="E2257">
        <f>IF(
  ISNA(
    _xlfn.XLOOKUP(
      payments_raw[[#This Row],[subscription_id]],
      subscriptions[subscription_id],
      subscriptions[subscription_id]
    )
  ),
  0,
  1
)</f>
        <v>1</v>
      </c>
      <c r="F2257" s="1">
        <f>_xlfn.XLOOKUP(payments_raw[[#This Row],[subscription_id]], subscriptions[subscription_id], subscriptions[start_date])</f>
        <v>44792</v>
      </c>
      <c r="G22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7" s="2">
        <f>IF(payments_raw[[#This Row],[payment_date]] &lt; payments_raw[[#This Row],[sub_start_date]], 1, 0)</f>
        <v>0</v>
      </c>
      <c r="I2257" s="2">
        <f>IF(AND(payments_raw[[#This Row],[sub_end_date]]&lt;&gt;"", payments_raw[[#This Row],[payment_date]] &gt; payments_raw[[#This Row],[sub_end_date]]), 1, 0)</f>
        <v>0</v>
      </c>
      <c r="J2257" s="2">
        <f>IF(payments_raw[[#This Row],[amount]] &lt;= 0, 1, 0)</f>
        <v>0</v>
      </c>
      <c r="K22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8" spans="1:11" x14ac:dyDescent="0.3">
      <c r="A2258">
        <v>35976666</v>
      </c>
      <c r="B2258">
        <v>3252923</v>
      </c>
      <c r="C2258" s="1">
        <v>45534</v>
      </c>
      <c r="D2258">
        <v>1490</v>
      </c>
      <c r="E2258">
        <f>IF(
  ISNA(
    _xlfn.XLOOKUP(
      payments_raw[[#This Row],[subscription_id]],
      subscriptions[subscription_id],
      subscriptions[subscription_id]
    )
  ),
  0,
  1
)</f>
        <v>1</v>
      </c>
      <c r="F2258" s="1">
        <f>_xlfn.XLOOKUP(payments_raw[[#This Row],[subscription_id]], subscriptions[subscription_id], subscriptions[start_date])</f>
        <v>44713</v>
      </c>
      <c r="G22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8" s="2">
        <f>IF(payments_raw[[#This Row],[payment_date]] &lt; payments_raw[[#This Row],[sub_start_date]], 1, 0)</f>
        <v>0</v>
      </c>
      <c r="I2258" s="2">
        <f>IF(AND(payments_raw[[#This Row],[sub_end_date]]&lt;&gt;"", payments_raw[[#This Row],[payment_date]] &gt; payments_raw[[#This Row],[sub_end_date]]), 1, 0)</f>
        <v>0</v>
      </c>
      <c r="J2258" s="2">
        <f>IF(payments_raw[[#This Row],[amount]] &lt;= 0, 1, 0)</f>
        <v>0</v>
      </c>
      <c r="K22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59" spans="1:11" x14ac:dyDescent="0.3">
      <c r="A2259">
        <v>77654908</v>
      </c>
      <c r="B2259">
        <v>8075570</v>
      </c>
      <c r="C2259" s="1">
        <v>45238</v>
      </c>
      <c r="D2259">
        <v>190</v>
      </c>
      <c r="E2259">
        <f>IF(
  ISNA(
    _xlfn.XLOOKUP(
      payments_raw[[#This Row],[subscription_id]],
      subscriptions[subscription_id],
      subscriptions[subscription_id]
    )
  ),
  0,
  1
)</f>
        <v>1</v>
      </c>
      <c r="F2259" s="1">
        <f>_xlfn.XLOOKUP(payments_raw[[#This Row],[subscription_id]], subscriptions[subscription_id], subscriptions[start_date])</f>
        <v>44929</v>
      </c>
      <c r="G22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59" s="2">
        <f>IF(payments_raw[[#This Row],[payment_date]] &lt; payments_raw[[#This Row],[sub_start_date]], 1, 0)</f>
        <v>0</v>
      </c>
      <c r="I2259" s="2">
        <f>IF(AND(payments_raw[[#This Row],[sub_end_date]]&lt;&gt;"", payments_raw[[#This Row],[payment_date]] &gt; payments_raw[[#This Row],[sub_end_date]]), 1, 0)</f>
        <v>0</v>
      </c>
      <c r="J2259" s="2">
        <f>IF(payments_raw[[#This Row],[amount]] &lt;= 0, 1, 0)</f>
        <v>0</v>
      </c>
      <c r="K22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0" spans="1:11" x14ac:dyDescent="0.3">
      <c r="A2260">
        <v>72014406</v>
      </c>
      <c r="B2260">
        <v>4295478</v>
      </c>
      <c r="C2260" s="1">
        <v>45572</v>
      </c>
      <c r="D2260">
        <v>390</v>
      </c>
      <c r="E2260">
        <f>IF(
  ISNA(
    _xlfn.XLOOKUP(
      payments_raw[[#This Row],[subscription_id]],
      subscriptions[subscription_id],
      subscriptions[subscription_id]
    )
  ),
  0,
  1
)</f>
        <v>1</v>
      </c>
      <c r="F2260" s="1">
        <f>_xlfn.XLOOKUP(payments_raw[[#This Row],[subscription_id]], subscriptions[subscription_id], subscriptions[start_date])</f>
        <v>45541</v>
      </c>
      <c r="G22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0" s="2">
        <f>IF(payments_raw[[#This Row],[payment_date]] &lt; payments_raw[[#This Row],[sub_start_date]], 1, 0)</f>
        <v>0</v>
      </c>
      <c r="I2260" s="2">
        <f>IF(AND(payments_raw[[#This Row],[sub_end_date]]&lt;&gt;"", payments_raw[[#This Row],[payment_date]] &gt; payments_raw[[#This Row],[sub_end_date]]), 1, 0)</f>
        <v>0</v>
      </c>
      <c r="J2260" s="2">
        <f>IF(payments_raw[[#This Row],[amount]] &lt;= 0, 1, 0)</f>
        <v>0</v>
      </c>
      <c r="K22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1" spans="1:11" x14ac:dyDescent="0.3">
      <c r="A2261">
        <v>71516755</v>
      </c>
      <c r="B2261">
        <v>6082313</v>
      </c>
      <c r="C2261" s="1">
        <v>45427</v>
      </c>
      <c r="D2261">
        <v>79</v>
      </c>
      <c r="E2261">
        <f>IF(
  ISNA(
    _xlfn.XLOOKUP(
      payments_raw[[#This Row],[subscription_id]],
      subscriptions[subscription_id],
      subscriptions[subscription_id]
    )
  ),
  0,
  1
)</f>
        <v>1</v>
      </c>
      <c r="F2261" s="1">
        <f>_xlfn.XLOOKUP(payments_raw[[#This Row],[subscription_id]], subscriptions[subscription_id], subscriptions[start_date])</f>
        <v>44896</v>
      </c>
      <c r="G22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1" s="2">
        <f>IF(payments_raw[[#This Row],[payment_date]] &lt; payments_raw[[#This Row],[sub_start_date]], 1, 0)</f>
        <v>0</v>
      </c>
      <c r="I2261" s="2">
        <f>IF(AND(payments_raw[[#This Row],[sub_end_date]]&lt;&gt;"", payments_raw[[#This Row],[payment_date]] &gt; payments_raw[[#This Row],[sub_end_date]]), 1, 0)</f>
        <v>0</v>
      </c>
      <c r="J2261" s="2">
        <f>IF(payments_raw[[#This Row],[amount]] &lt;= 0, 1, 0)</f>
        <v>0</v>
      </c>
      <c r="K22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2" spans="1:11" x14ac:dyDescent="0.3">
      <c r="A2262">
        <v>56085359</v>
      </c>
      <c r="B2262">
        <v>8014552</v>
      </c>
      <c r="C2262" s="1">
        <v>45470</v>
      </c>
      <c r="D2262">
        <v>790</v>
      </c>
      <c r="E2262">
        <f>IF(
  ISNA(
    _xlfn.XLOOKUP(
      payments_raw[[#This Row],[subscription_id]],
      subscriptions[subscription_id],
      subscriptions[subscription_id]
    )
  ),
  0,
  1
)</f>
        <v>1</v>
      </c>
      <c r="F2262" s="1">
        <f>_xlfn.XLOOKUP(payments_raw[[#This Row],[subscription_id]], subscriptions[subscription_id], subscriptions[start_date])</f>
        <v>45418</v>
      </c>
      <c r="G22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2" s="2">
        <f>IF(payments_raw[[#This Row],[payment_date]] &lt; payments_raw[[#This Row],[sub_start_date]], 1, 0)</f>
        <v>0</v>
      </c>
      <c r="I2262" s="2">
        <f>IF(AND(payments_raw[[#This Row],[sub_end_date]]&lt;&gt;"", payments_raw[[#This Row],[payment_date]] &gt; payments_raw[[#This Row],[sub_end_date]]), 1, 0)</f>
        <v>0</v>
      </c>
      <c r="J2262" s="2">
        <f>IF(payments_raw[[#This Row],[amount]] &lt;= 0, 1, 0)</f>
        <v>0</v>
      </c>
      <c r="K22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3" spans="1:11" x14ac:dyDescent="0.3">
      <c r="A2263">
        <v>88050960</v>
      </c>
      <c r="B2263">
        <v>3568550</v>
      </c>
      <c r="C2263" s="1">
        <v>45433</v>
      </c>
      <c r="D2263">
        <v>390</v>
      </c>
      <c r="E2263">
        <f>IF(
  ISNA(
    _xlfn.XLOOKUP(
      payments_raw[[#This Row],[subscription_id]],
      subscriptions[subscription_id],
      subscriptions[subscription_id]
    )
  ),
  0,
  1
)</f>
        <v>1</v>
      </c>
      <c r="F2263" s="1">
        <f>_xlfn.XLOOKUP(payments_raw[[#This Row],[subscription_id]], subscriptions[subscription_id], subscriptions[start_date])</f>
        <v>45159</v>
      </c>
      <c r="G22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3" s="2">
        <f>IF(payments_raw[[#This Row],[payment_date]] &lt; payments_raw[[#This Row],[sub_start_date]], 1, 0)</f>
        <v>0</v>
      </c>
      <c r="I2263" s="2">
        <f>IF(AND(payments_raw[[#This Row],[sub_end_date]]&lt;&gt;"", payments_raw[[#This Row],[payment_date]] &gt; payments_raw[[#This Row],[sub_end_date]]), 1, 0)</f>
        <v>0</v>
      </c>
      <c r="J2263" s="2">
        <f>IF(payments_raw[[#This Row],[amount]] &lt;= 0, 1, 0)</f>
        <v>0</v>
      </c>
      <c r="K22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4" spans="1:11" x14ac:dyDescent="0.3">
      <c r="A2264">
        <v>24336847</v>
      </c>
      <c r="B2264">
        <v>7334348</v>
      </c>
      <c r="C2264" s="1">
        <v>45393</v>
      </c>
      <c r="D2264">
        <v>149</v>
      </c>
      <c r="E2264">
        <f>IF(
  ISNA(
    _xlfn.XLOOKUP(
      payments_raw[[#This Row],[subscription_id]],
      subscriptions[subscription_id],
      subscriptions[subscription_id]
    )
  ),
  0,
  1
)</f>
        <v>1</v>
      </c>
      <c r="F2264" s="1">
        <f>_xlfn.XLOOKUP(payments_raw[[#This Row],[subscription_id]], subscriptions[subscription_id], subscriptions[start_date])</f>
        <v>45004</v>
      </c>
      <c r="G22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4" s="2">
        <f>IF(payments_raw[[#This Row],[payment_date]] &lt; payments_raw[[#This Row],[sub_start_date]], 1, 0)</f>
        <v>0</v>
      </c>
      <c r="I2264" s="2">
        <f>IF(AND(payments_raw[[#This Row],[sub_end_date]]&lt;&gt;"", payments_raw[[#This Row],[payment_date]] &gt; payments_raw[[#This Row],[sub_end_date]]), 1, 0)</f>
        <v>0</v>
      </c>
      <c r="J2264" s="2">
        <f>IF(payments_raw[[#This Row],[amount]] &lt;= 0, 1, 0)</f>
        <v>0</v>
      </c>
      <c r="K22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5" spans="1:11" x14ac:dyDescent="0.3">
      <c r="A2265">
        <v>88420719</v>
      </c>
      <c r="B2265">
        <v>5415321</v>
      </c>
      <c r="C2265" s="1">
        <v>45436</v>
      </c>
      <c r="D2265">
        <v>142.5</v>
      </c>
      <c r="E2265">
        <f>IF(
  ISNA(
    _xlfn.XLOOKUP(
      payments_raw[[#This Row],[subscription_id]],
      subscriptions[subscription_id],
      subscriptions[subscription_id]
    )
  ),
  0,
  1
)</f>
        <v>1</v>
      </c>
      <c r="F2265" s="1">
        <f>_xlfn.XLOOKUP(payments_raw[[#This Row],[subscription_id]], subscriptions[subscription_id], subscriptions[start_date])</f>
        <v>44890</v>
      </c>
      <c r="G22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5" s="2">
        <f>IF(payments_raw[[#This Row],[payment_date]] &lt; payments_raw[[#This Row],[sub_start_date]], 1, 0)</f>
        <v>0</v>
      </c>
      <c r="I2265" s="2">
        <f>IF(AND(payments_raw[[#This Row],[sub_end_date]]&lt;&gt;"", payments_raw[[#This Row],[payment_date]] &gt; payments_raw[[#This Row],[sub_end_date]]), 1, 0)</f>
        <v>0</v>
      </c>
      <c r="J2265" s="2">
        <f>IF(payments_raw[[#This Row],[amount]] &lt;= 0, 1, 0)</f>
        <v>0</v>
      </c>
      <c r="K22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6" spans="1:11" x14ac:dyDescent="0.3">
      <c r="A2266">
        <v>52417781</v>
      </c>
      <c r="B2266">
        <v>3043656</v>
      </c>
      <c r="C2266" s="1">
        <v>45181</v>
      </c>
      <c r="D2266">
        <v>790</v>
      </c>
      <c r="E2266">
        <f>IF(
  ISNA(
    _xlfn.XLOOKUP(
      payments_raw[[#This Row],[subscription_id]],
      subscriptions[subscription_id],
      subscriptions[subscription_id]
    )
  ),
  0,
  1
)</f>
        <v>1</v>
      </c>
      <c r="F2266" s="1">
        <f>_xlfn.XLOOKUP(payments_raw[[#This Row],[subscription_id]], subscriptions[subscription_id], subscriptions[start_date])</f>
        <v>45176</v>
      </c>
      <c r="G22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6" s="2">
        <f>IF(payments_raw[[#This Row],[payment_date]] &lt; payments_raw[[#This Row],[sub_start_date]], 1, 0)</f>
        <v>0</v>
      </c>
      <c r="I2266" s="2">
        <f>IF(AND(payments_raw[[#This Row],[sub_end_date]]&lt;&gt;"", payments_raw[[#This Row],[payment_date]] &gt; payments_raw[[#This Row],[sub_end_date]]), 1, 0)</f>
        <v>0</v>
      </c>
      <c r="J2266" s="2">
        <f>IF(payments_raw[[#This Row],[amount]] &lt;= 0, 1, 0)</f>
        <v>0</v>
      </c>
      <c r="K22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7" spans="1:11" x14ac:dyDescent="0.3">
      <c r="A2267">
        <v>32369436</v>
      </c>
      <c r="B2267">
        <v>9971681</v>
      </c>
      <c r="C2267" s="1">
        <v>44766</v>
      </c>
      <c r="D2267">
        <v>390</v>
      </c>
      <c r="E2267">
        <f>IF(
  ISNA(
    _xlfn.XLOOKUP(
      payments_raw[[#This Row],[subscription_id]],
      subscriptions[subscription_id],
      subscriptions[subscription_id]
    )
  ),
  0,
  1
)</f>
        <v>1</v>
      </c>
      <c r="F2267" s="1">
        <f>_xlfn.XLOOKUP(payments_raw[[#This Row],[subscription_id]], subscriptions[subscription_id], subscriptions[start_date])</f>
        <v>44724</v>
      </c>
      <c r="G226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2267" s="2">
        <f>IF(payments_raw[[#This Row],[payment_date]] &lt; payments_raw[[#This Row],[sub_start_date]], 1, 0)</f>
        <v>0</v>
      </c>
      <c r="I2267" s="2">
        <f>IF(AND(payments_raw[[#This Row],[sub_end_date]]&lt;&gt;"", payments_raw[[#This Row],[payment_date]] &gt; payments_raw[[#This Row],[sub_end_date]]), 1, 0)</f>
        <v>0</v>
      </c>
      <c r="J2267" s="2">
        <f>IF(payments_raw[[#This Row],[amount]] &lt;= 0, 1, 0)</f>
        <v>0</v>
      </c>
      <c r="K22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8" spans="1:11" x14ac:dyDescent="0.3">
      <c r="A2268">
        <v>62948689</v>
      </c>
      <c r="B2268">
        <v>5876441</v>
      </c>
      <c r="C2268" s="1">
        <v>45039</v>
      </c>
      <c r="D2268">
        <v>19</v>
      </c>
      <c r="E2268">
        <f>IF(
  ISNA(
    _xlfn.XLOOKUP(
      payments_raw[[#This Row],[subscription_id]],
      subscriptions[subscription_id],
      subscriptions[subscription_id]
    )
  ),
  0,
  1
)</f>
        <v>1</v>
      </c>
      <c r="F2268" s="1">
        <f>_xlfn.XLOOKUP(payments_raw[[#This Row],[subscription_id]], subscriptions[subscription_id], subscriptions[start_date])</f>
        <v>45029</v>
      </c>
      <c r="G22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8" s="2">
        <f>IF(payments_raw[[#This Row],[payment_date]] &lt; payments_raw[[#This Row],[sub_start_date]], 1, 0)</f>
        <v>0</v>
      </c>
      <c r="I2268" s="2">
        <f>IF(AND(payments_raw[[#This Row],[sub_end_date]]&lt;&gt;"", payments_raw[[#This Row],[payment_date]] &gt; payments_raw[[#This Row],[sub_end_date]]), 1, 0)</f>
        <v>0</v>
      </c>
      <c r="J2268" s="2">
        <f>IF(payments_raw[[#This Row],[amount]] &lt;= 0, 1, 0)</f>
        <v>0</v>
      </c>
      <c r="K22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69" spans="1:11" x14ac:dyDescent="0.3">
      <c r="A2269">
        <v>32937991</v>
      </c>
      <c r="B2269">
        <v>7905652</v>
      </c>
      <c r="C2269" s="1">
        <v>44865</v>
      </c>
      <c r="D2269">
        <v>149</v>
      </c>
      <c r="E2269">
        <f>IF(
  ISNA(
    _xlfn.XLOOKUP(
      payments_raw[[#This Row],[subscription_id]],
      subscriptions[subscription_id],
      subscriptions[subscription_id]
    )
  ),
  0,
  1
)</f>
        <v>1</v>
      </c>
      <c r="F2269" s="1">
        <f>_xlfn.XLOOKUP(payments_raw[[#This Row],[subscription_id]], subscriptions[subscription_id], subscriptions[start_date])</f>
        <v>44744</v>
      </c>
      <c r="G22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69" s="2">
        <f>IF(payments_raw[[#This Row],[payment_date]] &lt; payments_raw[[#This Row],[sub_start_date]], 1, 0)</f>
        <v>0</v>
      </c>
      <c r="I2269" s="2">
        <f>IF(AND(payments_raw[[#This Row],[sub_end_date]]&lt;&gt;"", payments_raw[[#This Row],[payment_date]] &gt; payments_raw[[#This Row],[sub_end_date]]), 1, 0)</f>
        <v>0</v>
      </c>
      <c r="J2269" s="2">
        <f>IF(payments_raw[[#This Row],[amount]] &lt;= 0, 1, 0)</f>
        <v>0</v>
      </c>
      <c r="K22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0" spans="1:11" x14ac:dyDescent="0.3">
      <c r="A2270">
        <v>14214307</v>
      </c>
      <c r="B2270">
        <v>2029277</v>
      </c>
      <c r="C2270" s="1">
        <v>45477</v>
      </c>
      <c r="D2270">
        <v>190</v>
      </c>
      <c r="E2270">
        <f>IF(
  ISNA(
    _xlfn.XLOOKUP(
      payments_raw[[#This Row],[subscription_id]],
      subscriptions[subscription_id],
      subscriptions[subscription_id]
    )
  ),
  0,
  1
)</f>
        <v>1</v>
      </c>
      <c r="F2270" s="1">
        <f>_xlfn.XLOOKUP(payments_raw[[#This Row],[subscription_id]], subscriptions[subscription_id], subscriptions[start_date])</f>
        <v>45436</v>
      </c>
      <c r="G22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2270" s="2">
        <f>IF(payments_raw[[#This Row],[payment_date]] &lt; payments_raw[[#This Row],[sub_start_date]], 1, 0)</f>
        <v>0</v>
      </c>
      <c r="I2270" s="2">
        <f>IF(AND(payments_raw[[#This Row],[sub_end_date]]&lt;&gt;"", payments_raw[[#This Row],[payment_date]] &gt; payments_raw[[#This Row],[sub_end_date]]), 1, 0)</f>
        <v>0</v>
      </c>
      <c r="J2270" s="2">
        <f>IF(payments_raw[[#This Row],[amount]] &lt;= 0, 1, 0)</f>
        <v>0</v>
      </c>
      <c r="K22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1" spans="1:11" x14ac:dyDescent="0.3">
      <c r="A2271">
        <v>71563112</v>
      </c>
      <c r="B2271">
        <v>2710400</v>
      </c>
      <c r="C2271" s="1">
        <v>44904</v>
      </c>
      <c r="D2271">
        <v>1490</v>
      </c>
      <c r="E2271">
        <f>IF(
  ISNA(
    _xlfn.XLOOKUP(
      payments_raw[[#This Row],[subscription_id]],
      subscriptions[subscription_id],
      subscriptions[subscription_id]
    )
  ),
  0,
  1
)</f>
        <v>1</v>
      </c>
      <c r="F2271" s="1">
        <f>_xlfn.XLOOKUP(payments_raw[[#This Row],[subscription_id]], subscriptions[subscription_id], subscriptions[start_date])</f>
        <v>44864</v>
      </c>
      <c r="G22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1" s="2">
        <f>IF(payments_raw[[#This Row],[payment_date]] &lt; payments_raw[[#This Row],[sub_start_date]], 1, 0)</f>
        <v>0</v>
      </c>
      <c r="I2271" s="2">
        <f>IF(AND(payments_raw[[#This Row],[sub_end_date]]&lt;&gt;"", payments_raw[[#This Row],[payment_date]] &gt; payments_raw[[#This Row],[sub_end_date]]), 1, 0)</f>
        <v>0</v>
      </c>
      <c r="J2271" s="2">
        <f>IF(payments_raw[[#This Row],[amount]] &lt;= 0, 1, 0)</f>
        <v>0</v>
      </c>
      <c r="K22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2" spans="1:11" x14ac:dyDescent="0.3">
      <c r="A2272">
        <v>48906764</v>
      </c>
      <c r="B2272">
        <v>9347047</v>
      </c>
      <c r="C2272" s="1">
        <v>44831</v>
      </c>
      <c r="D2272">
        <v>390</v>
      </c>
      <c r="E2272">
        <f>IF(
  ISNA(
    _xlfn.XLOOKUP(
      payments_raw[[#This Row],[subscription_id]],
      subscriptions[subscription_id],
      subscriptions[subscription_id]
    )
  ),
  0,
  1
)</f>
        <v>1</v>
      </c>
      <c r="F2272" s="1">
        <f>_xlfn.XLOOKUP(payments_raw[[#This Row],[subscription_id]], subscriptions[subscription_id], subscriptions[start_date])</f>
        <v>44761</v>
      </c>
      <c r="G227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2272" s="2">
        <f>IF(payments_raw[[#This Row],[payment_date]] &lt; payments_raw[[#This Row],[sub_start_date]], 1, 0)</f>
        <v>0</v>
      </c>
      <c r="I2272" s="2">
        <f>IF(AND(payments_raw[[#This Row],[sub_end_date]]&lt;&gt;"", payments_raw[[#This Row],[payment_date]] &gt; payments_raw[[#This Row],[sub_end_date]]), 1, 0)</f>
        <v>0</v>
      </c>
      <c r="J2272" s="2">
        <f>IF(payments_raw[[#This Row],[amount]] &lt;= 0, 1, 0)</f>
        <v>0</v>
      </c>
      <c r="K22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3" spans="1:11" x14ac:dyDescent="0.3">
      <c r="A2273">
        <v>18215004</v>
      </c>
      <c r="B2273">
        <v>1238423</v>
      </c>
      <c r="C2273" s="1">
        <v>44892</v>
      </c>
      <c r="D2273">
        <v>79</v>
      </c>
      <c r="E2273">
        <f>IF(
  ISNA(
    _xlfn.XLOOKUP(
      payments_raw[[#This Row],[subscription_id]],
      subscriptions[subscription_id],
      subscriptions[subscription_id]
    )
  ),
  0,
  1
)</f>
        <v>1</v>
      </c>
      <c r="F2273" s="1">
        <f>_xlfn.XLOOKUP(payments_raw[[#This Row],[subscription_id]], subscriptions[subscription_id], subscriptions[start_date])</f>
        <v>44874</v>
      </c>
      <c r="G22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3" s="2">
        <f>IF(payments_raw[[#This Row],[payment_date]] &lt; payments_raw[[#This Row],[sub_start_date]], 1, 0)</f>
        <v>0</v>
      </c>
      <c r="I2273" s="2">
        <f>IF(AND(payments_raw[[#This Row],[sub_end_date]]&lt;&gt;"", payments_raw[[#This Row],[payment_date]] &gt; payments_raw[[#This Row],[sub_end_date]]), 1, 0)</f>
        <v>0</v>
      </c>
      <c r="J2273" s="2">
        <f>IF(payments_raw[[#This Row],[amount]] &lt;= 0, 1, 0)</f>
        <v>0</v>
      </c>
      <c r="K22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4" spans="1:11" x14ac:dyDescent="0.3">
      <c r="A2274">
        <v>34043964</v>
      </c>
      <c r="B2274">
        <v>4101936</v>
      </c>
      <c r="C2274" s="1">
        <v>45409</v>
      </c>
      <c r="D2274">
        <v>19</v>
      </c>
      <c r="E2274">
        <f>IF(
  ISNA(
    _xlfn.XLOOKUP(
      payments_raw[[#This Row],[subscription_id]],
      subscriptions[subscription_id],
      subscriptions[subscription_id]
    )
  ),
  0,
  1
)</f>
        <v>1</v>
      </c>
      <c r="F2274" s="1">
        <f>_xlfn.XLOOKUP(payments_raw[[#This Row],[subscription_id]], subscriptions[subscription_id], subscriptions[start_date])</f>
        <v>45392</v>
      </c>
      <c r="G22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2274" s="2">
        <f>IF(payments_raw[[#This Row],[payment_date]] &lt; payments_raw[[#This Row],[sub_start_date]], 1, 0)</f>
        <v>0</v>
      </c>
      <c r="I2274" s="2">
        <f>IF(AND(payments_raw[[#This Row],[sub_end_date]]&lt;&gt;"", payments_raw[[#This Row],[payment_date]] &gt; payments_raw[[#This Row],[sub_end_date]]), 1, 0)</f>
        <v>0</v>
      </c>
      <c r="J2274" s="2">
        <f>IF(payments_raw[[#This Row],[amount]] &lt;= 0, 1, 0)</f>
        <v>0</v>
      </c>
      <c r="K22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5" spans="1:11" x14ac:dyDescent="0.3">
      <c r="A2275">
        <v>43911809</v>
      </c>
      <c r="B2275">
        <v>2627051</v>
      </c>
      <c r="C2275" s="1">
        <v>45555</v>
      </c>
      <c r="D2275">
        <v>390</v>
      </c>
      <c r="E2275">
        <f>IF(
  ISNA(
    _xlfn.XLOOKUP(
      payments_raw[[#This Row],[subscription_id]],
      subscriptions[subscription_id],
      subscriptions[subscription_id]
    )
  ),
  0,
  1
)</f>
        <v>1</v>
      </c>
      <c r="F2275" s="1">
        <f>_xlfn.XLOOKUP(payments_raw[[#This Row],[subscription_id]], subscriptions[subscription_id], subscriptions[start_date])</f>
        <v>45372</v>
      </c>
      <c r="G22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5" s="2">
        <f>IF(payments_raw[[#This Row],[payment_date]] &lt; payments_raw[[#This Row],[sub_start_date]], 1, 0)</f>
        <v>0</v>
      </c>
      <c r="I2275" s="2">
        <f>IF(AND(payments_raw[[#This Row],[sub_end_date]]&lt;&gt;"", payments_raw[[#This Row],[payment_date]] &gt; payments_raw[[#This Row],[sub_end_date]]), 1, 0)</f>
        <v>0</v>
      </c>
      <c r="J2275" s="2">
        <f>IF(payments_raw[[#This Row],[amount]] &lt;= 0, 1, 0)</f>
        <v>0</v>
      </c>
      <c r="K22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6" spans="1:11" x14ac:dyDescent="0.3">
      <c r="A2276">
        <v>39721110</v>
      </c>
      <c r="B2276">
        <v>3356313</v>
      </c>
      <c r="C2276" s="1">
        <v>44815</v>
      </c>
      <c r="D2276">
        <v>1490</v>
      </c>
      <c r="E2276">
        <f>IF(
  ISNA(
    _xlfn.XLOOKUP(
      payments_raw[[#This Row],[subscription_id]],
      subscriptions[subscription_id],
      subscriptions[subscription_id]
    )
  ),
  0,
  1
)</f>
        <v>1</v>
      </c>
      <c r="F2276" s="1">
        <f>_xlfn.XLOOKUP(payments_raw[[#This Row],[subscription_id]], subscriptions[subscription_id], subscriptions[start_date])</f>
        <v>44815</v>
      </c>
      <c r="G22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45094</v>
      </c>
      <c r="H2276" s="2">
        <f>IF(payments_raw[[#This Row],[payment_date]] &lt; payments_raw[[#This Row],[sub_start_date]], 1, 0)</f>
        <v>0</v>
      </c>
      <c r="I2276" s="2">
        <f>IF(AND(payments_raw[[#This Row],[sub_end_date]]&lt;&gt;"", payments_raw[[#This Row],[payment_date]] &gt; payments_raw[[#This Row],[sub_end_date]]), 1, 0)</f>
        <v>0</v>
      </c>
      <c r="J2276" s="2">
        <f>IF(payments_raw[[#This Row],[amount]] &lt;= 0, 1, 0)</f>
        <v>0</v>
      </c>
      <c r="K22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7" spans="1:11" x14ac:dyDescent="0.3">
      <c r="A2277">
        <v>82427103</v>
      </c>
      <c r="B2277">
        <v>8455510</v>
      </c>
      <c r="C2277" s="1">
        <v>45458</v>
      </c>
      <c r="D2277">
        <v>299</v>
      </c>
      <c r="E2277">
        <f>IF(
  ISNA(
    _xlfn.XLOOKUP(
      payments_raw[[#This Row],[subscription_id]],
      subscriptions[subscription_id],
      subscriptions[subscription_id]
    )
  ),
  0,
  1
)</f>
        <v>1</v>
      </c>
      <c r="F2277" s="1">
        <f>_xlfn.XLOOKUP(payments_raw[[#This Row],[subscription_id]], subscriptions[subscription_id], subscriptions[start_date])</f>
        <v>44872</v>
      </c>
      <c r="G22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7" s="2">
        <f>IF(payments_raw[[#This Row],[payment_date]] &lt; payments_raw[[#This Row],[sub_start_date]], 1, 0)</f>
        <v>0</v>
      </c>
      <c r="I2277" s="2">
        <f>IF(AND(payments_raw[[#This Row],[sub_end_date]]&lt;&gt;"", payments_raw[[#This Row],[payment_date]] &gt; payments_raw[[#This Row],[sub_end_date]]), 1, 0)</f>
        <v>0</v>
      </c>
      <c r="J2277" s="2">
        <f>IF(payments_raw[[#This Row],[amount]] &lt;= 0, 1, 0)</f>
        <v>0</v>
      </c>
      <c r="K22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8" spans="1:11" x14ac:dyDescent="0.3">
      <c r="A2278">
        <v>99352149</v>
      </c>
      <c r="B2278">
        <v>6753758</v>
      </c>
      <c r="C2278" s="1">
        <v>45280</v>
      </c>
      <c r="D2278">
        <v>299</v>
      </c>
      <c r="E2278">
        <f>IF(
  ISNA(
    _xlfn.XLOOKUP(
      payments_raw[[#This Row],[subscription_id]],
      subscriptions[subscription_id],
      subscriptions[subscription_id]
    )
  ),
  0,
  1
)</f>
        <v>1</v>
      </c>
      <c r="F2278" s="1">
        <f>_xlfn.XLOOKUP(payments_raw[[#This Row],[subscription_id]], subscriptions[subscription_id], subscriptions[start_date])</f>
        <v>45259</v>
      </c>
      <c r="G22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78" s="2">
        <f>IF(payments_raw[[#This Row],[payment_date]] &lt; payments_raw[[#This Row],[sub_start_date]], 1, 0)</f>
        <v>0</v>
      </c>
      <c r="I2278" s="2">
        <f>IF(AND(payments_raw[[#This Row],[sub_end_date]]&lt;&gt;"", payments_raw[[#This Row],[payment_date]] &gt; payments_raw[[#This Row],[sub_end_date]]), 1, 0)</f>
        <v>0</v>
      </c>
      <c r="J2278" s="2">
        <f>IF(payments_raw[[#This Row],[amount]] &lt;= 0, 1, 0)</f>
        <v>0</v>
      </c>
      <c r="K22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79" spans="1:11" x14ac:dyDescent="0.3">
      <c r="A2279">
        <v>50952683</v>
      </c>
      <c r="B2279">
        <v>6386706</v>
      </c>
      <c r="C2279" s="1">
        <v>44790</v>
      </c>
      <c r="D2279">
        <v>39</v>
      </c>
      <c r="E2279">
        <f>IF(
  ISNA(
    _xlfn.XLOOKUP(
      payments_raw[[#This Row],[subscription_id]],
      subscriptions[subscription_id],
      subscriptions[subscription_id]
    )
  ),
  0,
  1
)</f>
        <v>1</v>
      </c>
      <c r="F2279" s="1">
        <f>_xlfn.XLOOKUP(payments_raw[[#This Row],[subscription_id]], subscriptions[subscription_id], subscriptions[start_date])</f>
        <v>44620</v>
      </c>
      <c r="G227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44819</v>
      </c>
      <c r="H2279" s="2">
        <f>IF(payments_raw[[#This Row],[payment_date]] &lt; payments_raw[[#This Row],[sub_start_date]], 1, 0)</f>
        <v>0</v>
      </c>
      <c r="I2279" s="2">
        <f>IF(AND(payments_raw[[#This Row],[sub_end_date]]&lt;&gt;"", payments_raw[[#This Row],[payment_date]] &gt; payments_raw[[#This Row],[sub_end_date]]), 1, 0)</f>
        <v>0</v>
      </c>
      <c r="J2279" s="2">
        <f>IF(payments_raw[[#This Row],[amount]] &lt;= 0, 1, 0)</f>
        <v>0</v>
      </c>
      <c r="K22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0" spans="1:11" x14ac:dyDescent="0.3">
      <c r="A2280">
        <v>83962723</v>
      </c>
      <c r="B2280">
        <v>8075570</v>
      </c>
      <c r="C2280" s="1">
        <v>45171</v>
      </c>
      <c r="D2280">
        <v>190</v>
      </c>
      <c r="E2280">
        <f>IF(
  ISNA(
    _xlfn.XLOOKUP(
      payments_raw[[#This Row],[subscription_id]],
      subscriptions[subscription_id],
      subscriptions[subscription_id]
    )
  ),
  0,
  1
)</f>
        <v>1</v>
      </c>
      <c r="F2280" s="1">
        <f>_xlfn.XLOOKUP(payments_raw[[#This Row],[subscription_id]], subscriptions[subscription_id], subscriptions[start_date])</f>
        <v>44929</v>
      </c>
      <c r="G22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0" s="2">
        <f>IF(payments_raw[[#This Row],[payment_date]] &lt; payments_raw[[#This Row],[sub_start_date]], 1, 0)</f>
        <v>0</v>
      </c>
      <c r="I2280" s="2">
        <f>IF(AND(payments_raw[[#This Row],[sub_end_date]]&lt;&gt;"", payments_raw[[#This Row],[payment_date]] &gt; payments_raw[[#This Row],[sub_end_date]]), 1, 0)</f>
        <v>0</v>
      </c>
      <c r="J2280" s="2">
        <f>IF(payments_raw[[#This Row],[amount]] &lt;= 0, 1, 0)</f>
        <v>0</v>
      </c>
      <c r="K22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1" spans="1:11" x14ac:dyDescent="0.3">
      <c r="A2281">
        <v>73582537</v>
      </c>
      <c r="B2281">
        <v>7064624</v>
      </c>
      <c r="C2281" s="1">
        <v>44964</v>
      </c>
      <c r="D2281">
        <v>790</v>
      </c>
      <c r="E2281">
        <f>IF(
  ISNA(
    _xlfn.XLOOKUP(
      payments_raw[[#This Row],[subscription_id]],
      subscriptions[subscription_id],
      subscriptions[subscription_id]
    )
  ),
  0,
  1
)</f>
        <v>1</v>
      </c>
      <c r="F2281" s="1">
        <f>_xlfn.XLOOKUP(payments_raw[[#This Row],[subscription_id]], subscriptions[subscription_id], subscriptions[start_date])</f>
        <v>44696</v>
      </c>
      <c r="G22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1" s="2">
        <f>IF(payments_raw[[#This Row],[payment_date]] &lt; payments_raw[[#This Row],[sub_start_date]], 1, 0)</f>
        <v>0</v>
      </c>
      <c r="I2281" s="2">
        <f>IF(AND(payments_raw[[#This Row],[sub_end_date]]&lt;&gt;"", payments_raw[[#This Row],[payment_date]] &gt; payments_raw[[#This Row],[sub_end_date]]), 1, 0)</f>
        <v>0</v>
      </c>
      <c r="J2281" s="2">
        <f>IF(payments_raw[[#This Row],[amount]] &lt;= 0, 1, 0)</f>
        <v>0</v>
      </c>
      <c r="K22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2" spans="1:11" x14ac:dyDescent="0.3">
      <c r="A2282">
        <v>24225241</v>
      </c>
      <c r="B2282">
        <v>8376757</v>
      </c>
      <c r="C2282" s="1">
        <v>45574</v>
      </c>
      <c r="D2282">
        <v>1490</v>
      </c>
      <c r="E2282">
        <f>IF(
  ISNA(
    _xlfn.XLOOKUP(
      payments_raw[[#This Row],[subscription_id]],
      subscriptions[subscription_id],
      subscriptions[subscription_id]
    )
  ),
  0,
  1
)</f>
        <v>1</v>
      </c>
      <c r="F2282" s="1">
        <f>_xlfn.XLOOKUP(payments_raw[[#This Row],[subscription_id]], subscriptions[subscription_id], subscriptions[start_date])</f>
        <v>45433</v>
      </c>
      <c r="G22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282" s="2">
        <f>IF(payments_raw[[#This Row],[payment_date]] &lt; payments_raw[[#This Row],[sub_start_date]], 1, 0)</f>
        <v>0</v>
      </c>
      <c r="I2282" s="2">
        <f>IF(AND(payments_raw[[#This Row],[sub_end_date]]&lt;&gt;"", payments_raw[[#This Row],[payment_date]] &gt; payments_raw[[#This Row],[sub_end_date]]), 1, 0)</f>
        <v>0</v>
      </c>
      <c r="J2282" s="2">
        <f>IF(payments_raw[[#This Row],[amount]] &lt;= 0, 1, 0)</f>
        <v>0</v>
      </c>
      <c r="K22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3" spans="1:11" x14ac:dyDescent="0.3">
      <c r="A2283">
        <v>41750868</v>
      </c>
      <c r="B2283">
        <v>7831160</v>
      </c>
      <c r="C2283" s="1">
        <v>45130</v>
      </c>
      <c r="D2283">
        <v>2990</v>
      </c>
      <c r="E2283">
        <f>IF(
  ISNA(
    _xlfn.XLOOKUP(
      payments_raw[[#This Row],[subscription_id]],
      subscriptions[subscription_id],
      subscriptions[subscription_id]
    )
  ),
  0,
  1
)</f>
        <v>1</v>
      </c>
      <c r="F2283" s="1">
        <f>_xlfn.XLOOKUP(payments_raw[[#This Row],[subscription_id]], subscriptions[subscription_id], subscriptions[start_date])</f>
        <v>45116</v>
      </c>
      <c r="G22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3" s="2">
        <f>IF(payments_raw[[#This Row],[payment_date]] &lt; payments_raw[[#This Row],[sub_start_date]], 1, 0)</f>
        <v>0</v>
      </c>
      <c r="I2283" s="2">
        <f>IF(AND(payments_raw[[#This Row],[sub_end_date]]&lt;&gt;"", payments_raw[[#This Row],[payment_date]] &gt; payments_raw[[#This Row],[sub_end_date]]), 1, 0)</f>
        <v>0</v>
      </c>
      <c r="J2283" s="2">
        <f>IF(payments_raw[[#This Row],[amount]] &lt;= 0, 1, 0)</f>
        <v>0</v>
      </c>
      <c r="K22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4" spans="1:11" x14ac:dyDescent="0.3">
      <c r="A2284">
        <v>70005818</v>
      </c>
      <c r="B2284">
        <v>3481086</v>
      </c>
      <c r="C2284" s="1">
        <v>45286</v>
      </c>
      <c r="D2284">
        <v>79</v>
      </c>
      <c r="E2284">
        <f>IF(
  ISNA(
    _xlfn.XLOOKUP(
      payments_raw[[#This Row],[subscription_id]],
      subscriptions[subscription_id],
      subscriptions[subscription_id]
    )
  ),
  0,
  1
)</f>
        <v>1</v>
      </c>
      <c r="F2284" s="1">
        <f>_xlfn.XLOOKUP(payments_raw[[#This Row],[subscription_id]], subscriptions[subscription_id], subscriptions[start_date])</f>
        <v>45097</v>
      </c>
      <c r="G22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45475</v>
      </c>
      <c r="H2284" s="2">
        <f>IF(payments_raw[[#This Row],[payment_date]] &lt; payments_raw[[#This Row],[sub_start_date]], 1, 0)</f>
        <v>0</v>
      </c>
      <c r="I2284" s="2">
        <f>IF(AND(payments_raw[[#This Row],[sub_end_date]]&lt;&gt;"", payments_raw[[#This Row],[payment_date]] &gt; payments_raw[[#This Row],[sub_end_date]]), 1, 0)</f>
        <v>0</v>
      </c>
      <c r="J2284" s="2">
        <f>IF(payments_raw[[#This Row],[amount]] &lt;= 0, 1, 0)</f>
        <v>0</v>
      </c>
      <c r="K22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5" spans="1:11" x14ac:dyDescent="0.3">
      <c r="A2285">
        <v>16340888</v>
      </c>
      <c r="B2285">
        <v>2240239</v>
      </c>
      <c r="C2285" s="1">
        <v>44602</v>
      </c>
      <c r="D2285">
        <v>1490</v>
      </c>
      <c r="E2285">
        <f>IF(
  ISNA(
    _xlfn.XLOOKUP(
      payments_raw[[#This Row],[subscription_id]],
      subscriptions[subscription_id],
      subscriptions[subscription_id]
    )
  ),
  0,
  1
)</f>
        <v>1</v>
      </c>
      <c r="F2285" s="1">
        <f>_xlfn.XLOOKUP(payments_raw[[#This Row],[subscription_id]], subscriptions[subscription_id], subscriptions[start_date])</f>
        <v>44602</v>
      </c>
      <c r="G228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44875</v>
      </c>
      <c r="H2285" s="2">
        <f>IF(payments_raw[[#This Row],[payment_date]] &lt; payments_raw[[#This Row],[sub_start_date]], 1, 0)</f>
        <v>0</v>
      </c>
      <c r="I2285" s="2">
        <f>IF(AND(payments_raw[[#This Row],[sub_end_date]]&lt;&gt;"", payments_raw[[#This Row],[payment_date]] &gt; payments_raw[[#This Row],[sub_end_date]]), 1, 0)</f>
        <v>0</v>
      </c>
      <c r="J2285" s="2">
        <f>IF(payments_raw[[#This Row],[amount]] &lt;= 0, 1, 0)</f>
        <v>0</v>
      </c>
      <c r="K22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6" spans="1:11" x14ac:dyDescent="0.3">
      <c r="A2286">
        <v>56293495</v>
      </c>
      <c r="B2286">
        <v>3043656</v>
      </c>
      <c r="C2286" s="1">
        <v>45544</v>
      </c>
      <c r="D2286">
        <v>790</v>
      </c>
      <c r="E2286">
        <f>IF(
  ISNA(
    _xlfn.XLOOKUP(
      payments_raw[[#This Row],[subscription_id]],
      subscriptions[subscription_id],
      subscriptions[subscription_id]
    )
  ),
  0,
  1
)</f>
        <v>1</v>
      </c>
      <c r="F2286" s="1">
        <f>_xlfn.XLOOKUP(payments_raw[[#This Row],[subscription_id]], subscriptions[subscription_id], subscriptions[start_date])</f>
        <v>45176</v>
      </c>
      <c r="G22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6" s="2">
        <f>IF(payments_raw[[#This Row],[payment_date]] &lt; payments_raw[[#This Row],[sub_start_date]], 1, 0)</f>
        <v>0</v>
      </c>
      <c r="I2286" s="2">
        <f>IF(AND(payments_raw[[#This Row],[sub_end_date]]&lt;&gt;"", payments_raw[[#This Row],[payment_date]] &gt; payments_raw[[#This Row],[sub_end_date]]), 1, 0)</f>
        <v>0</v>
      </c>
      <c r="J2286" s="2">
        <f>IF(payments_raw[[#This Row],[amount]] &lt;= 0, 1, 0)</f>
        <v>0</v>
      </c>
      <c r="K22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7" spans="1:11" x14ac:dyDescent="0.3">
      <c r="A2287">
        <v>64129615</v>
      </c>
      <c r="B2287">
        <v>3520403</v>
      </c>
      <c r="C2287" s="1">
        <v>45207</v>
      </c>
      <c r="D2287">
        <v>149</v>
      </c>
      <c r="E2287">
        <f>IF(
  ISNA(
    _xlfn.XLOOKUP(
      payments_raw[[#This Row],[subscription_id]],
      subscriptions[subscription_id],
      subscriptions[subscription_id]
    )
  ),
  0,
  1
)</f>
        <v>1</v>
      </c>
      <c r="F2287" s="1">
        <f>_xlfn.XLOOKUP(payments_raw[[#This Row],[subscription_id]], subscriptions[subscription_id], subscriptions[start_date])</f>
        <v>45155</v>
      </c>
      <c r="G22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45525</v>
      </c>
      <c r="H2287" s="2">
        <f>IF(payments_raw[[#This Row],[payment_date]] &lt; payments_raw[[#This Row],[sub_start_date]], 1, 0)</f>
        <v>0</v>
      </c>
      <c r="I2287" s="2">
        <f>IF(AND(payments_raw[[#This Row],[sub_end_date]]&lt;&gt;"", payments_raw[[#This Row],[payment_date]] &gt; payments_raw[[#This Row],[sub_end_date]]), 1, 0)</f>
        <v>0</v>
      </c>
      <c r="J2287" s="2">
        <f>IF(payments_raw[[#This Row],[amount]] &lt;= 0, 1, 0)</f>
        <v>0</v>
      </c>
      <c r="K22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8" spans="1:11" x14ac:dyDescent="0.3">
      <c r="A2288">
        <v>90052851</v>
      </c>
      <c r="B2288">
        <v>6265434</v>
      </c>
      <c r="C2288" s="1">
        <v>45167</v>
      </c>
      <c r="D2288">
        <v>149</v>
      </c>
      <c r="E2288">
        <f>IF(
  ISNA(
    _xlfn.XLOOKUP(
      payments_raw[[#This Row],[subscription_id]],
      subscriptions[subscription_id],
      subscriptions[subscription_id]
    )
  ),
  0,
  1
)</f>
        <v>1</v>
      </c>
      <c r="F2288" s="1">
        <f>_xlfn.XLOOKUP(payments_raw[[#This Row],[subscription_id]], subscriptions[subscription_id], subscriptions[start_date])</f>
        <v>44803</v>
      </c>
      <c r="G22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8" s="2">
        <f>IF(payments_raw[[#This Row],[payment_date]] &lt; payments_raw[[#This Row],[sub_start_date]], 1, 0)</f>
        <v>0</v>
      </c>
      <c r="I2288" s="2">
        <f>IF(AND(payments_raw[[#This Row],[sub_end_date]]&lt;&gt;"", payments_raw[[#This Row],[payment_date]] &gt; payments_raw[[#This Row],[sub_end_date]]), 1, 0)</f>
        <v>0</v>
      </c>
      <c r="J2288" s="2">
        <f>IF(payments_raw[[#This Row],[amount]] &lt;= 0, 1, 0)</f>
        <v>0</v>
      </c>
      <c r="K22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89" spans="1:11" x14ac:dyDescent="0.3">
      <c r="A2289">
        <v>12320274</v>
      </c>
      <c r="B2289">
        <v>6889214</v>
      </c>
      <c r="C2289" s="1">
        <v>45651</v>
      </c>
      <c r="D2289">
        <v>79</v>
      </c>
      <c r="E2289">
        <f>IF(
  ISNA(
    _xlfn.XLOOKUP(
      payments_raw[[#This Row],[subscription_id]],
      subscriptions[subscription_id],
      subscriptions[subscription_id]
    )
  ),
  0,
  1
)</f>
        <v>1</v>
      </c>
      <c r="F2289" s="1">
        <f>_xlfn.XLOOKUP(payments_raw[[#This Row],[subscription_id]], subscriptions[subscription_id], subscriptions[start_date])</f>
        <v>45418</v>
      </c>
      <c r="G22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89" s="2">
        <f>IF(payments_raw[[#This Row],[payment_date]] &lt; payments_raw[[#This Row],[sub_start_date]], 1, 0)</f>
        <v>0</v>
      </c>
      <c r="I2289" s="2">
        <f>IF(AND(payments_raw[[#This Row],[sub_end_date]]&lt;&gt;"", payments_raw[[#This Row],[payment_date]] &gt; payments_raw[[#This Row],[sub_end_date]]), 1, 0)</f>
        <v>0</v>
      </c>
      <c r="J2289" s="2">
        <f>IF(payments_raw[[#This Row],[amount]] &lt;= 0, 1, 0)</f>
        <v>0</v>
      </c>
      <c r="K22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0" spans="1:11" x14ac:dyDescent="0.3">
      <c r="A2290">
        <v>57974300</v>
      </c>
      <c r="B2290">
        <v>9158676</v>
      </c>
      <c r="C2290" s="1">
        <v>45195</v>
      </c>
      <c r="D2290">
        <v>2990</v>
      </c>
      <c r="E2290">
        <f>IF(
  ISNA(
    _xlfn.XLOOKUP(
      payments_raw[[#This Row],[subscription_id]],
      subscriptions[subscription_id],
      subscriptions[subscription_id]
    )
  ),
  0,
  1
)</f>
        <v>1</v>
      </c>
      <c r="F2290" s="1">
        <f>_xlfn.XLOOKUP(payments_raw[[#This Row],[subscription_id]], subscriptions[subscription_id], subscriptions[start_date])</f>
        <v>44997</v>
      </c>
      <c r="G229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45270</v>
      </c>
      <c r="H2290" s="2">
        <f>IF(payments_raw[[#This Row],[payment_date]] &lt; payments_raw[[#This Row],[sub_start_date]], 1, 0)</f>
        <v>0</v>
      </c>
      <c r="I2290" s="2">
        <f>IF(AND(payments_raw[[#This Row],[sub_end_date]]&lt;&gt;"", payments_raw[[#This Row],[payment_date]] &gt; payments_raw[[#This Row],[sub_end_date]]), 1, 0)</f>
        <v>0</v>
      </c>
      <c r="J2290" s="2">
        <f>IF(payments_raw[[#This Row],[amount]] &lt;= 0, 1, 0)</f>
        <v>0</v>
      </c>
      <c r="K22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1" spans="1:11" x14ac:dyDescent="0.3">
      <c r="A2291">
        <v>84887875</v>
      </c>
      <c r="B2291">
        <v>3715983</v>
      </c>
      <c r="C2291" s="1">
        <v>45507</v>
      </c>
      <c r="D2291">
        <v>299</v>
      </c>
      <c r="E2291">
        <f>IF(
  ISNA(
    _xlfn.XLOOKUP(
      payments_raw[[#This Row],[subscription_id]],
      subscriptions[subscription_id],
      subscriptions[subscription_id]
    )
  ),
  0,
  1
)</f>
        <v>1</v>
      </c>
      <c r="F2291" s="1">
        <f>_xlfn.XLOOKUP(payments_raw[[#This Row],[subscription_id]], subscriptions[subscription_id], subscriptions[start_date])</f>
        <v>45374</v>
      </c>
      <c r="G22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1" s="2">
        <f>IF(payments_raw[[#This Row],[payment_date]] &lt; payments_raw[[#This Row],[sub_start_date]], 1, 0)</f>
        <v>0</v>
      </c>
      <c r="I2291" s="2">
        <f>IF(AND(payments_raw[[#This Row],[sub_end_date]]&lt;&gt;"", payments_raw[[#This Row],[payment_date]] &gt; payments_raw[[#This Row],[sub_end_date]]), 1, 0)</f>
        <v>0</v>
      </c>
      <c r="J2291" s="2">
        <f>IF(payments_raw[[#This Row],[amount]] &lt;= 0, 1, 0)</f>
        <v>0</v>
      </c>
      <c r="K22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2" spans="1:11" x14ac:dyDescent="0.3">
      <c r="A2292">
        <v>35713686</v>
      </c>
      <c r="B2292">
        <v>7341430</v>
      </c>
      <c r="C2292" s="1">
        <v>45611</v>
      </c>
      <c r="D2292">
        <v>390</v>
      </c>
      <c r="E2292">
        <f>IF(
  ISNA(
    _xlfn.XLOOKUP(
      payments_raw[[#This Row],[subscription_id]],
      subscriptions[subscription_id],
      subscriptions[subscription_id]
    )
  ),
  0,
  1
)</f>
        <v>1</v>
      </c>
      <c r="F2292" s="1">
        <f>_xlfn.XLOOKUP(payments_raw[[#This Row],[subscription_id]], subscriptions[subscription_id], subscriptions[start_date])</f>
        <v>45555</v>
      </c>
      <c r="G22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292" s="2">
        <f>IF(payments_raw[[#This Row],[payment_date]] &lt; payments_raw[[#This Row],[sub_start_date]], 1, 0)</f>
        <v>0</v>
      </c>
      <c r="I2292" s="2">
        <f>IF(AND(payments_raw[[#This Row],[sub_end_date]]&lt;&gt;"", payments_raw[[#This Row],[payment_date]] &gt; payments_raw[[#This Row],[sub_end_date]]), 1, 0)</f>
        <v>0</v>
      </c>
      <c r="J2292" s="2">
        <f>IF(payments_raw[[#This Row],[amount]] &lt;= 0, 1, 0)</f>
        <v>0</v>
      </c>
      <c r="K22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3" spans="1:11" x14ac:dyDescent="0.3">
      <c r="A2293">
        <v>99250285</v>
      </c>
      <c r="B2293">
        <v>8955730</v>
      </c>
      <c r="C2293" s="1">
        <v>45276</v>
      </c>
      <c r="D2293">
        <v>19</v>
      </c>
      <c r="E2293">
        <f>IF(
  ISNA(
    _xlfn.XLOOKUP(
      payments_raw[[#This Row],[subscription_id]],
      subscriptions[subscription_id],
      subscriptions[subscription_id]
    )
  ),
  0,
  1
)</f>
        <v>1</v>
      </c>
      <c r="F2293" s="1">
        <f>_xlfn.XLOOKUP(payments_raw[[#This Row],[subscription_id]], subscriptions[subscription_id], subscriptions[start_date])</f>
        <v>44975</v>
      </c>
      <c r="G22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3" s="2">
        <f>IF(payments_raw[[#This Row],[payment_date]] &lt; payments_raw[[#This Row],[sub_start_date]], 1, 0)</f>
        <v>0</v>
      </c>
      <c r="I2293" s="2">
        <f>IF(AND(payments_raw[[#This Row],[sub_end_date]]&lt;&gt;"", payments_raw[[#This Row],[payment_date]] &gt; payments_raw[[#This Row],[sub_end_date]]), 1, 0)</f>
        <v>0</v>
      </c>
      <c r="J2293" s="2">
        <f>IF(payments_raw[[#This Row],[amount]] &lt;= 0, 1, 0)</f>
        <v>0</v>
      </c>
      <c r="K22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4" spans="1:11" x14ac:dyDescent="0.3">
      <c r="A2294">
        <v>86434610</v>
      </c>
      <c r="B2294">
        <v>2953294</v>
      </c>
      <c r="C2294" s="1">
        <v>45007</v>
      </c>
      <c r="D2294">
        <v>299</v>
      </c>
      <c r="E2294">
        <f>IF(
  ISNA(
    _xlfn.XLOOKUP(
      payments_raw[[#This Row],[subscription_id]],
      subscriptions[subscription_id],
      subscriptions[subscription_id]
    )
  ),
  0,
  1
)</f>
        <v>1</v>
      </c>
      <c r="F2294" s="1">
        <f>_xlfn.XLOOKUP(payments_raw[[#This Row],[subscription_id]], subscriptions[subscription_id], subscriptions[start_date])</f>
        <v>44954</v>
      </c>
      <c r="G22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4" s="2">
        <f>IF(payments_raw[[#This Row],[payment_date]] &lt; payments_raw[[#This Row],[sub_start_date]], 1, 0)</f>
        <v>0</v>
      </c>
      <c r="I2294" s="2">
        <f>IF(AND(payments_raw[[#This Row],[sub_end_date]]&lt;&gt;"", payments_raw[[#This Row],[payment_date]] &gt; payments_raw[[#This Row],[sub_end_date]]), 1, 0)</f>
        <v>0</v>
      </c>
      <c r="J2294" s="2">
        <f>IF(payments_raw[[#This Row],[amount]] &lt;= 0, 1, 0)</f>
        <v>0</v>
      </c>
      <c r="K22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5" spans="1:11" x14ac:dyDescent="0.3">
      <c r="A2295">
        <v>74404694</v>
      </c>
      <c r="B2295">
        <v>8573586</v>
      </c>
      <c r="C2295" s="1">
        <v>45654</v>
      </c>
      <c r="D2295">
        <v>39</v>
      </c>
      <c r="E2295">
        <f>IF(
  ISNA(
    _xlfn.XLOOKUP(
      payments_raw[[#This Row],[subscription_id]],
      subscriptions[subscription_id],
      subscriptions[subscription_id]
    )
  ),
  0,
  1
)</f>
        <v>1</v>
      </c>
      <c r="F2295" s="1">
        <f>_xlfn.XLOOKUP(payments_raw[[#This Row],[subscription_id]], subscriptions[subscription_id], subscriptions[start_date])</f>
        <v>45421</v>
      </c>
      <c r="G22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5" s="2">
        <f>IF(payments_raw[[#This Row],[payment_date]] &lt; payments_raw[[#This Row],[sub_start_date]], 1, 0)</f>
        <v>0</v>
      </c>
      <c r="I2295" s="2">
        <f>IF(AND(payments_raw[[#This Row],[sub_end_date]]&lt;&gt;"", payments_raw[[#This Row],[payment_date]] &gt; payments_raw[[#This Row],[sub_end_date]]), 1, 0)</f>
        <v>0</v>
      </c>
      <c r="J2295" s="2">
        <f>IF(payments_raw[[#This Row],[amount]] &lt;= 0, 1, 0)</f>
        <v>0</v>
      </c>
      <c r="K22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6" spans="1:11" x14ac:dyDescent="0.3">
      <c r="A2296">
        <v>12618007</v>
      </c>
      <c r="B2296">
        <v>7279004</v>
      </c>
      <c r="C2296" s="1">
        <v>44814</v>
      </c>
      <c r="D2296">
        <v>149</v>
      </c>
      <c r="E2296">
        <f>IF(
  ISNA(
    _xlfn.XLOOKUP(
      payments_raw[[#This Row],[subscription_id]],
      subscriptions[subscription_id],
      subscriptions[subscription_id]
    )
  ),
  0,
  1
)</f>
        <v>1</v>
      </c>
      <c r="F2296" s="1">
        <f>_xlfn.XLOOKUP(payments_raw[[#This Row],[subscription_id]], subscriptions[subscription_id], subscriptions[start_date])</f>
        <v>44572</v>
      </c>
      <c r="G22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6" s="2">
        <f>IF(payments_raw[[#This Row],[payment_date]] &lt; payments_raw[[#This Row],[sub_start_date]], 1, 0)</f>
        <v>0</v>
      </c>
      <c r="I2296" s="2">
        <f>IF(AND(payments_raw[[#This Row],[sub_end_date]]&lt;&gt;"", payments_raw[[#This Row],[payment_date]] &gt; payments_raw[[#This Row],[sub_end_date]]), 1, 0)</f>
        <v>0</v>
      </c>
      <c r="J2296" s="2">
        <f>IF(payments_raw[[#This Row],[amount]] &lt;= 0, 1, 0)</f>
        <v>0</v>
      </c>
      <c r="K22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7" spans="1:11" x14ac:dyDescent="0.3">
      <c r="A2297">
        <v>31742665</v>
      </c>
      <c r="B2297">
        <v>8165734</v>
      </c>
      <c r="C2297" s="1">
        <v>44959</v>
      </c>
      <c r="D2297">
        <v>79</v>
      </c>
      <c r="E2297">
        <f>IF(
  ISNA(
    _xlfn.XLOOKUP(
      payments_raw[[#This Row],[subscription_id]],
      subscriptions[subscription_id],
      subscriptions[subscription_id]
    )
  ),
  0,
  1
)</f>
        <v>1</v>
      </c>
      <c r="F2297" s="1">
        <f>_xlfn.XLOOKUP(payments_raw[[#This Row],[subscription_id]], subscriptions[subscription_id], subscriptions[start_date])</f>
        <v>44906</v>
      </c>
      <c r="G229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2297" s="2">
        <f>IF(payments_raw[[#This Row],[payment_date]] &lt; payments_raw[[#This Row],[sub_start_date]], 1, 0)</f>
        <v>0</v>
      </c>
      <c r="I2297" s="2">
        <f>IF(AND(payments_raw[[#This Row],[sub_end_date]]&lt;&gt;"", payments_raw[[#This Row],[payment_date]] &gt; payments_raw[[#This Row],[sub_end_date]]), 1, 0)</f>
        <v>0</v>
      </c>
      <c r="J2297" s="2">
        <f>IF(payments_raw[[#This Row],[amount]] &lt;= 0, 1, 0)</f>
        <v>0</v>
      </c>
      <c r="K22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8" spans="1:11" x14ac:dyDescent="0.3">
      <c r="A2298">
        <v>14686812</v>
      </c>
      <c r="B2298">
        <v>5944200</v>
      </c>
      <c r="C2298" s="1">
        <v>45511</v>
      </c>
      <c r="D2298">
        <v>1490</v>
      </c>
      <c r="E2298">
        <f>IF(
  ISNA(
    _xlfn.XLOOKUP(
      payments_raw[[#This Row],[subscription_id]],
      subscriptions[subscription_id],
      subscriptions[subscription_id]
    )
  ),
  0,
  1
)</f>
        <v>1</v>
      </c>
      <c r="F2298" s="1">
        <f>_xlfn.XLOOKUP(payments_raw[[#This Row],[subscription_id]], subscriptions[subscription_id], subscriptions[start_date])</f>
        <v>45504</v>
      </c>
      <c r="G22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8" s="2">
        <f>IF(payments_raw[[#This Row],[payment_date]] &lt; payments_raw[[#This Row],[sub_start_date]], 1, 0)</f>
        <v>0</v>
      </c>
      <c r="I2298" s="2">
        <f>IF(AND(payments_raw[[#This Row],[sub_end_date]]&lt;&gt;"", payments_raw[[#This Row],[payment_date]] &gt; payments_raw[[#This Row],[sub_end_date]]), 1, 0)</f>
        <v>0</v>
      </c>
      <c r="J2298" s="2">
        <f>IF(payments_raw[[#This Row],[amount]] &lt;= 0, 1, 0)</f>
        <v>0</v>
      </c>
      <c r="K22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299" spans="1:11" x14ac:dyDescent="0.3">
      <c r="A2299">
        <v>37386444</v>
      </c>
      <c r="B2299">
        <v>3675009</v>
      </c>
      <c r="C2299" s="1">
        <v>45529</v>
      </c>
      <c r="D2299">
        <v>79</v>
      </c>
      <c r="E2299">
        <f>IF(
  ISNA(
    _xlfn.XLOOKUP(
      payments_raw[[#This Row],[subscription_id]],
      subscriptions[subscription_id],
      subscriptions[subscription_id]
    )
  ),
  0,
  1
)</f>
        <v>1</v>
      </c>
      <c r="F2299" s="1">
        <f>_xlfn.XLOOKUP(payments_raw[[#This Row],[subscription_id]], subscriptions[subscription_id], subscriptions[start_date])</f>
        <v>45420</v>
      </c>
      <c r="G22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299" s="2">
        <f>IF(payments_raw[[#This Row],[payment_date]] &lt; payments_raw[[#This Row],[sub_start_date]], 1, 0)</f>
        <v>0</v>
      </c>
      <c r="I2299" s="2">
        <f>IF(AND(payments_raw[[#This Row],[sub_end_date]]&lt;&gt;"", payments_raw[[#This Row],[payment_date]] &gt; payments_raw[[#This Row],[sub_end_date]]), 1, 0)</f>
        <v>0</v>
      </c>
      <c r="J2299" s="2">
        <f>IF(payments_raw[[#This Row],[amount]] &lt;= 0, 1, 0)</f>
        <v>0</v>
      </c>
      <c r="K22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0" spans="1:11" x14ac:dyDescent="0.3">
      <c r="A2300">
        <v>26492036</v>
      </c>
      <c r="B2300">
        <v>2081652</v>
      </c>
      <c r="C2300" s="1">
        <v>45235</v>
      </c>
      <c r="D2300">
        <v>790</v>
      </c>
      <c r="E2300">
        <f>IF(
  ISNA(
    _xlfn.XLOOKUP(
      payments_raw[[#This Row],[subscription_id]],
      subscriptions[subscription_id],
      subscriptions[subscription_id]
    )
  ),
  0,
  1
)</f>
        <v>1</v>
      </c>
      <c r="F2300" s="1">
        <f>_xlfn.XLOOKUP(payments_raw[[#This Row],[subscription_id]], subscriptions[subscription_id], subscriptions[start_date])</f>
        <v>45211</v>
      </c>
      <c r="G23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0" s="2">
        <f>IF(payments_raw[[#This Row],[payment_date]] &lt; payments_raw[[#This Row],[sub_start_date]], 1, 0)</f>
        <v>0</v>
      </c>
      <c r="I2300" s="2">
        <f>IF(AND(payments_raw[[#This Row],[sub_end_date]]&lt;&gt;"", payments_raw[[#This Row],[payment_date]] &gt; payments_raw[[#This Row],[sub_end_date]]), 1, 0)</f>
        <v>0</v>
      </c>
      <c r="J2300" s="2">
        <f>IF(payments_raw[[#This Row],[amount]] &lt;= 0, 1, 0)</f>
        <v>0</v>
      </c>
      <c r="K23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1" spans="1:11" x14ac:dyDescent="0.3">
      <c r="A2301">
        <v>49678304</v>
      </c>
      <c r="B2301">
        <v>5876441</v>
      </c>
      <c r="C2301" s="1">
        <v>45339</v>
      </c>
      <c r="D2301">
        <v>19</v>
      </c>
      <c r="E2301">
        <f>IF(
  ISNA(
    _xlfn.XLOOKUP(
      payments_raw[[#This Row],[subscription_id]],
      subscriptions[subscription_id],
      subscriptions[subscription_id]
    )
  ),
  0,
  1
)</f>
        <v>1</v>
      </c>
      <c r="F2301" s="1">
        <f>_xlfn.XLOOKUP(payments_raw[[#This Row],[subscription_id]], subscriptions[subscription_id], subscriptions[start_date])</f>
        <v>45029</v>
      </c>
      <c r="G23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1" s="2">
        <f>IF(payments_raw[[#This Row],[payment_date]] &lt; payments_raw[[#This Row],[sub_start_date]], 1, 0)</f>
        <v>0</v>
      </c>
      <c r="I2301" s="2">
        <f>IF(AND(payments_raw[[#This Row],[sub_end_date]]&lt;&gt;"", payments_raw[[#This Row],[payment_date]] &gt; payments_raw[[#This Row],[sub_end_date]]), 1, 0)</f>
        <v>0</v>
      </c>
      <c r="J2301" s="2">
        <f>IF(payments_raw[[#This Row],[amount]] &lt;= 0, 1, 0)</f>
        <v>0</v>
      </c>
      <c r="K23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2" spans="1:11" x14ac:dyDescent="0.3">
      <c r="A2302">
        <v>43831592</v>
      </c>
      <c r="B2302">
        <v>4350987</v>
      </c>
      <c r="C2302" s="1">
        <v>45096</v>
      </c>
      <c r="D2302">
        <v>190</v>
      </c>
      <c r="E2302">
        <f>IF(
  ISNA(
    _xlfn.XLOOKUP(
      payments_raw[[#This Row],[subscription_id]],
      subscriptions[subscription_id],
      subscriptions[subscription_id]
    )
  ),
  0,
  1
)</f>
        <v>1</v>
      </c>
      <c r="F2302" s="1">
        <f>_xlfn.XLOOKUP(payments_raw[[#This Row],[subscription_id]], subscriptions[subscription_id], subscriptions[start_date])</f>
        <v>44962</v>
      </c>
      <c r="G23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2" s="2">
        <f>IF(payments_raw[[#This Row],[payment_date]] &lt; payments_raw[[#This Row],[sub_start_date]], 1, 0)</f>
        <v>0</v>
      </c>
      <c r="I2302" s="2">
        <f>IF(AND(payments_raw[[#This Row],[sub_end_date]]&lt;&gt;"", payments_raw[[#This Row],[payment_date]] &gt; payments_raw[[#This Row],[sub_end_date]]), 1, 0)</f>
        <v>0</v>
      </c>
      <c r="J2302" s="2">
        <f>IF(payments_raw[[#This Row],[amount]] &lt;= 0, 1, 0)</f>
        <v>0</v>
      </c>
      <c r="K23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3" spans="1:11" x14ac:dyDescent="0.3">
      <c r="A2303">
        <v>15807045</v>
      </c>
      <c r="B2303">
        <v>7291774</v>
      </c>
      <c r="C2303" s="1">
        <v>45085</v>
      </c>
      <c r="D2303">
        <v>149</v>
      </c>
      <c r="E2303">
        <f>IF(
  ISNA(
    _xlfn.XLOOKUP(
      payments_raw[[#This Row],[subscription_id]],
      subscriptions[subscription_id],
      subscriptions[subscription_id]
    )
  ),
  0,
  1
)</f>
        <v>1</v>
      </c>
      <c r="F2303" s="1">
        <f>_xlfn.XLOOKUP(payments_raw[[#This Row],[subscription_id]], subscriptions[subscription_id], subscriptions[start_date])</f>
        <v>44683</v>
      </c>
      <c r="G23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3" s="2">
        <f>IF(payments_raw[[#This Row],[payment_date]] &lt; payments_raw[[#This Row],[sub_start_date]], 1, 0)</f>
        <v>0</v>
      </c>
      <c r="I2303" s="2">
        <f>IF(AND(payments_raw[[#This Row],[sub_end_date]]&lt;&gt;"", payments_raw[[#This Row],[payment_date]] &gt; payments_raw[[#This Row],[sub_end_date]]), 1, 0)</f>
        <v>0</v>
      </c>
      <c r="J2303" s="2">
        <f>IF(payments_raw[[#This Row],[amount]] &lt;= 0, 1, 0)</f>
        <v>0</v>
      </c>
      <c r="K23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4" spans="1:11" x14ac:dyDescent="0.3">
      <c r="A2304">
        <v>99290377</v>
      </c>
      <c r="B2304">
        <v>3398377</v>
      </c>
      <c r="C2304" s="1">
        <v>44718</v>
      </c>
      <c r="D2304">
        <v>79</v>
      </c>
      <c r="E2304">
        <f>IF(
  ISNA(
    _xlfn.XLOOKUP(
      payments_raw[[#This Row],[subscription_id]],
      subscriptions[subscription_id],
      subscriptions[subscription_id]
    )
  ),
  0,
  1
)</f>
        <v>1</v>
      </c>
      <c r="F2304" s="1">
        <f>_xlfn.XLOOKUP(payments_raw[[#This Row],[subscription_id]], subscriptions[subscription_id], subscriptions[start_date])</f>
        <v>44631</v>
      </c>
      <c r="G230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2304" s="2">
        <f>IF(payments_raw[[#This Row],[payment_date]] &lt; payments_raw[[#This Row],[sub_start_date]], 1, 0)</f>
        <v>0</v>
      </c>
      <c r="I2304" s="2">
        <f>IF(AND(payments_raw[[#This Row],[sub_end_date]]&lt;&gt;"", payments_raw[[#This Row],[payment_date]] &gt; payments_raw[[#This Row],[sub_end_date]]), 1, 0)</f>
        <v>0</v>
      </c>
      <c r="J2304" s="2">
        <f>IF(payments_raw[[#This Row],[amount]] &lt;= 0, 1, 0)</f>
        <v>0</v>
      </c>
      <c r="K23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5" spans="1:11" x14ac:dyDescent="0.3">
      <c r="A2305">
        <v>84977524</v>
      </c>
      <c r="B2305">
        <v>7096391</v>
      </c>
      <c r="C2305" s="1">
        <v>45585</v>
      </c>
      <c r="D2305">
        <v>79</v>
      </c>
      <c r="E2305">
        <f>IF(
  ISNA(
    _xlfn.XLOOKUP(
      payments_raw[[#This Row],[subscription_id]],
      subscriptions[subscription_id],
      subscriptions[subscription_id]
    )
  ),
  0,
  1
)</f>
        <v>1</v>
      </c>
      <c r="F2305" s="1">
        <f>_xlfn.XLOOKUP(payments_raw[[#This Row],[subscription_id]], subscriptions[subscription_id], subscriptions[start_date])</f>
        <v>45380</v>
      </c>
      <c r="G23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2305" s="2">
        <f>IF(payments_raw[[#This Row],[payment_date]] &lt; payments_raw[[#This Row],[sub_start_date]], 1, 0)</f>
        <v>0</v>
      </c>
      <c r="I2305" s="2">
        <f>IF(AND(payments_raw[[#This Row],[sub_end_date]]&lt;&gt;"", payments_raw[[#This Row],[payment_date]] &gt; payments_raw[[#This Row],[sub_end_date]]), 1, 0)</f>
        <v>0</v>
      </c>
      <c r="J2305" s="2">
        <f>IF(payments_raw[[#This Row],[amount]] &lt;= 0, 1, 0)</f>
        <v>0</v>
      </c>
      <c r="K23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6" spans="1:11" x14ac:dyDescent="0.3">
      <c r="A2306">
        <v>60227662</v>
      </c>
      <c r="B2306">
        <v>7403032</v>
      </c>
      <c r="C2306" s="1">
        <v>45498</v>
      </c>
      <c r="D2306">
        <v>19</v>
      </c>
      <c r="E2306">
        <f>IF(
  ISNA(
    _xlfn.XLOOKUP(
      payments_raw[[#This Row],[subscription_id]],
      subscriptions[subscription_id],
      subscriptions[subscription_id]
    )
  ),
  0,
  1
)</f>
        <v>1</v>
      </c>
      <c r="F2306" s="1">
        <f>_xlfn.XLOOKUP(payments_raw[[#This Row],[subscription_id]], subscriptions[subscription_id], subscriptions[start_date])</f>
        <v>45456</v>
      </c>
      <c r="G23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45600</v>
      </c>
      <c r="H2306" s="2">
        <f>IF(payments_raw[[#This Row],[payment_date]] &lt; payments_raw[[#This Row],[sub_start_date]], 1, 0)</f>
        <v>0</v>
      </c>
      <c r="I2306" s="2">
        <f>IF(AND(payments_raw[[#This Row],[sub_end_date]]&lt;&gt;"", payments_raw[[#This Row],[payment_date]] &gt; payments_raw[[#This Row],[sub_end_date]]), 1, 0)</f>
        <v>0</v>
      </c>
      <c r="J2306" s="2">
        <f>IF(payments_raw[[#This Row],[amount]] &lt;= 0, 1, 0)</f>
        <v>0</v>
      </c>
      <c r="K23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7" spans="1:11" x14ac:dyDescent="0.3">
      <c r="A2307">
        <v>15183403</v>
      </c>
      <c r="B2307">
        <v>5429825</v>
      </c>
      <c r="C2307" s="1">
        <v>45221</v>
      </c>
      <c r="D2307">
        <v>390</v>
      </c>
      <c r="E2307">
        <f>IF(
  ISNA(
    _xlfn.XLOOKUP(
      payments_raw[[#This Row],[subscription_id]],
      subscriptions[subscription_id],
      subscriptions[subscription_id]
    )
  ),
  0,
  1
)</f>
        <v>1</v>
      </c>
      <c r="F2307" s="1">
        <f>_xlfn.XLOOKUP(payments_raw[[#This Row],[subscription_id]], subscriptions[subscription_id], subscriptions[start_date])</f>
        <v>44835</v>
      </c>
      <c r="G23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7" s="2">
        <f>IF(payments_raw[[#This Row],[payment_date]] &lt; payments_raw[[#This Row],[sub_start_date]], 1, 0)</f>
        <v>0</v>
      </c>
      <c r="I2307" s="2">
        <f>IF(AND(payments_raw[[#This Row],[sub_end_date]]&lt;&gt;"", payments_raw[[#This Row],[payment_date]] &gt; payments_raw[[#This Row],[sub_end_date]]), 1, 0)</f>
        <v>0</v>
      </c>
      <c r="J2307" s="2">
        <f>IF(payments_raw[[#This Row],[amount]] &lt;= 0, 1, 0)</f>
        <v>0</v>
      </c>
      <c r="K23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8" spans="1:11" x14ac:dyDescent="0.3">
      <c r="A2308">
        <v>26917610</v>
      </c>
      <c r="B2308">
        <v>9222577</v>
      </c>
      <c r="C2308" s="1">
        <v>45255</v>
      </c>
      <c r="D2308">
        <v>190</v>
      </c>
      <c r="E2308">
        <f>IF(
  ISNA(
    _xlfn.XLOOKUP(
      payments_raw[[#This Row],[subscription_id]],
      subscriptions[subscription_id],
      subscriptions[subscription_id]
    )
  ),
  0,
  1
)</f>
        <v>1</v>
      </c>
      <c r="F2308" s="1">
        <f>_xlfn.XLOOKUP(payments_raw[[#This Row],[subscription_id]], subscriptions[subscription_id], subscriptions[start_date])</f>
        <v>45136</v>
      </c>
      <c r="G23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8" s="2">
        <f>IF(payments_raw[[#This Row],[payment_date]] &lt; payments_raw[[#This Row],[sub_start_date]], 1, 0)</f>
        <v>0</v>
      </c>
      <c r="I2308" s="2">
        <f>IF(AND(payments_raw[[#This Row],[sub_end_date]]&lt;&gt;"", payments_raw[[#This Row],[payment_date]] &gt; payments_raw[[#This Row],[sub_end_date]]), 1, 0)</f>
        <v>0</v>
      </c>
      <c r="J2308" s="2">
        <f>IF(payments_raw[[#This Row],[amount]] &lt;= 0, 1, 0)</f>
        <v>0</v>
      </c>
      <c r="K23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09" spans="1:11" x14ac:dyDescent="0.3">
      <c r="A2309">
        <v>56196801</v>
      </c>
      <c r="B2309">
        <v>8272245</v>
      </c>
      <c r="C2309" s="1">
        <v>45649</v>
      </c>
      <c r="D2309">
        <v>149</v>
      </c>
      <c r="E2309">
        <f>IF(
  ISNA(
    _xlfn.XLOOKUP(
      payments_raw[[#This Row],[subscription_id]],
      subscriptions[subscription_id],
      subscriptions[subscription_id]
    )
  ),
  0,
  1
)</f>
        <v>1</v>
      </c>
      <c r="F2309" s="1">
        <f>_xlfn.XLOOKUP(payments_raw[[#This Row],[subscription_id]], subscriptions[subscription_id], subscriptions[start_date])</f>
        <v>45493</v>
      </c>
      <c r="G23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09" s="2">
        <f>IF(payments_raw[[#This Row],[payment_date]] &lt; payments_raw[[#This Row],[sub_start_date]], 1, 0)</f>
        <v>0</v>
      </c>
      <c r="I2309" s="2">
        <f>IF(AND(payments_raw[[#This Row],[sub_end_date]]&lt;&gt;"", payments_raw[[#This Row],[payment_date]] &gt; payments_raw[[#This Row],[sub_end_date]]), 1, 0)</f>
        <v>0</v>
      </c>
      <c r="J2309" s="2">
        <f>IF(payments_raw[[#This Row],[amount]] &lt;= 0, 1, 0)</f>
        <v>0</v>
      </c>
      <c r="K23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0" spans="1:11" x14ac:dyDescent="0.3">
      <c r="A2310">
        <v>74114036</v>
      </c>
      <c r="B2310">
        <v>6323988</v>
      </c>
      <c r="C2310" s="1">
        <v>44787</v>
      </c>
      <c r="D2310">
        <v>39</v>
      </c>
      <c r="E2310">
        <f>IF(
  ISNA(
    _xlfn.XLOOKUP(
      payments_raw[[#This Row],[subscription_id]],
      subscriptions[subscription_id],
      subscriptions[subscription_id]
    )
  ),
  0,
  1
)</f>
        <v>1</v>
      </c>
      <c r="F2310" s="1">
        <f>_xlfn.XLOOKUP(payments_raw[[#This Row],[subscription_id]], subscriptions[subscription_id], subscriptions[start_date])</f>
        <v>44647</v>
      </c>
      <c r="G23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0" s="2">
        <f>IF(payments_raw[[#This Row],[payment_date]] &lt; payments_raw[[#This Row],[sub_start_date]], 1, 0)</f>
        <v>0</v>
      </c>
      <c r="I2310" s="2">
        <f>IF(AND(payments_raw[[#This Row],[sub_end_date]]&lt;&gt;"", payments_raw[[#This Row],[payment_date]] &gt; payments_raw[[#This Row],[sub_end_date]]), 1, 0)</f>
        <v>0</v>
      </c>
      <c r="J2310" s="2">
        <f>IF(payments_raw[[#This Row],[amount]] &lt;= 0, 1, 0)</f>
        <v>0</v>
      </c>
      <c r="K23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1" spans="1:11" x14ac:dyDescent="0.3">
      <c r="A2311">
        <v>67105644</v>
      </c>
      <c r="B2311">
        <v>8666411</v>
      </c>
      <c r="C2311" s="1">
        <v>44960</v>
      </c>
      <c r="D2311">
        <v>1490</v>
      </c>
      <c r="E2311">
        <f>IF(
  ISNA(
    _xlfn.XLOOKUP(
      payments_raw[[#This Row],[subscription_id]],
      subscriptions[subscription_id],
      subscriptions[subscription_id]
    )
  ),
  0,
  1
)</f>
        <v>1</v>
      </c>
      <c r="F2311" s="1">
        <f>_xlfn.XLOOKUP(payments_raw[[#This Row],[subscription_id]], subscriptions[subscription_id], subscriptions[start_date])</f>
        <v>44595</v>
      </c>
      <c r="G23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1" s="2">
        <f>IF(payments_raw[[#This Row],[payment_date]] &lt; payments_raw[[#This Row],[sub_start_date]], 1, 0)</f>
        <v>0</v>
      </c>
      <c r="I2311" s="2">
        <f>IF(AND(payments_raw[[#This Row],[sub_end_date]]&lt;&gt;"", payments_raw[[#This Row],[payment_date]] &gt; payments_raw[[#This Row],[sub_end_date]]), 1, 0)</f>
        <v>0</v>
      </c>
      <c r="J2311" s="2">
        <f>IF(payments_raw[[#This Row],[amount]] &lt;= 0, 1, 0)</f>
        <v>0</v>
      </c>
      <c r="K23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2" spans="1:11" x14ac:dyDescent="0.3">
      <c r="A2312">
        <v>34266570</v>
      </c>
      <c r="B2312">
        <v>6326787</v>
      </c>
      <c r="C2312" s="1">
        <v>44610</v>
      </c>
      <c r="D2312">
        <v>190</v>
      </c>
      <c r="E2312">
        <f>IF(
  ISNA(
    _xlfn.XLOOKUP(
      payments_raw[[#This Row],[subscription_id]],
      subscriptions[subscription_id],
      subscriptions[subscription_id]
    )
  ),
  0,
  1
)</f>
        <v>1</v>
      </c>
      <c r="F2312" s="1">
        <f>_xlfn.XLOOKUP(payments_raw[[#This Row],[subscription_id]], subscriptions[subscription_id], subscriptions[start_date])</f>
        <v>44603</v>
      </c>
      <c r="G2312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2312" s="2">
        <f>IF(payments_raw[[#This Row],[payment_date]] &lt; payments_raw[[#This Row],[sub_start_date]], 1, 0)</f>
        <v>0</v>
      </c>
      <c r="I2312" s="2">
        <f>IF(AND(payments_raw[[#This Row],[sub_end_date]]&lt;&gt;"", payments_raw[[#This Row],[payment_date]] &gt; payments_raw[[#This Row],[sub_end_date]]), 1, 0)</f>
        <v>0</v>
      </c>
      <c r="J2312" s="2">
        <f>IF(payments_raw[[#This Row],[amount]] &lt;= 0, 1, 0)</f>
        <v>0</v>
      </c>
      <c r="K23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3" spans="1:11" x14ac:dyDescent="0.3">
      <c r="A2313">
        <v>54531458</v>
      </c>
      <c r="B2313">
        <v>8859936</v>
      </c>
      <c r="C2313" s="1">
        <v>45574</v>
      </c>
      <c r="D2313">
        <v>149</v>
      </c>
      <c r="E2313">
        <f>IF(
  ISNA(
    _xlfn.XLOOKUP(
      payments_raw[[#This Row],[subscription_id]],
      subscriptions[subscription_id],
      subscriptions[subscription_id]
    )
  ),
  0,
  1
)</f>
        <v>1</v>
      </c>
      <c r="F2313" s="1">
        <f>_xlfn.XLOOKUP(payments_raw[[#This Row],[subscription_id]], subscriptions[subscription_id], subscriptions[start_date])</f>
        <v>45514</v>
      </c>
      <c r="G23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3" s="2">
        <f>IF(payments_raw[[#This Row],[payment_date]] &lt; payments_raw[[#This Row],[sub_start_date]], 1, 0)</f>
        <v>0</v>
      </c>
      <c r="I2313" s="2">
        <f>IF(AND(payments_raw[[#This Row],[sub_end_date]]&lt;&gt;"", payments_raw[[#This Row],[payment_date]] &gt; payments_raw[[#This Row],[sub_end_date]]), 1, 0)</f>
        <v>0</v>
      </c>
      <c r="J2313" s="2">
        <f>IF(payments_raw[[#This Row],[amount]] &lt;= 0, 1, 0)</f>
        <v>0</v>
      </c>
      <c r="K23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4" spans="1:11" x14ac:dyDescent="0.3">
      <c r="A2314">
        <v>95255405</v>
      </c>
      <c r="B2314">
        <v>7328832</v>
      </c>
      <c r="C2314" s="1">
        <v>45481</v>
      </c>
      <c r="D2314">
        <v>149</v>
      </c>
      <c r="E2314">
        <f>IF(
  ISNA(
    _xlfn.XLOOKUP(
      payments_raw[[#This Row],[subscription_id]],
      subscriptions[subscription_id],
      subscriptions[subscription_id]
    )
  ),
  0,
  1
)</f>
        <v>1</v>
      </c>
      <c r="F2314" s="1">
        <f>_xlfn.XLOOKUP(payments_raw[[#This Row],[subscription_id]], subscriptions[subscription_id], subscriptions[start_date])</f>
        <v>44818</v>
      </c>
      <c r="G23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4" s="2">
        <f>IF(payments_raw[[#This Row],[payment_date]] &lt; payments_raw[[#This Row],[sub_start_date]], 1, 0)</f>
        <v>0</v>
      </c>
      <c r="I2314" s="2">
        <f>IF(AND(payments_raw[[#This Row],[sub_end_date]]&lt;&gt;"", payments_raw[[#This Row],[payment_date]] &gt; payments_raw[[#This Row],[sub_end_date]]), 1, 0)</f>
        <v>0</v>
      </c>
      <c r="J2314" s="2">
        <f>IF(payments_raw[[#This Row],[amount]] &lt;= 0, 1, 0)</f>
        <v>0</v>
      </c>
      <c r="K23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5" spans="1:11" x14ac:dyDescent="0.3">
      <c r="A2315">
        <v>68999002</v>
      </c>
      <c r="B2315">
        <v>6991611</v>
      </c>
      <c r="C2315" s="1">
        <v>45648</v>
      </c>
      <c r="D2315">
        <v>292.5</v>
      </c>
      <c r="E2315">
        <f>IF(
  ISNA(
    _xlfn.XLOOKUP(
      payments_raw[[#This Row],[subscription_id]],
      subscriptions[subscription_id],
      subscriptions[subscription_id]
    )
  ),
  0,
  1
)</f>
        <v>1</v>
      </c>
      <c r="F2315" s="1">
        <f>_xlfn.XLOOKUP(payments_raw[[#This Row],[subscription_id]], subscriptions[subscription_id], subscriptions[start_date])</f>
        <v>45547</v>
      </c>
      <c r="G23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5" s="2">
        <f>IF(payments_raw[[#This Row],[payment_date]] &lt; payments_raw[[#This Row],[sub_start_date]], 1, 0)</f>
        <v>0</v>
      </c>
      <c r="I2315" s="2">
        <f>IF(AND(payments_raw[[#This Row],[sub_end_date]]&lt;&gt;"", payments_raw[[#This Row],[payment_date]] &gt; payments_raw[[#This Row],[sub_end_date]]), 1, 0)</f>
        <v>0</v>
      </c>
      <c r="J2315" s="2">
        <f>IF(payments_raw[[#This Row],[amount]] &lt;= 0, 1, 0)</f>
        <v>0</v>
      </c>
      <c r="K23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6" spans="1:11" x14ac:dyDescent="0.3">
      <c r="A2316">
        <v>51245534</v>
      </c>
      <c r="B2316">
        <v>8666411</v>
      </c>
      <c r="C2316" s="1">
        <v>45578</v>
      </c>
      <c r="D2316">
        <v>1490</v>
      </c>
      <c r="E2316">
        <f>IF(
  ISNA(
    _xlfn.XLOOKUP(
      payments_raw[[#This Row],[subscription_id]],
      subscriptions[subscription_id],
      subscriptions[subscription_id]
    )
  ),
  0,
  1
)</f>
        <v>1</v>
      </c>
      <c r="F2316" s="1">
        <f>_xlfn.XLOOKUP(payments_raw[[#This Row],[subscription_id]], subscriptions[subscription_id], subscriptions[start_date])</f>
        <v>44595</v>
      </c>
      <c r="G23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6" s="2">
        <f>IF(payments_raw[[#This Row],[payment_date]] &lt; payments_raw[[#This Row],[sub_start_date]], 1, 0)</f>
        <v>0</v>
      </c>
      <c r="I2316" s="2">
        <f>IF(AND(payments_raw[[#This Row],[sub_end_date]]&lt;&gt;"", payments_raw[[#This Row],[payment_date]] &gt; payments_raw[[#This Row],[sub_end_date]]), 1, 0)</f>
        <v>0</v>
      </c>
      <c r="J2316" s="2">
        <f>IF(payments_raw[[#This Row],[amount]] &lt;= 0, 1, 0)</f>
        <v>0</v>
      </c>
      <c r="K23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7" spans="1:11" x14ac:dyDescent="0.3">
      <c r="A2317">
        <v>50745011</v>
      </c>
      <c r="B2317">
        <v>1750894</v>
      </c>
      <c r="C2317" s="1">
        <v>45435</v>
      </c>
      <c r="D2317">
        <v>299</v>
      </c>
      <c r="E2317">
        <f>IF(
  ISNA(
    _xlfn.XLOOKUP(
      payments_raw[[#This Row],[subscription_id]],
      subscriptions[subscription_id],
      subscriptions[subscription_id]
    )
  ),
  0,
  1
)</f>
        <v>1</v>
      </c>
      <c r="F2317" s="1">
        <f>_xlfn.XLOOKUP(payments_raw[[#This Row],[subscription_id]], subscriptions[subscription_id], subscriptions[start_date])</f>
        <v>44881</v>
      </c>
      <c r="G23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7" s="2">
        <f>IF(payments_raw[[#This Row],[payment_date]] &lt; payments_raw[[#This Row],[sub_start_date]], 1, 0)</f>
        <v>0</v>
      </c>
      <c r="I2317" s="2">
        <f>IF(AND(payments_raw[[#This Row],[sub_end_date]]&lt;&gt;"", payments_raw[[#This Row],[payment_date]] &gt; payments_raw[[#This Row],[sub_end_date]]), 1, 0)</f>
        <v>0</v>
      </c>
      <c r="J2317" s="2">
        <f>IF(payments_raw[[#This Row],[amount]] &lt;= 0, 1, 0)</f>
        <v>0</v>
      </c>
      <c r="K23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8" spans="1:11" x14ac:dyDescent="0.3">
      <c r="A2318">
        <v>53712070</v>
      </c>
      <c r="B2318">
        <v>4310140</v>
      </c>
      <c r="C2318" s="1">
        <v>45623</v>
      </c>
      <c r="D2318">
        <v>19</v>
      </c>
      <c r="E2318">
        <f>IF(
  ISNA(
    _xlfn.XLOOKUP(
      payments_raw[[#This Row],[subscription_id]],
      subscriptions[subscription_id],
      subscriptions[subscription_id]
    )
  ),
  0,
  1
)</f>
        <v>1</v>
      </c>
      <c r="F2318" s="1">
        <f>_xlfn.XLOOKUP(payments_raw[[#This Row],[subscription_id]], subscriptions[subscription_id], subscriptions[start_date])</f>
        <v>45576</v>
      </c>
      <c r="G23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318" s="2">
        <f>IF(payments_raw[[#This Row],[payment_date]] &lt; payments_raw[[#This Row],[sub_start_date]], 1, 0)</f>
        <v>0</v>
      </c>
      <c r="I2318" s="2">
        <f>IF(AND(payments_raw[[#This Row],[sub_end_date]]&lt;&gt;"", payments_raw[[#This Row],[payment_date]] &gt; payments_raw[[#This Row],[sub_end_date]]), 1, 0)</f>
        <v>0</v>
      </c>
      <c r="J2318" s="2">
        <f>IF(payments_raw[[#This Row],[amount]] &lt;= 0, 1, 0)</f>
        <v>0</v>
      </c>
      <c r="K23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19" spans="1:11" x14ac:dyDescent="0.3">
      <c r="A2319">
        <v>90635631</v>
      </c>
      <c r="B2319">
        <v>6556840</v>
      </c>
      <c r="C2319" s="1">
        <v>45521</v>
      </c>
      <c r="D2319">
        <v>149</v>
      </c>
      <c r="E2319">
        <f>IF(
  ISNA(
    _xlfn.XLOOKUP(
      payments_raw[[#This Row],[subscription_id]],
      subscriptions[subscription_id],
      subscriptions[subscription_id]
    )
  ),
  0,
  1
)</f>
        <v>1</v>
      </c>
      <c r="F2319" s="1">
        <f>_xlfn.XLOOKUP(payments_raw[[#This Row],[subscription_id]], subscriptions[subscription_id], subscriptions[start_date])</f>
        <v>44626</v>
      </c>
      <c r="G23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19" s="2">
        <f>IF(payments_raw[[#This Row],[payment_date]] &lt; payments_raw[[#This Row],[sub_start_date]], 1, 0)</f>
        <v>0</v>
      </c>
      <c r="I2319" s="2">
        <f>IF(AND(payments_raw[[#This Row],[sub_end_date]]&lt;&gt;"", payments_raw[[#This Row],[payment_date]] &gt; payments_raw[[#This Row],[sub_end_date]]), 1, 0)</f>
        <v>0</v>
      </c>
      <c r="J2319" s="2">
        <f>IF(payments_raw[[#This Row],[amount]] &lt;= 0, 1, 0)</f>
        <v>0</v>
      </c>
      <c r="K23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0" spans="1:11" x14ac:dyDescent="0.3">
      <c r="A2320">
        <v>22937099</v>
      </c>
      <c r="B2320">
        <v>5309362</v>
      </c>
      <c r="C2320" s="1">
        <v>44941</v>
      </c>
      <c r="D2320">
        <v>149</v>
      </c>
      <c r="E2320">
        <f>IF(
  ISNA(
    _xlfn.XLOOKUP(
      payments_raw[[#This Row],[subscription_id]],
      subscriptions[subscription_id],
      subscriptions[subscription_id]
    )
  ),
  0,
  1
)</f>
        <v>1</v>
      </c>
      <c r="F2320" s="1">
        <f>_xlfn.XLOOKUP(payments_raw[[#This Row],[subscription_id]], subscriptions[subscription_id], subscriptions[start_date])</f>
        <v>44724</v>
      </c>
      <c r="G23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2320" s="2">
        <f>IF(payments_raw[[#This Row],[payment_date]] &lt; payments_raw[[#This Row],[sub_start_date]], 1, 0)</f>
        <v>0</v>
      </c>
      <c r="I2320" s="2">
        <f>IF(AND(payments_raw[[#This Row],[sub_end_date]]&lt;&gt;"", payments_raw[[#This Row],[payment_date]] &gt; payments_raw[[#This Row],[sub_end_date]]), 1, 0)</f>
        <v>0</v>
      </c>
      <c r="J2320" s="2">
        <f>IF(payments_raw[[#This Row],[amount]] &lt;= 0, 1, 0)</f>
        <v>0</v>
      </c>
      <c r="K23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1" spans="1:11" x14ac:dyDescent="0.3">
      <c r="A2321">
        <v>41106335</v>
      </c>
      <c r="B2321">
        <v>5239867</v>
      </c>
      <c r="C2321" s="1">
        <v>45502</v>
      </c>
      <c r="D2321">
        <v>149</v>
      </c>
      <c r="E2321">
        <f>IF(
  ISNA(
    _xlfn.XLOOKUP(
      payments_raw[[#This Row],[subscription_id]],
      subscriptions[subscription_id],
      subscriptions[subscription_id]
    )
  ),
  0,
  1
)</f>
        <v>1</v>
      </c>
      <c r="F2321" s="1">
        <f>_xlfn.XLOOKUP(payments_raw[[#This Row],[subscription_id]], subscriptions[subscription_id], subscriptions[start_date])</f>
        <v>44955</v>
      </c>
      <c r="G23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21" s="2">
        <f>IF(payments_raw[[#This Row],[payment_date]] &lt; payments_raw[[#This Row],[sub_start_date]], 1, 0)</f>
        <v>0</v>
      </c>
      <c r="I2321" s="2">
        <f>IF(AND(payments_raw[[#This Row],[sub_end_date]]&lt;&gt;"", payments_raw[[#This Row],[payment_date]] &gt; payments_raw[[#This Row],[sub_end_date]]), 1, 0)</f>
        <v>0</v>
      </c>
      <c r="J2321" s="2">
        <f>IF(payments_raw[[#This Row],[amount]] &lt;= 0, 1, 0)</f>
        <v>0</v>
      </c>
      <c r="K23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2" spans="1:11" x14ac:dyDescent="0.3">
      <c r="A2322">
        <v>10819619</v>
      </c>
      <c r="B2322">
        <v>4453773</v>
      </c>
      <c r="C2322" s="1">
        <v>45606</v>
      </c>
      <c r="D2322">
        <v>299</v>
      </c>
      <c r="E2322">
        <f>IF(
  ISNA(
    _xlfn.XLOOKUP(
      payments_raw[[#This Row],[subscription_id]],
      subscriptions[subscription_id],
      subscriptions[subscription_id]
    )
  ),
  0,
  1
)</f>
        <v>1</v>
      </c>
      <c r="F2322" s="1">
        <f>_xlfn.XLOOKUP(payments_raw[[#This Row],[subscription_id]], subscriptions[subscription_id], subscriptions[start_date])</f>
        <v>45575</v>
      </c>
      <c r="G23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45629</v>
      </c>
      <c r="H2322" s="2">
        <f>IF(payments_raw[[#This Row],[payment_date]] &lt; payments_raw[[#This Row],[sub_start_date]], 1, 0)</f>
        <v>0</v>
      </c>
      <c r="I2322" s="2">
        <f>IF(AND(payments_raw[[#This Row],[sub_end_date]]&lt;&gt;"", payments_raw[[#This Row],[payment_date]] &gt; payments_raw[[#This Row],[sub_end_date]]), 1, 0)</f>
        <v>0</v>
      </c>
      <c r="J2322" s="2">
        <f>IF(payments_raw[[#This Row],[amount]] &lt;= 0, 1, 0)</f>
        <v>0</v>
      </c>
      <c r="K23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3" spans="1:11" x14ac:dyDescent="0.3">
      <c r="A2323">
        <v>28411972</v>
      </c>
      <c r="B2323">
        <v>3029740</v>
      </c>
      <c r="C2323" s="1">
        <v>45198</v>
      </c>
      <c r="D2323">
        <v>19</v>
      </c>
      <c r="E2323">
        <f>IF(
  ISNA(
    _xlfn.XLOOKUP(
      payments_raw[[#This Row],[subscription_id]],
      subscriptions[subscription_id],
      subscriptions[subscription_id]
    )
  ),
  0,
  1
)</f>
        <v>1</v>
      </c>
      <c r="F2323" s="1">
        <f>_xlfn.XLOOKUP(payments_raw[[#This Row],[subscription_id]], subscriptions[subscription_id], subscriptions[start_date])</f>
        <v>44610</v>
      </c>
      <c r="G23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23" s="2">
        <f>IF(payments_raw[[#This Row],[payment_date]] &lt; payments_raw[[#This Row],[sub_start_date]], 1, 0)</f>
        <v>0</v>
      </c>
      <c r="I2323" s="2">
        <f>IF(AND(payments_raw[[#This Row],[sub_end_date]]&lt;&gt;"", payments_raw[[#This Row],[payment_date]] &gt; payments_raw[[#This Row],[sub_end_date]]), 1, 0)</f>
        <v>0</v>
      </c>
      <c r="J2323" s="2">
        <f>IF(payments_raw[[#This Row],[amount]] &lt;= 0, 1, 0)</f>
        <v>0</v>
      </c>
      <c r="K23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4" spans="1:11" x14ac:dyDescent="0.3">
      <c r="A2324">
        <v>56667256</v>
      </c>
      <c r="B2324">
        <v>4031181</v>
      </c>
      <c r="C2324" s="1">
        <v>45379</v>
      </c>
      <c r="D2324">
        <v>79</v>
      </c>
      <c r="E2324">
        <f>IF(
  ISNA(
    _xlfn.XLOOKUP(
      payments_raw[[#This Row],[subscription_id]],
      subscriptions[subscription_id],
      subscriptions[subscription_id]
    )
  ),
  0,
  1
)</f>
        <v>1</v>
      </c>
      <c r="F2324" s="1">
        <f>_xlfn.XLOOKUP(payments_raw[[#This Row],[subscription_id]], subscriptions[subscription_id], subscriptions[start_date])</f>
        <v>45268</v>
      </c>
      <c r="G23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2324" s="2">
        <f>IF(payments_raw[[#This Row],[payment_date]] &lt; payments_raw[[#This Row],[sub_start_date]], 1, 0)</f>
        <v>0</v>
      </c>
      <c r="I2324" s="2">
        <f>IF(AND(payments_raw[[#This Row],[sub_end_date]]&lt;&gt;"", payments_raw[[#This Row],[payment_date]] &gt; payments_raw[[#This Row],[sub_end_date]]), 1, 0)</f>
        <v>0</v>
      </c>
      <c r="J2324" s="2">
        <f>IF(payments_raw[[#This Row],[amount]] &lt;= 0, 1, 0)</f>
        <v>0</v>
      </c>
      <c r="K23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5" spans="1:11" x14ac:dyDescent="0.3">
      <c r="A2325">
        <v>89984645</v>
      </c>
      <c r="B2325">
        <v>3827180</v>
      </c>
      <c r="C2325" s="1">
        <v>44593</v>
      </c>
      <c r="D2325">
        <v>745</v>
      </c>
      <c r="E2325">
        <f>IF(
  ISNA(
    _xlfn.XLOOKUP(
      payments_raw[[#This Row],[subscription_id]],
      subscriptions[subscription_id],
      subscriptions[subscription_id]
    )
  ),
  0,
  1
)</f>
        <v>1</v>
      </c>
      <c r="F2325" s="1">
        <f>_xlfn.XLOOKUP(payments_raw[[#This Row],[subscription_id]], subscriptions[subscription_id], subscriptions[start_date])</f>
        <v>44565</v>
      </c>
      <c r="G232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44865</v>
      </c>
      <c r="H2325" s="2">
        <f>IF(payments_raw[[#This Row],[payment_date]] &lt; payments_raw[[#This Row],[sub_start_date]], 1, 0)</f>
        <v>0</v>
      </c>
      <c r="I2325" s="2">
        <f>IF(AND(payments_raw[[#This Row],[sub_end_date]]&lt;&gt;"", payments_raw[[#This Row],[payment_date]] &gt; payments_raw[[#This Row],[sub_end_date]]), 1, 0)</f>
        <v>0</v>
      </c>
      <c r="J2325" s="2">
        <f>IF(payments_raw[[#This Row],[amount]] &lt;= 0, 1, 0)</f>
        <v>0</v>
      </c>
      <c r="K23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6" spans="1:11" x14ac:dyDescent="0.3">
      <c r="A2326">
        <v>62933653</v>
      </c>
      <c r="B2326">
        <v>2542997</v>
      </c>
      <c r="C2326" s="1">
        <v>45340</v>
      </c>
      <c r="D2326">
        <v>39</v>
      </c>
      <c r="E2326">
        <f>IF(
  ISNA(
    _xlfn.XLOOKUP(
      payments_raw[[#This Row],[subscription_id]],
      subscriptions[subscription_id],
      subscriptions[subscription_id]
    )
  ),
  0,
  1
)</f>
        <v>1</v>
      </c>
      <c r="F2326" s="1">
        <f>_xlfn.XLOOKUP(payments_raw[[#This Row],[subscription_id]], subscriptions[subscription_id], subscriptions[start_date])</f>
        <v>45275</v>
      </c>
      <c r="G23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326" s="2">
        <f>IF(payments_raw[[#This Row],[payment_date]] &lt; payments_raw[[#This Row],[sub_start_date]], 1, 0)</f>
        <v>0</v>
      </c>
      <c r="I2326" s="2">
        <f>IF(AND(payments_raw[[#This Row],[sub_end_date]]&lt;&gt;"", payments_raw[[#This Row],[payment_date]] &gt; payments_raw[[#This Row],[sub_end_date]]), 1, 0)</f>
        <v>0</v>
      </c>
      <c r="J2326" s="2">
        <f>IF(payments_raw[[#This Row],[amount]] &lt;= 0, 1, 0)</f>
        <v>0</v>
      </c>
      <c r="K23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7" spans="1:11" x14ac:dyDescent="0.3">
      <c r="A2327">
        <v>22268114</v>
      </c>
      <c r="B2327">
        <v>5832903</v>
      </c>
      <c r="C2327" s="1">
        <v>45639</v>
      </c>
      <c r="D2327">
        <v>1490</v>
      </c>
      <c r="E2327">
        <f>IF(
  ISNA(
    _xlfn.XLOOKUP(
      payments_raw[[#This Row],[subscription_id]],
      subscriptions[subscription_id],
      subscriptions[subscription_id]
    )
  ),
  0,
  1
)</f>
        <v>1</v>
      </c>
      <c r="F2327" s="1">
        <f>_xlfn.XLOOKUP(payments_raw[[#This Row],[subscription_id]], subscriptions[subscription_id], subscriptions[start_date])</f>
        <v>44687</v>
      </c>
      <c r="G23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27" s="2">
        <f>IF(payments_raw[[#This Row],[payment_date]] &lt; payments_raw[[#This Row],[sub_start_date]], 1, 0)</f>
        <v>0</v>
      </c>
      <c r="I2327" s="2">
        <f>IF(AND(payments_raw[[#This Row],[sub_end_date]]&lt;&gt;"", payments_raw[[#This Row],[payment_date]] &gt; payments_raw[[#This Row],[sub_end_date]]), 1, 0)</f>
        <v>0</v>
      </c>
      <c r="J2327" s="2">
        <f>IF(payments_raw[[#This Row],[amount]] &lt;= 0, 1, 0)</f>
        <v>0</v>
      </c>
      <c r="K23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8" spans="1:11" x14ac:dyDescent="0.3">
      <c r="A2328">
        <v>73391224</v>
      </c>
      <c r="B2328">
        <v>6875686</v>
      </c>
      <c r="C2328" s="1">
        <v>45263</v>
      </c>
      <c r="D2328">
        <v>299</v>
      </c>
      <c r="E2328">
        <f>IF(
  ISNA(
    _xlfn.XLOOKUP(
      payments_raw[[#This Row],[subscription_id]],
      subscriptions[subscription_id],
      subscriptions[subscription_id]
    )
  ),
  0,
  1
)</f>
        <v>1</v>
      </c>
      <c r="F2328" s="1">
        <f>_xlfn.XLOOKUP(payments_raw[[#This Row],[subscription_id]], subscriptions[subscription_id], subscriptions[start_date])</f>
        <v>45142</v>
      </c>
      <c r="G23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2328" s="2">
        <f>IF(payments_raw[[#This Row],[payment_date]] &lt; payments_raw[[#This Row],[sub_start_date]], 1, 0)</f>
        <v>0</v>
      </c>
      <c r="I2328" s="2">
        <f>IF(AND(payments_raw[[#This Row],[sub_end_date]]&lt;&gt;"", payments_raw[[#This Row],[payment_date]] &gt; payments_raw[[#This Row],[sub_end_date]]), 1, 0)</f>
        <v>0</v>
      </c>
      <c r="J2328" s="2">
        <f>IF(payments_raw[[#This Row],[amount]] &lt;= 0, 1, 0)</f>
        <v>0</v>
      </c>
      <c r="K23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29" spans="1:11" x14ac:dyDescent="0.3">
      <c r="A2329">
        <v>95911762</v>
      </c>
      <c r="B2329">
        <v>3869392</v>
      </c>
      <c r="C2329" s="1">
        <v>45124</v>
      </c>
      <c r="D2329">
        <v>79</v>
      </c>
      <c r="E2329">
        <f>IF(
  ISNA(
    _xlfn.XLOOKUP(
      payments_raw[[#This Row],[subscription_id]],
      subscriptions[subscription_id],
      subscriptions[subscription_id]
    )
  ),
  0,
  1
)</f>
        <v>1</v>
      </c>
      <c r="F2329" s="1">
        <f>_xlfn.XLOOKUP(payments_raw[[#This Row],[subscription_id]], subscriptions[subscription_id], subscriptions[start_date])</f>
        <v>44978</v>
      </c>
      <c r="G23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29" s="2">
        <f>IF(payments_raw[[#This Row],[payment_date]] &lt; payments_raw[[#This Row],[sub_start_date]], 1, 0)</f>
        <v>0</v>
      </c>
      <c r="I2329" s="2">
        <f>IF(AND(payments_raw[[#This Row],[sub_end_date]]&lt;&gt;"", payments_raw[[#This Row],[payment_date]] &gt; payments_raw[[#This Row],[sub_end_date]]), 1, 0)</f>
        <v>0</v>
      </c>
      <c r="J2329" s="2">
        <f>IF(payments_raw[[#This Row],[amount]] &lt;= 0, 1, 0)</f>
        <v>0</v>
      </c>
      <c r="K23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0" spans="1:11" x14ac:dyDescent="0.3">
      <c r="A2330">
        <v>72185010</v>
      </c>
      <c r="B2330">
        <v>9214437</v>
      </c>
      <c r="C2330" s="1">
        <v>45263</v>
      </c>
      <c r="D2330">
        <v>19</v>
      </c>
      <c r="E2330">
        <f>IF(
  ISNA(
    _xlfn.XLOOKUP(
      payments_raw[[#This Row],[subscription_id]],
      subscriptions[subscription_id],
      subscriptions[subscription_id]
    )
  ),
  0,
  1
)</f>
        <v>1</v>
      </c>
      <c r="F2330" s="1">
        <f>_xlfn.XLOOKUP(payments_raw[[#This Row],[subscription_id]], subscriptions[subscription_id], subscriptions[start_date])</f>
        <v>44757</v>
      </c>
      <c r="G23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0" s="2">
        <f>IF(payments_raw[[#This Row],[payment_date]] &lt; payments_raw[[#This Row],[sub_start_date]], 1, 0)</f>
        <v>0</v>
      </c>
      <c r="I2330" s="2">
        <f>IF(AND(payments_raw[[#This Row],[sub_end_date]]&lt;&gt;"", payments_raw[[#This Row],[payment_date]] &gt; payments_raw[[#This Row],[sub_end_date]]), 1, 0)</f>
        <v>0</v>
      </c>
      <c r="J2330" s="2">
        <f>IF(payments_raw[[#This Row],[amount]] &lt;= 0, 1, 0)</f>
        <v>0</v>
      </c>
      <c r="K23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1" spans="1:11" x14ac:dyDescent="0.3">
      <c r="A2331">
        <v>46332731</v>
      </c>
      <c r="B2331">
        <v>6852648</v>
      </c>
      <c r="C2331" s="1">
        <v>45514</v>
      </c>
      <c r="D2331">
        <v>390</v>
      </c>
      <c r="E2331">
        <f>IF(
  ISNA(
    _xlfn.XLOOKUP(
      payments_raw[[#This Row],[subscription_id]],
      subscriptions[subscription_id],
      subscriptions[subscription_id]
    )
  ),
  0,
  1
)</f>
        <v>1</v>
      </c>
      <c r="F2331" s="1">
        <f>_xlfn.XLOOKUP(payments_raw[[#This Row],[subscription_id]], subscriptions[subscription_id], subscriptions[start_date])</f>
        <v>45240</v>
      </c>
      <c r="G23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1" s="2">
        <f>IF(payments_raw[[#This Row],[payment_date]] &lt; payments_raw[[#This Row],[sub_start_date]], 1, 0)</f>
        <v>0</v>
      </c>
      <c r="I2331" s="2">
        <f>IF(AND(payments_raw[[#This Row],[sub_end_date]]&lt;&gt;"", payments_raw[[#This Row],[payment_date]] &gt; payments_raw[[#This Row],[sub_end_date]]), 1, 0)</f>
        <v>0</v>
      </c>
      <c r="J2331" s="2">
        <f>IF(payments_raw[[#This Row],[amount]] &lt;= 0, 1, 0)</f>
        <v>0</v>
      </c>
      <c r="K23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2" spans="1:11" x14ac:dyDescent="0.3">
      <c r="A2332">
        <v>43068667</v>
      </c>
      <c r="B2332">
        <v>9303529</v>
      </c>
      <c r="C2332" s="1">
        <v>45454</v>
      </c>
      <c r="D2332">
        <v>390</v>
      </c>
      <c r="E2332">
        <f>IF(
  ISNA(
    _xlfn.XLOOKUP(
      payments_raw[[#This Row],[subscription_id]],
      subscriptions[subscription_id],
      subscriptions[subscription_id]
    )
  ),
  0,
  1
)</f>
        <v>1</v>
      </c>
      <c r="F2332" s="1">
        <f>_xlfn.XLOOKUP(payments_raw[[#This Row],[subscription_id]], subscriptions[subscription_id], subscriptions[start_date])</f>
        <v>44822</v>
      </c>
      <c r="G23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2" s="2">
        <f>IF(payments_raw[[#This Row],[payment_date]] &lt; payments_raw[[#This Row],[sub_start_date]], 1, 0)</f>
        <v>0</v>
      </c>
      <c r="I2332" s="2">
        <f>IF(AND(payments_raw[[#This Row],[sub_end_date]]&lt;&gt;"", payments_raw[[#This Row],[payment_date]] &gt; payments_raw[[#This Row],[sub_end_date]]), 1, 0)</f>
        <v>0</v>
      </c>
      <c r="J2332" s="2">
        <f>IF(payments_raw[[#This Row],[amount]] &lt;= 0, 1, 0)</f>
        <v>0</v>
      </c>
      <c r="K23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3" spans="1:11" x14ac:dyDescent="0.3">
      <c r="A2333">
        <v>53081879</v>
      </c>
      <c r="B2333">
        <v>2987101</v>
      </c>
      <c r="C2333" s="1">
        <v>45565</v>
      </c>
      <c r="D2333">
        <v>19</v>
      </c>
      <c r="E2333">
        <f>IF(
  ISNA(
    _xlfn.XLOOKUP(
      payments_raw[[#This Row],[subscription_id]],
      subscriptions[subscription_id],
      subscriptions[subscription_id]
    )
  ),
  0,
  1
)</f>
        <v>1</v>
      </c>
      <c r="F2333" s="1">
        <f>_xlfn.XLOOKUP(payments_raw[[#This Row],[subscription_id]], subscriptions[subscription_id], subscriptions[start_date])</f>
        <v>45401</v>
      </c>
      <c r="G23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3" s="2">
        <f>IF(payments_raw[[#This Row],[payment_date]] &lt; payments_raw[[#This Row],[sub_start_date]], 1, 0)</f>
        <v>0</v>
      </c>
      <c r="I2333" s="2">
        <f>IF(AND(payments_raw[[#This Row],[sub_end_date]]&lt;&gt;"", payments_raw[[#This Row],[payment_date]] &gt; payments_raw[[#This Row],[sub_end_date]]), 1, 0)</f>
        <v>0</v>
      </c>
      <c r="J2333" s="2">
        <f>IF(payments_raw[[#This Row],[amount]] &lt;= 0, 1, 0)</f>
        <v>0</v>
      </c>
      <c r="K23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4" spans="1:11" x14ac:dyDescent="0.3">
      <c r="A2334">
        <v>32947096</v>
      </c>
      <c r="B2334">
        <v>1117156</v>
      </c>
      <c r="C2334" s="1">
        <v>45262</v>
      </c>
      <c r="D2334">
        <v>39</v>
      </c>
      <c r="E2334">
        <f>IF(
  ISNA(
    _xlfn.XLOOKUP(
      payments_raw[[#This Row],[subscription_id]],
      subscriptions[subscription_id],
      subscriptions[subscription_id]
    )
  ),
  0,
  1
)</f>
        <v>1</v>
      </c>
      <c r="F2334" s="1">
        <f>_xlfn.XLOOKUP(payments_raw[[#This Row],[subscription_id]], subscriptions[subscription_id], subscriptions[start_date])</f>
        <v>45077</v>
      </c>
      <c r="G23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4" s="2">
        <f>IF(payments_raw[[#This Row],[payment_date]] &lt; payments_raw[[#This Row],[sub_start_date]], 1, 0)</f>
        <v>0</v>
      </c>
      <c r="I2334" s="2">
        <f>IF(AND(payments_raw[[#This Row],[sub_end_date]]&lt;&gt;"", payments_raw[[#This Row],[payment_date]] &gt; payments_raw[[#This Row],[sub_end_date]]), 1, 0)</f>
        <v>0</v>
      </c>
      <c r="J2334" s="2">
        <f>IF(payments_raw[[#This Row],[amount]] &lt;= 0, 1, 0)</f>
        <v>0</v>
      </c>
      <c r="K23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5" spans="1:11" x14ac:dyDescent="0.3">
      <c r="A2335">
        <v>50973161</v>
      </c>
      <c r="B2335">
        <v>3376783</v>
      </c>
      <c r="C2335" s="1">
        <v>45218</v>
      </c>
      <c r="D2335">
        <v>149</v>
      </c>
      <c r="E2335">
        <f>IF(
  ISNA(
    _xlfn.XLOOKUP(
      payments_raw[[#This Row],[subscription_id]],
      subscriptions[subscription_id],
      subscriptions[subscription_id]
    )
  ),
  0,
  1
)</f>
        <v>1</v>
      </c>
      <c r="F2335" s="1">
        <f>_xlfn.XLOOKUP(payments_raw[[#This Row],[subscription_id]], subscriptions[subscription_id], subscriptions[start_date])</f>
        <v>45175</v>
      </c>
      <c r="G23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2335" s="2">
        <f>IF(payments_raw[[#This Row],[payment_date]] &lt; payments_raw[[#This Row],[sub_start_date]], 1, 0)</f>
        <v>0</v>
      </c>
      <c r="I2335" s="2">
        <f>IF(AND(payments_raw[[#This Row],[sub_end_date]]&lt;&gt;"", payments_raw[[#This Row],[payment_date]] &gt; payments_raw[[#This Row],[sub_end_date]]), 1, 0)</f>
        <v>0</v>
      </c>
      <c r="J2335" s="2">
        <f>IF(payments_raw[[#This Row],[amount]] &lt;= 0, 1, 0)</f>
        <v>0</v>
      </c>
      <c r="K23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6" spans="1:11" x14ac:dyDescent="0.3">
      <c r="A2336">
        <v>56476289</v>
      </c>
      <c r="B2336">
        <v>3939670</v>
      </c>
      <c r="C2336" s="1">
        <v>45226</v>
      </c>
      <c r="D2336">
        <v>39</v>
      </c>
      <c r="E2336">
        <f>IF(
  ISNA(
    _xlfn.XLOOKUP(
      payments_raw[[#This Row],[subscription_id]],
      subscriptions[subscription_id],
      subscriptions[subscription_id]
    )
  ),
  0,
  1
)</f>
        <v>1</v>
      </c>
      <c r="F2336" s="1">
        <f>_xlfn.XLOOKUP(payments_raw[[#This Row],[subscription_id]], subscriptions[subscription_id], subscriptions[start_date])</f>
        <v>45155</v>
      </c>
      <c r="G23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6" s="2">
        <f>IF(payments_raw[[#This Row],[payment_date]] &lt; payments_raw[[#This Row],[sub_start_date]], 1, 0)</f>
        <v>0</v>
      </c>
      <c r="I2336" s="2">
        <f>IF(AND(payments_raw[[#This Row],[sub_end_date]]&lt;&gt;"", payments_raw[[#This Row],[payment_date]] &gt; payments_raw[[#This Row],[sub_end_date]]), 1, 0)</f>
        <v>0</v>
      </c>
      <c r="J2336" s="2">
        <f>IF(payments_raw[[#This Row],[amount]] &lt;= 0, 1, 0)</f>
        <v>0</v>
      </c>
      <c r="K23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7" spans="1:11" x14ac:dyDescent="0.3">
      <c r="A2337">
        <v>51960195</v>
      </c>
      <c r="B2337">
        <v>7367900</v>
      </c>
      <c r="C2337" s="1">
        <v>45126</v>
      </c>
      <c r="D2337">
        <v>390</v>
      </c>
      <c r="E2337">
        <f>IF(
  ISNA(
    _xlfn.XLOOKUP(
      payments_raw[[#This Row],[subscription_id]],
      subscriptions[subscription_id],
      subscriptions[subscription_id]
    )
  ),
  0,
  1
)</f>
        <v>1</v>
      </c>
      <c r="F2337" s="1">
        <f>_xlfn.XLOOKUP(payments_raw[[#This Row],[subscription_id]], subscriptions[subscription_id], subscriptions[start_date])</f>
        <v>45114</v>
      </c>
      <c r="G23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2337" s="2">
        <f>IF(payments_raw[[#This Row],[payment_date]] &lt; payments_raw[[#This Row],[sub_start_date]], 1, 0)</f>
        <v>0</v>
      </c>
      <c r="I2337" s="2">
        <f>IF(AND(payments_raw[[#This Row],[sub_end_date]]&lt;&gt;"", payments_raw[[#This Row],[payment_date]] &gt; payments_raw[[#This Row],[sub_end_date]]), 1, 0)</f>
        <v>0</v>
      </c>
      <c r="J2337" s="2">
        <f>IF(payments_raw[[#This Row],[amount]] &lt;= 0, 1, 0)</f>
        <v>0</v>
      </c>
      <c r="K23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8" spans="1:11" x14ac:dyDescent="0.3">
      <c r="A2338">
        <v>77425226</v>
      </c>
      <c r="B2338">
        <v>4808186</v>
      </c>
      <c r="C2338" s="1">
        <v>45552</v>
      </c>
      <c r="D2338">
        <v>190</v>
      </c>
      <c r="E2338">
        <f>IF(
  ISNA(
    _xlfn.XLOOKUP(
      payments_raw[[#This Row],[subscription_id]],
      subscriptions[subscription_id],
      subscriptions[subscription_id]
    )
  ),
  0,
  1
)</f>
        <v>1</v>
      </c>
      <c r="F2338" s="1">
        <f>_xlfn.XLOOKUP(payments_raw[[#This Row],[subscription_id]], subscriptions[subscription_id], subscriptions[start_date])</f>
        <v>45385</v>
      </c>
      <c r="G23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38" s="2">
        <f>IF(payments_raw[[#This Row],[payment_date]] &lt; payments_raw[[#This Row],[sub_start_date]], 1, 0)</f>
        <v>0</v>
      </c>
      <c r="I2338" s="2">
        <f>IF(AND(payments_raw[[#This Row],[sub_end_date]]&lt;&gt;"", payments_raw[[#This Row],[payment_date]] &gt; payments_raw[[#This Row],[sub_end_date]]), 1, 0)</f>
        <v>0</v>
      </c>
      <c r="J2338" s="2">
        <f>IF(payments_raw[[#This Row],[amount]] &lt;= 0, 1, 0)</f>
        <v>0</v>
      </c>
      <c r="K23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39" spans="1:11" x14ac:dyDescent="0.3">
      <c r="A2339">
        <v>92536894</v>
      </c>
      <c r="B2339">
        <v>8919821</v>
      </c>
      <c r="C2339" s="1">
        <v>45145</v>
      </c>
      <c r="D2339">
        <v>299</v>
      </c>
      <c r="E2339">
        <f>IF(
  ISNA(
    _xlfn.XLOOKUP(
      payments_raw[[#This Row],[subscription_id]],
      subscriptions[subscription_id],
      subscriptions[subscription_id]
    )
  ),
  0,
  1
)</f>
        <v>1</v>
      </c>
      <c r="F2339" s="1">
        <f>_xlfn.XLOOKUP(payments_raw[[#This Row],[subscription_id]], subscriptions[subscription_id], subscriptions[start_date])</f>
        <v>45135</v>
      </c>
      <c r="G23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45216</v>
      </c>
      <c r="H2339" s="2">
        <f>IF(payments_raw[[#This Row],[payment_date]] &lt; payments_raw[[#This Row],[sub_start_date]], 1, 0)</f>
        <v>0</v>
      </c>
      <c r="I2339" s="2">
        <f>IF(AND(payments_raw[[#This Row],[sub_end_date]]&lt;&gt;"", payments_raw[[#This Row],[payment_date]] &gt; payments_raw[[#This Row],[sub_end_date]]), 1, 0)</f>
        <v>0</v>
      </c>
      <c r="J2339" s="2">
        <f>IF(payments_raw[[#This Row],[amount]] &lt;= 0, 1, 0)</f>
        <v>0</v>
      </c>
      <c r="K23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0" spans="1:11" x14ac:dyDescent="0.3">
      <c r="A2340">
        <v>17346961</v>
      </c>
      <c r="B2340">
        <v>6991611</v>
      </c>
      <c r="C2340" s="1">
        <v>45590</v>
      </c>
      <c r="D2340">
        <v>390</v>
      </c>
      <c r="E2340">
        <f>IF(
  ISNA(
    _xlfn.XLOOKUP(
      payments_raw[[#This Row],[subscription_id]],
      subscriptions[subscription_id],
      subscriptions[subscription_id]
    )
  ),
  0,
  1
)</f>
        <v>1</v>
      </c>
      <c r="F2340" s="1">
        <f>_xlfn.XLOOKUP(payments_raw[[#This Row],[subscription_id]], subscriptions[subscription_id], subscriptions[start_date])</f>
        <v>45547</v>
      </c>
      <c r="G23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0" s="2">
        <f>IF(payments_raw[[#This Row],[payment_date]] &lt; payments_raw[[#This Row],[sub_start_date]], 1, 0)</f>
        <v>0</v>
      </c>
      <c r="I2340" s="2">
        <f>IF(AND(payments_raw[[#This Row],[sub_end_date]]&lt;&gt;"", payments_raw[[#This Row],[payment_date]] &gt; payments_raw[[#This Row],[sub_end_date]]), 1, 0)</f>
        <v>0</v>
      </c>
      <c r="J2340" s="2">
        <f>IF(payments_raw[[#This Row],[amount]] &lt;= 0, 1, 0)</f>
        <v>0</v>
      </c>
      <c r="K23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1" spans="1:11" x14ac:dyDescent="0.3">
      <c r="A2341">
        <v>81013661</v>
      </c>
      <c r="B2341">
        <v>2368490</v>
      </c>
      <c r="C2341" s="1">
        <v>45583</v>
      </c>
      <c r="D2341">
        <v>59.25</v>
      </c>
      <c r="E2341">
        <f>IF(
  ISNA(
    _xlfn.XLOOKUP(
      payments_raw[[#This Row],[subscription_id]],
      subscriptions[subscription_id],
      subscriptions[subscription_id]
    )
  ),
  0,
  1
)</f>
        <v>1</v>
      </c>
      <c r="F2341" s="1">
        <f>_xlfn.XLOOKUP(payments_raw[[#This Row],[subscription_id]], subscriptions[subscription_id], subscriptions[start_date])</f>
        <v>45257</v>
      </c>
      <c r="G23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1" s="2">
        <f>IF(payments_raw[[#This Row],[payment_date]] &lt; payments_raw[[#This Row],[sub_start_date]], 1, 0)</f>
        <v>0</v>
      </c>
      <c r="I2341" s="2">
        <f>IF(AND(payments_raw[[#This Row],[sub_end_date]]&lt;&gt;"", payments_raw[[#This Row],[payment_date]] &gt; payments_raw[[#This Row],[sub_end_date]]), 1, 0)</f>
        <v>0</v>
      </c>
      <c r="J2341" s="2">
        <f>IF(payments_raw[[#This Row],[amount]] &lt;= 0, 1, 0)</f>
        <v>0</v>
      </c>
      <c r="K23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2" spans="1:11" x14ac:dyDescent="0.3">
      <c r="A2342">
        <v>90434851</v>
      </c>
      <c r="B2342">
        <v>8449415</v>
      </c>
      <c r="C2342" s="1">
        <v>44746</v>
      </c>
      <c r="D2342">
        <v>790</v>
      </c>
      <c r="E2342">
        <f>IF(
  ISNA(
    _xlfn.XLOOKUP(
      payments_raw[[#This Row],[subscription_id]],
      subscriptions[subscription_id],
      subscriptions[subscription_id]
    )
  ),
  0,
  1
)</f>
        <v>1</v>
      </c>
      <c r="F2342" s="1">
        <f>_xlfn.XLOOKUP(payments_raw[[#This Row],[subscription_id]], subscriptions[subscription_id], subscriptions[start_date])</f>
        <v>44652</v>
      </c>
      <c r="G23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2" s="2">
        <f>IF(payments_raw[[#This Row],[payment_date]] &lt; payments_raw[[#This Row],[sub_start_date]], 1, 0)</f>
        <v>0</v>
      </c>
      <c r="I2342" s="2">
        <f>IF(AND(payments_raw[[#This Row],[sub_end_date]]&lt;&gt;"", payments_raw[[#This Row],[payment_date]] &gt; payments_raw[[#This Row],[sub_end_date]]), 1, 0)</f>
        <v>0</v>
      </c>
      <c r="J2342" s="2">
        <f>IF(payments_raw[[#This Row],[amount]] &lt;= 0, 1, 0)</f>
        <v>0</v>
      </c>
      <c r="K23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3" spans="1:11" x14ac:dyDescent="0.3">
      <c r="A2343">
        <v>70949346</v>
      </c>
      <c r="B2343">
        <v>3030620</v>
      </c>
      <c r="C2343" s="1">
        <v>45074</v>
      </c>
      <c r="D2343">
        <v>1490</v>
      </c>
      <c r="E2343">
        <f>IF(
  ISNA(
    _xlfn.XLOOKUP(
      payments_raw[[#This Row],[subscription_id]],
      subscriptions[subscription_id],
      subscriptions[subscription_id]
    )
  ),
  0,
  1
)</f>
        <v>1</v>
      </c>
      <c r="F2343" s="1">
        <f>_xlfn.XLOOKUP(payments_raw[[#This Row],[subscription_id]], subscriptions[subscription_id], subscriptions[start_date])</f>
        <v>44760</v>
      </c>
      <c r="G23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3" s="2">
        <f>IF(payments_raw[[#This Row],[payment_date]] &lt; payments_raw[[#This Row],[sub_start_date]], 1, 0)</f>
        <v>0</v>
      </c>
      <c r="I2343" s="2">
        <f>IF(AND(payments_raw[[#This Row],[sub_end_date]]&lt;&gt;"", payments_raw[[#This Row],[payment_date]] &gt; payments_raw[[#This Row],[sub_end_date]]), 1, 0)</f>
        <v>0</v>
      </c>
      <c r="J2343" s="2">
        <f>IF(payments_raw[[#This Row],[amount]] &lt;= 0, 1, 0)</f>
        <v>0</v>
      </c>
      <c r="K23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4" spans="1:11" x14ac:dyDescent="0.3">
      <c r="A2344">
        <v>40913171</v>
      </c>
      <c r="B2344">
        <v>8135314</v>
      </c>
      <c r="C2344" s="1">
        <v>45390</v>
      </c>
      <c r="D2344">
        <v>19</v>
      </c>
      <c r="E2344">
        <f>IF(
  ISNA(
    _xlfn.XLOOKUP(
      payments_raw[[#This Row],[subscription_id]],
      subscriptions[subscription_id],
      subscriptions[subscription_id]
    )
  ),
  0,
  1
)</f>
        <v>1</v>
      </c>
      <c r="F2344" s="1">
        <f>_xlfn.XLOOKUP(payments_raw[[#This Row],[subscription_id]], subscriptions[subscription_id], subscriptions[start_date])</f>
        <v>45367</v>
      </c>
      <c r="G23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45399</v>
      </c>
      <c r="H2344" s="2">
        <f>IF(payments_raw[[#This Row],[payment_date]] &lt; payments_raw[[#This Row],[sub_start_date]], 1, 0)</f>
        <v>0</v>
      </c>
      <c r="I2344" s="2">
        <f>IF(AND(payments_raw[[#This Row],[sub_end_date]]&lt;&gt;"", payments_raw[[#This Row],[payment_date]] &gt; payments_raw[[#This Row],[sub_end_date]]), 1, 0)</f>
        <v>0</v>
      </c>
      <c r="J2344" s="2">
        <f>IF(payments_raw[[#This Row],[amount]] &lt;= 0, 1, 0)</f>
        <v>0</v>
      </c>
      <c r="K23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5" spans="1:11" x14ac:dyDescent="0.3">
      <c r="A2345">
        <v>57864995</v>
      </c>
      <c r="B2345">
        <v>5548431</v>
      </c>
      <c r="C2345" s="1">
        <v>45419</v>
      </c>
      <c r="D2345">
        <v>190</v>
      </c>
      <c r="E2345">
        <f>IF(
  ISNA(
    _xlfn.XLOOKUP(
      payments_raw[[#This Row],[subscription_id]],
      subscriptions[subscription_id],
      subscriptions[subscription_id]
    )
  ),
  0,
  1
)</f>
        <v>1</v>
      </c>
      <c r="F2345" s="1">
        <f>_xlfn.XLOOKUP(payments_raw[[#This Row],[subscription_id]], subscriptions[subscription_id], subscriptions[start_date])</f>
        <v>45222</v>
      </c>
      <c r="G23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45442</v>
      </c>
      <c r="H2345" s="2">
        <f>IF(payments_raw[[#This Row],[payment_date]] &lt; payments_raw[[#This Row],[sub_start_date]], 1, 0)</f>
        <v>0</v>
      </c>
      <c r="I2345" s="2">
        <f>IF(AND(payments_raw[[#This Row],[sub_end_date]]&lt;&gt;"", payments_raw[[#This Row],[payment_date]] &gt; payments_raw[[#This Row],[sub_end_date]]), 1, 0)</f>
        <v>0</v>
      </c>
      <c r="J2345" s="2">
        <f>IF(payments_raw[[#This Row],[amount]] &lt;= 0, 1, 0)</f>
        <v>0</v>
      </c>
      <c r="K23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6" spans="1:11" x14ac:dyDescent="0.3">
      <c r="A2346">
        <v>68835737</v>
      </c>
      <c r="B2346">
        <v>7532030</v>
      </c>
      <c r="C2346" s="1">
        <v>45068</v>
      </c>
      <c r="D2346">
        <v>390</v>
      </c>
      <c r="E2346">
        <f>IF(
  ISNA(
    _xlfn.XLOOKUP(
      payments_raw[[#This Row],[subscription_id]],
      subscriptions[subscription_id],
      subscriptions[subscription_id]
    )
  ),
  0,
  1
)</f>
        <v>1</v>
      </c>
      <c r="F2346" s="1">
        <f>_xlfn.XLOOKUP(payments_raw[[#This Row],[subscription_id]], subscriptions[subscription_id], subscriptions[start_date])</f>
        <v>44957</v>
      </c>
      <c r="G23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2346" s="2">
        <f>IF(payments_raw[[#This Row],[payment_date]] &lt; payments_raw[[#This Row],[sub_start_date]], 1, 0)</f>
        <v>0</v>
      </c>
      <c r="I2346" s="2">
        <f>IF(AND(payments_raw[[#This Row],[sub_end_date]]&lt;&gt;"", payments_raw[[#This Row],[payment_date]] &gt; payments_raw[[#This Row],[sub_end_date]]), 1, 0)</f>
        <v>0</v>
      </c>
      <c r="J2346" s="2">
        <f>IF(payments_raw[[#This Row],[amount]] &lt;= 0, 1, 0)</f>
        <v>0</v>
      </c>
      <c r="K23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7" spans="1:11" x14ac:dyDescent="0.3">
      <c r="A2347">
        <v>49701147</v>
      </c>
      <c r="B2347">
        <v>8113803</v>
      </c>
      <c r="C2347" s="1">
        <v>45090</v>
      </c>
      <c r="D2347">
        <v>1490</v>
      </c>
      <c r="E2347">
        <f>IF(
  ISNA(
    _xlfn.XLOOKUP(
      payments_raw[[#This Row],[subscription_id]],
      subscriptions[subscription_id],
      subscriptions[subscription_id]
    )
  ),
  0,
  1
)</f>
        <v>1</v>
      </c>
      <c r="F2347" s="1">
        <f>_xlfn.XLOOKUP(payments_raw[[#This Row],[subscription_id]], subscriptions[subscription_id], subscriptions[start_date])</f>
        <v>44976</v>
      </c>
      <c r="G23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7" s="2">
        <f>IF(payments_raw[[#This Row],[payment_date]] &lt; payments_raw[[#This Row],[sub_start_date]], 1, 0)</f>
        <v>0</v>
      </c>
      <c r="I2347" s="2">
        <f>IF(AND(payments_raw[[#This Row],[sub_end_date]]&lt;&gt;"", payments_raw[[#This Row],[payment_date]] &gt; payments_raw[[#This Row],[sub_end_date]]), 1, 0)</f>
        <v>0</v>
      </c>
      <c r="J2347" s="2">
        <f>IF(payments_raw[[#This Row],[amount]] &lt;= 0, 1, 0)</f>
        <v>0</v>
      </c>
      <c r="K23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8" spans="1:11" x14ac:dyDescent="0.3">
      <c r="A2348">
        <v>71907135</v>
      </c>
      <c r="B2348">
        <v>2741350</v>
      </c>
      <c r="C2348" s="1">
        <v>45161</v>
      </c>
      <c r="D2348">
        <v>190</v>
      </c>
      <c r="E2348">
        <f>IF(
  ISNA(
    _xlfn.XLOOKUP(
      payments_raw[[#This Row],[subscription_id]],
      subscriptions[subscription_id],
      subscriptions[subscription_id]
    )
  ),
  0,
  1
)</f>
        <v>1</v>
      </c>
      <c r="F2348" s="1">
        <f>_xlfn.XLOOKUP(payments_raw[[#This Row],[subscription_id]], subscriptions[subscription_id], subscriptions[start_date])</f>
        <v>45040</v>
      </c>
      <c r="G23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8" s="2">
        <f>IF(payments_raw[[#This Row],[payment_date]] &lt; payments_raw[[#This Row],[sub_start_date]], 1, 0)</f>
        <v>0</v>
      </c>
      <c r="I2348" s="2">
        <f>IF(AND(payments_raw[[#This Row],[sub_end_date]]&lt;&gt;"", payments_raw[[#This Row],[payment_date]] &gt; payments_raw[[#This Row],[sub_end_date]]), 1, 0)</f>
        <v>0</v>
      </c>
      <c r="J2348" s="2">
        <f>IF(payments_raw[[#This Row],[amount]] &lt;= 0, 1, 0)</f>
        <v>0</v>
      </c>
      <c r="K23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49" spans="1:11" x14ac:dyDescent="0.3">
      <c r="A2349">
        <v>50302933</v>
      </c>
      <c r="B2349">
        <v>2577526</v>
      </c>
      <c r="C2349" s="1">
        <v>45559</v>
      </c>
      <c r="D2349">
        <v>790</v>
      </c>
      <c r="E2349">
        <f>IF(
  ISNA(
    _xlfn.XLOOKUP(
      payments_raw[[#This Row],[subscription_id]],
      subscriptions[subscription_id],
      subscriptions[subscription_id]
    )
  ),
  0,
  1
)</f>
        <v>1</v>
      </c>
      <c r="F2349" s="1">
        <f>_xlfn.XLOOKUP(payments_raw[[#This Row],[subscription_id]], subscriptions[subscription_id], subscriptions[start_date])</f>
        <v>45089</v>
      </c>
      <c r="G23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49" s="2">
        <f>IF(payments_raw[[#This Row],[payment_date]] &lt; payments_raw[[#This Row],[sub_start_date]], 1, 0)</f>
        <v>0</v>
      </c>
      <c r="I2349" s="2">
        <f>IF(AND(payments_raw[[#This Row],[sub_end_date]]&lt;&gt;"", payments_raw[[#This Row],[payment_date]] &gt; payments_raw[[#This Row],[sub_end_date]]), 1, 0)</f>
        <v>0</v>
      </c>
      <c r="J2349" s="2">
        <f>IF(payments_raw[[#This Row],[amount]] &lt;= 0, 1, 0)</f>
        <v>0</v>
      </c>
      <c r="K23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0" spans="1:11" x14ac:dyDescent="0.3">
      <c r="A2350">
        <v>48840591</v>
      </c>
      <c r="B2350">
        <v>3346378</v>
      </c>
      <c r="C2350" s="1">
        <v>45620</v>
      </c>
      <c r="D2350">
        <v>39</v>
      </c>
      <c r="E2350">
        <f>IF(
  ISNA(
    _xlfn.XLOOKUP(
      payments_raw[[#This Row],[subscription_id]],
      subscriptions[subscription_id],
      subscriptions[subscription_id]
    )
  ),
  0,
  1
)</f>
        <v>1</v>
      </c>
      <c r="F2350" s="1">
        <f>_xlfn.XLOOKUP(payments_raw[[#This Row],[subscription_id]], subscriptions[subscription_id], subscriptions[start_date])</f>
        <v>45566</v>
      </c>
      <c r="G23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2350" s="2">
        <f>IF(payments_raw[[#This Row],[payment_date]] &lt; payments_raw[[#This Row],[sub_start_date]], 1, 0)</f>
        <v>0</v>
      </c>
      <c r="I2350" s="2">
        <f>IF(AND(payments_raw[[#This Row],[sub_end_date]]&lt;&gt;"", payments_raw[[#This Row],[payment_date]] &gt; payments_raw[[#This Row],[sub_end_date]]), 1, 0)</f>
        <v>0</v>
      </c>
      <c r="J2350" s="2">
        <f>IF(payments_raw[[#This Row],[amount]] &lt;= 0, 1, 0)</f>
        <v>0</v>
      </c>
      <c r="K23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1" spans="1:11" x14ac:dyDescent="0.3">
      <c r="A2351">
        <v>37269624</v>
      </c>
      <c r="B2351">
        <v>8728326</v>
      </c>
      <c r="C2351" s="1">
        <v>45432</v>
      </c>
      <c r="D2351">
        <v>190</v>
      </c>
      <c r="E2351">
        <f>IF(
  ISNA(
    _xlfn.XLOOKUP(
      payments_raw[[#This Row],[subscription_id]],
      subscriptions[subscription_id],
      subscriptions[subscription_id]
    )
  ),
  0,
  1
)</f>
        <v>1</v>
      </c>
      <c r="F2351" s="1">
        <f>_xlfn.XLOOKUP(payments_raw[[#This Row],[subscription_id]], subscriptions[subscription_id], subscriptions[start_date])</f>
        <v>45423</v>
      </c>
      <c r="G23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2351" s="2">
        <f>IF(payments_raw[[#This Row],[payment_date]] &lt; payments_raw[[#This Row],[sub_start_date]], 1, 0)</f>
        <v>0</v>
      </c>
      <c r="I2351" s="2">
        <f>IF(AND(payments_raw[[#This Row],[sub_end_date]]&lt;&gt;"", payments_raw[[#This Row],[payment_date]] &gt; payments_raw[[#This Row],[sub_end_date]]), 1, 0)</f>
        <v>0</v>
      </c>
      <c r="J2351" s="2">
        <f>IF(payments_raw[[#This Row],[amount]] &lt;= 0, 1, 0)</f>
        <v>0</v>
      </c>
      <c r="K23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2" spans="1:11" x14ac:dyDescent="0.3">
      <c r="A2352">
        <v>75542595</v>
      </c>
      <c r="B2352">
        <v>3901779</v>
      </c>
      <c r="C2352" s="1">
        <v>45228</v>
      </c>
      <c r="D2352">
        <v>39</v>
      </c>
      <c r="E2352">
        <f>IF(
  ISNA(
    _xlfn.XLOOKUP(
      payments_raw[[#This Row],[subscription_id]],
      subscriptions[subscription_id],
      subscriptions[subscription_id]
    )
  ),
  0,
  1
)</f>
        <v>1</v>
      </c>
      <c r="F2352" s="1">
        <f>_xlfn.XLOOKUP(payments_raw[[#This Row],[subscription_id]], subscriptions[subscription_id], subscriptions[start_date])</f>
        <v>44967</v>
      </c>
      <c r="G23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45364</v>
      </c>
      <c r="H2352" s="2">
        <f>IF(payments_raw[[#This Row],[payment_date]] &lt; payments_raw[[#This Row],[sub_start_date]], 1, 0)</f>
        <v>0</v>
      </c>
      <c r="I2352" s="2">
        <f>IF(AND(payments_raw[[#This Row],[sub_end_date]]&lt;&gt;"", payments_raw[[#This Row],[payment_date]] &gt; payments_raw[[#This Row],[sub_end_date]]), 1, 0)</f>
        <v>0</v>
      </c>
      <c r="J2352" s="2">
        <f>IF(payments_raw[[#This Row],[amount]] &lt;= 0, 1, 0)</f>
        <v>0</v>
      </c>
      <c r="K23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3" spans="1:11" x14ac:dyDescent="0.3">
      <c r="A2353">
        <v>39829291</v>
      </c>
      <c r="B2353">
        <v>3418467</v>
      </c>
      <c r="C2353" s="1">
        <v>45600</v>
      </c>
      <c r="D2353">
        <v>1490</v>
      </c>
      <c r="E2353">
        <f>IF(
  ISNA(
    _xlfn.XLOOKUP(
      payments_raw[[#This Row],[subscription_id]],
      subscriptions[subscription_id],
      subscriptions[subscription_id]
    )
  ),
  0,
  1
)</f>
        <v>1</v>
      </c>
      <c r="F2353" s="1">
        <f>_xlfn.XLOOKUP(payments_raw[[#This Row],[subscription_id]], subscriptions[subscription_id], subscriptions[start_date])</f>
        <v>45576</v>
      </c>
      <c r="G23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3" s="2">
        <f>IF(payments_raw[[#This Row],[payment_date]] &lt; payments_raw[[#This Row],[sub_start_date]], 1, 0)</f>
        <v>0</v>
      </c>
      <c r="I2353" s="2">
        <f>IF(AND(payments_raw[[#This Row],[sub_end_date]]&lt;&gt;"", payments_raw[[#This Row],[payment_date]] &gt; payments_raw[[#This Row],[sub_end_date]]), 1, 0)</f>
        <v>0</v>
      </c>
      <c r="J2353" s="2">
        <f>IF(payments_raw[[#This Row],[amount]] &lt;= 0, 1, 0)</f>
        <v>0</v>
      </c>
      <c r="K23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4" spans="1:11" x14ac:dyDescent="0.3">
      <c r="A2354">
        <v>39229029</v>
      </c>
      <c r="B2354">
        <v>5776554</v>
      </c>
      <c r="C2354" s="1">
        <v>45528</v>
      </c>
      <c r="D2354">
        <v>149.5</v>
      </c>
      <c r="E2354">
        <f>IF(
  ISNA(
    _xlfn.XLOOKUP(
      payments_raw[[#This Row],[subscription_id]],
      subscriptions[subscription_id],
      subscriptions[subscription_id]
    )
  ),
  0,
  1
)</f>
        <v>1</v>
      </c>
      <c r="F2354" s="1">
        <f>_xlfn.XLOOKUP(payments_raw[[#This Row],[subscription_id]], subscriptions[subscription_id], subscriptions[start_date])</f>
        <v>45097</v>
      </c>
      <c r="G23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4" s="2">
        <f>IF(payments_raw[[#This Row],[payment_date]] &lt; payments_raw[[#This Row],[sub_start_date]], 1, 0)</f>
        <v>0</v>
      </c>
      <c r="I2354" s="2">
        <f>IF(AND(payments_raw[[#This Row],[sub_end_date]]&lt;&gt;"", payments_raw[[#This Row],[payment_date]] &gt; payments_raw[[#This Row],[sub_end_date]]), 1, 0)</f>
        <v>0</v>
      </c>
      <c r="J2354" s="2">
        <f>IF(payments_raw[[#This Row],[amount]] &lt;= 0, 1, 0)</f>
        <v>0</v>
      </c>
      <c r="K23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5" spans="1:11" x14ac:dyDescent="0.3">
      <c r="A2355">
        <v>36983030</v>
      </c>
      <c r="B2355">
        <v>1028160</v>
      </c>
      <c r="C2355" s="1">
        <v>45320</v>
      </c>
      <c r="D2355">
        <v>79</v>
      </c>
      <c r="E2355">
        <f>IF(
  ISNA(
    _xlfn.XLOOKUP(
      payments_raw[[#This Row],[subscription_id]],
      subscriptions[subscription_id],
      subscriptions[subscription_id]
    )
  ),
  0,
  1
)</f>
        <v>1</v>
      </c>
      <c r="F2355" s="1">
        <f>_xlfn.XLOOKUP(payments_raw[[#This Row],[subscription_id]], subscriptions[subscription_id], subscriptions[start_date])</f>
        <v>45198</v>
      </c>
      <c r="G23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5" s="2">
        <f>IF(payments_raw[[#This Row],[payment_date]] &lt; payments_raw[[#This Row],[sub_start_date]], 1, 0)</f>
        <v>0</v>
      </c>
      <c r="I2355" s="2">
        <f>IF(AND(payments_raw[[#This Row],[sub_end_date]]&lt;&gt;"", payments_raw[[#This Row],[payment_date]] &gt; payments_raw[[#This Row],[sub_end_date]]), 1, 0)</f>
        <v>0</v>
      </c>
      <c r="J2355" s="2">
        <f>IF(payments_raw[[#This Row],[amount]] &lt;= 0, 1, 0)</f>
        <v>0</v>
      </c>
      <c r="K23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6" spans="1:11" x14ac:dyDescent="0.3">
      <c r="A2356">
        <v>79949667</v>
      </c>
      <c r="B2356">
        <v>8064807</v>
      </c>
      <c r="C2356" s="1">
        <v>45639</v>
      </c>
      <c r="D2356">
        <v>2990</v>
      </c>
      <c r="E2356">
        <f>IF(
  ISNA(
    _xlfn.XLOOKUP(
      payments_raw[[#This Row],[subscription_id]],
      subscriptions[subscription_id],
      subscriptions[subscription_id]
    )
  ),
  0,
  1
)</f>
        <v>1</v>
      </c>
      <c r="F2356" s="1">
        <f>_xlfn.XLOOKUP(payments_raw[[#This Row],[subscription_id]], subscriptions[subscription_id], subscriptions[start_date])</f>
        <v>45563</v>
      </c>
      <c r="G23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6" s="2">
        <f>IF(payments_raw[[#This Row],[payment_date]] &lt; payments_raw[[#This Row],[sub_start_date]], 1, 0)</f>
        <v>0</v>
      </c>
      <c r="I2356" s="2">
        <f>IF(AND(payments_raw[[#This Row],[sub_end_date]]&lt;&gt;"", payments_raw[[#This Row],[payment_date]] &gt; payments_raw[[#This Row],[sub_end_date]]), 1, 0)</f>
        <v>0</v>
      </c>
      <c r="J2356" s="2">
        <f>IF(payments_raw[[#This Row],[amount]] &lt;= 0, 1, 0)</f>
        <v>0</v>
      </c>
      <c r="K23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7" spans="1:11" x14ac:dyDescent="0.3">
      <c r="A2357">
        <v>67327614</v>
      </c>
      <c r="B2357">
        <v>4557877</v>
      </c>
      <c r="C2357" s="1">
        <v>44908</v>
      </c>
      <c r="D2357">
        <v>39</v>
      </c>
      <c r="E2357">
        <f>IF(
  ISNA(
    _xlfn.XLOOKUP(
      payments_raw[[#This Row],[subscription_id]],
      subscriptions[subscription_id],
      subscriptions[subscription_id]
    )
  ),
  0,
  1
)</f>
        <v>1</v>
      </c>
      <c r="F2357" s="1">
        <f>_xlfn.XLOOKUP(payments_raw[[#This Row],[subscription_id]], subscriptions[subscription_id], subscriptions[start_date])</f>
        <v>44870</v>
      </c>
      <c r="G23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7" s="2">
        <f>IF(payments_raw[[#This Row],[payment_date]] &lt; payments_raw[[#This Row],[sub_start_date]], 1, 0)</f>
        <v>0</v>
      </c>
      <c r="I2357" s="2">
        <f>IF(AND(payments_raw[[#This Row],[sub_end_date]]&lt;&gt;"", payments_raw[[#This Row],[payment_date]] &gt; payments_raw[[#This Row],[sub_end_date]]), 1, 0)</f>
        <v>0</v>
      </c>
      <c r="J2357" s="2">
        <f>IF(payments_raw[[#This Row],[amount]] &lt;= 0, 1, 0)</f>
        <v>0</v>
      </c>
      <c r="K23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8" spans="1:11" x14ac:dyDescent="0.3">
      <c r="A2358">
        <v>77917874</v>
      </c>
      <c r="B2358">
        <v>8989988</v>
      </c>
      <c r="C2358" s="1">
        <v>45625</v>
      </c>
      <c r="D2358">
        <v>39</v>
      </c>
      <c r="E2358">
        <f>IF(
  ISNA(
    _xlfn.XLOOKUP(
      payments_raw[[#This Row],[subscription_id]],
      subscriptions[subscription_id],
      subscriptions[subscription_id]
    )
  ),
  0,
  1
)</f>
        <v>1</v>
      </c>
      <c r="F2358" s="1">
        <f>_xlfn.XLOOKUP(payments_raw[[#This Row],[subscription_id]], subscriptions[subscription_id], subscriptions[start_date])</f>
        <v>45489</v>
      </c>
      <c r="G23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8" s="2">
        <f>IF(payments_raw[[#This Row],[payment_date]] &lt; payments_raw[[#This Row],[sub_start_date]], 1, 0)</f>
        <v>0</v>
      </c>
      <c r="I2358" s="2">
        <f>IF(AND(payments_raw[[#This Row],[sub_end_date]]&lt;&gt;"", payments_raw[[#This Row],[payment_date]] &gt; payments_raw[[#This Row],[sub_end_date]]), 1, 0)</f>
        <v>0</v>
      </c>
      <c r="J2358" s="2">
        <f>IF(payments_raw[[#This Row],[amount]] &lt;= 0, 1, 0)</f>
        <v>0</v>
      </c>
      <c r="K23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59" spans="1:11" x14ac:dyDescent="0.3">
      <c r="A2359">
        <v>84734631</v>
      </c>
      <c r="B2359">
        <v>8763225</v>
      </c>
      <c r="C2359" s="1">
        <v>44736</v>
      </c>
      <c r="D2359">
        <v>2990</v>
      </c>
      <c r="E2359">
        <f>IF(
  ISNA(
    _xlfn.XLOOKUP(
      payments_raw[[#This Row],[subscription_id]],
      subscriptions[subscription_id],
      subscriptions[subscription_id]
    )
  ),
  0,
  1
)</f>
        <v>1</v>
      </c>
      <c r="F2359" s="1">
        <f>_xlfn.XLOOKUP(payments_raw[[#This Row],[subscription_id]], subscriptions[subscription_id], subscriptions[start_date])</f>
        <v>44597</v>
      </c>
      <c r="G23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59" s="2">
        <f>IF(payments_raw[[#This Row],[payment_date]] &lt; payments_raw[[#This Row],[sub_start_date]], 1, 0)</f>
        <v>0</v>
      </c>
      <c r="I2359" s="2">
        <f>IF(AND(payments_raw[[#This Row],[sub_end_date]]&lt;&gt;"", payments_raw[[#This Row],[payment_date]] &gt; payments_raw[[#This Row],[sub_end_date]]), 1, 0)</f>
        <v>0</v>
      </c>
      <c r="J2359" s="2">
        <f>IF(payments_raw[[#This Row],[amount]] &lt;= 0, 1, 0)</f>
        <v>0</v>
      </c>
      <c r="K23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0" spans="1:11" x14ac:dyDescent="0.3">
      <c r="A2360">
        <v>33365734</v>
      </c>
      <c r="B2360">
        <v>5627541</v>
      </c>
      <c r="C2360" s="1">
        <v>45560</v>
      </c>
      <c r="D2360">
        <v>390</v>
      </c>
      <c r="E2360">
        <f>IF(
  ISNA(
    _xlfn.XLOOKUP(
      payments_raw[[#This Row],[subscription_id]],
      subscriptions[subscription_id],
      subscriptions[subscription_id]
    )
  ),
  0,
  1
)</f>
        <v>1</v>
      </c>
      <c r="F2360" s="1">
        <f>_xlfn.XLOOKUP(payments_raw[[#This Row],[subscription_id]], subscriptions[subscription_id], subscriptions[start_date])</f>
        <v>45438</v>
      </c>
      <c r="G23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0" s="2">
        <f>IF(payments_raw[[#This Row],[payment_date]] &lt; payments_raw[[#This Row],[sub_start_date]], 1, 0)</f>
        <v>0</v>
      </c>
      <c r="I2360" s="2">
        <f>IF(AND(payments_raw[[#This Row],[sub_end_date]]&lt;&gt;"", payments_raw[[#This Row],[payment_date]] &gt; payments_raw[[#This Row],[sub_end_date]]), 1, 0)</f>
        <v>0</v>
      </c>
      <c r="J2360" s="2">
        <f>IF(payments_raw[[#This Row],[amount]] &lt;= 0, 1, 0)</f>
        <v>0</v>
      </c>
      <c r="K23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1" spans="1:11" x14ac:dyDescent="0.3">
      <c r="A2361">
        <v>36346840</v>
      </c>
      <c r="B2361">
        <v>2386477</v>
      </c>
      <c r="C2361" s="1">
        <v>45272</v>
      </c>
      <c r="D2361">
        <v>79</v>
      </c>
      <c r="E2361">
        <f>IF(
  ISNA(
    _xlfn.XLOOKUP(
      payments_raw[[#This Row],[subscription_id]],
      subscriptions[subscription_id],
      subscriptions[subscription_id]
    )
  ),
  0,
  1
)</f>
        <v>1</v>
      </c>
      <c r="F2361" s="1">
        <f>_xlfn.XLOOKUP(payments_raw[[#This Row],[subscription_id]], subscriptions[subscription_id], subscriptions[start_date])</f>
        <v>45271</v>
      </c>
      <c r="G23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45352</v>
      </c>
      <c r="H2361" s="2">
        <f>IF(payments_raw[[#This Row],[payment_date]] &lt; payments_raw[[#This Row],[sub_start_date]], 1, 0)</f>
        <v>0</v>
      </c>
      <c r="I2361" s="2">
        <f>IF(AND(payments_raw[[#This Row],[sub_end_date]]&lt;&gt;"", payments_raw[[#This Row],[payment_date]] &gt; payments_raw[[#This Row],[sub_end_date]]), 1, 0)</f>
        <v>0</v>
      </c>
      <c r="J2361" s="2">
        <f>IF(payments_raw[[#This Row],[amount]] &lt;= 0, 1, 0)</f>
        <v>0</v>
      </c>
      <c r="K23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2" spans="1:11" x14ac:dyDescent="0.3">
      <c r="A2362">
        <v>84470967</v>
      </c>
      <c r="B2362">
        <v>7454929</v>
      </c>
      <c r="C2362" s="1">
        <v>45237</v>
      </c>
      <c r="D2362">
        <v>190</v>
      </c>
      <c r="E2362">
        <f>IF(
  ISNA(
    _xlfn.XLOOKUP(
      payments_raw[[#This Row],[subscription_id]],
      subscriptions[subscription_id],
      subscriptions[subscription_id]
    )
  ),
  0,
  1
)</f>
        <v>1</v>
      </c>
      <c r="F2362" s="1">
        <f>_xlfn.XLOOKUP(payments_raw[[#This Row],[subscription_id]], subscriptions[subscription_id], subscriptions[start_date])</f>
        <v>44792</v>
      </c>
      <c r="G23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2" s="2">
        <f>IF(payments_raw[[#This Row],[payment_date]] &lt; payments_raw[[#This Row],[sub_start_date]], 1, 0)</f>
        <v>0</v>
      </c>
      <c r="I2362" s="2">
        <f>IF(AND(payments_raw[[#This Row],[sub_end_date]]&lt;&gt;"", payments_raw[[#This Row],[payment_date]] &gt; payments_raw[[#This Row],[sub_end_date]]), 1, 0)</f>
        <v>0</v>
      </c>
      <c r="J2362" s="2">
        <f>IF(payments_raw[[#This Row],[amount]] &lt;= 0, 1, 0)</f>
        <v>0</v>
      </c>
      <c r="K23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3" spans="1:11" x14ac:dyDescent="0.3">
      <c r="A2363">
        <v>18401342</v>
      </c>
      <c r="B2363">
        <v>5095330</v>
      </c>
      <c r="C2363" s="1">
        <v>45580</v>
      </c>
      <c r="D2363">
        <v>790</v>
      </c>
      <c r="E2363">
        <f>IF(
  ISNA(
    _xlfn.XLOOKUP(
      payments_raw[[#This Row],[subscription_id]],
      subscriptions[subscription_id],
      subscriptions[subscription_id]
    )
  ),
  0,
  1
)</f>
        <v>1</v>
      </c>
      <c r="F2363" s="1">
        <f>_xlfn.XLOOKUP(payments_raw[[#This Row],[subscription_id]], subscriptions[subscription_id], subscriptions[start_date])</f>
        <v>45500</v>
      </c>
      <c r="G23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3" s="2">
        <f>IF(payments_raw[[#This Row],[payment_date]] &lt; payments_raw[[#This Row],[sub_start_date]], 1, 0)</f>
        <v>0</v>
      </c>
      <c r="I2363" s="2">
        <f>IF(AND(payments_raw[[#This Row],[sub_end_date]]&lt;&gt;"", payments_raw[[#This Row],[payment_date]] &gt; payments_raw[[#This Row],[sub_end_date]]), 1, 0)</f>
        <v>0</v>
      </c>
      <c r="J2363" s="2">
        <f>IF(payments_raw[[#This Row],[amount]] &lt;= 0, 1, 0)</f>
        <v>0</v>
      </c>
      <c r="K23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4" spans="1:11" x14ac:dyDescent="0.3">
      <c r="A2364">
        <v>69749751</v>
      </c>
      <c r="B2364">
        <v>4259545</v>
      </c>
      <c r="C2364" s="1">
        <v>45378</v>
      </c>
      <c r="D2364">
        <v>390</v>
      </c>
      <c r="E2364">
        <f>IF(
  ISNA(
    _xlfn.XLOOKUP(
      payments_raw[[#This Row],[subscription_id]],
      subscriptions[subscription_id],
      subscriptions[subscription_id]
    )
  ),
  0,
  1
)</f>
        <v>1</v>
      </c>
      <c r="F2364" s="1">
        <f>_xlfn.XLOOKUP(payments_raw[[#This Row],[subscription_id]], subscriptions[subscription_id], subscriptions[start_date])</f>
        <v>45201</v>
      </c>
      <c r="G23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45448</v>
      </c>
      <c r="H2364" s="2">
        <f>IF(payments_raw[[#This Row],[payment_date]] &lt; payments_raw[[#This Row],[sub_start_date]], 1, 0)</f>
        <v>0</v>
      </c>
      <c r="I2364" s="2">
        <f>IF(AND(payments_raw[[#This Row],[sub_end_date]]&lt;&gt;"", payments_raw[[#This Row],[payment_date]] &gt; payments_raw[[#This Row],[sub_end_date]]), 1, 0)</f>
        <v>0</v>
      </c>
      <c r="J2364" s="2">
        <f>IF(payments_raw[[#This Row],[amount]] &lt;= 0, 1, 0)</f>
        <v>0</v>
      </c>
      <c r="K23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5" spans="1:11" x14ac:dyDescent="0.3">
      <c r="A2365">
        <v>53850908</v>
      </c>
      <c r="B2365">
        <v>8706139</v>
      </c>
      <c r="C2365" s="1">
        <v>44694</v>
      </c>
      <c r="D2365">
        <v>1490</v>
      </c>
      <c r="E2365">
        <f>IF(
  ISNA(
    _xlfn.XLOOKUP(
      payments_raw[[#This Row],[subscription_id]],
      subscriptions[subscription_id],
      subscriptions[subscription_id]
    )
  ),
  0,
  1
)</f>
        <v>1</v>
      </c>
      <c r="F2365" s="1">
        <f>_xlfn.XLOOKUP(payments_raw[[#This Row],[subscription_id]], subscriptions[subscription_id], subscriptions[start_date])</f>
        <v>44586</v>
      </c>
      <c r="G236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44884</v>
      </c>
      <c r="H2365" s="2">
        <f>IF(payments_raw[[#This Row],[payment_date]] &lt; payments_raw[[#This Row],[sub_start_date]], 1, 0)</f>
        <v>0</v>
      </c>
      <c r="I2365" s="2">
        <f>IF(AND(payments_raw[[#This Row],[sub_end_date]]&lt;&gt;"", payments_raw[[#This Row],[payment_date]] &gt; payments_raw[[#This Row],[sub_end_date]]), 1, 0)</f>
        <v>0</v>
      </c>
      <c r="J2365" s="2">
        <f>IF(payments_raw[[#This Row],[amount]] &lt;= 0, 1, 0)</f>
        <v>0</v>
      </c>
      <c r="K23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6" spans="1:11" x14ac:dyDescent="0.3">
      <c r="A2366">
        <v>40390409</v>
      </c>
      <c r="B2366">
        <v>6175949</v>
      </c>
      <c r="C2366" s="1">
        <v>45601</v>
      </c>
      <c r="D2366">
        <v>1490</v>
      </c>
      <c r="E2366">
        <f>IF(
  ISNA(
    _xlfn.XLOOKUP(
      payments_raw[[#This Row],[subscription_id]],
      subscriptions[subscription_id],
      subscriptions[subscription_id]
    )
  ),
  0,
  1
)</f>
        <v>1</v>
      </c>
      <c r="F2366" s="1">
        <f>_xlfn.XLOOKUP(payments_raw[[#This Row],[subscription_id]], subscriptions[subscription_id], subscriptions[start_date])</f>
        <v>45478</v>
      </c>
      <c r="G23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6" s="2">
        <f>IF(payments_raw[[#This Row],[payment_date]] &lt; payments_raw[[#This Row],[sub_start_date]], 1, 0)</f>
        <v>0</v>
      </c>
      <c r="I2366" s="2">
        <f>IF(AND(payments_raw[[#This Row],[sub_end_date]]&lt;&gt;"", payments_raw[[#This Row],[payment_date]] &gt; payments_raw[[#This Row],[sub_end_date]]), 1, 0)</f>
        <v>0</v>
      </c>
      <c r="J2366" s="2">
        <f>IF(payments_raw[[#This Row],[amount]] &lt;= 0, 1, 0)</f>
        <v>0</v>
      </c>
      <c r="K23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7" spans="1:11" x14ac:dyDescent="0.3">
      <c r="A2367">
        <v>78700401</v>
      </c>
      <c r="B2367">
        <v>7597584</v>
      </c>
      <c r="C2367" s="1">
        <v>45359</v>
      </c>
      <c r="D2367">
        <v>79</v>
      </c>
      <c r="E2367">
        <f>IF(
  ISNA(
    _xlfn.XLOOKUP(
      payments_raw[[#This Row],[subscription_id]],
      subscriptions[subscription_id],
      subscriptions[subscription_id]
    )
  ),
  0,
  1
)</f>
        <v>1</v>
      </c>
      <c r="F2367" s="1">
        <f>_xlfn.XLOOKUP(payments_raw[[#This Row],[subscription_id]], subscriptions[subscription_id], subscriptions[start_date])</f>
        <v>45334</v>
      </c>
      <c r="G23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367" s="2">
        <f>IF(payments_raw[[#This Row],[payment_date]] &lt; payments_raw[[#This Row],[sub_start_date]], 1, 0)</f>
        <v>0</v>
      </c>
      <c r="I2367" s="2">
        <f>IF(AND(payments_raw[[#This Row],[sub_end_date]]&lt;&gt;"", payments_raw[[#This Row],[payment_date]] &gt; payments_raw[[#This Row],[sub_end_date]]), 1, 0)</f>
        <v>0</v>
      </c>
      <c r="J2367" s="2">
        <f>IF(payments_raw[[#This Row],[amount]] &lt;= 0, 1, 0)</f>
        <v>0</v>
      </c>
      <c r="K23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8" spans="1:11" x14ac:dyDescent="0.3">
      <c r="A2368">
        <v>85769270</v>
      </c>
      <c r="B2368">
        <v>8944257</v>
      </c>
      <c r="C2368" s="1">
        <v>45147</v>
      </c>
      <c r="D2368">
        <v>39</v>
      </c>
      <c r="E2368">
        <f>IF(
  ISNA(
    _xlfn.XLOOKUP(
      payments_raw[[#This Row],[subscription_id]],
      subscriptions[subscription_id],
      subscriptions[subscription_id]
    )
  ),
  0,
  1
)</f>
        <v>1</v>
      </c>
      <c r="F2368" s="1">
        <f>_xlfn.XLOOKUP(payments_raw[[#This Row],[subscription_id]], subscriptions[subscription_id], subscriptions[start_date])</f>
        <v>45038</v>
      </c>
      <c r="G23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8" s="2">
        <f>IF(payments_raw[[#This Row],[payment_date]] &lt; payments_raw[[#This Row],[sub_start_date]], 1, 0)</f>
        <v>0</v>
      </c>
      <c r="I2368" s="2">
        <f>IF(AND(payments_raw[[#This Row],[sub_end_date]]&lt;&gt;"", payments_raw[[#This Row],[payment_date]] &gt; payments_raw[[#This Row],[sub_end_date]]), 1, 0)</f>
        <v>0</v>
      </c>
      <c r="J2368" s="2">
        <f>IF(payments_raw[[#This Row],[amount]] &lt;= 0, 1, 0)</f>
        <v>0</v>
      </c>
      <c r="K23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69" spans="1:11" x14ac:dyDescent="0.3">
      <c r="A2369">
        <v>74205221</v>
      </c>
      <c r="B2369">
        <v>3800715</v>
      </c>
      <c r="C2369" s="1">
        <v>44903</v>
      </c>
      <c r="D2369">
        <v>149</v>
      </c>
      <c r="E2369">
        <f>IF(
  ISNA(
    _xlfn.XLOOKUP(
      payments_raw[[#This Row],[subscription_id]],
      subscriptions[subscription_id],
      subscriptions[subscription_id]
    )
  ),
  0,
  1
)</f>
        <v>1</v>
      </c>
      <c r="F2369" s="1">
        <f>_xlfn.XLOOKUP(payments_raw[[#This Row],[subscription_id]], subscriptions[subscription_id], subscriptions[start_date])</f>
        <v>44711</v>
      </c>
      <c r="G23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69" s="2">
        <f>IF(payments_raw[[#This Row],[payment_date]] &lt; payments_raw[[#This Row],[sub_start_date]], 1, 0)</f>
        <v>0</v>
      </c>
      <c r="I2369" s="2">
        <f>IF(AND(payments_raw[[#This Row],[sub_end_date]]&lt;&gt;"", payments_raw[[#This Row],[payment_date]] &gt; payments_raw[[#This Row],[sub_end_date]]), 1, 0)</f>
        <v>0</v>
      </c>
      <c r="J2369" s="2">
        <f>IF(payments_raw[[#This Row],[amount]] &lt;= 0, 1, 0)</f>
        <v>0</v>
      </c>
      <c r="K23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0" spans="1:11" x14ac:dyDescent="0.3">
      <c r="A2370">
        <v>61206200</v>
      </c>
      <c r="B2370">
        <v>6827390</v>
      </c>
      <c r="C2370" s="1">
        <v>45565</v>
      </c>
      <c r="D2370">
        <v>224.25</v>
      </c>
      <c r="E2370">
        <f>IF(
  ISNA(
    _xlfn.XLOOKUP(
      payments_raw[[#This Row],[subscription_id]],
      subscriptions[subscription_id],
      subscriptions[subscription_id]
    )
  ),
  0,
  1
)</f>
        <v>1</v>
      </c>
      <c r="F2370" s="1">
        <f>_xlfn.XLOOKUP(payments_raw[[#This Row],[subscription_id]], subscriptions[subscription_id], subscriptions[start_date])</f>
        <v>45311</v>
      </c>
      <c r="G23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0" s="2">
        <f>IF(payments_raw[[#This Row],[payment_date]] &lt; payments_raw[[#This Row],[sub_start_date]], 1, 0)</f>
        <v>0</v>
      </c>
      <c r="I2370" s="2">
        <f>IF(AND(payments_raw[[#This Row],[sub_end_date]]&lt;&gt;"", payments_raw[[#This Row],[payment_date]] &gt; payments_raw[[#This Row],[sub_end_date]]), 1, 0)</f>
        <v>0</v>
      </c>
      <c r="J2370" s="2">
        <f>IF(payments_raw[[#This Row],[amount]] &lt;= 0, 1, 0)</f>
        <v>0</v>
      </c>
      <c r="K23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1" spans="1:11" x14ac:dyDescent="0.3">
      <c r="A2371">
        <v>69417259</v>
      </c>
      <c r="B2371">
        <v>7463257</v>
      </c>
      <c r="C2371" s="1">
        <v>44870</v>
      </c>
      <c r="D2371">
        <v>790</v>
      </c>
      <c r="E2371">
        <f>IF(
  ISNA(
    _xlfn.XLOOKUP(
      payments_raw[[#This Row],[subscription_id]],
      subscriptions[subscription_id],
      subscriptions[subscription_id]
    )
  ),
  0,
  1
)</f>
        <v>1</v>
      </c>
      <c r="F2371" s="1">
        <f>_xlfn.XLOOKUP(payments_raw[[#This Row],[subscription_id]], subscriptions[subscription_id], subscriptions[start_date])</f>
        <v>44774</v>
      </c>
      <c r="G237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44954</v>
      </c>
      <c r="H2371" s="2">
        <f>IF(payments_raw[[#This Row],[payment_date]] &lt; payments_raw[[#This Row],[sub_start_date]], 1, 0)</f>
        <v>0</v>
      </c>
      <c r="I2371" s="2">
        <f>IF(AND(payments_raw[[#This Row],[sub_end_date]]&lt;&gt;"", payments_raw[[#This Row],[payment_date]] &gt; payments_raw[[#This Row],[sub_end_date]]), 1, 0)</f>
        <v>0</v>
      </c>
      <c r="J2371" s="2">
        <f>IF(payments_raw[[#This Row],[amount]] &lt;= 0, 1, 0)</f>
        <v>0</v>
      </c>
      <c r="K23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2" spans="1:11" x14ac:dyDescent="0.3">
      <c r="A2372">
        <v>89522643</v>
      </c>
      <c r="B2372">
        <v>4349462</v>
      </c>
      <c r="C2372" s="1">
        <v>44955</v>
      </c>
      <c r="D2372">
        <v>19</v>
      </c>
      <c r="E2372">
        <f>IF(
  ISNA(
    _xlfn.XLOOKUP(
      payments_raw[[#This Row],[subscription_id]],
      subscriptions[subscription_id],
      subscriptions[subscription_id]
    )
  ),
  0,
  1
)</f>
        <v>1</v>
      </c>
      <c r="F2372" s="1">
        <f>_xlfn.XLOOKUP(payments_raw[[#This Row],[subscription_id]], subscriptions[subscription_id], subscriptions[start_date])</f>
        <v>44748</v>
      </c>
      <c r="G237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44972</v>
      </c>
      <c r="H2372" s="2">
        <f>IF(payments_raw[[#This Row],[payment_date]] &lt; payments_raw[[#This Row],[sub_start_date]], 1, 0)</f>
        <v>0</v>
      </c>
      <c r="I2372" s="2">
        <f>IF(AND(payments_raw[[#This Row],[sub_end_date]]&lt;&gt;"", payments_raw[[#This Row],[payment_date]] &gt; payments_raw[[#This Row],[sub_end_date]]), 1, 0)</f>
        <v>0</v>
      </c>
      <c r="J2372" s="2">
        <f>IF(payments_raw[[#This Row],[amount]] &lt;= 0, 1, 0)</f>
        <v>0</v>
      </c>
      <c r="K23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3" spans="1:11" x14ac:dyDescent="0.3">
      <c r="A2373">
        <v>18765008</v>
      </c>
      <c r="B2373">
        <v>6901033</v>
      </c>
      <c r="C2373" s="1">
        <v>45362</v>
      </c>
      <c r="D2373">
        <v>190</v>
      </c>
      <c r="E2373">
        <f>IF(
  ISNA(
    _xlfn.XLOOKUP(
      payments_raw[[#This Row],[subscription_id]],
      subscriptions[subscription_id],
      subscriptions[subscription_id]
    )
  ),
  0,
  1
)</f>
        <v>1</v>
      </c>
      <c r="F2373" s="1">
        <f>_xlfn.XLOOKUP(payments_raw[[#This Row],[subscription_id]], subscriptions[subscription_id], subscriptions[start_date])</f>
        <v>45283</v>
      </c>
      <c r="G23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373" s="2">
        <f>IF(payments_raw[[#This Row],[payment_date]] &lt; payments_raw[[#This Row],[sub_start_date]], 1, 0)</f>
        <v>0</v>
      </c>
      <c r="I2373" s="2">
        <f>IF(AND(payments_raw[[#This Row],[sub_end_date]]&lt;&gt;"", payments_raw[[#This Row],[payment_date]] &gt; payments_raw[[#This Row],[sub_end_date]]), 1, 0)</f>
        <v>0</v>
      </c>
      <c r="J2373" s="2">
        <f>IF(payments_raw[[#This Row],[amount]] &lt;= 0, 1, 0)</f>
        <v>0</v>
      </c>
      <c r="K23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4" spans="1:11" x14ac:dyDescent="0.3">
      <c r="A2374">
        <v>63157438</v>
      </c>
      <c r="B2374">
        <v>2361565</v>
      </c>
      <c r="C2374" s="1">
        <v>45081</v>
      </c>
      <c r="D2374">
        <v>1490</v>
      </c>
      <c r="E2374">
        <f>IF(
  ISNA(
    _xlfn.XLOOKUP(
      payments_raw[[#This Row],[subscription_id]],
      subscriptions[subscription_id],
      subscriptions[subscription_id]
    )
  ),
  0,
  1
)</f>
        <v>1</v>
      </c>
      <c r="F2374" s="1">
        <f>_xlfn.XLOOKUP(payments_raw[[#This Row],[subscription_id]], subscriptions[subscription_id], subscriptions[start_date])</f>
        <v>44942</v>
      </c>
      <c r="G23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4" s="2">
        <f>IF(payments_raw[[#This Row],[payment_date]] &lt; payments_raw[[#This Row],[sub_start_date]], 1, 0)</f>
        <v>0</v>
      </c>
      <c r="I2374" s="2">
        <f>IF(AND(payments_raw[[#This Row],[sub_end_date]]&lt;&gt;"", payments_raw[[#This Row],[payment_date]] &gt; payments_raw[[#This Row],[sub_end_date]]), 1, 0)</f>
        <v>0</v>
      </c>
      <c r="J2374" s="2">
        <f>IF(payments_raw[[#This Row],[amount]] &lt;= 0, 1, 0)</f>
        <v>0</v>
      </c>
      <c r="K23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5" spans="1:11" x14ac:dyDescent="0.3">
      <c r="A2375">
        <v>87254618</v>
      </c>
      <c r="B2375">
        <v>8044465</v>
      </c>
      <c r="C2375" s="1">
        <v>44960</v>
      </c>
      <c r="D2375">
        <v>790</v>
      </c>
      <c r="E2375">
        <f>IF(
  ISNA(
    _xlfn.XLOOKUP(
      payments_raw[[#This Row],[subscription_id]],
      subscriptions[subscription_id],
      subscriptions[subscription_id]
    )
  ),
  0,
  1
)</f>
        <v>1</v>
      </c>
      <c r="F2375" s="1">
        <f>_xlfn.XLOOKUP(payments_raw[[#This Row],[subscription_id]], subscriptions[subscription_id], subscriptions[start_date])</f>
        <v>44697</v>
      </c>
      <c r="G23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5" s="2">
        <f>IF(payments_raw[[#This Row],[payment_date]] &lt; payments_raw[[#This Row],[sub_start_date]], 1, 0)</f>
        <v>0</v>
      </c>
      <c r="I2375" s="2">
        <f>IF(AND(payments_raw[[#This Row],[sub_end_date]]&lt;&gt;"", payments_raw[[#This Row],[payment_date]] &gt; payments_raw[[#This Row],[sub_end_date]]), 1, 0)</f>
        <v>0</v>
      </c>
      <c r="J2375" s="2">
        <f>IF(payments_raw[[#This Row],[amount]] &lt;= 0, 1, 0)</f>
        <v>0</v>
      </c>
      <c r="K23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6" spans="1:11" x14ac:dyDescent="0.3">
      <c r="A2376">
        <v>94437041</v>
      </c>
      <c r="B2376">
        <v>1546929</v>
      </c>
      <c r="C2376" s="1">
        <v>45309</v>
      </c>
      <c r="D2376">
        <v>39</v>
      </c>
      <c r="E2376">
        <f>IF(
  ISNA(
    _xlfn.XLOOKUP(
      payments_raw[[#This Row],[subscription_id]],
      subscriptions[subscription_id],
      subscriptions[subscription_id]
    )
  ),
  0,
  1
)</f>
        <v>1</v>
      </c>
      <c r="F2376" s="1">
        <f>_xlfn.XLOOKUP(payments_raw[[#This Row],[subscription_id]], subscriptions[subscription_id], subscriptions[start_date])</f>
        <v>44869</v>
      </c>
      <c r="G23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6" s="2">
        <f>IF(payments_raw[[#This Row],[payment_date]] &lt; payments_raw[[#This Row],[sub_start_date]], 1, 0)</f>
        <v>0</v>
      </c>
      <c r="I2376" s="2">
        <f>IF(AND(payments_raw[[#This Row],[sub_end_date]]&lt;&gt;"", payments_raw[[#This Row],[payment_date]] &gt; payments_raw[[#This Row],[sub_end_date]]), 1, 0)</f>
        <v>0</v>
      </c>
      <c r="J2376" s="2">
        <f>IF(payments_raw[[#This Row],[amount]] &lt;= 0, 1, 0)</f>
        <v>0</v>
      </c>
      <c r="K23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7" spans="1:11" x14ac:dyDescent="0.3">
      <c r="A2377">
        <v>55829321</v>
      </c>
      <c r="B2377">
        <v>4293151</v>
      </c>
      <c r="C2377" s="1">
        <v>44872</v>
      </c>
      <c r="D2377">
        <v>390</v>
      </c>
      <c r="E2377">
        <f>IF(
  ISNA(
    _xlfn.XLOOKUP(
      payments_raw[[#This Row],[subscription_id]],
      subscriptions[subscription_id],
      subscriptions[subscription_id]
    )
  ),
  0,
  1
)</f>
        <v>1</v>
      </c>
      <c r="F2377" s="1">
        <f>_xlfn.XLOOKUP(payments_raw[[#This Row],[subscription_id]], subscriptions[subscription_id], subscriptions[start_date])</f>
        <v>44819</v>
      </c>
      <c r="G23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7" s="2">
        <f>IF(payments_raw[[#This Row],[payment_date]] &lt; payments_raw[[#This Row],[sub_start_date]], 1, 0)</f>
        <v>0</v>
      </c>
      <c r="I2377" s="2">
        <f>IF(AND(payments_raw[[#This Row],[sub_end_date]]&lt;&gt;"", payments_raw[[#This Row],[payment_date]] &gt; payments_raw[[#This Row],[sub_end_date]]), 1, 0)</f>
        <v>0</v>
      </c>
      <c r="J2377" s="2">
        <f>IF(payments_raw[[#This Row],[amount]] &lt;= 0, 1, 0)</f>
        <v>0</v>
      </c>
      <c r="K23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8" spans="1:11" x14ac:dyDescent="0.3">
      <c r="A2378">
        <v>87190704</v>
      </c>
      <c r="B2378">
        <v>4096510</v>
      </c>
      <c r="C2378" s="1">
        <v>45124</v>
      </c>
      <c r="D2378">
        <v>390</v>
      </c>
      <c r="E2378">
        <f>IF(
  ISNA(
    _xlfn.XLOOKUP(
      payments_raw[[#This Row],[subscription_id]],
      subscriptions[subscription_id],
      subscriptions[subscription_id]
    )
  ),
  0,
  1
)</f>
        <v>1</v>
      </c>
      <c r="F2378" s="1">
        <f>_xlfn.XLOOKUP(payments_raw[[#This Row],[subscription_id]], subscriptions[subscription_id], subscriptions[start_date])</f>
        <v>45095</v>
      </c>
      <c r="G23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78" s="2">
        <f>IF(payments_raw[[#This Row],[payment_date]] &lt; payments_raw[[#This Row],[sub_start_date]], 1, 0)</f>
        <v>0</v>
      </c>
      <c r="I2378" s="2">
        <f>IF(AND(payments_raw[[#This Row],[sub_end_date]]&lt;&gt;"", payments_raw[[#This Row],[payment_date]] &gt; payments_raw[[#This Row],[sub_end_date]]), 1, 0)</f>
        <v>0</v>
      </c>
      <c r="J2378" s="2">
        <f>IF(payments_raw[[#This Row],[amount]] &lt;= 0, 1, 0)</f>
        <v>0</v>
      </c>
      <c r="K23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79" spans="1:11" x14ac:dyDescent="0.3">
      <c r="A2379">
        <v>25054603</v>
      </c>
      <c r="B2379">
        <v>2352134</v>
      </c>
      <c r="C2379" s="1">
        <v>45548</v>
      </c>
      <c r="D2379">
        <v>299</v>
      </c>
      <c r="E2379">
        <f>IF(
  ISNA(
    _xlfn.XLOOKUP(
      payments_raw[[#This Row],[subscription_id]],
      subscriptions[subscription_id],
      subscriptions[subscription_id]
    )
  ),
  0,
  1
)</f>
        <v>1</v>
      </c>
      <c r="F2379" s="1">
        <f>_xlfn.XLOOKUP(payments_raw[[#This Row],[subscription_id]], subscriptions[subscription_id], subscriptions[start_date])</f>
        <v>45542</v>
      </c>
      <c r="G23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2379" s="2">
        <f>IF(payments_raw[[#This Row],[payment_date]] &lt; payments_raw[[#This Row],[sub_start_date]], 1, 0)</f>
        <v>0</v>
      </c>
      <c r="I2379" s="2">
        <f>IF(AND(payments_raw[[#This Row],[sub_end_date]]&lt;&gt;"", payments_raw[[#This Row],[payment_date]] &gt; payments_raw[[#This Row],[sub_end_date]]), 1, 0)</f>
        <v>0</v>
      </c>
      <c r="J2379" s="2">
        <f>IF(payments_raw[[#This Row],[amount]] &lt;= 0, 1, 0)</f>
        <v>0</v>
      </c>
      <c r="K23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0" spans="1:11" x14ac:dyDescent="0.3">
      <c r="A2380">
        <v>84370524</v>
      </c>
      <c r="B2380">
        <v>2512749</v>
      </c>
      <c r="C2380" s="1">
        <v>45411</v>
      </c>
      <c r="D2380">
        <v>19</v>
      </c>
      <c r="E2380">
        <f>IF(
  ISNA(
    _xlfn.XLOOKUP(
      payments_raw[[#This Row],[subscription_id]],
      subscriptions[subscription_id],
      subscriptions[subscription_id]
    )
  ),
  0,
  1
)</f>
        <v>1</v>
      </c>
      <c r="F2380" s="1">
        <f>_xlfn.XLOOKUP(payments_raw[[#This Row],[subscription_id]], subscriptions[subscription_id], subscriptions[start_date])</f>
        <v>45063</v>
      </c>
      <c r="G23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0" s="2">
        <f>IF(payments_raw[[#This Row],[payment_date]] &lt; payments_raw[[#This Row],[sub_start_date]], 1, 0)</f>
        <v>0</v>
      </c>
      <c r="I2380" s="2">
        <f>IF(AND(payments_raw[[#This Row],[sub_end_date]]&lt;&gt;"", payments_raw[[#This Row],[payment_date]] &gt; payments_raw[[#This Row],[sub_end_date]]), 1, 0)</f>
        <v>0</v>
      </c>
      <c r="J2380" s="2">
        <f>IF(payments_raw[[#This Row],[amount]] &lt;= 0, 1, 0)</f>
        <v>0</v>
      </c>
      <c r="K23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1" spans="1:11" x14ac:dyDescent="0.3">
      <c r="A2381">
        <v>87502610</v>
      </c>
      <c r="B2381">
        <v>6847188</v>
      </c>
      <c r="C2381" s="1">
        <v>44720</v>
      </c>
      <c r="D2381">
        <v>1490</v>
      </c>
      <c r="E2381">
        <f>IF(
  ISNA(
    _xlfn.XLOOKUP(
      payments_raw[[#This Row],[subscription_id]],
      subscriptions[subscription_id],
      subscriptions[subscription_id]
    )
  ),
  0,
  1
)</f>
        <v>1</v>
      </c>
      <c r="F2381" s="1">
        <f>_xlfn.XLOOKUP(payments_raw[[#This Row],[subscription_id]], subscriptions[subscription_id], subscriptions[start_date])</f>
        <v>44703</v>
      </c>
      <c r="G23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1" s="2">
        <f>IF(payments_raw[[#This Row],[payment_date]] &lt; payments_raw[[#This Row],[sub_start_date]], 1, 0)</f>
        <v>0</v>
      </c>
      <c r="I2381" s="2">
        <f>IF(AND(payments_raw[[#This Row],[sub_end_date]]&lt;&gt;"", payments_raw[[#This Row],[payment_date]] &gt; payments_raw[[#This Row],[sub_end_date]]), 1, 0)</f>
        <v>0</v>
      </c>
      <c r="J2381" s="2">
        <f>IF(payments_raw[[#This Row],[amount]] &lt;= 0, 1, 0)</f>
        <v>0</v>
      </c>
      <c r="K23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2" spans="1:11" x14ac:dyDescent="0.3">
      <c r="A2382">
        <v>41400578</v>
      </c>
      <c r="B2382">
        <v>8340281</v>
      </c>
      <c r="C2382" s="1">
        <v>45495</v>
      </c>
      <c r="D2382">
        <v>1490</v>
      </c>
      <c r="E2382">
        <f>IF(
  ISNA(
    _xlfn.XLOOKUP(
      payments_raw[[#This Row],[subscription_id]],
      subscriptions[subscription_id],
      subscriptions[subscription_id]
    )
  ),
  0,
  1
)</f>
        <v>1</v>
      </c>
      <c r="F2382" s="1">
        <f>_xlfn.XLOOKUP(payments_raw[[#This Row],[subscription_id]], subscriptions[subscription_id], subscriptions[start_date])</f>
        <v>45147</v>
      </c>
      <c r="G23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2" s="2">
        <f>IF(payments_raw[[#This Row],[payment_date]] &lt; payments_raw[[#This Row],[sub_start_date]], 1, 0)</f>
        <v>0</v>
      </c>
      <c r="I2382" s="2">
        <f>IF(AND(payments_raw[[#This Row],[sub_end_date]]&lt;&gt;"", payments_raw[[#This Row],[payment_date]] &gt; payments_raw[[#This Row],[sub_end_date]]), 1, 0)</f>
        <v>0</v>
      </c>
      <c r="J2382" s="2">
        <f>IF(payments_raw[[#This Row],[amount]] &lt;= 0, 1, 0)</f>
        <v>0</v>
      </c>
      <c r="K23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3" spans="1:11" x14ac:dyDescent="0.3">
      <c r="A2383">
        <v>21406410</v>
      </c>
      <c r="B2383">
        <v>3891398</v>
      </c>
      <c r="C2383" s="1">
        <v>45397</v>
      </c>
      <c r="D2383">
        <v>79</v>
      </c>
      <c r="E2383">
        <f>IF(
  ISNA(
    _xlfn.XLOOKUP(
      payments_raw[[#This Row],[subscription_id]],
      subscriptions[subscription_id],
      subscriptions[subscription_id]
    )
  ),
  0,
  1
)</f>
        <v>1</v>
      </c>
      <c r="F2383" s="1">
        <f>_xlfn.XLOOKUP(payments_raw[[#This Row],[subscription_id]], subscriptions[subscription_id], subscriptions[start_date])</f>
        <v>45121</v>
      </c>
      <c r="G23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2383" s="2">
        <f>IF(payments_raw[[#This Row],[payment_date]] &lt; payments_raw[[#This Row],[sub_start_date]], 1, 0)</f>
        <v>0</v>
      </c>
      <c r="I2383" s="2">
        <f>IF(AND(payments_raw[[#This Row],[sub_end_date]]&lt;&gt;"", payments_raw[[#This Row],[payment_date]] &gt; payments_raw[[#This Row],[sub_end_date]]), 1, 0)</f>
        <v>0</v>
      </c>
      <c r="J2383" s="2">
        <f>IF(payments_raw[[#This Row],[amount]] &lt;= 0, 1, 0)</f>
        <v>0</v>
      </c>
      <c r="K23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4" spans="1:11" x14ac:dyDescent="0.3">
      <c r="A2384">
        <v>99063008</v>
      </c>
      <c r="B2384">
        <v>5557932</v>
      </c>
      <c r="C2384" s="1">
        <v>45481</v>
      </c>
      <c r="D2384">
        <v>19</v>
      </c>
      <c r="E2384">
        <f>IF(
  ISNA(
    _xlfn.XLOOKUP(
      payments_raw[[#This Row],[subscription_id]],
      subscriptions[subscription_id],
      subscriptions[subscription_id]
    )
  ),
  0,
  1
)</f>
        <v>1</v>
      </c>
      <c r="F2384" s="1">
        <f>_xlfn.XLOOKUP(payments_raw[[#This Row],[subscription_id]], subscriptions[subscription_id], subscriptions[start_date])</f>
        <v>45214</v>
      </c>
      <c r="G23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2384" s="2">
        <f>IF(payments_raw[[#This Row],[payment_date]] &lt; payments_raw[[#This Row],[sub_start_date]], 1, 0)</f>
        <v>0</v>
      </c>
      <c r="I2384" s="2">
        <f>IF(AND(payments_raw[[#This Row],[sub_end_date]]&lt;&gt;"", payments_raw[[#This Row],[payment_date]] &gt; payments_raw[[#This Row],[sub_end_date]]), 1, 0)</f>
        <v>0</v>
      </c>
      <c r="J2384" s="2">
        <f>IF(payments_raw[[#This Row],[amount]] &lt;= 0, 1, 0)</f>
        <v>0</v>
      </c>
      <c r="K23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5" spans="1:11" x14ac:dyDescent="0.3">
      <c r="A2385">
        <v>48586233</v>
      </c>
      <c r="B2385">
        <v>3058301</v>
      </c>
      <c r="C2385" s="1">
        <v>44955</v>
      </c>
      <c r="D2385">
        <v>190</v>
      </c>
      <c r="E2385">
        <f>IF(
  ISNA(
    _xlfn.XLOOKUP(
      payments_raw[[#This Row],[subscription_id]],
      subscriptions[subscription_id],
      subscriptions[subscription_id]
    )
  ),
  0,
  1
)</f>
        <v>1</v>
      </c>
      <c r="F2385" s="1">
        <f>_xlfn.XLOOKUP(payments_raw[[#This Row],[subscription_id]], subscriptions[subscription_id], subscriptions[start_date])</f>
        <v>44781</v>
      </c>
      <c r="G23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5" s="2">
        <f>IF(payments_raw[[#This Row],[payment_date]] &lt; payments_raw[[#This Row],[sub_start_date]], 1, 0)</f>
        <v>0</v>
      </c>
      <c r="I2385" s="2">
        <f>IF(AND(payments_raw[[#This Row],[sub_end_date]]&lt;&gt;"", payments_raw[[#This Row],[payment_date]] &gt; payments_raw[[#This Row],[sub_end_date]]), 1, 0)</f>
        <v>0</v>
      </c>
      <c r="J2385" s="2">
        <f>IF(payments_raw[[#This Row],[amount]] &lt;= 0, 1, 0)</f>
        <v>0</v>
      </c>
      <c r="K23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6" spans="1:11" x14ac:dyDescent="0.3">
      <c r="A2386">
        <v>62326451</v>
      </c>
      <c r="B2386">
        <v>8155525</v>
      </c>
      <c r="C2386" s="1">
        <v>45543</v>
      </c>
      <c r="D2386">
        <v>79</v>
      </c>
      <c r="E2386">
        <f>IF(
  ISNA(
    _xlfn.XLOOKUP(
      payments_raw[[#This Row],[subscription_id]],
      subscriptions[subscription_id],
      subscriptions[subscription_id]
    )
  ),
  0,
  1
)</f>
        <v>1</v>
      </c>
      <c r="F2386" s="1">
        <f>_xlfn.XLOOKUP(payments_raw[[#This Row],[subscription_id]], subscriptions[subscription_id], subscriptions[start_date])</f>
        <v>45473</v>
      </c>
      <c r="G23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6" s="2">
        <f>IF(payments_raw[[#This Row],[payment_date]] &lt; payments_raw[[#This Row],[sub_start_date]], 1, 0)</f>
        <v>0</v>
      </c>
      <c r="I2386" s="2">
        <f>IF(AND(payments_raw[[#This Row],[sub_end_date]]&lt;&gt;"", payments_raw[[#This Row],[payment_date]] &gt; payments_raw[[#This Row],[sub_end_date]]), 1, 0)</f>
        <v>0</v>
      </c>
      <c r="J2386" s="2">
        <f>IF(payments_raw[[#This Row],[amount]] &lt;= 0, 1, 0)</f>
        <v>0</v>
      </c>
      <c r="K23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7" spans="1:11" x14ac:dyDescent="0.3">
      <c r="A2387">
        <v>79068413</v>
      </c>
      <c r="B2387">
        <v>3630678</v>
      </c>
      <c r="C2387" s="1">
        <v>45382</v>
      </c>
      <c r="D2387">
        <v>1490</v>
      </c>
      <c r="E2387">
        <f>IF(
  ISNA(
    _xlfn.XLOOKUP(
      payments_raw[[#This Row],[subscription_id]],
      subscriptions[subscription_id],
      subscriptions[subscription_id]
    )
  ),
  0,
  1
)</f>
        <v>1</v>
      </c>
      <c r="F2387" s="1">
        <f>_xlfn.XLOOKUP(payments_raw[[#This Row],[subscription_id]], subscriptions[subscription_id], subscriptions[start_date])</f>
        <v>45118</v>
      </c>
      <c r="G23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45415</v>
      </c>
      <c r="H2387" s="2">
        <f>IF(payments_raw[[#This Row],[payment_date]] &lt; payments_raw[[#This Row],[sub_start_date]], 1, 0)</f>
        <v>0</v>
      </c>
      <c r="I2387" s="2">
        <f>IF(AND(payments_raw[[#This Row],[sub_end_date]]&lt;&gt;"", payments_raw[[#This Row],[payment_date]] &gt; payments_raw[[#This Row],[sub_end_date]]), 1, 0)</f>
        <v>0</v>
      </c>
      <c r="J2387" s="2">
        <f>IF(payments_raw[[#This Row],[amount]] &lt;= 0, 1, 0)</f>
        <v>0</v>
      </c>
      <c r="K23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8" spans="1:11" x14ac:dyDescent="0.3">
      <c r="A2388">
        <v>99924796</v>
      </c>
      <c r="B2388">
        <v>1424388</v>
      </c>
      <c r="C2388" s="1">
        <v>45624</v>
      </c>
      <c r="D2388">
        <v>190</v>
      </c>
      <c r="E2388">
        <f>IF(
  ISNA(
    _xlfn.XLOOKUP(
      payments_raw[[#This Row],[subscription_id]],
      subscriptions[subscription_id],
      subscriptions[subscription_id]
    )
  ),
  0,
  1
)</f>
        <v>1</v>
      </c>
      <c r="F2388" s="1">
        <f>_xlfn.XLOOKUP(payments_raw[[#This Row],[subscription_id]], subscriptions[subscription_id], subscriptions[start_date])</f>
        <v>45310</v>
      </c>
      <c r="G23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2388" s="2">
        <f>IF(payments_raw[[#This Row],[payment_date]] &lt; payments_raw[[#This Row],[sub_start_date]], 1, 0)</f>
        <v>0</v>
      </c>
      <c r="I2388" s="2">
        <f>IF(AND(payments_raw[[#This Row],[sub_end_date]]&lt;&gt;"", payments_raw[[#This Row],[payment_date]] &gt; payments_raw[[#This Row],[sub_end_date]]), 1, 0)</f>
        <v>0</v>
      </c>
      <c r="J2388" s="2">
        <f>IF(payments_raw[[#This Row],[amount]] &lt;= 0, 1, 0)</f>
        <v>0</v>
      </c>
      <c r="K23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89" spans="1:11" x14ac:dyDescent="0.3">
      <c r="A2389">
        <v>88227316</v>
      </c>
      <c r="B2389">
        <v>2797914</v>
      </c>
      <c r="C2389" s="1">
        <v>45331</v>
      </c>
      <c r="D2389">
        <v>79</v>
      </c>
      <c r="E2389">
        <f>IF(
  ISNA(
    _xlfn.XLOOKUP(
      payments_raw[[#This Row],[subscription_id]],
      subscriptions[subscription_id],
      subscriptions[subscription_id]
    )
  ),
  0,
  1
)</f>
        <v>1</v>
      </c>
      <c r="F2389" s="1">
        <f>_xlfn.XLOOKUP(payments_raw[[#This Row],[subscription_id]], subscriptions[subscription_id], subscriptions[start_date])</f>
        <v>44572</v>
      </c>
      <c r="G23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89" s="2">
        <f>IF(payments_raw[[#This Row],[payment_date]] &lt; payments_raw[[#This Row],[sub_start_date]], 1, 0)</f>
        <v>0</v>
      </c>
      <c r="I2389" s="2">
        <f>IF(AND(payments_raw[[#This Row],[sub_end_date]]&lt;&gt;"", payments_raw[[#This Row],[payment_date]] &gt; payments_raw[[#This Row],[sub_end_date]]), 1, 0)</f>
        <v>0</v>
      </c>
      <c r="J2389" s="2">
        <f>IF(payments_raw[[#This Row],[amount]] &lt;= 0, 1, 0)</f>
        <v>0</v>
      </c>
      <c r="K23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0" spans="1:11" x14ac:dyDescent="0.3">
      <c r="A2390">
        <v>85301514</v>
      </c>
      <c r="B2390">
        <v>2089834</v>
      </c>
      <c r="C2390" s="1">
        <v>45256</v>
      </c>
      <c r="D2390">
        <v>1490</v>
      </c>
      <c r="E2390">
        <f>IF(
  ISNA(
    _xlfn.XLOOKUP(
      payments_raw[[#This Row],[subscription_id]],
      subscriptions[subscription_id],
      subscriptions[subscription_id]
    )
  ),
  0,
  1
)</f>
        <v>1</v>
      </c>
      <c r="F2390" s="1">
        <f>_xlfn.XLOOKUP(payments_raw[[#This Row],[subscription_id]], subscriptions[subscription_id], subscriptions[start_date])</f>
        <v>44877</v>
      </c>
      <c r="G23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0" s="2">
        <f>IF(payments_raw[[#This Row],[payment_date]] &lt; payments_raw[[#This Row],[sub_start_date]], 1, 0)</f>
        <v>0</v>
      </c>
      <c r="I2390" s="2">
        <f>IF(AND(payments_raw[[#This Row],[sub_end_date]]&lt;&gt;"", payments_raw[[#This Row],[payment_date]] &gt; payments_raw[[#This Row],[sub_end_date]]), 1, 0)</f>
        <v>0</v>
      </c>
      <c r="J2390" s="2">
        <f>IF(payments_raw[[#This Row],[amount]] &lt;= 0, 1, 0)</f>
        <v>0</v>
      </c>
      <c r="K23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1" spans="1:11" x14ac:dyDescent="0.3">
      <c r="A2391">
        <v>75804038</v>
      </c>
      <c r="B2391">
        <v>2765436</v>
      </c>
      <c r="C2391" s="1">
        <v>45409</v>
      </c>
      <c r="D2391">
        <v>1490</v>
      </c>
      <c r="E2391">
        <f>IF(
  ISNA(
    _xlfn.XLOOKUP(
      payments_raw[[#This Row],[subscription_id]],
      subscriptions[subscription_id],
      subscriptions[subscription_id]
    )
  ),
  0,
  1
)</f>
        <v>1</v>
      </c>
      <c r="F2391" s="1">
        <f>_xlfn.XLOOKUP(payments_raw[[#This Row],[subscription_id]], subscriptions[subscription_id], subscriptions[start_date])</f>
        <v>45073</v>
      </c>
      <c r="G23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1" s="2">
        <f>IF(payments_raw[[#This Row],[payment_date]] &lt; payments_raw[[#This Row],[sub_start_date]], 1, 0)</f>
        <v>0</v>
      </c>
      <c r="I2391" s="2">
        <f>IF(AND(payments_raw[[#This Row],[sub_end_date]]&lt;&gt;"", payments_raw[[#This Row],[payment_date]] &gt; payments_raw[[#This Row],[sub_end_date]]), 1, 0)</f>
        <v>0</v>
      </c>
      <c r="J2391" s="2">
        <f>IF(payments_raw[[#This Row],[amount]] &lt;= 0, 1, 0)</f>
        <v>0</v>
      </c>
      <c r="K23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2" spans="1:11" x14ac:dyDescent="0.3">
      <c r="A2392">
        <v>86640291</v>
      </c>
      <c r="B2392">
        <v>5608638</v>
      </c>
      <c r="C2392" s="1">
        <v>45447</v>
      </c>
      <c r="D2392">
        <v>190</v>
      </c>
      <c r="E2392">
        <f>IF(
  ISNA(
    _xlfn.XLOOKUP(
      payments_raw[[#This Row],[subscription_id]],
      subscriptions[subscription_id],
      subscriptions[subscription_id]
    )
  ),
  0,
  1
)</f>
        <v>1</v>
      </c>
      <c r="F2392" s="1">
        <f>_xlfn.XLOOKUP(payments_raw[[#This Row],[subscription_id]], subscriptions[subscription_id], subscriptions[start_date])</f>
        <v>45269</v>
      </c>
      <c r="G23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45651</v>
      </c>
      <c r="H2392" s="2">
        <f>IF(payments_raw[[#This Row],[payment_date]] &lt; payments_raw[[#This Row],[sub_start_date]], 1, 0)</f>
        <v>0</v>
      </c>
      <c r="I2392" s="2">
        <f>IF(AND(payments_raw[[#This Row],[sub_end_date]]&lt;&gt;"", payments_raw[[#This Row],[payment_date]] &gt; payments_raw[[#This Row],[sub_end_date]]), 1, 0)</f>
        <v>0</v>
      </c>
      <c r="J2392" s="2">
        <f>IF(payments_raw[[#This Row],[amount]] &lt;= 0, 1, 0)</f>
        <v>0</v>
      </c>
      <c r="K23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3" spans="1:11" x14ac:dyDescent="0.3">
      <c r="A2393">
        <v>26967591</v>
      </c>
      <c r="B2393">
        <v>2798071</v>
      </c>
      <c r="C2393" s="1">
        <v>45317</v>
      </c>
      <c r="D2393">
        <v>2990</v>
      </c>
      <c r="E2393">
        <f>IF(
  ISNA(
    _xlfn.XLOOKUP(
      payments_raw[[#This Row],[subscription_id]],
      subscriptions[subscription_id],
      subscriptions[subscription_id]
    )
  ),
  0,
  1
)</f>
        <v>1</v>
      </c>
      <c r="F2393" s="1">
        <f>_xlfn.XLOOKUP(payments_raw[[#This Row],[subscription_id]], subscriptions[subscription_id], subscriptions[start_date])</f>
        <v>44787</v>
      </c>
      <c r="G23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3" s="2">
        <f>IF(payments_raw[[#This Row],[payment_date]] &lt; payments_raw[[#This Row],[sub_start_date]], 1, 0)</f>
        <v>0</v>
      </c>
      <c r="I2393" s="2">
        <f>IF(AND(payments_raw[[#This Row],[sub_end_date]]&lt;&gt;"", payments_raw[[#This Row],[payment_date]] &gt; payments_raw[[#This Row],[sub_end_date]]), 1, 0)</f>
        <v>0</v>
      </c>
      <c r="J2393" s="2">
        <f>IF(payments_raw[[#This Row],[amount]] &lt;= 0, 1, 0)</f>
        <v>0</v>
      </c>
      <c r="K23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4" spans="1:11" x14ac:dyDescent="0.3">
      <c r="A2394">
        <v>89501960</v>
      </c>
      <c r="B2394">
        <v>4384399</v>
      </c>
      <c r="C2394" s="1">
        <v>44733</v>
      </c>
      <c r="D2394">
        <v>149</v>
      </c>
      <c r="E2394">
        <f>IF(
  ISNA(
    _xlfn.XLOOKUP(
      payments_raw[[#This Row],[subscription_id]],
      subscriptions[subscription_id],
      subscriptions[subscription_id]
    )
  ),
  0,
  1
)</f>
        <v>1</v>
      </c>
      <c r="F2394" s="1">
        <f>_xlfn.XLOOKUP(payments_raw[[#This Row],[subscription_id]], subscriptions[subscription_id], subscriptions[start_date])</f>
        <v>44628</v>
      </c>
      <c r="G23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4" s="2">
        <f>IF(payments_raw[[#This Row],[payment_date]] &lt; payments_raw[[#This Row],[sub_start_date]], 1, 0)</f>
        <v>0</v>
      </c>
      <c r="I2394" s="2">
        <f>IF(AND(payments_raw[[#This Row],[sub_end_date]]&lt;&gt;"", payments_raw[[#This Row],[payment_date]] &gt; payments_raw[[#This Row],[sub_end_date]]), 1, 0)</f>
        <v>0</v>
      </c>
      <c r="J2394" s="2">
        <f>IF(payments_raw[[#This Row],[amount]] &lt;= 0, 1, 0)</f>
        <v>0</v>
      </c>
      <c r="K23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5" spans="1:11" x14ac:dyDescent="0.3">
      <c r="A2395">
        <v>19590810</v>
      </c>
      <c r="B2395">
        <v>2742939</v>
      </c>
      <c r="C2395" s="1">
        <v>45091</v>
      </c>
      <c r="D2395">
        <v>149</v>
      </c>
      <c r="E2395">
        <f>IF(
  ISNA(
    _xlfn.XLOOKUP(
      payments_raw[[#This Row],[subscription_id]],
      subscriptions[subscription_id],
      subscriptions[subscription_id]
    )
  ),
  0,
  1
)</f>
        <v>1</v>
      </c>
      <c r="F2395" s="1">
        <f>_xlfn.XLOOKUP(payments_raw[[#This Row],[subscription_id]], subscriptions[subscription_id], subscriptions[start_date])</f>
        <v>44640</v>
      </c>
      <c r="G23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5" s="2">
        <f>IF(payments_raw[[#This Row],[payment_date]] &lt; payments_raw[[#This Row],[sub_start_date]], 1, 0)</f>
        <v>0</v>
      </c>
      <c r="I2395" s="2">
        <f>IF(AND(payments_raw[[#This Row],[sub_end_date]]&lt;&gt;"", payments_raw[[#This Row],[payment_date]] &gt; payments_raw[[#This Row],[sub_end_date]]), 1, 0)</f>
        <v>0</v>
      </c>
      <c r="J2395" s="2">
        <f>IF(payments_raw[[#This Row],[amount]] &lt;= 0, 1, 0)</f>
        <v>0</v>
      </c>
      <c r="K23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6" spans="1:11" x14ac:dyDescent="0.3">
      <c r="A2396">
        <v>72110699</v>
      </c>
      <c r="B2396">
        <v>4087744</v>
      </c>
      <c r="C2396" s="1">
        <v>45318</v>
      </c>
      <c r="D2396">
        <v>19</v>
      </c>
      <c r="E2396">
        <f>IF(
  ISNA(
    _xlfn.XLOOKUP(
      payments_raw[[#This Row],[subscription_id]],
      subscriptions[subscription_id],
      subscriptions[subscription_id]
    )
  ),
  0,
  1
)</f>
        <v>1</v>
      </c>
      <c r="F2396" s="1">
        <f>_xlfn.XLOOKUP(payments_raw[[#This Row],[subscription_id]], subscriptions[subscription_id], subscriptions[start_date])</f>
        <v>45043</v>
      </c>
      <c r="G23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45352</v>
      </c>
      <c r="H2396" s="2">
        <f>IF(payments_raw[[#This Row],[payment_date]] &lt; payments_raw[[#This Row],[sub_start_date]], 1, 0)</f>
        <v>0</v>
      </c>
      <c r="I2396" s="2">
        <f>IF(AND(payments_raw[[#This Row],[sub_end_date]]&lt;&gt;"", payments_raw[[#This Row],[payment_date]] &gt; payments_raw[[#This Row],[sub_end_date]]), 1, 0)</f>
        <v>0</v>
      </c>
      <c r="J2396" s="2">
        <f>IF(payments_raw[[#This Row],[amount]] &lt;= 0, 1, 0)</f>
        <v>0</v>
      </c>
      <c r="K23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7" spans="1:11" x14ac:dyDescent="0.3">
      <c r="A2397">
        <v>98929256</v>
      </c>
      <c r="B2397">
        <v>5978445</v>
      </c>
      <c r="C2397" s="1">
        <v>45638</v>
      </c>
      <c r="D2397">
        <v>149</v>
      </c>
      <c r="E2397">
        <f>IF(
  ISNA(
    _xlfn.XLOOKUP(
      payments_raw[[#This Row],[subscription_id]],
      subscriptions[subscription_id],
      subscriptions[subscription_id]
    )
  ),
  0,
  1
)</f>
        <v>1</v>
      </c>
      <c r="F2397" s="1">
        <f>_xlfn.XLOOKUP(payments_raw[[#This Row],[subscription_id]], subscriptions[subscription_id], subscriptions[start_date])</f>
        <v>44772</v>
      </c>
      <c r="G23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7" s="2">
        <f>IF(payments_raw[[#This Row],[payment_date]] &lt; payments_raw[[#This Row],[sub_start_date]], 1, 0)</f>
        <v>0</v>
      </c>
      <c r="I2397" s="2">
        <f>IF(AND(payments_raw[[#This Row],[sub_end_date]]&lt;&gt;"", payments_raw[[#This Row],[payment_date]] &gt; payments_raw[[#This Row],[sub_end_date]]), 1, 0)</f>
        <v>0</v>
      </c>
      <c r="J2397" s="2">
        <f>IF(payments_raw[[#This Row],[amount]] &lt;= 0, 1, 0)</f>
        <v>0</v>
      </c>
      <c r="K23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8" spans="1:11" x14ac:dyDescent="0.3">
      <c r="A2398">
        <v>19929251</v>
      </c>
      <c r="B2398">
        <v>6144500</v>
      </c>
      <c r="C2398" s="1">
        <v>45240</v>
      </c>
      <c r="D2398">
        <v>790</v>
      </c>
      <c r="E2398">
        <f>IF(
  ISNA(
    _xlfn.XLOOKUP(
      payments_raw[[#This Row],[subscription_id]],
      subscriptions[subscription_id],
      subscriptions[subscription_id]
    )
  ),
  0,
  1
)</f>
        <v>1</v>
      </c>
      <c r="F2398" s="1">
        <f>_xlfn.XLOOKUP(payments_raw[[#This Row],[subscription_id]], subscriptions[subscription_id], subscriptions[start_date])</f>
        <v>45100</v>
      </c>
      <c r="G23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8" s="2">
        <f>IF(payments_raw[[#This Row],[payment_date]] &lt; payments_raw[[#This Row],[sub_start_date]], 1, 0)</f>
        <v>0</v>
      </c>
      <c r="I2398" s="2">
        <f>IF(AND(payments_raw[[#This Row],[sub_end_date]]&lt;&gt;"", payments_raw[[#This Row],[payment_date]] &gt; payments_raw[[#This Row],[sub_end_date]]), 1, 0)</f>
        <v>0</v>
      </c>
      <c r="J2398" s="2">
        <f>IF(payments_raw[[#This Row],[amount]] &lt;= 0, 1, 0)</f>
        <v>0</v>
      </c>
      <c r="K23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399" spans="1:11" x14ac:dyDescent="0.3">
      <c r="A2399">
        <v>82537690</v>
      </c>
      <c r="B2399">
        <v>2800796</v>
      </c>
      <c r="C2399" s="1">
        <v>45560</v>
      </c>
      <c r="D2399">
        <v>190</v>
      </c>
      <c r="E2399">
        <f>IF(
  ISNA(
    _xlfn.XLOOKUP(
      payments_raw[[#This Row],[subscription_id]],
      subscriptions[subscription_id],
      subscriptions[subscription_id]
    )
  ),
  0,
  1
)</f>
        <v>1</v>
      </c>
      <c r="F2399" s="1">
        <f>_xlfn.XLOOKUP(payments_raw[[#This Row],[subscription_id]], subscriptions[subscription_id], subscriptions[start_date])</f>
        <v>45512</v>
      </c>
      <c r="G23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399" s="2">
        <f>IF(payments_raw[[#This Row],[payment_date]] &lt; payments_raw[[#This Row],[sub_start_date]], 1, 0)</f>
        <v>0</v>
      </c>
      <c r="I2399" s="2">
        <f>IF(AND(payments_raw[[#This Row],[sub_end_date]]&lt;&gt;"", payments_raw[[#This Row],[payment_date]] &gt; payments_raw[[#This Row],[sub_end_date]]), 1, 0)</f>
        <v>0</v>
      </c>
      <c r="J2399" s="2">
        <f>IF(payments_raw[[#This Row],[amount]] &lt;= 0, 1, 0)</f>
        <v>0</v>
      </c>
      <c r="K23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0" spans="1:11" x14ac:dyDescent="0.3">
      <c r="A2400">
        <v>70646711</v>
      </c>
      <c r="B2400">
        <v>8039619</v>
      </c>
      <c r="C2400" s="1">
        <v>45497</v>
      </c>
      <c r="D2400">
        <v>1490</v>
      </c>
      <c r="E2400">
        <f>IF(
  ISNA(
    _xlfn.XLOOKUP(
      payments_raw[[#This Row],[subscription_id]],
      subscriptions[subscription_id],
      subscriptions[subscription_id]
    )
  ),
  0,
  1
)</f>
        <v>1</v>
      </c>
      <c r="F2400" s="1">
        <f>_xlfn.XLOOKUP(payments_raw[[#This Row],[subscription_id]], subscriptions[subscription_id], subscriptions[start_date])</f>
        <v>45477</v>
      </c>
      <c r="G24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0" s="2">
        <f>IF(payments_raw[[#This Row],[payment_date]] &lt; payments_raw[[#This Row],[sub_start_date]], 1, 0)</f>
        <v>0</v>
      </c>
      <c r="I2400" s="2">
        <f>IF(AND(payments_raw[[#This Row],[sub_end_date]]&lt;&gt;"", payments_raw[[#This Row],[payment_date]] &gt; payments_raw[[#This Row],[sub_end_date]]), 1, 0)</f>
        <v>0</v>
      </c>
      <c r="J2400" s="2">
        <f>IF(payments_raw[[#This Row],[amount]] &lt;= 0, 1, 0)</f>
        <v>0</v>
      </c>
      <c r="K24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1" spans="1:11" x14ac:dyDescent="0.3">
      <c r="A2401">
        <v>54045721</v>
      </c>
      <c r="B2401">
        <v>4333354</v>
      </c>
      <c r="C2401" s="1">
        <v>45645</v>
      </c>
      <c r="D2401">
        <v>149</v>
      </c>
      <c r="E2401">
        <f>IF(
  ISNA(
    _xlfn.XLOOKUP(
      payments_raw[[#This Row],[subscription_id]],
      subscriptions[subscription_id],
      subscriptions[subscription_id]
    )
  ),
  0,
  1
)</f>
        <v>1</v>
      </c>
      <c r="F2401" s="1">
        <f>_xlfn.XLOOKUP(payments_raw[[#This Row],[subscription_id]], subscriptions[subscription_id], subscriptions[start_date])</f>
        <v>45597</v>
      </c>
      <c r="G24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1" s="2">
        <f>IF(payments_raw[[#This Row],[payment_date]] &lt; payments_raw[[#This Row],[sub_start_date]], 1, 0)</f>
        <v>0</v>
      </c>
      <c r="I2401" s="2">
        <f>IF(AND(payments_raw[[#This Row],[sub_end_date]]&lt;&gt;"", payments_raw[[#This Row],[payment_date]] &gt; payments_raw[[#This Row],[sub_end_date]]), 1, 0)</f>
        <v>0</v>
      </c>
      <c r="J2401" s="2">
        <f>IF(payments_raw[[#This Row],[amount]] &lt;= 0, 1, 0)</f>
        <v>0</v>
      </c>
      <c r="K24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2" spans="1:11" x14ac:dyDescent="0.3">
      <c r="A2402">
        <v>50164480</v>
      </c>
      <c r="B2402">
        <v>7711798</v>
      </c>
      <c r="C2402" s="1">
        <v>45620</v>
      </c>
      <c r="D2402">
        <v>299</v>
      </c>
      <c r="E2402">
        <f>IF(
  ISNA(
    _xlfn.XLOOKUP(
      payments_raw[[#This Row],[subscription_id]],
      subscriptions[subscription_id],
      subscriptions[subscription_id]
    )
  ),
  0,
  1
)</f>
        <v>1</v>
      </c>
      <c r="F2402" s="1">
        <f>_xlfn.XLOOKUP(payments_raw[[#This Row],[subscription_id]], subscriptions[subscription_id], subscriptions[start_date])</f>
        <v>45152</v>
      </c>
      <c r="G24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2" s="2">
        <f>IF(payments_raw[[#This Row],[payment_date]] &lt; payments_raw[[#This Row],[sub_start_date]], 1, 0)</f>
        <v>0</v>
      </c>
      <c r="I2402" s="2">
        <f>IF(AND(payments_raw[[#This Row],[sub_end_date]]&lt;&gt;"", payments_raw[[#This Row],[payment_date]] &gt; payments_raw[[#This Row],[sub_end_date]]), 1, 0)</f>
        <v>0</v>
      </c>
      <c r="J2402" s="2">
        <f>IF(payments_raw[[#This Row],[amount]] &lt;= 0, 1, 0)</f>
        <v>0</v>
      </c>
      <c r="K24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3" spans="1:11" x14ac:dyDescent="0.3">
      <c r="A2403">
        <v>54121590</v>
      </c>
      <c r="B2403">
        <v>5856148</v>
      </c>
      <c r="C2403" s="1">
        <v>44816</v>
      </c>
      <c r="D2403">
        <v>149</v>
      </c>
      <c r="E2403">
        <f>IF(
  ISNA(
    _xlfn.XLOOKUP(
      payments_raw[[#This Row],[subscription_id]],
      subscriptions[subscription_id],
      subscriptions[subscription_id]
    )
  ),
  0,
  1
)</f>
        <v>1</v>
      </c>
      <c r="F2403" s="1">
        <f>_xlfn.XLOOKUP(payments_raw[[#This Row],[subscription_id]], subscriptions[subscription_id], subscriptions[start_date])</f>
        <v>44766</v>
      </c>
      <c r="G24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45048</v>
      </c>
      <c r="H2403" s="2">
        <f>IF(payments_raw[[#This Row],[payment_date]] &lt; payments_raw[[#This Row],[sub_start_date]], 1, 0)</f>
        <v>0</v>
      </c>
      <c r="I2403" s="2">
        <f>IF(AND(payments_raw[[#This Row],[sub_end_date]]&lt;&gt;"", payments_raw[[#This Row],[payment_date]] &gt; payments_raw[[#This Row],[sub_end_date]]), 1, 0)</f>
        <v>0</v>
      </c>
      <c r="J2403" s="2">
        <f>IF(payments_raw[[#This Row],[amount]] &lt;= 0, 1, 0)</f>
        <v>0</v>
      </c>
      <c r="K24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4" spans="1:11" x14ac:dyDescent="0.3">
      <c r="A2404">
        <v>37663707</v>
      </c>
      <c r="B2404">
        <v>2823879</v>
      </c>
      <c r="C2404" s="1">
        <v>45471</v>
      </c>
      <c r="D2404">
        <v>299</v>
      </c>
      <c r="E2404">
        <f>IF(
  ISNA(
    _xlfn.XLOOKUP(
      payments_raw[[#This Row],[subscription_id]],
      subscriptions[subscription_id],
      subscriptions[subscription_id]
    )
  ),
  0,
  1
)</f>
        <v>1</v>
      </c>
      <c r="F2404" s="1">
        <f>_xlfn.XLOOKUP(payments_raw[[#This Row],[subscription_id]], subscriptions[subscription_id], subscriptions[start_date])</f>
        <v>45036</v>
      </c>
      <c r="G24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4" s="2">
        <f>IF(payments_raw[[#This Row],[payment_date]] &lt; payments_raw[[#This Row],[sub_start_date]], 1, 0)</f>
        <v>0</v>
      </c>
      <c r="I2404" s="2">
        <f>IF(AND(payments_raw[[#This Row],[sub_end_date]]&lt;&gt;"", payments_raw[[#This Row],[payment_date]] &gt; payments_raw[[#This Row],[sub_end_date]]), 1, 0)</f>
        <v>0</v>
      </c>
      <c r="J2404" s="2">
        <f>IF(payments_raw[[#This Row],[amount]] &lt;= 0, 1, 0)</f>
        <v>0</v>
      </c>
      <c r="K24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5" spans="1:11" x14ac:dyDescent="0.3">
      <c r="A2405">
        <v>31458188</v>
      </c>
      <c r="B2405">
        <v>5196564</v>
      </c>
      <c r="C2405" s="1">
        <v>45560</v>
      </c>
      <c r="D2405">
        <v>39</v>
      </c>
      <c r="E2405">
        <f>IF(
  ISNA(
    _xlfn.XLOOKUP(
      payments_raw[[#This Row],[subscription_id]],
      subscriptions[subscription_id],
      subscriptions[subscription_id]
    )
  ),
  0,
  1
)</f>
        <v>1</v>
      </c>
      <c r="F2405" s="1">
        <f>_xlfn.XLOOKUP(payments_raw[[#This Row],[subscription_id]], subscriptions[subscription_id], subscriptions[start_date])</f>
        <v>45025</v>
      </c>
      <c r="G24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5" s="2">
        <f>IF(payments_raw[[#This Row],[payment_date]] &lt; payments_raw[[#This Row],[sub_start_date]], 1, 0)</f>
        <v>0</v>
      </c>
      <c r="I2405" s="2">
        <f>IF(AND(payments_raw[[#This Row],[sub_end_date]]&lt;&gt;"", payments_raw[[#This Row],[payment_date]] &gt; payments_raw[[#This Row],[sub_end_date]]), 1, 0)</f>
        <v>0</v>
      </c>
      <c r="J2405" s="2">
        <f>IF(payments_raw[[#This Row],[amount]] &lt;= 0, 1, 0)</f>
        <v>0</v>
      </c>
      <c r="K24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6" spans="1:11" x14ac:dyDescent="0.3">
      <c r="A2406">
        <v>80245541</v>
      </c>
      <c r="B2406">
        <v>5345732</v>
      </c>
      <c r="C2406" s="1">
        <v>45090</v>
      </c>
      <c r="D2406">
        <v>269.10000000000002</v>
      </c>
      <c r="E2406">
        <f>IF(
  ISNA(
    _xlfn.XLOOKUP(
      payments_raw[[#This Row],[subscription_id]],
      subscriptions[subscription_id],
      subscriptions[subscription_id]
    )
  ),
  0,
  1
)</f>
        <v>1</v>
      </c>
      <c r="F2406" s="1">
        <f>_xlfn.XLOOKUP(payments_raw[[#This Row],[subscription_id]], subscriptions[subscription_id], subscriptions[start_date])</f>
        <v>45084</v>
      </c>
      <c r="G24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45125</v>
      </c>
      <c r="H2406" s="2">
        <f>IF(payments_raw[[#This Row],[payment_date]] &lt; payments_raw[[#This Row],[sub_start_date]], 1, 0)</f>
        <v>0</v>
      </c>
      <c r="I2406" s="2">
        <f>IF(AND(payments_raw[[#This Row],[sub_end_date]]&lt;&gt;"", payments_raw[[#This Row],[payment_date]] &gt; payments_raw[[#This Row],[sub_end_date]]), 1, 0)</f>
        <v>0</v>
      </c>
      <c r="J2406" s="2">
        <f>IF(payments_raw[[#This Row],[amount]] &lt;= 0, 1, 0)</f>
        <v>0</v>
      </c>
      <c r="K24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7" spans="1:11" x14ac:dyDescent="0.3">
      <c r="A2407">
        <v>39210851</v>
      </c>
      <c r="B2407">
        <v>6852648</v>
      </c>
      <c r="C2407" s="1">
        <v>45566</v>
      </c>
      <c r="D2407">
        <v>351</v>
      </c>
      <c r="E2407">
        <f>IF(
  ISNA(
    _xlfn.XLOOKUP(
      payments_raw[[#This Row],[subscription_id]],
      subscriptions[subscription_id],
      subscriptions[subscription_id]
    )
  ),
  0,
  1
)</f>
        <v>1</v>
      </c>
      <c r="F2407" s="1">
        <f>_xlfn.XLOOKUP(payments_raw[[#This Row],[subscription_id]], subscriptions[subscription_id], subscriptions[start_date])</f>
        <v>45240</v>
      </c>
      <c r="G24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7" s="2">
        <f>IF(payments_raw[[#This Row],[payment_date]] &lt; payments_raw[[#This Row],[sub_start_date]], 1, 0)</f>
        <v>0</v>
      </c>
      <c r="I2407" s="2">
        <f>IF(AND(payments_raw[[#This Row],[sub_end_date]]&lt;&gt;"", payments_raw[[#This Row],[payment_date]] &gt; payments_raw[[#This Row],[sub_end_date]]), 1, 0)</f>
        <v>0</v>
      </c>
      <c r="J2407" s="2">
        <f>IF(payments_raw[[#This Row],[amount]] &lt;= 0, 1, 0)</f>
        <v>0</v>
      </c>
      <c r="K24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8" spans="1:11" x14ac:dyDescent="0.3">
      <c r="A2408">
        <v>77481652</v>
      </c>
      <c r="B2408">
        <v>5245703</v>
      </c>
      <c r="C2408" s="1">
        <v>45575</v>
      </c>
      <c r="D2408">
        <v>79</v>
      </c>
      <c r="E2408">
        <f>IF(
  ISNA(
    _xlfn.XLOOKUP(
      payments_raw[[#This Row],[subscription_id]],
      subscriptions[subscription_id],
      subscriptions[subscription_id]
    )
  ),
  0,
  1
)</f>
        <v>1</v>
      </c>
      <c r="F2408" s="1">
        <f>_xlfn.XLOOKUP(payments_raw[[#This Row],[subscription_id]], subscriptions[subscription_id], subscriptions[start_date])</f>
        <v>45401</v>
      </c>
      <c r="G24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8" s="2">
        <f>IF(payments_raw[[#This Row],[payment_date]] &lt; payments_raw[[#This Row],[sub_start_date]], 1, 0)</f>
        <v>0</v>
      </c>
      <c r="I2408" s="2">
        <f>IF(AND(payments_raw[[#This Row],[sub_end_date]]&lt;&gt;"", payments_raw[[#This Row],[payment_date]] &gt; payments_raw[[#This Row],[sub_end_date]]), 1, 0)</f>
        <v>0</v>
      </c>
      <c r="J2408" s="2">
        <f>IF(payments_raw[[#This Row],[amount]] &lt;= 0, 1, 0)</f>
        <v>0</v>
      </c>
      <c r="K24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09" spans="1:11" x14ac:dyDescent="0.3">
      <c r="A2409">
        <v>81991176</v>
      </c>
      <c r="B2409">
        <v>2845328</v>
      </c>
      <c r="C2409" s="1">
        <v>45453</v>
      </c>
      <c r="D2409">
        <v>39</v>
      </c>
      <c r="E2409">
        <f>IF(
  ISNA(
    _xlfn.XLOOKUP(
      payments_raw[[#This Row],[subscription_id]],
      subscriptions[subscription_id],
      subscriptions[subscription_id]
    )
  ),
  0,
  1
)</f>
        <v>1</v>
      </c>
      <c r="F2409" s="1">
        <f>_xlfn.XLOOKUP(payments_raw[[#This Row],[subscription_id]], subscriptions[subscription_id], subscriptions[start_date])</f>
        <v>45395</v>
      </c>
      <c r="G24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09" s="2">
        <f>IF(payments_raw[[#This Row],[payment_date]] &lt; payments_raw[[#This Row],[sub_start_date]], 1, 0)</f>
        <v>0</v>
      </c>
      <c r="I2409" s="2">
        <f>IF(AND(payments_raw[[#This Row],[sub_end_date]]&lt;&gt;"", payments_raw[[#This Row],[payment_date]] &gt; payments_raw[[#This Row],[sub_end_date]]), 1, 0)</f>
        <v>0</v>
      </c>
      <c r="J2409" s="2">
        <f>IF(payments_raw[[#This Row],[amount]] &lt;= 0, 1, 0)</f>
        <v>0</v>
      </c>
      <c r="K24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0" spans="1:11" x14ac:dyDescent="0.3">
      <c r="A2410">
        <v>87594255</v>
      </c>
      <c r="B2410">
        <v>9171197</v>
      </c>
      <c r="C2410" s="1">
        <v>45324</v>
      </c>
      <c r="D2410">
        <v>2990</v>
      </c>
      <c r="E2410">
        <f>IF(
  ISNA(
    _xlfn.XLOOKUP(
      payments_raw[[#This Row],[subscription_id]],
      subscriptions[subscription_id],
      subscriptions[subscription_id]
    )
  ),
  0,
  1
)</f>
        <v>1</v>
      </c>
      <c r="F2410" s="1">
        <f>_xlfn.XLOOKUP(payments_raw[[#This Row],[subscription_id]], subscriptions[subscription_id], subscriptions[start_date])</f>
        <v>45073</v>
      </c>
      <c r="G24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0" s="2">
        <f>IF(payments_raw[[#This Row],[payment_date]] &lt; payments_raw[[#This Row],[sub_start_date]], 1, 0)</f>
        <v>0</v>
      </c>
      <c r="I2410" s="2">
        <f>IF(AND(payments_raw[[#This Row],[sub_end_date]]&lt;&gt;"", payments_raw[[#This Row],[payment_date]] &gt; payments_raw[[#This Row],[sub_end_date]]), 1, 0)</f>
        <v>0</v>
      </c>
      <c r="J2410" s="2">
        <f>IF(payments_raw[[#This Row],[amount]] &lt;= 0, 1, 0)</f>
        <v>0</v>
      </c>
      <c r="K24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1" spans="1:11" x14ac:dyDescent="0.3">
      <c r="A2411">
        <v>75992723</v>
      </c>
      <c r="B2411">
        <v>7463257</v>
      </c>
      <c r="C2411" s="1">
        <v>44911</v>
      </c>
      <c r="D2411">
        <v>592.5</v>
      </c>
      <c r="E2411">
        <f>IF(
  ISNA(
    _xlfn.XLOOKUP(
      payments_raw[[#This Row],[subscription_id]],
      subscriptions[subscription_id],
      subscriptions[subscription_id]
    )
  ),
  0,
  1
)</f>
        <v>1</v>
      </c>
      <c r="F2411" s="1">
        <f>_xlfn.XLOOKUP(payments_raw[[#This Row],[subscription_id]], subscriptions[subscription_id], subscriptions[start_date])</f>
        <v>44774</v>
      </c>
      <c r="G241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44954</v>
      </c>
      <c r="H2411" s="2">
        <f>IF(payments_raw[[#This Row],[payment_date]] &lt; payments_raw[[#This Row],[sub_start_date]], 1, 0)</f>
        <v>0</v>
      </c>
      <c r="I2411" s="2">
        <f>IF(AND(payments_raw[[#This Row],[sub_end_date]]&lt;&gt;"", payments_raw[[#This Row],[payment_date]] &gt; payments_raw[[#This Row],[sub_end_date]]), 1, 0)</f>
        <v>0</v>
      </c>
      <c r="J2411" s="2">
        <f>IF(payments_raw[[#This Row],[amount]] &lt;= 0, 1, 0)</f>
        <v>0</v>
      </c>
      <c r="K24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2" spans="1:11" x14ac:dyDescent="0.3">
      <c r="A2412">
        <v>87368164</v>
      </c>
      <c r="B2412">
        <v>3092406</v>
      </c>
      <c r="C2412" s="1">
        <v>45598</v>
      </c>
      <c r="D2412">
        <v>299</v>
      </c>
      <c r="E2412">
        <f>IF(
  ISNA(
    _xlfn.XLOOKUP(
      payments_raw[[#This Row],[subscription_id]],
      subscriptions[subscription_id],
      subscriptions[subscription_id]
    )
  ),
  0,
  1
)</f>
        <v>1</v>
      </c>
      <c r="F2412" s="1">
        <f>_xlfn.XLOOKUP(payments_raw[[#This Row],[subscription_id]], subscriptions[subscription_id], subscriptions[start_date])</f>
        <v>45598</v>
      </c>
      <c r="G24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2" s="2">
        <f>IF(payments_raw[[#This Row],[payment_date]] &lt; payments_raw[[#This Row],[sub_start_date]], 1, 0)</f>
        <v>0</v>
      </c>
      <c r="I2412" s="2">
        <f>IF(AND(payments_raw[[#This Row],[sub_end_date]]&lt;&gt;"", payments_raw[[#This Row],[payment_date]] &gt; payments_raw[[#This Row],[sub_end_date]]), 1, 0)</f>
        <v>0</v>
      </c>
      <c r="J2412" s="2">
        <f>IF(payments_raw[[#This Row],[amount]] &lt;= 0, 1, 0)</f>
        <v>0</v>
      </c>
      <c r="K24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3" spans="1:11" x14ac:dyDescent="0.3">
      <c r="A2413">
        <v>13041899</v>
      </c>
      <c r="B2413">
        <v>3719411</v>
      </c>
      <c r="C2413" s="1">
        <v>45492</v>
      </c>
      <c r="D2413">
        <v>39</v>
      </c>
      <c r="E2413">
        <f>IF(
  ISNA(
    _xlfn.XLOOKUP(
      payments_raw[[#This Row],[subscription_id]],
      subscriptions[subscription_id],
      subscriptions[subscription_id]
    )
  ),
  0,
  1
)</f>
        <v>1</v>
      </c>
      <c r="F2413" s="1">
        <f>_xlfn.XLOOKUP(payments_raw[[#This Row],[subscription_id]], subscriptions[subscription_id], subscriptions[start_date])</f>
        <v>45450</v>
      </c>
      <c r="G24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45578</v>
      </c>
      <c r="H2413" s="2">
        <f>IF(payments_raw[[#This Row],[payment_date]] &lt; payments_raw[[#This Row],[sub_start_date]], 1, 0)</f>
        <v>0</v>
      </c>
      <c r="I2413" s="2">
        <f>IF(AND(payments_raw[[#This Row],[sub_end_date]]&lt;&gt;"", payments_raw[[#This Row],[payment_date]] &gt; payments_raw[[#This Row],[sub_end_date]]), 1, 0)</f>
        <v>0</v>
      </c>
      <c r="J2413" s="2">
        <f>IF(payments_raw[[#This Row],[amount]] &lt;= 0, 1, 0)</f>
        <v>0</v>
      </c>
      <c r="K24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4" spans="1:11" x14ac:dyDescent="0.3">
      <c r="A2414">
        <v>69766468</v>
      </c>
      <c r="B2414">
        <v>7640565</v>
      </c>
      <c r="C2414" s="1">
        <v>44696</v>
      </c>
      <c r="D2414">
        <v>1490</v>
      </c>
      <c r="E2414">
        <f>IF(
  ISNA(
    _xlfn.XLOOKUP(
      payments_raw[[#This Row],[subscription_id]],
      subscriptions[subscription_id],
      subscriptions[subscription_id]
    )
  ),
  0,
  1
)</f>
        <v>1</v>
      </c>
      <c r="F2414" s="1">
        <f>_xlfn.XLOOKUP(payments_raw[[#This Row],[subscription_id]], subscriptions[subscription_id], subscriptions[start_date])</f>
        <v>44577</v>
      </c>
      <c r="G2414" s="1">
        <f>IF(_xlfn.XLOOKUP(payments_raw[[#This Row],[subscription_id]], subscriptions[subscription_id], subscriptions[end_date])=0,"",_xlfn.XLOOKUP(payments_raw[[#This Row],[subscription_id]], subscriptions[subscription_id], subscriptions[end_date]))</f>
        <v>44721</v>
      </c>
      <c r="H2414" s="2">
        <f>IF(payments_raw[[#This Row],[payment_date]] &lt; payments_raw[[#This Row],[sub_start_date]], 1, 0)</f>
        <v>0</v>
      </c>
      <c r="I2414" s="2">
        <f>IF(AND(payments_raw[[#This Row],[sub_end_date]]&lt;&gt;"", payments_raw[[#This Row],[payment_date]] &gt; payments_raw[[#This Row],[sub_end_date]]), 1, 0)</f>
        <v>0</v>
      </c>
      <c r="J2414" s="2">
        <f>IF(payments_raw[[#This Row],[amount]] &lt;= 0, 1, 0)</f>
        <v>0</v>
      </c>
      <c r="K24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5" spans="1:11" x14ac:dyDescent="0.3">
      <c r="A2415">
        <v>59715122</v>
      </c>
      <c r="B2415">
        <v>8044465</v>
      </c>
      <c r="C2415" s="1">
        <v>45020</v>
      </c>
      <c r="D2415">
        <v>790</v>
      </c>
      <c r="E2415">
        <f>IF(
  ISNA(
    _xlfn.XLOOKUP(
      payments_raw[[#This Row],[subscription_id]],
      subscriptions[subscription_id],
      subscriptions[subscription_id]
    )
  ),
  0,
  1
)</f>
        <v>1</v>
      </c>
      <c r="F2415" s="1">
        <f>_xlfn.XLOOKUP(payments_raw[[#This Row],[subscription_id]], subscriptions[subscription_id], subscriptions[start_date])</f>
        <v>44697</v>
      </c>
      <c r="G24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5" s="2">
        <f>IF(payments_raw[[#This Row],[payment_date]] &lt; payments_raw[[#This Row],[sub_start_date]], 1, 0)</f>
        <v>0</v>
      </c>
      <c r="I2415" s="2">
        <f>IF(AND(payments_raw[[#This Row],[sub_end_date]]&lt;&gt;"", payments_raw[[#This Row],[payment_date]] &gt; payments_raw[[#This Row],[sub_end_date]]), 1, 0)</f>
        <v>0</v>
      </c>
      <c r="J2415" s="2">
        <f>IF(payments_raw[[#This Row],[amount]] &lt;= 0, 1, 0)</f>
        <v>0</v>
      </c>
      <c r="K24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6" spans="1:11" x14ac:dyDescent="0.3">
      <c r="A2416">
        <v>67072792</v>
      </c>
      <c r="B2416">
        <v>5905871</v>
      </c>
      <c r="C2416" s="1">
        <v>45043</v>
      </c>
      <c r="D2416">
        <v>149</v>
      </c>
      <c r="E2416">
        <f>IF(
  ISNA(
    _xlfn.XLOOKUP(
      payments_raw[[#This Row],[subscription_id]],
      subscriptions[subscription_id],
      subscriptions[subscription_id]
    )
  ),
  0,
  1
)</f>
        <v>1</v>
      </c>
      <c r="F2416" s="1">
        <f>_xlfn.XLOOKUP(payments_raw[[#This Row],[subscription_id]], subscriptions[subscription_id], subscriptions[start_date])</f>
        <v>44827</v>
      </c>
      <c r="G24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45102</v>
      </c>
      <c r="H2416" s="2">
        <f>IF(payments_raw[[#This Row],[payment_date]] &lt; payments_raw[[#This Row],[sub_start_date]], 1, 0)</f>
        <v>0</v>
      </c>
      <c r="I2416" s="2">
        <f>IF(AND(payments_raw[[#This Row],[sub_end_date]]&lt;&gt;"", payments_raw[[#This Row],[payment_date]] &gt; payments_raw[[#This Row],[sub_end_date]]), 1, 0)</f>
        <v>0</v>
      </c>
      <c r="J2416" s="2">
        <f>IF(payments_raw[[#This Row],[amount]] &lt;= 0, 1, 0)</f>
        <v>0</v>
      </c>
      <c r="K24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7" spans="1:11" x14ac:dyDescent="0.3">
      <c r="A2417">
        <v>39663615</v>
      </c>
      <c r="B2417">
        <v>4535328</v>
      </c>
      <c r="C2417" s="1">
        <v>45472</v>
      </c>
      <c r="D2417">
        <v>35.1</v>
      </c>
      <c r="E2417">
        <f>IF(
  ISNA(
    _xlfn.XLOOKUP(
      payments_raw[[#This Row],[subscription_id]],
      subscriptions[subscription_id],
      subscriptions[subscription_id]
    )
  ),
  0,
  1
)</f>
        <v>1</v>
      </c>
      <c r="F2417" s="1">
        <f>_xlfn.XLOOKUP(payments_raw[[#This Row],[subscription_id]], subscriptions[subscription_id], subscriptions[start_date])</f>
        <v>45090</v>
      </c>
      <c r="G24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7" s="2">
        <f>IF(payments_raw[[#This Row],[payment_date]] &lt; payments_raw[[#This Row],[sub_start_date]], 1, 0)</f>
        <v>0</v>
      </c>
      <c r="I2417" s="2">
        <f>IF(AND(payments_raw[[#This Row],[sub_end_date]]&lt;&gt;"", payments_raw[[#This Row],[payment_date]] &gt; payments_raw[[#This Row],[sub_end_date]]), 1, 0)</f>
        <v>0</v>
      </c>
      <c r="J2417" s="2">
        <f>IF(payments_raw[[#This Row],[amount]] &lt;= 0, 1, 0)</f>
        <v>0</v>
      </c>
      <c r="K24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8" spans="1:11" x14ac:dyDescent="0.3">
      <c r="A2418">
        <v>52021016</v>
      </c>
      <c r="B2418">
        <v>1085400</v>
      </c>
      <c r="C2418" s="1">
        <v>45633</v>
      </c>
      <c r="D2418">
        <v>2990</v>
      </c>
      <c r="E2418">
        <f>IF(
  ISNA(
    _xlfn.XLOOKUP(
      payments_raw[[#This Row],[subscription_id]],
      subscriptions[subscription_id],
      subscriptions[subscription_id]
    )
  ),
  0,
  1
)</f>
        <v>1</v>
      </c>
      <c r="F2418" s="1">
        <f>_xlfn.XLOOKUP(payments_raw[[#This Row],[subscription_id]], subscriptions[subscription_id], subscriptions[start_date])</f>
        <v>45443</v>
      </c>
      <c r="G24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8" s="2">
        <f>IF(payments_raw[[#This Row],[payment_date]] &lt; payments_raw[[#This Row],[sub_start_date]], 1, 0)</f>
        <v>0</v>
      </c>
      <c r="I2418" s="2">
        <f>IF(AND(payments_raw[[#This Row],[sub_end_date]]&lt;&gt;"", payments_raw[[#This Row],[payment_date]] &gt; payments_raw[[#This Row],[sub_end_date]]), 1, 0)</f>
        <v>0</v>
      </c>
      <c r="J2418" s="2">
        <f>IF(payments_raw[[#This Row],[amount]] &lt;= 0, 1, 0)</f>
        <v>0</v>
      </c>
      <c r="K24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19" spans="1:11" x14ac:dyDescent="0.3">
      <c r="A2419">
        <v>12773948</v>
      </c>
      <c r="B2419">
        <v>3006411</v>
      </c>
      <c r="C2419" s="1">
        <v>45440</v>
      </c>
      <c r="D2419">
        <v>299</v>
      </c>
      <c r="E2419">
        <f>IF(
  ISNA(
    _xlfn.XLOOKUP(
      payments_raw[[#This Row],[subscription_id]],
      subscriptions[subscription_id],
      subscriptions[subscription_id]
    )
  ),
  0,
  1
)</f>
        <v>1</v>
      </c>
      <c r="F2419" s="1">
        <f>_xlfn.XLOOKUP(payments_raw[[#This Row],[subscription_id]], subscriptions[subscription_id], subscriptions[start_date])</f>
        <v>44965</v>
      </c>
      <c r="G24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19" s="2">
        <f>IF(payments_raw[[#This Row],[payment_date]] &lt; payments_raw[[#This Row],[sub_start_date]], 1, 0)</f>
        <v>0</v>
      </c>
      <c r="I2419" s="2">
        <f>IF(AND(payments_raw[[#This Row],[sub_end_date]]&lt;&gt;"", payments_raw[[#This Row],[payment_date]] &gt; payments_raw[[#This Row],[sub_end_date]]), 1, 0)</f>
        <v>0</v>
      </c>
      <c r="J2419" s="2">
        <f>IF(payments_raw[[#This Row],[amount]] &lt;= 0, 1, 0)</f>
        <v>0</v>
      </c>
      <c r="K24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0" spans="1:11" x14ac:dyDescent="0.3">
      <c r="A2420">
        <v>11595678</v>
      </c>
      <c r="B2420">
        <v>7277502</v>
      </c>
      <c r="C2420" s="1">
        <v>45266</v>
      </c>
      <c r="D2420">
        <v>1490</v>
      </c>
      <c r="E2420">
        <f>IF(
  ISNA(
    _xlfn.XLOOKUP(
      payments_raw[[#This Row],[subscription_id]],
      subscriptions[subscription_id],
      subscriptions[subscription_id]
    )
  ),
  0,
  1
)</f>
        <v>1</v>
      </c>
      <c r="F2420" s="1">
        <f>_xlfn.XLOOKUP(payments_raw[[#This Row],[subscription_id]], subscriptions[subscription_id], subscriptions[start_date])</f>
        <v>44924</v>
      </c>
      <c r="G24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2420" s="2">
        <f>IF(payments_raw[[#This Row],[payment_date]] &lt; payments_raw[[#This Row],[sub_start_date]], 1, 0)</f>
        <v>0</v>
      </c>
      <c r="I2420" s="2">
        <f>IF(AND(payments_raw[[#This Row],[sub_end_date]]&lt;&gt;"", payments_raw[[#This Row],[payment_date]] &gt; payments_raw[[#This Row],[sub_end_date]]), 1, 0)</f>
        <v>0</v>
      </c>
      <c r="J2420" s="2">
        <f>IF(payments_raw[[#This Row],[amount]] &lt;= 0, 1, 0)</f>
        <v>0</v>
      </c>
      <c r="K24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1" spans="1:11" x14ac:dyDescent="0.3">
      <c r="A2421">
        <v>26983445</v>
      </c>
      <c r="B2421">
        <v>8596473</v>
      </c>
      <c r="C2421" s="1">
        <v>45114</v>
      </c>
      <c r="D2421">
        <v>134.1</v>
      </c>
      <c r="E2421">
        <f>IF(
  ISNA(
    _xlfn.XLOOKUP(
      payments_raw[[#This Row],[subscription_id]],
      subscriptions[subscription_id],
      subscriptions[subscription_id]
    )
  ),
  0,
  1
)</f>
        <v>1</v>
      </c>
      <c r="F2421" s="1">
        <f>_xlfn.XLOOKUP(payments_raw[[#This Row],[subscription_id]], subscriptions[subscription_id], subscriptions[start_date])</f>
        <v>44912</v>
      </c>
      <c r="G24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2421" s="2">
        <f>IF(payments_raw[[#This Row],[payment_date]] &lt; payments_raw[[#This Row],[sub_start_date]], 1, 0)</f>
        <v>0</v>
      </c>
      <c r="I2421" s="2">
        <f>IF(AND(payments_raw[[#This Row],[sub_end_date]]&lt;&gt;"", payments_raw[[#This Row],[payment_date]] &gt; payments_raw[[#This Row],[sub_end_date]]), 1, 0)</f>
        <v>0</v>
      </c>
      <c r="J2421" s="2">
        <f>IF(payments_raw[[#This Row],[amount]] &lt;= 0, 1, 0)</f>
        <v>0</v>
      </c>
      <c r="K24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2" spans="1:11" x14ac:dyDescent="0.3">
      <c r="A2422">
        <v>26312537</v>
      </c>
      <c r="B2422">
        <v>6437103</v>
      </c>
      <c r="C2422" s="1">
        <v>45336</v>
      </c>
      <c r="D2422">
        <v>190</v>
      </c>
      <c r="E2422">
        <f>IF(
  ISNA(
    _xlfn.XLOOKUP(
      payments_raw[[#This Row],[subscription_id]],
      subscriptions[subscription_id],
      subscriptions[subscription_id]
    )
  ),
  0,
  1
)</f>
        <v>1</v>
      </c>
      <c r="F2422" s="1">
        <f>_xlfn.XLOOKUP(payments_raw[[#This Row],[subscription_id]], subscriptions[subscription_id], subscriptions[start_date])</f>
        <v>45274</v>
      </c>
      <c r="G24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2" s="2">
        <f>IF(payments_raw[[#This Row],[payment_date]] &lt; payments_raw[[#This Row],[sub_start_date]], 1, 0)</f>
        <v>0</v>
      </c>
      <c r="I2422" s="2">
        <f>IF(AND(payments_raw[[#This Row],[sub_end_date]]&lt;&gt;"", payments_raw[[#This Row],[payment_date]] &gt; payments_raw[[#This Row],[sub_end_date]]), 1, 0)</f>
        <v>0</v>
      </c>
      <c r="J2422" s="2">
        <f>IF(payments_raw[[#This Row],[amount]] &lt;= 0, 1, 0)</f>
        <v>0</v>
      </c>
      <c r="K24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3" spans="1:11" x14ac:dyDescent="0.3">
      <c r="A2423">
        <v>88449326</v>
      </c>
      <c r="B2423">
        <v>6479245</v>
      </c>
      <c r="C2423" s="1">
        <v>45365</v>
      </c>
      <c r="D2423">
        <v>71.099999999999994</v>
      </c>
      <c r="E2423">
        <f>IF(
  ISNA(
    _xlfn.XLOOKUP(
      payments_raw[[#This Row],[subscription_id]],
      subscriptions[subscription_id],
      subscriptions[subscription_id]
    )
  ),
  0,
  1
)</f>
        <v>1</v>
      </c>
      <c r="F2423" s="1">
        <f>_xlfn.XLOOKUP(payments_raw[[#This Row],[subscription_id]], subscriptions[subscription_id], subscriptions[start_date])</f>
        <v>45325</v>
      </c>
      <c r="G24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3" s="2">
        <f>IF(payments_raw[[#This Row],[payment_date]] &lt; payments_raw[[#This Row],[sub_start_date]], 1, 0)</f>
        <v>0</v>
      </c>
      <c r="I2423" s="2">
        <f>IF(AND(payments_raw[[#This Row],[sub_end_date]]&lt;&gt;"", payments_raw[[#This Row],[payment_date]] &gt; payments_raw[[#This Row],[sub_end_date]]), 1, 0)</f>
        <v>0</v>
      </c>
      <c r="J2423" s="2">
        <f>IF(payments_raw[[#This Row],[amount]] &lt;= 0, 1, 0)</f>
        <v>0</v>
      </c>
      <c r="K24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4" spans="1:11" x14ac:dyDescent="0.3">
      <c r="A2424">
        <v>26864487</v>
      </c>
      <c r="B2424">
        <v>8236259</v>
      </c>
      <c r="C2424" s="1">
        <v>45613</v>
      </c>
      <c r="D2424">
        <v>79</v>
      </c>
      <c r="E2424">
        <f>IF(
  ISNA(
    _xlfn.XLOOKUP(
      payments_raw[[#This Row],[subscription_id]],
      subscriptions[subscription_id],
      subscriptions[subscription_id]
    )
  ),
  0,
  1
)</f>
        <v>1</v>
      </c>
      <c r="F2424" s="1">
        <f>_xlfn.XLOOKUP(payments_raw[[#This Row],[subscription_id]], subscriptions[subscription_id], subscriptions[start_date])</f>
        <v>45320</v>
      </c>
      <c r="G24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4" s="2">
        <f>IF(payments_raw[[#This Row],[payment_date]] &lt; payments_raw[[#This Row],[sub_start_date]], 1, 0)</f>
        <v>0</v>
      </c>
      <c r="I2424" s="2">
        <f>IF(AND(payments_raw[[#This Row],[sub_end_date]]&lt;&gt;"", payments_raw[[#This Row],[payment_date]] &gt; payments_raw[[#This Row],[sub_end_date]]), 1, 0)</f>
        <v>0</v>
      </c>
      <c r="J2424" s="2">
        <f>IF(payments_raw[[#This Row],[amount]] &lt;= 0, 1, 0)</f>
        <v>0</v>
      </c>
      <c r="K24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5" spans="1:11" x14ac:dyDescent="0.3">
      <c r="A2425">
        <v>51255009</v>
      </c>
      <c r="B2425">
        <v>7367900</v>
      </c>
      <c r="C2425" s="1">
        <v>45131</v>
      </c>
      <c r="D2425">
        <v>390</v>
      </c>
      <c r="E2425">
        <f>IF(
  ISNA(
    _xlfn.XLOOKUP(
      payments_raw[[#This Row],[subscription_id]],
      subscriptions[subscription_id],
      subscriptions[subscription_id]
    )
  ),
  0,
  1
)</f>
        <v>1</v>
      </c>
      <c r="F2425" s="1">
        <f>_xlfn.XLOOKUP(payments_raw[[#This Row],[subscription_id]], subscriptions[subscription_id], subscriptions[start_date])</f>
        <v>45114</v>
      </c>
      <c r="G24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2425" s="2">
        <f>IF(payments_raw[[#This Row],[payment_date]] &lt; payments_raw[[#This Row],[sub_start_date]], 1, 0)</f>
        <v>0</v>
      </c>
      <c r="I2425" s="2">
        <f>IF(AND(payments_raw[[#This Row],[sub_end_date]]&lt;&gt;"", payments_raw[[#This Row],[payment_date]] &gt; payments_raw[[#This Row],[sub_end_date]]), 1, 0)</f>
        <v>0</v>
      </c>
      <c r="J2425" s="2">
        <f>IF(payments_raw[[#This Row],[amount]] &lt;= 0, 1, 0)</f>
        <v>0</v>
      </c>
      <c r="K24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6" spans="1:11" x14ac:dyDescent="0.3">
      <c r="A2426">
        <v>52298598</v>
      </c>
      <c r="B2426">
        <v>4739473</v>
      </c>
      <c r="C2426" s="1">
        <v>45408</v>
      </c>
      <c r="D2426">
        <v>790</v>
      </c>
      <c r="E2426">
        <f>IF(
  ISNA(
    _xlfn.XLOOKUP(
      payments_raw[[#This Row],[subscription_id]],
      subscriptions[subscription_id],
      subscriptions[subscription_id]
    )
  ),
  0,
  1
)</f>
        <v>1</v>
      </c>
      <c r="F2426" s="1">
        <f>_xlfn.XLOOKUP(payments_raw[[#This Row],[subscription_id]], subscriptions[subscription_id], subscriptions[start_date])</f>
        <v>45230</v>
      </c>
      <c r="G24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6" s="2">
        <f>IF(payments_raw[[#This Row],[payment_date]] &lt; payments_raw[[#This Row],[sub_start_date]], 1, 0)</f>
        <v>0</v>
      </c>
      <c r="I2426" s="2">
        <f>IF(AND(payments_raw[[#This Row],[sub_end_date]]&lt;&gt;"", payments_raw[[#This Row],[payment_date]] &gt; payments_raw[[#This Row],[sub_end_date]]), 1, 0)</f>
        <v>0</v>
      </c>
      <c r="J2426" s="2">
        <f>IF(payments_raw[[#This Row],[amount]] &lt;= 0, 1, 0)</f>
        <v>0</v>
      </c>
      <c r="K24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7" spans="1:11" x14ac:dyDescent="0.3">
      <c r="A2427">
        <v>67256197</v>
      </c>
      <c r="B2427">
        <v>4838024</v>
      </c>
      <c r="C2427" s="1">
        <v>45192</v>
      </c>
      <c r="D2427">
        <v>790</v>
      </c>
      <c r="E2427">
        <f>IF(
  ISNA(
    _xlfn.XLOOKUP(
      payments_raw[[#This Row],[subscription_id]],
      subscriptions[subscription_id],
      subscriptions[subscription_id]
    )
  ),
  0,
  1
)</f>
        <v>1</v>
      </c>
      <c r="F2427" s="1">
        <f>_xlfn.XLOOKUP(payments_raw[[#This Row],[subscription_id]], subscriptions[subscription_id], subscriptions[start_date])</f>
        <v>45187</v>
      </c>
      <c r="G24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2427" s="2">
        <f>IF(payments_raw[[#This Row],[payment_date]] &lt; payments_raw[[#This Row],[sub_start_date]], 1, 0)</f>
        <v>0</v>
      </c>
      <c r="I2427" s="2">
        <f>IF(AND(payments_raw[[#This Row],[sub_end_date]]&lt;&gt;"", payments_raw[[#This Row],[payment_date]] &gt; payments_raw[[#This Row],[sub_end_date]]), 1, 0)</f>
        <v>0</v>
      </c>
      <c r="J2427" s="2">
        <f>IF(payments_raw[[#This Row],[amount]] &lt;= 0, 1, 0)</f>
        <v>0</v>
      </c>
      <c r="K24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8" spans="1:11" x14ac:dyDescent="0.3">
      <c r="A2428">
        <v>81285557</v>
      </c>
      <c r="B2428">
        <v>5021865</v>
      </c>
      <c r="C2428" s="1">
        <v>45351</v>
      </c>
      <c r="D2428">
        <v>39</v>
      </c>
      <c r="E2428">
        <f>IF(
  ISNA(
    _xlfn.XLOOKUP(
      payments_raw[[#This Row],[subscription_id]],
      subscriptions[subscription_id],
      subscriptions[subscription_id]
    )
  ),
  0,
  1
)</f>
        <v>1</v>
      </c>
      <c r="F2428" s="1">
        <f>_xlfn.XLOOKUP(payments_raw[[#This Row],[subscription_id]], subscriptions[subscription_id], subscriptions[start_date])</f>
        <v>45016</v>
      </c>
      <c r="G24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28" s="2">
        <f>IF(payments_raw[[#This Row],[payment_date]] &lt; payments_raw[[#This Row],[sub_start_date]], 1, 0)</f>
        <v>0</v>
      </c>
      <c r="I2428" s="2">
        <f>IF(AND(payments_raw[[#This Row],[sub_end_date]]&lt;&gt;"", payments_raw[[#This Row],[payment_date]] &gt; payments_raw[[#This Row],[sub_end_date]]), 1, 0)</f>
        <v>0</v>
      </c>
      <c r="J2428" s="2">
        <f>IF(payments_raw[[#This Row],[amount]] &lt;= 0, 1, 0)</f>
        <v>0</v>
      </c>
      <c r="K24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29" spans="1:11" x14ac:dyDescent="0.3">
      <c r="A2429">
        <v>23564624</v>
      </c>
      <c r="B2429">
        <v>1892572</v>
      </c>
      <c r="C2429" s="1">
        <v>45632</v>
      </c>
      <c r="D2429">
        <v>1490</v>
      </c>
      <c r="E2429">
        <f>IF(
  ISNA(
    _xlfn.XLOOKUP(
      payments_raw[[#This Row],[subscription_id]],
      subscriptions[subscription_id],
      subscriptions[subscription_id]
    )
  ),
  0,
  1
)</f>
        <v>1</v>
      </c>
      <c r="F2429" s="1">
        <f>_xlfn.XLOOKUP(payments_raw[[#This Row],[subscription_id]], subscriptions[subscription_id], subscriptions[start_date])</f>
        <v>45504</v>
      </c>
      <c r="G24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2429" s="2">
        <f>IF(payments_raw[[#This Row],[payment_date]] &lt; payments_raw[[#This Row],[sub_start_date]], 1, 0)</f>
        <v>0</v>
      </c>
      <c r="I2429" s="2">
        <f>IF(AND(payments_raw[[#This Row],[sub_end_date]]&lt;&gt;"", payments_raw[[#This Row],[payment_date]] &gt; payments_raw[[#This Row],[sub_end_date]]), 1, 0)</f>
        <v>0</v>
      </c>
      <c r="J2429" s="2">
        <f>IF(payments_raw[[#This Row],[amount]] &lt;= 0, 1, 0)</f>
        <v>0</v>
      </c>
      <c r="K24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0" spans="1:11" x14ac:dyDescent="0.3">
      <c r="A2430">
        <v>15733311</v>
      </c>
      <c r="B2430">
        <v>2729141</v>
      </c>
      <c r="C2430" s="1">
        <v>45608</v>
      </c>
      <c r="D2430">
        <v>1490</v>
      </c>
      <c r="E2430">
        <f>IF(
  ISNA(
    _xlfn.XLOOKUP(
      payments_raw[[#This Row],[subscription_id]],
      subscriptions[subscription_id],
      subscriptions[subscription_id]
    )
  ),
  0,
  1
)</f>
        <v>1</v>
      </c>
      <c r="F2430" s="1">
        <f>_xlfn.XLOOKUP(payments_raw[[#This Row],[subscription_id]], subscriptions[subscription_id], subscriptions[start_date])</f>
        <v>45590</v>
      </c>
      <c r="G24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430" s="2">
        <f>IF(payments_raw[[#This Row],[payment_date]] &lt; payments_raw[[#This Row],[sub_start_date]], 1, 0)</f>
        <v>0</v>
      </c>
      <c r="I2430" s="2">
        <f>IF(AND(payments_raw[[#This Row],[sub_end_date]]&lt;&gt;"", payments_raw[[#This Row],[payment_date]] &gt; payments_raw[[#This Row],[sub_end_date]]), 1, 0)</f>
        <v>0</v>
      </c>
      <c r="J2430" s="2">
        <f>IF(payments_raw[[#This Row],[amount]] &lt;= 0, 1, 0)</f>
        <v>0</v>
      </c>
      <c r="K24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1" spans="1:11" x14ac:dyDescent="0.3">
      <c r="A2431">
        <v>28203817</v>
      </c>
      <c r="B2431">
        <v>1689543</v>
      </c>
      <c r="C2431" s="1">
        <v>45303</v>
      </c>
      <c r="D2431">
        <v>149</v>
      </c>
      <c r="E2431">
        <f>IF(
  ISNA(
    _xlfn.XLOOKUP(
      payments_raw[[#This Row],[subscription_id]],
      subscriptions[subscription_id],
      subscriptions[subscription_id]
    )
  ),
  0,
  1
)</f>
        <v>1</v>
      </c>
      <c r="F2431" s="1">
        <f>_xlfn.XLOOKUP(payments_raw[[#This Row],[subscription_id]], subscriptions[subscription_id], subscriptions[start_date])</f>
        <v>45265</v>
      </c>
      <c r="G24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45357</v>
      </c>
      <c r="H2431" s="2">
        <f>IF(payments_raw[[#This Row],[payment_date]] &lt; payments_raw[[#This Row],[sub_start_date]], 1, 0)</f>
        <v>0</v>
      </c>
      <c r="I2431" s="2">
        <f>IF(AND(payments_raw[[#This Row],[sub_end_date]]&lt;&gt;"", payments_raw[[#This Row],[payment_date]] &gt; payments_raw[[#This Row],[sub_end_date]]), 1, 0)</f>
        <v>0</v>
      </c>
      <c r="J2431" s="2">
        <f>IF(payments_raw[[#This Row],[amount]] &lt;= 0, 1, 0)</f>
        <v>0</v>
      </c>
      <c r="K24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2" spans="1:11" x14ac:dyDescent="0.3">
      <c r="A2432">
        <v>71879545</v>
      </c>
      <c r="B2432">
        <v>5678825</v>
      </c>
      <c r="C2432" s="1">
        <v>45321</v>
      </c>
      <c r="D2432">
        <v>190</v>
      </c>
      <c r="E2432">
        <f>IF(
  ISNA(
    _xlfn.XLOOKUP(
      payments_raw[[#This Row],[subscription_id]],
      subscriptions[subscription_id],
      subscriptions[subscription_id]
    )
  ),
  0,
  1
)</f>
        <v>1</v>
      </c>
      <c r="F2432" s="1">
        <f>_xlfn.XLOOKUP(payments_raw[[#This Row],[subscription_id]], subscriptions[subscription_id], subscriptions[start_date])</f>
        <v>45216</v>
      </c>
      <c r="G24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45568</v>
      </c>
      <c r="H2432" s="2">
        <f>IF(payments_raw[[#This Row],[payment_date]] &lt; payments_raw[[#This Row],[sub_start_date]], 1, 0)</f>
        <v>0</v>
      </c>
      <c r="I2432" s="2">
        <f>IF(AND(payments_raw[[#This Row],[sub_end_date]]&lt;&gt;"", payments_raw[[#This Row],[payment_date]] &gt; payments_raw[[#This Row],[sub_end_date]]), 1, 0)</f>
        <v>0</v>
      </c>
      <c r="J2432" s="2">
        <f>IF(payments_raw[[#This Row],[amount]] &lt;= 0, 1, 0)</f>
        <v>0</v>
      </c>
      <c r="K24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3" spans="1:11" x14ac:dyDescent="0.3">
      <c r="A2433">
        <v>56070372</v>
      </c>
      <c r="B2433">
        <v>7278644</v>
      </c>
      <c r="C2433" s="1">
        <v>45657</v>
      </c>
      <c r="D2433">
        <v>19</v>
      </c>
      <c r="E2433">
        <f>IF(
  ISNA(
    _xlfn.XLOOKUP(
      payments_raw[[#This Row],[subscription_id]],
      subscriptions[subscription_id],
      subscriptions[subscription_id]
    )
  ),
  0,
  1
)</f>
        <v>1</v>
      </c>
      <c r="F2433" s="1">
        <f>_xlfn.XLOOKUP(payments_raw[[#This Row],[subscription_id]], subscriptions[subscription_id], subscriptions[start_date])</f>
        <v>45530</v>
      </c>
      <c r="G24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33" s="2">
        <f>IF(payments_raw[[#This Row],[payment_date]] &lt; payments_raw[[#This Row],[sub_start_date]], 1, 0)</f>
        <v>0</v>
      </c>
      <c r="I2433" s="2">
        <f>IF(AND(payments_raw[[#This Row],[sub_end_date]]&lt;&gt;"", payments_raw[[#This Row],[payment_date]] &gt; payments_raw[[#This Row],[sub_end_date]]), 1, 0)</f>
        <v>0</v>
      </c>
      <c r="J2433" s="2">
        <f>IF(payments_raw[[#This Row],[amount]] &lt;= 0, 1, 0)</f>
        <v>0</v>
      </c>
      <c r="K24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4" spans="1:11" x14ac:dyDescent="0.3">
      <c r="A2434">
        <v>63963175</v>
      </c>
      <c r="B2434">
        <v>7235826</v>
      </c>
      <c r="C2434" s="1">
        <v>44743</v>
      </c>
      <c r="D2434">
        <v>39</v>
      </c>
      <c r="E2434">
        <f>IF(
  ISNA(
    _xlfn.XLOOKUP(
      payments_raw[[#This Row],[subscription_id]],
      subscriptions[subscription_id],
      subscriptions[subscription_id]
    )
  ),
  0,
  1
)</f>
        <v>1</v>
      </c>
      <c r="F2434" s="1">
        <f>_xlfn.XLOOKUP(payments_raw[[#This Row],[subscription_id]], subscriptions[subscription_id], subscriptions[start_date])</f>
        <v>44672</v>
      </c>
      <c r="G24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45041</v>
      </c>
      <c r="H2434" s="2">
        <f>IF(payments_raw[[#This Row],[payment_date]] &lt; payments_raw[[#This Row],[sub_start_date]], 1, 0)</f>
        <v>0</v>
      </c>
      <c r="I2434" s="2">
        <f>IF(AND(payments_raw[[#This Row],[sub_end_date]]&lt;&gt;"", payments_raw[[#This Row],[payment_date]] &gt; payments_raw[[#This Row],[sub_end_date]]), 1, 0)</f>
        <v>0</v>
      </c>
      <c r="J2434" s="2">
        <f>IF(payments_raw[[#This Row],[amount]] &lt;= 0, 1, 0)</f>
        <v>0</v>
      </c>
      <c r="K24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5" spans="1:11" x14ac:dyDescent="0.3">
      <c r="A2435">
        <v>20585201</v>
      </c>
      <c r="B2435">
        <v>8339925</v>
      </c>
      <c r="C2435" s="1">
        <v>45169</v>
      </c>
      <c r="D2435">
        <v>79</v>
      </c>
      <c r="E2435">
        <f>IF(
  ISNA(
    _xlfn.XLOOKUP(
      payments_raw[[#This Row],[subscription_id]],
      subscriptions[subscription_id],
      subscriptions[subscription_id]
    )
  ),
  0,
  1
)</f>
        <v>1</v>
      </c>
      <c r="F2435" s="1">
        <f>_xlfn.XLOOKUP(payments_raw[[#This Row],[subscription_id]], subscriptions[subscription_id], subscriptions[start_date])</f>
        <v>45142</v>
      </c>
      <c r="G24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45222</v>
      </c>
      <c r="H2435" s="2">
        <f>IF(payments_raw[[#This Row],[payment_date]] &lt; payments_raw[[#This Row],[sub_start_date]], 1, 0)</f>
        <v>0</v>
      </c>
      <c r="I2435" s="2">
        <f>IF(AND(payments_raw[[#This Row],[sub_end_date]]&lt;&gt;"", payments_raw[[#This Row],[payment_date]] &gt; payments_raw[[#This Row],[sub_end_date]]), 1, 0)</f>
        <v>0</v>
      </c>
      <c r="J2435" s="2">
        <f>IF(payments_raw[[#This Row],[amount]] &lt;= 0, 1, 0)</f>
        <v>0</v>
      </c>
      <c r="K24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6" spans="1:11" x14ac:dyDescent="0.3">
      <c r="A2436">
        <v>78405004</v>
      </c>
      <c r="B2436">
        <v>3418467</v>
      </c>
      <c r="C2436" s="1">
        <v>45652</v>
      </c>
      <c r="D2436">
        <v>1490</v>
      </c>
      <c r="E2436">
        <f>IF(
  ISNA(
    _xlfn.XLOOKUP(
      payments_raw[[#This Row],[subscription_id]],
      subscriptions[subscription_id],
      subscriptions[subscription_id]
    )
  ),
  0,
  1
)</f>
        <v>1</v>
      </c>
      <c r="F2436" s="1">
        <f>_xlfn.XLOOKUP(payments_raw[[#This Row],[subscription_id]], subscriptions[subscription_id], subscriptions[start_date])</f>
        <v>45576</v>
      </c>
      <c r="G24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36" s="2">
        <f>IF(payments_raw[[#This Row],[payment_date]] &lt; payments_raw[[#This Row],[sub_start_date]], 1, 0)</f>
        <v>0</v>
      </c>
      <c r="I2436" s="2">
        <f>IF(AND(payments_raw[[#This Row],[sub_end_date]]&lt;&gt;"", payments_raw[[#This Row],[payment_date]] &gt; payments_raw[[#This Row],[sub_end_date]]), 1, 0)</f>
        <v>0</v>
      </c>
      <c r="J2436" s="2">
        <f>IF(payments_raw[[#This Row],[amount]] &lt;= 0, 1, 0)</f>
        <v>0</v>
      </c>
      <c r="K24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7" spans="1:11" x14ac:dyDescent="0.3">
      <c r="A2437">
        <v>42929786</v>
      </c>
      <c r="B2437">
        <v>4535328</v>
      </c>
      <c r="C2437" s="1">
        <v>45304</v>
      </c>
      <c r="D2437">
        <v>39</v>
      </c>
      <c r="E2437">
        <f>IF(
  ISNA(
    _xlfn.XLOOKUP(
      payments_raw[[#This Row],[subscription_id]],
      subscriptions[subscription_id],
      subscriptions[subscription_id]
    )
  ),
  0,
  1
)</f>
        <v>1</v>
      </c>
      <c r="F2437" s="1">
        <f>_xlfn.XLOOKUP(payments_raw[[#This Row],[subscription_id]], subscriptions[subscription_id], subscriptions[start_date])</f>
        <v>45090</v>
      </c>
      <c r="G24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37" s="2">
        <f>IF(payments_raw[[#This Row],[payment_date]] &lt; payments_raw[[#This Row],[sub_start_date]], 1, 0)</f>
        <v>0</v>
      </c>
      <c r="I2437" s="2">
        <f>IF(AND(payments_raw[[#This Row],[sub_end_date]]&lt;&gt;"", payments_raw[[#This Row],[payment_date]] &gt; payments_raw[[#This Row],[sub_end_date]]), 1, 0)</f>
        <v>0</v>
      </c>
      <c r="J2437" s="2">
        <f>IF(payments_raw[[#This Row],[amount]] &lt;= 0, 1, 0)</f>
        <v>0</v>
      </c>
      <c r="K24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8" spans="1:11" x14ac:dyDescent="0.3">
      <c r="A2438">
        <v>93038086</v>
      </c>
      <c r="B2438">
        <v>5215259</v>
      </c>
      <c r="C2438" s="1">
        <v>45322</v>
      </c>
      <c r="D2438">
        <v>1490</v>
      </c>
      <c r="E2438">
        <f>IF(
  ISNA(
    _xlfn.XLOOKUP(
      payments_raw[[#This Row],[subscription_id]],
      subscriptions[subscription_id],
      subscriptions[subscription_id]
    )
  ),
  0,
  1
)</f>
        <v>1</v>
      </c>
      <c r="F2438" s="1">
        <f>_xlfn.XLOOKUP(payments_raw[[#This Row],[subscription_id]], subscriptions[subscription_id], subscriptions[start_date])</f>
        <v>45292</v>
      </c>
      <c r="G24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38" s="2">
        <f>IF(payments_raw[[#This Row],[payment_date]] &lt; payments_raw[[#This Row],[sub_start_date]], 1, 0)</f>
        <v>0</v>
      </c>
      <c r="I2438" s="2">
        <f>IF(AND(payments_raw[[#This Row],[sub_end_date]]&lt;&gt;"", payments_raw[[#This Row],[payment_date]] &gt; payments_raw[[#This Row],[sub_end_date]]), 1, 0)</f>
        <v>0</v>
      </c>
      <c r="J2438" s="2">
        <f>IF(payments_raw[[#This Row],[amount]] &lt;= 0, 1, 0)</f>
        <v>0</v>
      </c>
      <c r="K24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39" spans="1:11" x14ac:dyDescent="0.3">
      <c r="A2439">
        <v>94105033</v>
      </c>
      <c r="B2439">
        <v>4349462</v>
      </c>
      <c r="C2439" s="1">
        <v>44833</v>
      </c>
      <c r="D2439">
        <v>19</v>
      </c>
      <c r="E2439">
        <f>IF(
  ISNA(
    _xlfn.XLOOKUP(
      payments_raw[[#This Row],[subscription_id]],
      subscriptions[subscription_id],
      subscriptions[subscription_id]
    )
  ),
  0,
  1
)</f>
        <v>1</v>
      </c>
      <c r="F2439" s="1">
        <f>_xlfn.XLOOKUP(payments_raw[[#This Row],[subscription_id]], subscriptions[subscription_id], subscriptions[start_date])</f>
        <v>44748</v>
      </c>
      <c r="G243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44972</v>
      </c>
      <c r="H2439" s="2">
        <f>IF(payments_raw[[#This Row],[payment_date]] &lt; payments_raw[[#This Row],[sub_start_date]], 1, 0)</f>
        <v>0</v>
      </c>
      <c r="I2439" s="2">
        <f>IF(AND(payments_raw[[#This Row],[sub_end_date]]&lt;&gt;"", payments_raw[[#This Row],[payment_date]] &gt; payments_raw[[#This Row],[sub_end_date]]), 1, 0)</f>
        <v>0</v>
      </c>
      <c r="J2439" s="2">
        <f>IF(payments_raw[[#This Row],[amount]] &lt;= 0, 1, 0)</f>
        <v>0</v>
      </c>
      <c r="K24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0" spans="1:11" x14ac:dyDescent="0.3">
      <c r="A2440">
        <v>67740709</v>
      </c>
      <c r="B2440">
        <v>2806251</v>
      </c>
      <c r="C2440" s="1">
        <v>45505</v>
      </c>
      <c r="D2440">
        <v>1490</v>
      </c>
      <c r="E2440">
        <f>IF(
  ISNA(
    _xlfn.XLOOKUP(
      payments_raw[[#This Row],[subscription_id]],
      subscriptions[subscription_id],
      subscriptions[subscription_id]
    )
  ),
  0,
  1
)</f>
        <v>1</v>
      </c>
      <c r="F2440" s="1">
        <f>_xlfn.XLOOKUP(payments_raw[[#This Row],[subscription_id]], subscriptions[subscription_id], subscriptions[start_date])</f>
        <v>45482</v>
      </c>
      <c r="G24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0" s="2">
        <f>IF(payments_raw[[#This Row],[payment_date]] &lt; payments_raw[[#This Row],[sub_start_date]], 1, 0)</f>
        <v>0</v>
      </c>
      <c r="I2440" s="2">
        <f>IF(AND(payments_raw[[#This Row],[sub_end_date]]&lt;&gt;"", payments_raw[[#This Row],[payment_date]] &gt; payments_raw[[#This Row],[sub_end_date]]), 1, 0)</f>
        <v>0</v>
      </c>
      <c r="J2440" s="2">
        <f>IF(payments_raw[[#This Row],[amount]] &lt;= 0, 1, 0)</f>
        <v>0</v>
      </c>
      <c r="K24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1" spans="1:11" x14ac:dyDescent="0.3">
      <c r="A2441">
        <v>49177990</v>
      </c>
      <c r="B2441">
        <v>3358248</v>
      </c>
      <c r="C2441" s="1">
        <v>45494</v>
      </c>
      <c r="D2441">
        <v>39</v>
      </c>
      <c r="E2441">
        <f>IF(
  ISNA(
    _xlfn.XLOOKUP(
      payments_raw[[#This Row],[subscription_id]],
      subscriptions[subscription_id],
      subscriptions[subscription_id]
    )
  ),
  0,
  1
)</f>
        <v>1</v>
      </c>
      <c r="F2441" s="1">
        <f>_xlfn.XLOOKUP(payments_raw[[#This Row],[subscription_id]], subscriptions[subscription_id], subscriptions[start_date])</f>
        <v>44572</v>
      </c>
      <c r="G24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1" s="2">
        <f>IF(payments_raw[[#This Row],[payment_date]] &lt; payments_raw[[#This Row],[sub_start_date]], 1, 0)</f>
        <v>0</v>
      </c>
      <c r="I2441" s="2">
        <f>IF(AND(payments_raw[[#This Row],[sub_end_date]]&lt;&gt;"", payments_raw[[#This Row],[payment_date]] &gt; payments_raw[[#This Row],[sub_end_date]]), 1, 0)</f>
        <v>0</v>
      </c>
      <c r="J2441" s="2">
        <f>IF(payments_raw[[#This Row],[amount]] &lt;= 0, 1, 0)</f>
        <v>0</v>
      </c>
      <c r="K24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2" spans="1:11" x14ac:dyDescent="0.3">
      <c r="A2442">
        <v>21535774</v>
      </c>
      <c r="B2442">
        <v>9234422</v>
      </c>
      <c r="C2442" s="1">
        <v>45527</v>
      </c>
      <c r="D2442">
        <v>299</v>
      </c>
      <c r="E2442">
        <f>IF(
  ISNA(
    _xlfn.XLOOKUP(
      payments_raw[[#This Row],[subscription_id]],
      subscriptions[subscription_id],
      subscriptions[subscription_id]
    )
  ),
  0,
  1
)</f>
        <v>1</v>
      </c>
      <c r="F2442" s="1">
        <f>_xlfn.XLOOKUP(payments_raw[[#This Row],[subscription_id]], subscriptions[subscription_id], subscriptions[start_date])</f>
        <v>45444</v>
      </c>
      <c r="G24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45542</v>
      </c>
      <c r="H2442" s="2">
        <f>IF(payments_raw[[#This Row],[payment_date]] &lt; payments_raw[[#This Row],[sub_start_date]], 1, 0)</f>
        <v>0</v>
      </c>
      <c r="I2442" s="2">
        <f>IF(AND(payments_raw[[#This Row],[sub_end_date]]&lt;&gt;"", payments_raw[[#This Row],[payment_date]] &gt; payments_raw[[#This Row],[sub_end_date]]), 1, 0)</f>
        <v>0</v>
      </c>
      <c r="J2442" s="2">
        <f>IF(payments_raw[[#This Row],[amount]] &lt;= 0, 1, 0)</f>
        <v>0</v>
      </c>
      <c r="K24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3" spans="1:11" x14ac:dyDescent="0.3">
      <c r="A2443">
        <v>61785761</v>
      </c>
      <c r="B2443">
        <v>2224379</v>
      </c>
      <c r="C2443" s="1">
        <v>45402</v>
      </c>
      <c r="D2443">
        <v>2990</v>
      </c>
      <c r="E2443">
        <f>IF(
  ISNA(
    _xlfn.XLOOKUP(
      payments_raw[[#This Row],[subscription_id]],
      subscriptions[subscription_id],
      subscriptions[subscription_id]
    )
  ),
  0,
  1
)</f>
        <v>1</v>
      </c>
      <c r="F2443" s="1">
        <f>_xlfn.XLOOKUP(payments_raw[[#This Row],[subscription_id]], subscriptions[subscription_id], subscriptions[start_date])</f>
        <v>45018</v>
      </c>
      <c r="G24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3" s="2">
        <f>IF(payments_raw[[#This Row],[payment_date]] &lt; payments_raw[[#This Row],[sub_start_date]], 1, 0)</f>
        <v>0</v>
      </c>
      <c r="I2443" s="2">
        <f>IF(AND(payments_raw[[#This Row],[sub_end_date]]&lt;&gt;"", payments_raw[[#This Row],[payment_date]] &gt; payments_raw[[#This Row],[sub_end_date]]), 1, 0)</f>
        <v>0</v>
      </c>
      <c r="J2443" s="2">
        <f>IF(payments_raw[[#This Row],[amount]] &lt;= 0, 1, 0)</f>
        <v>0</v>
      </c>
      <c r="K24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4" spans="1:11" x14ac:dyDescent="0.3">
      <c r="A2444">
        <v>75410125</v>
      </c>
      <c r="B2444">
        <v>1179053</v>
      </c>
      <c r="C2444" s="1">
        <v>45544</v>
      </c>
      <c r="D2444">
        <v>79</v>
      </c>
      <c r="E2444">
        <f>IF(
  ISNA(
    _xlfn.XLOOKUP(
      payments_raw[[#This Row],[subscription_id]],
      subscriptions[subscription_id],
      subscriptions[subscription_id]
    )
  ),
  0,
  1
)</f>
        <v>1</v>
      </c>
      <c r="F2444" s="1">
        <f>_xlfn.XLOOKUP(payments_raw[[#This Row],[subscription_id]], subscriptions[subscription_id], subscriptions[start_date])</f>
        <v>44963</v>
      </c>
      <c r="G24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4" s="2">
        <f>IF(payments_raw[[#This Row],[payment_date]] &lt; payments_raw[[#This Row],[sub_start_date]], 1, 0)</f>
        <v>0</v>
      </c>
      <c r="I2444" s="2">
        <f>IF(AND(payments_raw[[#This Row],[sub_end_date]]&lt;&gt;"", payments_raw[[#This Row],[payment_date]] &gt; payments_raw[[#This Row],[sub_end_date]]), 1, 0)</f>
        <v>0</v>
      </c>
      <c r="J2444" s="2">
        <f>IF(payments_raw[[#This Row],[amount]] &lt;= 0, 1, 0)</f>
        <v>0</v>
      </c>
      <c r="K24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5" spans="1:11" x14ac:dyDescent="0.3">
      <c r="A2445">
        <v>56535615</v>
      </c>
      <c r="B2445">
        <v>9616197</v>
      </c>
      <c r="C2445" s="1">
        <v>44981</v>
      </c>
      <c r="D2445">
        <v>79</v>
      </c>
      <c r="E2445">
        <f>IF(
  ISNA(
    _xlfn.XLOOKUP(
      payments_raw[[#This Row],[subscription_id]],
      subscriptions[subscription_id],
      subscriptions[subscription_id]
    )
  ),
  0,
  1
)</f>
        <v>1</v>
      </c>
      <c r="F2445" s="1">
        <f>_xlfn.XLOOKUP(payments_raw[[#This Row],[subscription_id]], subscriptions[subscription_id], subscriptions[start_date])</f>
        <v>44880</v>
      </c>
      <c r="G244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2445" s="2">
        <f>IF(payments_raw[[#This Row],[payment_date]] &lt; payments_raw[[#This Row],[sub_start_date]], 1, 0)</f>
        <v>0</v>
      </c>
      <c r="I2445" s="2">
        <f>IF(AND(payments_raw[[#This Row],[sub_end_date]]&lt;&gt;"", payments_raw[[#This Row],[payment_date]] &gt; payments_raw[[#This Row],[sub_end_date]]), 1, 0)</f>
        <v>0</v>
      </c>
      <c r="J2445" s="2">
        <f>IF(payments_raw[[#This Row],[amount]] &lt;= 0, 1, 0)</f>
        <v>0</v>
      </c>
      <c r="K24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6" spans="1:11" x14ac:dyDescent="0.3">
      <c r="A2446">
        <v>23591154</v>
      </c>
      <c r="B2446">
        <v>7777424</v>
      </c>
      <c r="C2446" s="1">
        <v>45599</v>
      </c>
      <c r="D2446">
        <v>190</v>
      </c>
      <c r="E2446">
        <f>IF(
  ISNA(
    _xlfn.XLOOKUP(
      payments_raw[[#This Row],[subscription_id]],
      subscriptions[subscription_id],
      subscriptions[subscription_id]
    )
  ),
  0,
  1
)</f>
        <v>1</v>
      </c>
      <c r="F2446" s="1">
        <f>_xlfn.XLOOKUP(payments_raw[[#This Row],[subscription_id]], subscriptions[subscription_id], subscriptions[start_date])</f>
        <v>45575</v>
      </c>
      <c r="G24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45631</v>
      </c>
      <c r="H2446" s="2">
        <f>IF(payments_raw[[#This Row],[payment_date]] &lt; payments_raw[[#This Row],[sub_start_date]], 1, 0)</f>
        <v>0</v>
      </c>
      <c r="I2446" s="2">
        <f>IF(AND(payments_raw[[#This Row],[sub_end_date]]&lt;&gt;"", payments_raw[[#This Row],[payment_date]] &gt; payments_raw[[#This Row],[sub_end_date]]), 1, 0)</f>
        <v>0</v>
      </c>
      <c r="J2446" s="2">
        <f>IF(payments_raw[[#This Row],[amount]] &lt;= 0, 1, 0)</f>
        <v>0</v>
      </c>
      <c r="K24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7" spans="1:11" x14ac:dyDescent="0.3">
      <c r="A2447">
        <v>62732451</v>
      </c>
      <c r="B2447">
        <v>6955771</v>
      </c>
      <c r="C2447" s="1">
        <v>45373</v>
      </c>
      <c r="D2447">
        <v>2990</v>
      </c>
      <c r="E2447">
        <f>IF(
  ISNA(
    _xlfn.XLOOKUP(
      payments_raw[[#This Row],[subscription_id]],
      subscriptions[subscription_id],
      subscriptions[subscription_id]
    )
  ),
  0,
  1
)</f>
        <v>1</v>
      </c>
      <c r="F2447" s="1">
        <f>_xlfn.XLOOKUP(payments_raw[[#This Row],[subscription_id]], subscriptions[subscription_id], subscriptions[start_date])</f>
        <v>45200</v>
      </c>
      <c r="G24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2447" s="2">
        <f>IF(payments_raw[[#This Row],[payment_date]] &lt; payments_raw[[#This Row],[sub_start_date]], 1, 0)</f>
        <v>0</v>
      </c>
      <c r="I2447" s="2">
        <f>IF(AND(payments_raw[[#This Row],[sub_end_date]]&lt;&gt;"", payments_raw[[#This Row],[payment_date]] &gt; payments_raw[[#This Row],[sub_end_date]]), 1, 0)</f>
        <v>0</v>
      </c>
      <c r="J2447" s="2">
        <f>IF(payments_raw[[#This Row],[amount]] &lt;= 0, 1, 0)</f>
        <v>0</v>
      </c>
      <c r="K24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8" spans="1:11" x14ac:dyDescent="0.3">
      <c r="A2448">
        <v>98587007</v>
      </c>
      <c r="B2448">
        <v>7021076</v>
      </c>
      <c r="C2448" s="1">
        <v>44852</v>
      </c>
      <c r="D2448">
        <v>299</v>
      </c>
      <c r="E2448">
        <f>IF(
  ISNA(
    _xlfn.XLOOKUP(
      payments_raw[[#This Row],[subscription_id]],
      subscriptions[subscription_id],
      subscriptions[subscription_id]
    )
  ),
  0,
  1
)</f>
        <v>1</v>
      </c>
      <c r="F2448" s="1">
        <f>_xlfn.XLOOKUP(payments_raw[[#This Row],[subscription_id]], subscriptions[subscription_id], subscriptions[start_date])</f>
        <v>44578</v>
      </c>
      <c r="G24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48" s="2">
        <f>IF(payments_raw[[#This Row],[payment_date]] &lt; payments_raw[[#This Row],[sub_start_date]], 1, 0)</f>
        <v>0</v>
      </c>
      <c r="I2448" s="2">
        <f>IF(AND(payments_raw[[#This Row],[sub_end_date]]&lt;&gt;"", payments_raw[[#This Row],[payment_date]] &gt; payments_raw[[#This Row],[sub_end_date]]), 1, 0)</f>
        <v>0</v>
      </c>
      <c r="J2448" s="2">
        <f>IF(payments_raw[[#This Row],[amount]] &lt;= 0, 1, 0)</f>
        <v>0</v>
      </c>
      <c r="K24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49" spans="1:11" x14ac:dyDescent="0.3">
      <c r="A2449">
        <v>42210133</v>
      </c>
      <c r="B2449">
        <v>3939552</v>
      </c>
      <c r="C2449" s="1">
        <v>45589</v>
      </c>
      <c r="D2449">
        <v>149</v>
      </c>
      <c r="E2449">
        <f>IF(
  ISNA(
    _xlfn.XLOOKUP(
      payments_raw[[#This Row],[subscription_id]],
      subscriptions[subscription_id],
      subscriptions[subscription_id]
    )
  ),
  0,
  1
)</f>
        <v>1</v>
      </c>
      <c r="F2449" s="1">
        <f>_xlfn.XLOOKUP(payments_raw[[#This Row],[subscription_id]], subscriptions[subscription_id], subscriptions[start_date])</f>
        <v>45529</v>
      </c>
      <c r="G24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2449" s="2">
        <f>IF(payments_raw[[#This Row],[payment_date]] &lt; payments_raw[[#This Row],[sub_start_date]], 1, 0)</f>
        <v>0</v>
      </c>
      <c r="I2449" s="2">
        <f>IF(AND(payments_raw[[#This Row],[sub_end_date]]&lt;&gt;"", payments_raw[[#This Row],[payment_date]] &gt; payments_raw[[#This Row],[sub_end_date]]), 1, 0)</f>
        <v>0</v>
      </c>
      <c r="J2449" s="2">
        <f>IF(payments_raw[[#This Row],[amount]] &lt;= 0, 1, 0)</f>
        <v>0</v>
      </c>
      <c r="K24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0" spans="1:11" x14ac:dyDescent="0.3">
      <c r="A2450">
        <v>71328876</v>
      </c>
      <c r="B2450">
        <v>9485991</v>
      </c>
      <c r="C2450" s="1">
        <v>45477</v>
      </c>
      <c r="D2450">
        <v>79</v>
      </c>
      <c r="E2450">
        <f>IF(
  ISNA(
    _xlfn.XLOOKUP(
      payments_raw[[#This Row],[subscription_id]],
      subscriptions[subscription_id],
      subscriptions[subscription_id]
    )
  ),
  0,
  1
)</f>
        <v>1</v>
      </c>
      <c r="F2450" s="1">
        <f>_xlfn.XLOOKUP(payments_raw[[#This Row],[subscription_id]], subscriptions[subscription_id], subscriptions[start_date])</f>
        <v>45470</v>
      </c>
      <c r="G24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0" s="2">
        <f>IF(payments_raw[[#This Row],[payment_date]] &lt; payments_raw[[#This Row],[sub_start_date]], 1, 0)</f>
        <v>0</v>
      </c>
      <c r="I2450" s="2">
        <f>IF(AND(payments_raw[[#This Row],[sub_end_date]]&lt;&gt;"", payments_raw[[#This Row],[payment_date]] &gt; payments_raw[[#This Row],[sub_end_date]]), 1, 0)</f>
        <v>0</v>
      </c>
      <c r="J2450" s="2">
        <f>IF(payments_raw[[#This Row],[amount]] &lt;= 0, 1, 0)</f>
        <v>0</v>
      </c>
      <c r="K24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1" spans="1:11" x14ac:dyDescent="0.3">
      <c r="A2451">
        <v>83108701</v>
      </c>
      <c r="B2451">
        <v>4937710</v>
      </c>
      <c r="C2451" s="1">
        <v>45521</v>
      </c>
      <c r="D2451">
        <v>299</v>
      </c>
      <c r="E2451">
        <f>IF(
  ISNA(
    _xlfn.XLOOKUP(
      payments_raw[[#This Row],[subscription_id]],
      subscriptions[subscription_id],
      subscriptions[subscription_id]
    )
  ),
  0,
  1
)</f>
        <v>1</v>
      </c>
      <c r="F2451" s="1">
        <f>_xlfn.XLOOKUP(payments_raw[[#This Row],[subscription_id]], subscriptions[subscription_id], subscriptions[start_date])</f>
        <v>45217</v>
      </c>
      <c r="G24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1" s="2">
        <f>IF(payments_raw[[#This Row],[payment_date]] &lt; payments_raw[[#This Row],[sub_start_date]], 1, 0)</f>
        <v>0</v>
      </c>
      <c r="I2451" s="2">
        <f>IF(AND(payments_raw[[#This Row],[sub_end_date]]&lt;&gt;"", payments_raw[[#This Row],[payment_date]] &gt; payments_raw[[#This Row],[sub_end_date]]), 1, 0)</f>
        <v>0</v>
      </c>
      <c r="J2451" s="2">
        <f>IF(payments_raw[[#This Row],[amount]] &lt;= 0, 1, 0)</f>
        <v>0</v>
      </c>
      <c r="K24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2" spans="1:11" x14ac:dyDescent="0.3">
      <c r="A2452">
        <v>97262584</v>
      </c>
      <c r="B2452">
        <v>8728326</v>
      </c>
      <c r="C2452" s="1">
        <v>45519</v>
      </c>
      <c r="D2452">
        <v>190</v>
      </c>
      <c r="E2452">
        <f>IF(
  ISNA(
    _xlfn.XLOOKUP(
      payments_raw[[#This Row],[subscription_id]],
      subscriptions[subscription_id],
      subscriptions[subscription_id]
    )
  ),
  0,
  1
)</f>
        <v>1</v>
      </c>
      <c r="F2452" s="1">
        <f>_xlfn.XLOOKUP(payments_raw[[#This Row],[subscription_id]], subscriptions[subscription_id], subscriptions[start_date])</f>
        <v>45423</v>
      </c>
      <c r="G24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45621</v>
      </c>
      <c r="H2452" s="2">
        <f>IF(payments_raw[[#This Row],[payment_date]] &lt; payments_raw[[#This Row],[sub_start_date]], 1, 0)</f>
        <v>0</v>
      </c>
      <c r="I2452" s="2">
        <f>IF(AND(payments_raw[[#This Row],[sub_end_date]]&lt;&gt;"", payments_raw[[#This Row],[payment_date]] &gt; payments_raw[[#This Row],[sub_end_date]]), 1, 0)</f>
        <v>0</v>
      </c>
      <c r="J2452" s="2">
        <f>IF(payments_raw[[#This Row],[amount]] &lt;= 0, 1, 0)</f>
        <v>0</v>
      </c>
      <c r="K24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3" spans="1:11" x14ac:dyDescent="0.3">
      <c r="A2453">
        <v>56052172</v>
      </c>
      <c r="B2453">
        <v>1293919</v>
      </c>
      <c r="C2453" s="1">
        <v>45539</v>
      </c>
      <c r="D2453">
        <v>190</v>
      </c>
      <c r="E2453">
        <f>IF(
  ISNA(
    _xlfn.XLOOKUP(
      payments_raw[[#This Row],[subscription_id]],
      subscriptions[subscription_id],
      subscriptions[subscription_id]
    )
  ),
  0,
  1
)</f>
        <v>1</v>
      </c>
      <c r="F2453" s="1">
        <f>_xlfn.XLOOKUP(payments_raw[[#This Row],[subscription_id]], subscriptions[subscription_id], subscriptions[start_date])</f>
        <v>45476</v>
      </c>
      <c r="G24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3" s="2">
        <f>IF(payments_raw[[#This Row],[payment_date]] &lt; payments_raw[[#This Row],[sub_start_date]], 1, 0)</f>
        <v>0</v>
      </c>
      <c r="I2453" s="2">
        <f>IF(AND(payments_raw[[#This Row],[sub_end_date]]&lt;&gt;"", payments_raw[[#This Row],[payment_date]] &gt; payments_raw[[#This Row],[sub_end_date]]), 1, 0)</f>
        <v>0</v>
      </c>
      <c r="J2453" s="2">
        <f>IF(payments_raw[[#This Row],[amount]] &lt;= 0, 1, 0)</f>
        <v>0</v>
      </c>
      <c r="K24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4" spans="1:11" x14ac:dyDescent="0.3">
      <c r="A2454">
        <v>79959650</v>
      </c>
      <c r="B2454">
        <v>2845328</v>
      </c>
      <c r="C2454" s="1">
        <v>45437</v>
      </c>
      <c r="D2454">
        <v>39</v>
      </c>
      <c r="E2454">
        <f>IF(
  ISNA(
    _xlfn.XLOOKUP(
      payments_raw[[#This Row],[subscription_id]],
      subscriptions[subscription_id],
      subscriptions[subscription_id]
    )
  ),
  0,
  1
)</f>
        <v>1</v>
      </c>
      <c r="F2454" s="1">
        <f>_xlfn.XLOOKUP(payments_raw[[#This Row],[subscription_id]], subscriptions[subscription_id], subscriptions[start_date])</f>
        <v>45395</v>
      </c>
      <c r="G24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4" s="2">
        <f>IF(payments_raw[[#This Row],[payment_date]] &lt; payments_raw[[#This Row],[sub_start_date]], 1, 0)</f>
        <v>0</v>
      </c>
      <c r="I2454" s="2">
        <f>IF(AND(payments_raw[[#This Row],[sub_end_date]]&lt;&gt;"", payments_raw[[#This Row],[payment_date]] &gt; payments_raw[[#This Row],[sub_end_date]]), 1, 0)</f>
        <v>0</v>
      </c>
      <c r="J2454" s="2">
        <f>IF(payments_raw[[#This Row],[amount]] &lt;= 0, 1, 0)</f>
        <v>0</v>
      </c>
      <c r="K24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5" spans="1:11" x14ac:dyDescent="0.3">
      <c r="A2455">
        <v>44210410</v>
      </c>
      <c r="B2455">
        <v>6756692</v>
      </c>
      <c r="C2455" s="1">
        <v>45521</v>
      </c>
      <c r="D2455">
        <v>1341</v>
      </c>
      <c r="E2455">
        <f>IF(
  ISNA(
    _xlfn.XLOOKUP(
      payments_raw[[#This Row],[subscription_id]],
      subscriptions[subscription_id],
      subscriptions[subscription_id]
    )
  ),
  0,
  1
)</f>
        <v>1</v>
      </c>
      <c r="F2455" s="1">
        <f>_xlfn.XLOOKUP(payments_raw[[#This Row],[subscription_id]], subscriptions[subscription_id], subscriptions[start_date])</f>
        <v>45456</v>
      </c>
      <c r="G24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455" s="2">
        <f>IF(payments_raw[[#This Row],[payment_date]] &lt; payments_raw[[#This Row],[sub_start_date]], 1, 0)</f>
        <v>0</v>
      </c>
      <c r="I2455" s="2">
        <f>IF(AND(payments_raw[[#This Row],[sub_end_date]]&lt;&gt;"", payments_raw[[#This Row],[payment_date]] &gt; payments_raw[[#This Row],[sub_end_date]]), 1, 0)</f>
        <v>0</v>
      </c>
      <c r="J2455" s="2">
        <f>IF(payments_raw[[#This Row],[amount]] &lt;= 0, 1, 0)</f>
        <v>0</v>
      </c>
      <c r="K24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6" spans="1:11" x14ac:dyDescent="0.3">
      <c r="A2456">
        <v>65325710</v>
      </c>
      <c r="B2456">
        <v>9171197</v>
      </c>
      <c r="C2456" s="1">
        <v>45151</v>
      </c>
      <c r="D2456">
        <v>1495</v>
      </c>
      <c r="E2456">
        <f>IF(
  ISNA(
    _xlfn.XLOOKUP(
      payments_raw[[#This Row],[subscription_id]],
      subscriptions[subscription_id],
      subscriptions[subscription_id]
    )
  ),
  0,
  1
)</f>
        <v>1</v>
      </c>
      <c r="F2456" s="1">
        <f>_xlfn.XLOOKUP(payments_raw[[#This Row],[subscription_id]], subscriptions[subscription_id], subscriptions[start_date])</f>
        <v>45073</v>
      </c>
      <c r="G24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6" s="2">
        <f>IF(payments_raw[[#This Row],[payment_date]] &lt; payments_raw[[#This Row],[sub_start_date]], 1, 0)</f>
        <v>0</v>
      </c>
      <c r="I2456" s="2">
        <f>IF(AND(payments_raw[[#This Row],[sub_end_date]]&lt;&gt;"", payments_raw[[#This Row],[payment_date]] &gt; payments_raw[[#This Row],[sub_end_date]]), 1, 0)</f>
        <v>0</v>
      </c>
      <c r="J2456" s="2">
        <f>IF(payments_raw[[#This Row],[amount]] &lt;= 0, 1, 0)</f>
        <v>0</v>
      </c>
      <c r="K24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7" spans="1:11" x14ac:dyDescent="0.3">
      <c r="A2457">
        <v>93678289</v>
      </c>
      <c r="B2457">
        <v>6829443</v>
      </c>
      <c r="C2457" s="1">
        <v>45553</v>
      </c>
      <c r="D2457">
        <v>39</v>
      </c>
      <c r="E2457">
        <f>IF(
  ISNA(
    _xlfn.XLOOKUP(
      payments_raw[[#This Row],[subscription_id]],
      subscriptions[subscription_id],
      subscriptions[subscription_id]
    )
  ),
  0,
  1
)</f>
        <v>1</v>
      </c>
      <c r="F2457" s="1">
        <f>_xlfn.XLOOKUP(payments_raw[[#This Row],[subscription_id]], subscriptions[subscription_id], subscriptions[start_date])</f>
        <v>45317</v>
      </c>
      <c r="G24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7" s="2">
        <f>IF(payments_raw[[#This Row],[payment_date]] &lt; payments_raw[[#This Row],[sub_start_date]], 1, 0)</f>
        <v>0</v>
      </c>
      <c r="I2457" s="2">
        <f>IF(AND(payments_raw[[#This Row],[sub_end_date]]&lt;&gt;"", payments_raw[[#This Row],[payment_date]] &gt; payments_raw[[#This Row],[sub_end_date]]), 1, 0)</f>
        <v>0</v>
      </c>
      <c r="J2457" s="2">
        <f>IF(payments_raw[[#This Row],[amount]] &lt;= 0, 1, 0)</f>
        <v>0</v>
      </c>
      <c r="K24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8" spans="1:11" x14ac:dyDescent="0.3">
      <c r="A2458">
        <v>53396592</v>
      </c>
      <c r="B2458">
        <v>7454929</v>
      </c>
      <c r="C2458" s="1">
        <v>45441</v>
      </c>
      <c r="D2458">
        <v>190</v>
      </c>
      <c r="E2458">
        <f>IF(
  ISNA(
    _xlfn.XLOOKUP(
      payments_raw[[#This Row],[subscription_id]],
      subscriptions[subscription_id],
      subscriptions[subscription_id]
    )
  ),
  0,
  1
)</f>
        <v>1</v>
      </c>
      <c r="F2458" s="1">
        <f>_xlfn.XLOOKUP(payments_raw[[#This Row],[subscription_id]], subscriptions[subscription_id], subscriptions[start_date])</f>
        <v>44792</v>
      </c>
      <c r="G24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8" s="2">
        <f>IF(payments_raw[[#This Row],[payment_date]] &lt; payments_raw[[#This Row],[sub_start_date]], 1, 0)</f>
        <v>0</v>
      </c>
      <c r="I2458" s="2">
        <f>IF(AND(payments_raw[[#This Row],[sub_end_date]]&lt;&gt;"", payments_raw[[#This Row],[payment_date]] &gt; payments_raw[[#This Row],[sub_end_date]]), 1, 0)</f>
        <v>0</v>
      </c>
      <c r="J2458" s="2">
        <f>IF(payments_raw[[#This Row],[amount]] &lt;= 0, 1, 0)</f>
        <v>0</v>
      </c>
      <c r="K24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59" spans="1:11" x14ac:dyDescent="0.3">
      <c r="A2459">
        <v>54931009</v>
      </c>
      <c r="B2459">
        <v>8857213</v>
      </c>
      <c r="C2459" s="1">
        <v>45576</v>
      </c>
      <c r="D2459">
        <v>19</v>
      </c>
      <c r="E2459">
        <f>IF(
  ISNA(
    _xlfn.XLOOKUP(
      payments_raw[[#This Row],[subscription_id]],
      subscriptions[subscription_id],
      subscriptions[subscription_id]
    )
  ),
  0,
  1
)</f>
        <v>1</v>
      </c>
      <c r="F2459" s="1">
        <f>_xlfn.XLOOKUP(payments_raw[[#This Row],[subscription_id]], subscriptions[subscription_id], subscriptions[start_date])</f>
        <v>45028</v>
      </c>
      <c r="G24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59" s="2">
        <f>IF(payments_raw[[#This Row],[payment_date]] &lt; payments_raw[[#This Row],[sub_start_date]], 1, 0)</f>
        <v>0</v>
      </c>
      <c r="I2459" s="2">
        <f>IF(AND(payments_raw[[#This Row],[sub_end_date]]&lt;&gt;"", payments_raw[[#This Row],[payment_date]] &gt; payments_raw[[#This Row],[sub_end_date]]), 1, 0)</f>
        <v>0</v>
      </c>
      <c r="J2459" s="2">
        <f>IF(payments_raw[[#This Row],[amount]] &lt;= 0, 1, 0)</f>
        <v>0</v>
      </c>
      <c r="K24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0" spans="1:11" x14ac:dyDescent="0.3">
      <c r="A2460">
        <v>95203223</v>
      </c>
      <c r="B2460">
        <v>3939552</v>
      </c>
      <c r="C2460" s="1">
        <v>45646</v>
      </c>
      <c r="D2460">
        <v>149</v>
      </c>
      <c r="E2460">
        <f>IF(
  ISNA(
    _xlfn.XLOOKUP(
      payments_raw[[#This Row],[subscription_id]],
      subscriptions[subscription_id],
      subscriptions[subscription_id]
    )
  ),
  0,
  1
)</f>
        <v>1</v>
      </c>
      <c r="F2460" s="1">
        <f>_xlfn.XLOOKUP(payments_raw[[#This Row],[subscription_id]], subscriptions[subscription_id], subscriptions[start_date])</f>
        <v>45529</v>
      </c>
      <c r="G24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2460" s="2">
        <f>IF(payments_raw[[#This Row],[payment_date]] &lt; payments_raw[[#This Row],[sub_start_date]], 1, 0)</f>
        <v>0</v>
      </c>
      <c r="I2460" s="2">
        <f>IF(AND(payments_raw[[#This Row],[sub_end_date]]&lt;&gt;"", payments_raw[[#This Row],[payment_date]] &gt; payments_raw[[#This Row],[sub_end_date]]), 1, 0)</f>
        <v>0</v>
      </c>
      <c r="J2460" s="2">
        <f>IF(payments_raw[[#This Row],[amount]] &lt;= 0, 1, 0)</f>
        <v>0</v>
      </c>
      <c r="K24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1" spans="1:11" x14ac:dyDescent="0.3">
      <c r="A2461">
        <v>45648360</v>
      </c>
      <c r="B2461">
        <v>3705563</v>
      </c>
      <c r="C2461" s="1">
        <v>44737</v>
      </c>
      <c r="D2461">
        <v>190</v>
      </c>
      <c r="E2461">
        <f>IF(
  ISNA(
    _xlfn.XLOOKUP(
      payments_raw[[#This Row],[subscription_id]],
      subscriptions[subscription_id],
      subscriptions[subscription_id]
    )
  ),
  0,
  1
)</f>
        <v>1</v>
      </c>
      <c r="F2461" s="1">
        <f>_xlfn.XLOOKUP(payments_raw[[#This Row],[subscription_id]], subscriptions[subscription_id], subscriptions[start_date])</f>
        <v>44694</v>
      </c>
      <c r="G24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1" s="2">
        <f>IF(payments_raw[[#This Row],[payment_date]] &lt; payments_raw[[#This Row],[sub_start_date]], 1, 0)</f>
        <v>0</v>
      </c>
      <c r="I2461" s="2">
        <f>IF(AND(payments_raw[[#This Row],[sub_end_date]]&lt;&gt;"", payments_raw[[#This Row],[payment_date]] &gt; payments_raw[[#This Row],[sub_end_date]]), 1, 0)</f>
        <v>0</v>
      </c>
      <c r="J2461" s="2">
        <f>IF(payments_raw[[#This Row],[amount]] &lt;= 0, 1, 0)</f>
        <v>0</v>
      </c>
      <c r="K24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2" spans="1:11" x14ac:dyDescent="0.3">
      <c r="A2462">
        <v>26702017</v>
      </c>
      <c r="B2462">
        <v>5040883</v>
      </c>
      <c r="C2462" s="1">
        <v>45393</v>
      </c>
      <c r="D2462">
        <v>190</v>
      </c>
      <c r="E2462">
        <f>IF(
  ISNA(
    _xlfn.XLOOKUP(
      payments_raw[[#This Row],[subscription_id]],
      subscriptions[subscription_id],
      subscriptions[subscription_id]
    )
  ),
  0,
  1
)</f>
        <v>1</v>
      </c>
      <c r="F2462" s="1">
        <f>_xlfn.XLOOKUP(payments_raw[[#This Row],[subscription_id]], subscriptions[subscription_id], subscriptions[start_date])</f>
        <v>45374</v>
      </c>
      <c r="G24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2" s="2">
        <f>IF(payments_raw[[#This Row],[payment_date]] &lt; payments_raw[[#This Row],[sub_start_date]], 1, 0)</f>
        <v>0</v>
      </c>
      <c r="I2462" s="2">
        <f>IF(AND(payments_raw[[#This Row],[sub_end_date]]&lt;&gt;"", payments_raw[[#This Row],[payment_date]] &gt; payments_raw[[#This Row],[sub_end_date]]), 1, 0)</f>
        <v>0</v>
      </c>
      <c r="J2462" s="2">
        <f>IF(payments_raw[[#This Row],[amount]] &lt;= 0, 1, 0)</f>
        <v>0</v>
      </c>
      <c r="K24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3" spans="1:11" x14ac:dyDescent="0.3">
      <c r="A2463">
        <v>85190987</v>
      </c>
      <c r="B2463">
        <v>2237362</v>
      </c>
      <c r="C2463" s="1">
        <v>45427</v>
      </c>
      <c r="D2463">
        <v>2242.5</v>
      </c>
      <c r="E2463">
        <f>IF(
  ISNA(
    _xlfn.XLOOKUP(
      payments_raw[[#This Row],[subscription_id]],
      subscriptions[subscription_id],
      subscriptions[subscription_id]
    )
  ),
  0,
  1
)</f>
        <v>1</v>
      </c>
      <c r="F2463" s="1">
        <f>_xlfn.XLOOKUP(payments_raw[[#This Row],[subscription_id]], subscriptions[subscription_id], subscriptions[start_date])</f>
        <v>45288</v>
      </c>
      <c r="G24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2463" s="2">
        <f>IF(payments_raw[[#This Row],[payment_date]] &lt; payments_raw[[#This Row],[sub_start_date]], 1, 0)</f>
        <v>0</v>
      </c>
      <c r="I2463" s="2">
        <f>IF(AND(payments_raw[[#This Row],[sub_end_date]]&lt;&gt;"", payments_raw[[#This Row],[payment_date]] &gt; payments_raw[[#This Row],[sub_end_date]]), 1, 0)</f>
        <v>0</v>
      </c>
      <c r="J2463" s="2">
        <f>IF(payments_raw[[#This Row],[amount]] &lt;= 0, 1, 0)</f>
        <v>0</v>
      </c>
      <c r="K24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4" spans="1:11" x14ac:dyDescent="0.3">
      <c r="A2464">
        <v>38721683</v>
      </c>
      <c r="B2464">
        <v>5832903</v>
      </c>
      <c r="C2464" s="1">
        <v>44695</v>
      </c>
      <c r="D2464">
        <v>1490</v>
      </c>
      <c r="E2464">
        <f>IF(
  ISNA(
    _xlfn.XLOOKUP(
      payments_raw[[#This Row],[subscription_id]],
      subscriptions[subscription_id],
      subscriptions[subscription_id]
    )
  ),
  0,
  1
)</f>
        <v>1</v>
      </c>
      <c r="F2464" s="1">
        <f>_xlfn.XLOOKUP(payments_raw[[#This Row],[subscription_id]], subscriptions[subscription_id], subscriptions[start_date])</f>
        <v>44687</v>
      </c>
      <c r="G24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4" s="2">
        <f>IF(payments_raw[[#This Row],[payment_date]] &lt; payments_raw[[#This Row],[sub_start_date]], 1, 0)</f>
        <v>0</v>
      </c>
      <c r="I2464" s="2">
        <f>IF(AND(payments_raw[[#This Row],[sub_end_date]]&lt;&gt;"", payments_raw[[#This Row],[payment_date]] &gt; payments_raw[[#This Row],[sub_end_date]]), 1, 0)</f>
        <v>0</v>
      </c>
      <c r="J2464" s="2">
        <f>IF(payments_raw[[#This Row],[amount]] &lt;= 0, 1, 0)</f>
        <v>0</v>
      </c>
      <c r="K24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5" spans="1:11" x14ac:dyDescent="0.3">
      <c r="A2465">
        <v>75311205</v>
      </c>
      <c r="B2465">
        <v>5049993</v>
      </c>
      <c r="C2465" s="1">
        <v>45639</v>
      </c>
      <c r="D2465">
        <v>1490</v>
      </c>
      <c r="E2465">
        <f>IF(
  ISNA(
    _xlfn.XLOOKUP(
      payments_raw[[#This Row],[subscription_id]],
      subscriptions[subscription_id],
      subscriptions[subscription_id]
    )
  ),
  0,
  1
)</f>
        <v>1</v>
      </c>
      <c r="F2465" s="1">
        <f>_xlfn.XLOOKUP(payments_raw[[#This Row],[subscription_id]], subscriptions[subscription_id], subscriptions[start_date])</f>
        <v>45586</v>
      </c>
      <c r="G24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5" s="2">
        <f>IF(payments_raw[[#This Row],[payment_date]] &lt; payments_raw[[#This Row],[sub_start_date]], 1, 0)</f>
        <v>0</v>
      </c>
      <c r="I2465" s="2">
        <f>IF(AND(payments_raw[[#This Row],[sub_end_date]]&lt;&gt;"", payments_raw[[#This Row],[payment_date]] &gt; payments_raw[[#This Row],[sub_end_date]]), 1, 0)</f>
        <v>0</v>
      </c>
      <c r="J2465" s="2">
        <f>IF(payments_raw[[#This Row],[amount]] &lt;= 0, 1, 0)</f>
        <v>0</v>
      </c>
      <c r="K24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6" spans="1:11" x14ac:dyDescent="0.3">
      <c r="A2466">
        <v>28028246</v>
      </c>
      <c r="B2466">
        <v>7566239</v>
      </c>
      <c r="C2466" s="1">
        <v>45597</v>
      </c>
      <c r="D2466">
        <v>149</v>
      </c>
      <c r="E2466">
        <f>IF(
  ISNA(
    _xlfn.XLOOKUP(
      payments_raw[[#This Row],[subscription_id]],
      subscriptions[subscription_id],
      subscriptions[subscription_id]
    )
  ),
  0,
  1
)</f>
        <v>1</v>
      </c>
      <c r="F2466" s="1">
        <f>_xlfn.XLOOKUP(payments_raw[[#This Row],[subscription_id]], subscriptions[subscription_id], subscriptions[start_date])</f>
        <v>45467</v>
      </c>
      <c r="G24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6" s="2">
        <f>IF(payments_raw[[#This Row],[payment_date]] &lt; payments_raw[[#This Row],[sub_start_date]], 1, 0)</f>
        <v>0</v>
      </c>
      <c r="I2466" s="2">
        <f>IF(AND(payments_raw[[#This Row],[sub_end_date]]&lt;&gt;"", payments_raw[[#This Row],[payment_date]] &gt; payments_raw[[#This Row],[sub_end_date]]), 1, 0)</f>
        <v>0</v>
      </c>
      <c r="J2466" s="2">
        <f>IF(payments_raw[[#This Row],[amount]] &lt;= 0, 1, 0)</f>
        <v>0</v>
      </c>
      <c r="K24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7" spans="1:11" x14ac:dyDescent="0.3">
      <c r="A2467">
        <v>45339141</v>
      </c>
      <c r="B2467">
        <v>5207762</v>
      </c>
      <c r="C2467" s="1">
        <v>45569</v>
      </c>
      <c r="D2467">
        <v>299</v>
      </c>
      <c r="E2467">
        <f>IF(
  ISNA(
    _xlfn.XLOOKUP(
      payments_raw[[#This Row],[subscription_id]],
      subscriptions[subscription_id],
      subscriptions[subscription_id]
    )
  ),
  0,
  1
)</f>
        <v>1</v>
      </c>
      <c r="F2467" s="1">
        <f>_xlfn.XLOOKUP(payments_raw[[#This Row],[subscription_id]], subscriptions[subscription_id], subscriptions[start_date])</f>
        <v>44921</v>
      </c>
      <c r="G24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7" s="2">
        <f>IF(payments_raw[[#This Row],[payment_date]] &lt; payments_raw[[#This Row],[sub_start_date]], 1, 0)</f>
        <v>0</v>
      </c>
      <c r="I2467" s="2">
        <f>IF(AND(payments_raw[[#This Row],[sub_end_date]]&lt;&gt;"", payments_raw[[#This Row],[payment_date]] &gt; payments_raw[[#This Row],[sub_end_date]]), 1, 0)</f>
        <v>0</v>
      </c>
      <c r="J2467" s="2">
        <f>IF(payments_raw[[#This Row],[amount]] &lt;= 0, 1, 0)</f>
        <v>0</v>
      </c>
      <c r="K24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8" spans="1:11" x14ac:dyDescent="0.3">
      <c r="A2468">
        <v>46317732</v>
      </c>
      <c r="B2468">
        <v>1874606</v>
      </c>
      <c r="C2468" s="1">
        <v>45452</v>
      </c>
      <c r="D2468">
        <v>79</v>
      </c>
      <c r="E2468">
        <f>IF(
  ISNA(
    _xlfn.XLOOKUP(
      payments_raw[[#This Row],[subscription_id]],
      subscriptions[subscription_id],
      subscriptions[subscription_id]
    )
  ),
  0,
  1
)</f>
        <v>1</v>
      </c>
      <c r="F2468" s="1">
        <f>_xlfn.XLOOKUP(payments_raw[[#This Row],[subscription_id]], subscriptions[subscription_id], subscriptions[start_date])</f>
        <v>45220</v>
      </c>
      <c r="G24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8" s="2">
        <f>IF(payments_raw[[#This Row],[payment_date]] &lt; payments_raw[[#This Row],[sub_start_date]], 1, 0)</f>
        <v>0</v>
      </c>
      <c r="I2468" s="2">
        <f>IF(AND(payments_raw[[#This Row],[sub_end_date]]&lt;&gt;"", payments_raw[[#This Row],[payment_date]] &gt; payments_raw[[#This Row],[sub_end_date]]), 1, 0)</f>
        <v>0</v>
      </c>
      <c r="J2468" s="2">
        <f>IF(payments_raw[[#This Row],[amount]] &lt;= 0, 1, 0)</f>
        <v>0</v>
      </c>
      <c r="K24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69" spans="1:11" x14ac:dyDescent="0.3">
      <c r="A2469">
        <v>87713623</v>
      </c>
      <c r="B2469">
        <v>7095636</v>
      </c>
      <c r="C2469" s="1">
        <v>45402</v>
      </c>
      <c r="D2469">
        <v>190</v>
      </c>
      <c r="E2469">
        <f>IF(
  ISNA(
    _xlfn.XLOOKUP(
      payments_raw[[#This Row],[subscription_id]],
      subscriptions[subscription_id],
      subscriptions[subscription_id]
    )
  ),
  0,
  1
)</f>
        <v>1</v>
      </c>
      <c r="F2469" s="1">
        <f>_xlfn.XLOOKUP(payments_raw[[#This Row],[subscription_id]], subscriptions[subscription_id], subscriptions[start_date])</f>
        <v>45285</v>
      </c>
      <c r="G24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69" s="2">
        <f>IF(payments_raw[[#This Row],[payment_date]] &lt; payments_raw[[#This Row],[sub_start_date]], 1, 0)</f>
        <v>0</v>
      </c>
      <c r="I2469" s="2">
        <f>IF(AND(payments_raw[[#This Row],[sub_end_date]]&lt;&gt;"", payments_raw[[#This Row],[payment_date]] &gt; payments_raw[[#This Row],[sub_end_date]]), 1, 0)</f>
        <v>0</v>
      </c>
      <c r="J2469" s="2">
        <f>IF(payments_raw[[#This Row],[amount]] &lt;= 0, 1, 0)</f>
        <v>0</v>
      </c>
      <c r="K24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0" spans="1:11" x14ac:dyDescent="0.3">
      <c r="A2470">
        <v>38375588</v>
      </c>
      <c r="B2470">
        <v>6110378</v>
      </c>
      <c r="C2470" s="1">
        <v>45260</v>
      </c>
      <c r="D2470">
        <v>149</v>
      </c>
      <c r="E2470">
        <f>IF(
  ISNA(
    _xlfn.XLOOKUP(
      payments_raw[[#This Row],[subscription_id]],
      subscriptions[subscription_id],
      subscriptions[subscription_id]
    )
  ),
  0,
  1
)</f>
        <v>1</v>
      </c>
      <c r="F2470" s="1">
        <f>_xlfn.XLOOKUP(payments_raw[[#This Row],[subscription_id]], subscriptions[subscription_id], subscriptions[start_date])</f>
        <v>45249</v>
      </c>
      <c r="G24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0" s="2">
        <f>IF(payments_raw[[#This Row],[payment_date]] &lt; payments_raw[[#This Row],[sub_start_date]], 1, 0)</f>
        <v>0</v>
      </c>
      <c r="I2470" s="2">
        <f>IF(AND(payments_raw[[#This Row],[sub_end_date]]&lt;&gt;"", payments_raw[[#This Row],[payment_date]] &gt; payments_raw[[#This Row],[sub_end_date]]), 1, 0)</f>
        <v>0</v>
      </c>
      <c r="J2470" s="2">
        <f>IF(payments_raw[[#This Row],[amount]] &lt;= 0, 1, 0)</f>
        <v>0</v>
      </c>
      <c r="K24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1" spans="1:11" x14ac:dyDescent="0.3">
      <c r="A2471">
        <v>87193004</v>
      </c>
      <c r="B2471">
        <v>5458615</v>
      </c>
      <c r="C2471" s="1">
        <v>44796</v>
      </c>
      <c r="D2471">
        <v>390</v>
      </c>
      <c r="E2471">
        <f>IF(
  ISNA(
    _xlfn.XLOOKUP(
      payments_raw[[#This Row],[subscription_id]],
      subscriptions[subscription_id],
      subscriptions[subscription_id]
    )
  ),
  0,
  1
)</f>
        <v>1</v>
      </c>
      <c r="F2471" s="1">
        <f>_xlfn.XLOOKUP(payments_raw[[#This Row],[subscription_id]], subscriptions[subscription_id], subscriptions[start_date])</f>
        <v>44774</v>
      </c>
      <c r="G24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45166</v>
      </c>
      <c r="H2471" s="2">
        <f>IF(payments_raw[[#This Row],[payment_date]] &lt; payments_raw[[#This Row],[sub_start_date]], 1, 0)</f>
        <v>0</v>
      </c>
      <c r="I2471" s="2">
        <f>IF(AND(payments_raw[[#This Row],[sub_end_date]]&lt;&gt;"", payments_raw[[#This Row],[payment_date]] &gt; payments_raw[[#This Row],[sub_end_date]]), 1, 0)</f>
        <v>0</v>
      </c>
      <c r="J2471" s="2">
        <f>IF(payments_raw[[#This Row],[amount]] &lt;= 0, 1, 0)</f>
        <v>0</v>
      </c>
      <c r="K24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2" spans="1:11" x14ac:dyDescent="0.3">
      <c r="A2472">
        <v>63973235</v>
      </c>
      <c r="B2472">
        <v>1810137</v>
      </c>
      <c r="C2472" s="1">
        <v>45501</v>
      </c>
      <c r="D2472">
        <v>39</v>
      </c>
      <c r="E2472">
        <f>IF(
  ISNA(
    _xlfn.XLOOKUP(
      payments_raw[[#This Row],[subscription_id]],
      subscriptions[subscription_id],
      subscriptions[subscription_id]
    )
  ),
  0,
  1
)</f>
        <v>1</v>
      </c>
      <c r="F2472" s="1">
        <f>_xlfn.XLOOKUP(payments_raw[[#This Row],[subscription_id]], subscriptions[subscription_id], subscriptions[start_date])</f>
        <v>45435</v>
      </c>
      <c r="G24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2" s="2">
        <f>IF(payments_raw[[#This Row],[payment_date]] &lt; payments_raw[[#This Row],[sub_start_date]], 1, 0)</f>
        <v>0</v>
      </c>
      <c r="I2472" s="2">
        <f>IF(AND(payments_raw[[#This Row],[sub_end_date]]&lt;&gt;"", payments_raw[[#This Row],[payment_date]] &gt; payments_raw[[#This Row],[sub_end_date]]), 1, 0)</f>
        <v>0</v>
      </c>
      <c r="J2472" s="2">
        <f>IF(payments_raw[[#This Row],[amount]] &lt;= 0, 1, 0)</f>
        <v>0</v>
      </c>
      <c r="K24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3" spans="1:11" x14ac:dyDescent="0.3">
      <c r="A2473">
        <v>98486477</v>
      </c>
      <c r="B2473">
        <v>8731726</v>
      </c>
      <c r="C2473" s="1">
        <v>45566</v>
      </c>
      <c r="D2473">
        <v>39</v>
      </c>
      <c r="E2473">
        <f>IF(
  ISNA(
    _xlfn.XLOOKUP(
      payments_raw[[#This Row],[subscription_id]],
      subscriptions[subscription_id],
      subscriptions[subscription_id]
    )
  ),
  0,
  1
)</f>
        <v>1</v>
      </c>
      <c r="F2473" s="1">
        <f>_xlfn.XLOOKUP(payments_raw[[#This Row],[subscription_id]], subscriptions[subscription_id], subscriptions[start_date])</f>
        <v>44945</v>
      </c>
      <c r="G24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3" s="2">
        <f>IF(payments_raw[[#This Row],[payment_date]] &lt; payments_raw[[#This Row],[sub_start_date]], 1, 0)</f>
        <v>0</v>
      </c>
      <c r="I2473" s="2">
        <f>IF(AND(payments_raw[[#This Row],[sub_end_date]]&lt;&gt;"", payments_raw[[#This Row],[payment_date]] &gt; payments_raw[[#This Row],[sub_end_date]]), 1, 0)</f>
        <v>0</v>
      </c>
      <c r="J2473" s="2">
        <f>IF(payments_raw[[#This Row],[amount]] &lt;= 0, 1, 0)</f>
        <v>0</v>
      </c>
      <c r="K24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4" spans="1:11" x14ac:dyDescent="0.3">
      <c r="A2474">
        <v>10482349</v>
      </c>
      <c r="B2474">
        <v>8063586</v>
      </c>
      <c r="C2474" s="1">
        <v>45632</v>
      </c>
      <c r="D2474">
        <v>190</v>
      </c>
      <c r="E2474">
        <f>IF(
  ISNA(
    _xlfn.XLOOKUP(
      payments_raw[[#This Row],[subscription_id]],
      subscriptions[subscription_id],
      subscriptions[subscription_id]
    )
  ),
  0,
  1
)</f>
        <v>1</v>
      </c>
      <c r="F2474" s="1">
        <f>_xlfn.XLOOKUP(payments_raw[[#This Row],[subscription_id]], subscriptions[subscription_id], subscriptions[start_date])</f>
        <v>45596</v>
      </c>
      <c r="G24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474" s="2">
        <f>IF(payments_raw[[#This Row],[payment_date]] &lt; payments_raw[[#This Row],[sub_start_date]], 1, 0)</f>
        <v>0</v>
      </c>
      <c r="I2474" s="2">
        <f>IF(AND(payments_raw[[#This Row],[sub_end_date]]&lt;&gt;"", payments_raw[[#This Row],[payment_date]] &gt; payments_raw[[#This Row],[sub_end_date]]), 1, 0)</f>
        <v>0</v>
      </c>
      <c r="J2474" s="2">
        <f>IF(payments_raw[[#This Row],[amount]] &lt;= 0, 1, 0)</f>
        <v>0</v>
      </c>
      <c r="K24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5" spans="1:11" x14ac:dyDescent="0.3">
      <c r="A2475">
        <v>77868041</v>
      </c>
      <c r="B2475">
        <v>6998844</v>
      </c>
      <c r="C2475" s="1">
        <v>45658</v>
      </c>
      <c r="D2475">
        <v>190</v>
      </c>
      <c r="E2475">
        <f>IF(
  ISNA(
    _xlfn.XLOOKUP(
      payments_raw[[#This Row],[subscription_id]],
      subscriptions[subscription_id],
      subscriptions[subscription_id]
    )
  ),
  0,
  1
)</f>
        <v>1</v>
      </c>
      <c r="F2475" s="1">
        <f>_xlfn.XLOOKUP(payments_raw[[#This Row],[subscription_id]], subscriptions[subscription_id], subscriptions[start_date])</f>
        <v>45521</v>
      </c>
      <c r="G24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5" s="2">
        <f>IF(payments_raw[[#This Row],[payment_date]] &lt; payments_raw[[#This Row],[sub_start_date]], 1, 0)</f>
        <v>0</v>
      </c>
      <c r="I2475" s="2">
        <f>IF(AND(payments_raw[[#This Row],[sub_end_date]]&lt;&gt;"", payments_raw[[#This Row],[payment_date]] &gt; payments_raw[[#This Row],[sub_end_date]]), 1, 0)</f>
        <v>0</v>
      </c>
      <c r="J2475" s="2">
        <f>IF(payments_raw[[#This Row],[amount]] &lt;= 0, 1, 0)</f>
        <v>0</v>
      </c>
      <c r="K24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6" spans="1:11" x14ac:dyDescent="0.3">
      <c r="A2476">
        <v>47342004</v>
      </c>
      <c r="B2476">
        <v>5668364</v>
      </c>
      <c r="C2476" s="1">
        <v>45519</v>
      </c>
      <c r="D2476">
        <v>390</v>
      </c>
      <c r="E2476">
        <f>IF(
  ISNA(
    _xlfn.XLOOKUP(
      payments_raw[[#This Row],[subscription_id]],
      subscriptions[subscription_id],
      subscriptions[subscription_id]
    )
  ),
  0,
  1
)</f>
        <v>1</v>
      </c>
      <c r="F2476" s="1">
        <f>_xlfn.XLOOKUP(payments_raw[[#This Row],[subscription_id]], subscriptions[subscription_id], subscriptions[start_date])</f>
        <v>45205</v>
      </c>
      <c r="G24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6" s="2">
        <f>IF(payments_raw[[#This Row],[payment_date]] &lt; payments_raw[[#This Row],[sub_start_date]], 1, 0)</f>
        <v>0</v>
      </c>
      <c r="I2476" s="2">
        <f>IF(AND(payments_raw[[#This Row],[sub_end_date]]&lt;&gt;"", payments_raw[[#This Row],[payment_date]] &gt; payments_raw[[#This Row],[sub_end_date]]), 1, 0)</f>
        <v>0</v>
      </c>
      <c r="J2476" s="2">
        <f>IF(payments_raw[[#This Row],[amount]] &lt;= 0, 1, 0)</f>
        <v>0</v>
      </c>
      <c r="K24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7" spans="1:11" x14ac:dyDescent="0.3">
      <c r="A2477">
        <v>46188108</v>
      </c>
      <c r="B2477">
        <v>4937710</v>
      </c>
      <c r="C2477" s="1">
        <v>45380</v>
      </c>
      <c r="D2477">
        <v>299</v>
      </c>
      <c r="E2477">
        <f>IF(
  ISNA(
    _xlfn.XLOOKUP(
      payments_raw[[#This Row],[subscription_id]],
      subscriptions[subscription_id],
      subscriptions[subscription_id]
    )
  ),
  0,
  1
)</f>
        <v>1</v>
      </c>
      <c r="F2477" s="1">
        <f>_xlfn.XLOOKUP(payments_raw[[#This Row],[subscription_id]], subscriptions[subscription_id], subscriptions[start_date])</f>
        <v>45217</v>
      </c>
      <c r="G24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77" s="2">
        <f>IF(payments_raw[[#This Row],[payment_date]] &lt; payments_raw[[#This Row],[sub_start_date]], 1, 0)</f>
        <v>0</v>
      </c>
      <c r="I2477" s="2">
        <f>IF(AND(payments_raw[[#This Row],[sub_end_date]]&lt;&gt;"", payments_raw[[#This Row],[payment_date]] &gt; payments_raw[[#This Row],[sub_end_date]]), 1, 0)</f>
        <v>0</v>
      </c>
      <c r="J2477" s="2">
        <f>IF(payments_raw[[#This Row],[amount]] &lt;= 0, 1, 0)</f>
        <v>0</v>
      </c>
      <c r="K24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8" spans="1:11" x14ac:dyDescent="0.3">
      <c r="A2478">
        <v>57057406</v>
      </c>
      <c r="B2478">
        <v>2237362</v>
      </c>
      <c r="C2478" s="1">
        <v>45316</v>
      </c>
      <c r="D2478">
        <v>2990</v>
      </c>
      <c r="E2478">
        <f>IF(
  ISNA(
    _xlfn.XLOOKUP(
      payments_raw[[#This Row],[subscription_id]],
      subscriptions[subscription_id],
      subscriptions[subscription_id]
    )
  ),
  0,
  1
)</f>
        <v>1</v>
      </c>
      <c r="F2478" s="1">
        <f>_xlfn.XLOOKUP(payments_raw[[#This Row],[subscription_id]], subscriptions[subscription_id], subscriptions[start_date])</f>
        <v>45288</v>
      </c>
      <c r="G24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2478" s="2">
        <f>IF(payments_raw[[#This Row],[payment_date]] &lt; payments_raw[[#This Row],[sub_start_date]], 1, 0)</f>
        <v>0</v>
      </c>
      <c r="I2478" s="2">
        <f>IF(AND(payments_raw[[#This Row],[sub_end_date]]&lt;&gt;"", payments_raw[[#This Row],[payment_date]] &gt; payments_raw[[#This Row],[sub_end_date]]), 1, 0)</f>
        <v>0</v>
      </c>
      <c r="J2478" s="2">
        <f>IF(payments_raw[[#This Row],[amount]] &lt;= 0, 1, 0)</f>
        <v>0</v>
      </c>
      <c r="K24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79" spans="1:11" x14ac:dyDescent="0.3">
      <c r="A2479">
        <v>41826980</v>
      </c>
      <c r="B2479">
        <v>8282586</v>
      </c>
      <c r="C2479" s="1">
        <v>45490</v>
      </c>
      <c r="D2479">
        <v>790</v>
      </c>
      <c r="E2479">
        <f>IF(
  ISNA(
    _xlfn.XLOOKUP(
      payments_raw[[#This Row],[subscription_id]],
      subscriptions[subscription_id],
      subscriptions[subscription_id]
    )
  ),
  0,
  1
)</f>
        <v>1</v>
      </c>
      <c r="F2479" s="1">
        <f>_xlfn.XLOOKUP(payments_raw[[#This Row],[subscription_id]], subscriptions[subscription_id], subscriptions[start_date])</f>
        <v>45437</v>
      </c>
      <c r="G24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45496</v>
      </c>
      <c r="H2479" s="2">
        <f>IF(payments_raw[[#This Row],[payment_date]] &lt; payments_raw[[#This Row],[sub_start_date]], 1, 0)</f>
        <v>0</v>
      </c>
      <c r="I2479" s="2">
        <f>IF(AND(payments_raw[[#This Row],[sub_end_date]]&lt;&gt;"", payments_raw[[#This Row],[payment_date]] &gt; payments_raw[[#This Row],[sub_end_date]]), 1, 0)</f>
        <v>0</v>
      </c>
      <c r="J2479" s="2">
        <f>IF(payments_raw[[#This Row],[amount]] &lt;= 0, 1, 0)</f>
        <v>0</v>
      </c>
      <c r="K24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0" spans="1:11" x14ac:dyDescent="0.3">
      <c r="A2480">
        <v>54110827</v>
      </c>
      <c r="B2480">
        <v>3081873</v>
      </c>
      <c r="C2480" s="1">
        <v>45054</v>
      </c>
      <c r="D2480">
        <v>2990</v>
      </c>
      <c r="E2480">
        <f>IF(
  ISNA(
    _xlfn.XLOOKUP(
      payments_raw[[#This Row],[subscription_id]],
      subscriptions[subscription_id],
      subscriptions[subscription_id]
    )
  ),
  0,
  1
)</f>
        <v>1</v>
      </c>
      <c r="F2480" s="1">
        <f>_xlfn.XLOOKUP(payments_raw[[#This Row],[subscription_id]], subscriptions[subscription_id], subscriptions[start_date])</f>
        <v>44986</v>
      </c>
      <c r="G24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45076</v>
      </c>
      <c r="H2480" s="2">
        <f>IF(payments_raw[[#This Row],[payment_date]] &lt; payments_raw[[#This Row],[sub_start_date]], 1, 0)</f>
        <v>0</v>
      </c>
      <c r="I2480" s="2">
        <f>IF(AND(payments_raw[[#This Row],[sub_end_date]]&lt;&gt;"", payments_raw[[#This Row],[payment_date]] &gt; payments_raw[[#This Row],[sub_end_date]]), 1, 0)</f>
        <v>0</v>
      </c>
      <c r="J2480" s="2">
        <f>IF(payments_raw[[#This Row],[amount]] &lt;= 0, 1, 0)</f>
        <v>0</v>
      </c>
      <c r="K24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1" spans="1:11" x14ac:dyDescent="0.3">
      <c r="A2481">
        <v>70891160</v>
      </c>
      <c r="B2481">
        <v>2574505</v>
      </c>
      <c r="C2481" s="1">
        <v>45535</v>
      </c>
      <c r="D2481">
        <v>790</v>
      </c>
      <c r="E2481">
        <f>IF(
  ISNA(
    _xlfn.XLOOKUP(
      payments_raw[[#This Row],[subscription_id]],
      subscriptions[subscription_id],
      subscriptions[subscription_id]
    )
  ),
  0,
  1
)</f>
        <v>1</v>
      </c>
      <c r="F2481" s="1">
        <f>_xlfn.XLOOKUP(payments_raw[[#This Row],[subscription_id]], subscriptions[subscription_id], subscriptions[start_date])</f>
        <v>45501</v>
      </c>
      <c r="G24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1" s="2">
        <f>IF(payments_raw[[#This Row],[payment_date]] &lt; payments_raw[[#This Row],[sub_start_date]], 1, 0)</f>
        <v>0</v>
      </c>
      <c r="I2481" s="2">
        <f>IF(AND(payments_raw[[#This Row],[sub_end_date]]&lt;&gt;"", payments_raw[[#This Row],[payment_date]] &gt; payments_raw[[#This Row],[sub_end_date]]), 1, 0)</f>
        <v>0</v>
      </c>
      <c r="J2481" s="2">
        <f>IF(payments_raw[[#This Row],[amount]] &lt;= 0, 1, 0)</f>
        <v>0</v>
      </c>
      <c r="K24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2" spans="1:11" x14ac:dyDescent="0.3">
      <c r="A2482">
        <v>26547150</v>
      </c>
      <c r="B2482">
        <v>2204993</v>
      </c>
      <c r="C2482" s="1">
        <v>45605</v>
      </c>
      <c r="D2482">
        <v>19</v>
      </c>
      <c r="E2482">
        <f>IF(
  ISNA(
    _xlfn.XLOOKUP(
      payments_raw[[#This Row],[subscription_id]],
      subscriptions[subscription_id],
      subscriptions[subscription_id]
    )
  ),
  0,
  1
)</f>
        <v>1</v>
      </c>
      <c r="F2482" s="1">
        <f>_xlfn.XLOOKUP(payments_raw[[#This Row],[subscription_id]], subscriptions[subscription_id], subscriptions[start_date])</f>
        <v>45141</v>
      </c>
      <c r="G24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2" s="2">
        <f>IF(payments_raw[[#This Row],[payment_date]] &lt; payments_raw[[#This Row],[sub_start_date]], 1, 0)</f>
        <v>0</v>
      </c>
      <c r="I2482" s="2">
        <f>IF(AND(payments_raw[[#This Row],[sub_end_date]]&lt;&gt;"", payments_raw[[#This Row],[payment_date]] &gt; payments_raw[[#This Row],[sub_end_date]]), 1, 0)</f>
        <v>0</v>
      </c>
      <c r="J2482" s="2">
        <f>IF(payments_raw[[#This Row],[amount]] &lt;= 0, 1, 0)</f>
        <v>0</v>
      </c>
      <c r="K24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3" spans="1:11" x14ac:dyDescent="0.3">
      <c r="A2483">
        <v>36379956</v>
      </c>
      <c r="B2483">
        <v>9852408</v>
      </c>
      <c r="C2483" s="1">
        <v>45208</v>
      </c>
      <c r="D2483">
        <v>79</v>
      </c>
      <c r="E2483">
        <f>IF(
  ISNA(
    _xlfn.XLOOKUP(
      payments_raw[[#This Row],[subscription_id]],
      subscriptions[subscription_id],
      subscriptions[subscription_id]
    )
  ),
  0,
  1
)</f>
        <v>1</v>
      </c>
      <c r="F2483" s="1">
        <f>_xlfn.XLOOKUP(payments_raw[[#This Row],[subscription_id]], subscriptions[subscription_id], subscriptions[start_date])</f>
        <v>45203</v>
      </c>
      <c r="G24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2483" s="2">
        <f>IF(payments_raw[[#This Row],[payment_date]] &lt; payments_raw[[#This Row],[sub_start_date]], 1, 0)</f>
        <v>0</v>
      </c>
      <c r="I2483" s="2">
        <f>IF(AND(payments_raw[[#This Row],[sub_end_date]]&lt;&gt;"", payments_raw[[#This Row],[payment_date]] &gt; payments_raw[[#This Row],[sub_end_date]]), 1, 0)</f>
        <v>0</v>
      </c>
      <c r="J2483" s="2">
        <f>IF(payments_raw[[#This Row],[amount]] &lt;= 0, 1, 0)</f>
        <v>0</v>
      </c>
      <c r="K24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4" spans="1:11" x14ac:dyDescent="0.3">
      <c r="A2484">
        <v>67018138</v>
      </c>
      <c r="B2484">
        <v>3927571</v>
      </c>
      <c r="C2484" s="1">
        <v>45438</v>
      </c>
      <c r="D2484">
        <v>1490</v>
      </c>
      <c r="E2484">
        <f>IF(
  ISNA(
    _xlfn.XLOOKUP(
      payments_raw[[#This Row],[subscription_id]],
      subscriptions[subscription_id],
      subscriptions[subscription_id]
    )
  ),
  0,
  1
)</f>
        <v>1</v>
      </c>
      <c r="F2484" s="1">
        <f>_xlfn.XLOOKUP(payments_raw[[#This Row],[subscription_id]], subscriptions[subscription_id], subscriptions[start_date])</f>
        <v>44872</v>
      </c>
      <c r="G24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4" s="2">
        <f>IF(payments_raw[[#This Row],[payment_date]] &lt; payments_raw[[#This Row],[sub_start_date]], 1, 0)</f>
        <v>0</v>
      </c>
      <c r="I2484" s="2">
        <f>IF(AND(payments_raw[[#This Row],[sub_end_date]]&lt;&gt;"", payments_raw[[#This Row],[payment_date]] &gt; payments_raw[[#This Row],[sub_end_date]]), 1, 0)</f>
        <v>0</v>
      </c>
      <c r="J2484" s="2">
        <f>IF(payments_raw[[#This Row],[amount]] &lt;= 0, 1, 0)</f>
        <v>0</v>
      </c>
      <c r="K24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5" spans="1:11" x14ac:dyDescent="0.3">
      <c r="A2485">
        <v>26081719</v>
      </c>
      <c r="B2485">
        <v>3553581</v>
      </c>
      <c r="C2485" s="1">
        <v>45641</v>
      </c>
      <c r="D2485">
        <v>149</v>
      </c>
      <c r="E2485">
        <f>IF(
  ISNA(
    _xlfn.XLOOKUP(
      payments_raw[[#This Row],[subscription_id]],
      subscriptions[subscription_id],
      subscriptions[subscription_id]
    )
  ),
  0,
  1
)</f>
        <v>1</v>
      </c>
      <c r="F2485" s="1">
        <f>_xlfn.XLOOKUP(payments_raw[[#This Row],[subscription_id]], subscriptions[subscription_id], subscriptions[start_date])</f>
        <v>45238</v>
      </c>
      <c r="G24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5" s="2">
        <f>IF(payments_raw[[#This Row],[payment_date]] &lt; payments_raw[[#This Row],[sub_start_date]], 1, 0)</f>
        <v>0</v>
      </c>
      <c r="I2485" s="2">
        <f>IF(AND(payments_raw[[#This Row],[sub_end_date]]&lt;&gt;"", payments_raw[[#This Row],[payment_date]] &gt; payments_raw[[#This Row],[sub_end_date]]), 1, 0)</f>
        <v>0</v>
      </c>
      <c r="J2485" s="2">
        <f>IF(payments_raw[[#This Row],[amount]] &lt;= 0, 1, 0)</f>
        <v>0</v>
      </c>
      <c r="K24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6" spans="1:11" x14ac:dyDescent="0.3">
      <c r="A2486">
        <v>61505711</v>
      </c>
      <c r="B2486">
        <v>2379281</v>
      </c>
      <c r="C2486" s="1">
        <v>45363</v>
      </c>
      <c r="D2486">
        <v>79</v>
      </c>
      <c r="E2486">
        <f>IF(
  ISNA(
    _xlfn.XLOOKUP(
      payments_raw[[#This Row],[subscription_id]],
      subscriptions[subscription_id],
      subscriptions[subscription_id]
    )
  ),
  0,
  1
)</f>
        <v>1</v>
      </c>
      <c r="F2486" s="1">
        <f>_xlfn.XLOOKUP(payments_raw[[#This Row],[subscription_id]], subscriptions[subscription_id], subscriptions[start_date])</f>
        <v>45225</v>
      </c>
      <c r="G24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45481</v>
      </c>
      <c r="H2486" s="2">
        <f>IF(payments_raw[[#This Row],[payment_date]] &lt; payments_raw[[#This Row],[sub_start_date]], 1, 0)</f>
        <v>0</v>
      </c>
      <c r="I2486" s="2">
        <f>IF(AND(payments_raw[[#This Row],[sub_end_date]]&lt;&gt;"", payments_raw[[#This Row],[payment_date]] &gt; payments_raw[[#This Row],[sub_end_date]]), 1, 0)</f>
        <v>0</v>
      </c>
      <c r="J2486" s="2">
        <f>IF(payments_raw[[#This Row],[amount]] &lt;= 0, 1, 0)</f>
        <v>0</v>
      </c>
      <c r="K24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7" spans="1:11" x14ac:dyDescent="0.3">
      <c r="A2487">
        <v>14713027</v>
      </c>
      <c r="B2487">
        <v>8172456</v>
      </c>
      <c r="C2487" s="1">
        <v>45435</v>
      </c>
      <c r="D2487">
        <v>790</v>
      </c>
      <c r="E2487">
        <f>IF(
  ISNA(
    _xlfn.XLOOKUP(
      payments_raw[[#This Row],[subscription_id]],
      subscriptions[subscription_id],
      subscriptions[subscription_id]
    )
  ),
  0,
  1
)</f>
        <v>1</v>
      </c>
      <c r="F2487" s="1">
        <f>_xlfn.XLOOKUP(payments_raw[[#This Row],[subscription_id]], subscriptions[subscription_id], subscriptions[start_date])</f>
        <v>45332</v>
      </c>
      <c r="G24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2487" s="2">
        <f>IF(payments_raw[[#This Row],[payment_date]] &lt; payments_raw[[#This Row],[sub_start_date]], 1, 0)</f>
        <v>0</v>
      </c>
      <c r="I2487" s="2">
        <f>IF(AND(payments_raw[[#This Row],[sub_end_date]]&lt;&gt;"", payments_raw[[#This Row],[payment_date]] &gt; payments_raw[[#This Row],[sub_end_date]]), 1, 0)</f>
        <v>0</v>
      </c>
      <c r="J2487" s="2">
        <f>IF(payments_raw[[#This Row],[amount]] &lt;= 0, 1, 0)</f>
        <v>0</v>
      </c>
      <c r="K24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8" spans="1:11" x14ac:dyDescent="0.3">
      <c r="A2488">
        <v>37952799</v>
      </c>
      <c r="B2488">
        <v>5095330</v>
      </c>
      <c r="C2488" s="1">
        <v>45651</v>
      </c>
      <c r="D2488">
        <v>790</v>
      </c>
      <c r="E2488">
        <f>IF(
  ISNA(
    _xlfn.XLOOKUP(
      payments_raw[[#This Row],[subscription_id]],
      subscriptions[subscription_id],
      subscriptions[subscription_id]
    )
  ),
  0,
  1
)</f>
        <v>1</v>
      </c>
      <c r="F2488" s="1">
        <f>_xlfn.XLOOKUP(payments_raw[[#This Row],[subscription_id]], subscriptions[subscription_id], subscriptions[start_date])</f>
        <v>45500</v>
      </c>
      <c r="G24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8" s="2">
        <f>IF(payments_raw[[#This Row],[payment_date]] &lt; payments_raw[[#This Row],[sub_start_date]], 1, 0)</f>
        <v>0</v>
      </c>
      <c r="I2488" s="2">
        <f>IF(AND(payments_raw[[#This Row],[sub_end_date]]&lt;&gt;"", payments_raw[[#This Row],[payment_date]] &gt; payments_raw[[#This Row],[sub_end_date]]), 1, 0)</f>
        <v>0</v>
      </c>
      <c r="J2488" s="2">
        <f>IF(payments_raw[[#This Row],[amount]] &lt;= 0, 1, 0)</f>
        <v>0</v>
      </c>
      <c r="K24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89" spans="1:11" x14ac:dyDescent="0.3">
      <c r="A2489">
        <v>80157948</v>
      </c>
      <c r="B2489">
        <v>5432538</v>
      </c>
      <c r="C2489" s="1">
        <v>45137</v>
      </c>
      <c r="D2489">
        <v>149</v>
      </c>
      <c r="E2489">
        <f>IF(
  ISNA(
    _xlfn.XLOOKUP(
      payments_raw[[#This Row],[subscription_id]],
      subscriptions[subscription_id],
      subscriptions[subscription_id]
    )
  ),
  0,
  1
)</f>
        <v>1</v>
      </c>
      <c r="F2489" s="1">
        <f>_xlfn.XLOOKUP(payments_raw[[#This Row],[subscription_id]], subscriptions[subscription_id], subscriptions[start_date])</f>
        <v>45071</v>
      </c>
      <c r="G24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89" s="2">
        <f>IF(payments_raw[[#This Row],[payment_date]] &lt; payments_raw[[#This Row],[sub_start_date]], 1, 0)</f>
        <v>0</v>
      </c>
      <c r="I2489" s="2">
        <f>IF(AND(payments_raw[[#This Row],[sub_end_date]]&lt;&gt;"", payments_raw[[#This Row],[payment_date]] &gt; payments_raw[[#This Row],[sub_end_date]]), 1, 0)</f>
        <v>0</v>
      </c>
      <c r="J2489" s="2">
        <f>IF(payments_raw[[#This Row],[amount]] &lt;= 0, 1, 0)</f>
        <v>0</v>
      </c>
      <c r="K24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0" spans="1:11" x14ac:dyDescent="0.3">
      <c r="A2490">
        <v>37587974</v>
      </c>
      <c r="B2490">
        <v>1386001</v>
      </c>
      <c r="C2490" s="1">
        <v>44895</v>
      </c>
      <c r="D2490">
        <v>1490</v>
      </c>
      <c r="E2490">
        <f>IF(
  ISNA(
    _xlfn.XLOOKUP(
      payments_raw[[#This Row],[subscription_id]],
      subscriptions[subscription_id],
      subscriptions[subscription_id]
    )
  ),
  0,
  1
)</f>
        <v>1</v>
      </c>
      <c r="F2490" s="1">
        <f>_xlfn.XLOOKUP(payments_raw[[#This Row],[subscription_id]], subscriptions[subscription_id], subscriptions[start_date])</f>
        <v>44825</v>
      </c>
      <c r="G249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44909</v>
      </c>
      <c r="H2490" s="2">
        <f>IF(payments_raw[[#This Row],[payment_date]] &lt; payments_raw[[#This Row],[sub_start_date]], 1, 0)</f>
        <v>0</v>
      </c>
      <c r="I2490" s="2">
        <f>IF(AND(payments_raw[[#This Row],[sub_end_date]]&lt;&gt;"", payments_raw[[#This Row],[payment_date]] &gt; payments_raw[[#This Row],[sub_end_date]]), 1, 0)</f>
        <v>0</v>
      </c>
      <c r="J2490" s="2">
        <f>IF(payments_raw[[#This Row],[amount]] &lt;= 0, 1, 0)</f>
        <v>0</v>
      </c>
      <c r="K24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1" spans="1:11" x14ac:dyDescent="0.3">
      <c r="A2491">
        <v>97496479</v>
      </c>
      <c r="B2491">
        <v>7153780</v>
      </c>
      <c r="C2491" s="1">
        <v>45622</v>
      </c>
      <c r="D2491">
        <v>149</v>
      </c>
      <c r="E2491">
        <f>IF(
  ISNA(
    _xlfn.XLOOKUP(
      payments_raw[[#This Row],[subscription_id]],
      subscriptions[subscription_id],
      subscriptions[subscription_id]
    )
  ),
  0,
  1
)</f>
        <v>1</v>
      </c>
      <c r="F2491" s="1">
        <f>_xlfn.XLOOKUP(payments_raw[[#This Row],[subscription_id]], subscriptions[subscription_id], subscriptions[start_date])</f>
        <v>45431</v>
      </c>
      <c r="G24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1" s="2">
        <f>IF(payments_raw[[#This Row],[payment_date]] &lt; payments_raw[[#This Row],[sub_start_date]], 1, 0)</f>
        <v>0</v>
      </c>
      <c r="I2491" s="2">
        <f>IF(AND(payments_raw[[#This Row],[sub_end_date]]&lt;&gt;"", payments_raw[[#This Row],[payment_date]] &gt; payments_raw[[#This Row],[sub_end_date]]), 1, 0)</f>
        <v>0</v>
      </c>
      <c r="J2491" s="2">
        <f>IF(payments_raw[[#This Row],[amount]] &lt;= 0, 1, 0)</f>
        <v>0</v>
      </c>
      <c r="K24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2" spans="1:11" x14ac:dyDescent="0.3">
      <c r="A2492">
        <v>78715354</v>
      </c>
      <c r="B2492">
        <v>7063525</v>
      </c>
      <c r="C2492" s="1">
        <v>44732</v>
      </c>
      <c r="D2492">
        <v>790</v>
      </c>
      <c r="E2492">
        <f>IF(
  ISNA(
    _xlfn.XLOOKUP(
      payments_raw[[#This Row],[subscription_id]],
      subscriptions[subscription_id],
      subscriptions[subscription_id]
    )
  ),
  0,
  1
)</f>
        <v>1</v>
      </c>
      <c r="F2492" s="1">
        <f>_xlfn.XLOOKUP(payments_raw[[#This Row],[subscription_id]], subscriptions[subscription_id], subscriptions[start_date])</f>
        <v>44619</v>
      </c>
      <c r="G249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44979</v>
      </c>
      <c r="H2492" s="2">
        <f>IF(payments_raw[[#This Row],[payment_date]] &lt; payments_raw[[#This Row],[sub_start_date]], 1, 0)</f>
        <v>0</v>
      </c>
      <c r="I2492" s="2">
        <f>IF(AND(payments_raw[[#This Row],[sub_end_date]]&lt;&gt;"", payments_raw[[#This Row],[payment_date]] &gt; payments_raw[[#This Row],[sub_end_date]]), 1, 0)</f>
        <v>0</v>
      </c>
      <c r="J2492" s="2">
        <f>IF(payments_raw[[#This Row],[amount]] &lt;= 0, 1, 0)</f>
        <v>0</v>
      </c>
      <c r="K24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3" spans="1:11" x14ac:dyDescent="0.3">
      <c r="A2493">
        <v>38782865</v>
      </c>
      <c r="B2493">
        <v>5078093</v>
      </c>
      <c r="C2493" s="1">
        <v>45510</v>
      </c>
      <c r="D2493">
        <v>390</v>
      </c>
      <c r="E2493">
        <f>IF(
  ISNA(
    _xlfn.XLOOKUP(
      payments_raw[[#This Row],[subscription_id]],
      subscriptions[subscription_id],
      subscriptions[subscription_id]
    )
  ),
  0,
  1
)</f>
        <v>1</v>
      </c>
      <c r="F2493" s="1">
        <f>_xlfn.XLOOKUP(payments_raw[[#This Row],[subscription_id]], subscriptions[subscription_id], subscriptions[start_date])</f>
        <v>45303</v>
      </c>
      <c r="G24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3" s="2">
        <f>IF(payments_raw[[#This Row],[payment_date]] &lt; payments_raw[[#This Row],[sub_start_date]], 1, 0)</f>
        <v>0</v>
      </c>
      <c r="I2493" s="2">
        <f>IF(AND(payments_raw[[#This Row],[sub_end_date]]&lt;&gt;"", payments_raw[[#This Row],[payment_date]] &gt; payments_raw[[#This Row],[sub_end_date]]), 1, 0)</f>
        <v>0</v>
      </c>
      <c r="J2493" s="2">
        <f>IF(payments_raw[[#This Row],[amount]] &lt;= 0, 1, 0)</f>
        <v>0</v>
      </c>
      <c r="K24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4" spans="1:11" x14ac:dyDescent="0.3">
      <c r="A2494">
        <v>73739506</v>
      </c>
      <c r="B2494">
        <v>8955730</v>
      </c>
      <c r="C2494" s="1">
        <v>45435</v>
      </c>
      <c r="D2494">
        <v>14.25</v>
      </c>
      <c r="E2494">
        <f>IF(
  ISNA(
    _xlfn.XLOOKUP(
      payments_raw[[#This Row],[subscription_id]],
      subscriptions[subscription_id],
      subscriptions[subscription_id]
    )
  ),
  0,
  1
)</f>
        <v>1</v>
      </c>
      <c r="F2494" s="1">
        <f>_xlfn.XLOOKUP(payments_raw[[#This Row],[subscription_id]], subscriptions[subscription_id], subscriptions[start_date])</f>
        <v>44975</v>
      </c>
      <c r="G24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4" s="2">
        <f>IF(payments_raw[[#This Row],[payment_date]] &lt; payments_raw[[#This Row],[sub_start_date]], 1, 0)</f>
        <v>0</v>
      </c>
      <c r="I2494" s="2">
        <f>IF(AND(payments_raw[[#This Row],[sub_end_date]]&lt;&gt;"", payments_raw[[#This Row],[payment_date]] &gt; payments_raw[[#This Row],[sub_end_date]]), 1, 0)</f>
        <v>0</v>
      </c>
      <c r="J2494" s="2">
        <f>IF(payments_raw[[#This Row],[amount]] &lt;= 0, 1, 0)</f>
        <v>0</v>
      </c>
      <c r="K24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5" spans="1:11" x14ac:dyDescent="0.3">
      <c r="A2495">
        <v>22655804</v>
      </c>
      <c r="B2495">
        <v>4818006</v>
      </c>
      <c r="C2495" s="1">
        <v>45239</v>
      </c>
      <c r="D2495">
        <v>390</v>
      </c>
      <c r="E2495">
        <f>IF(
  ISNA(
    _xlfn.XLOOKUP(
      payments_raw[[#This Row],[subscription_id]],
      subscriptions[subscription_id],
      subscriptions[subscription_id]
    )
  ),
  0,
  1
)</f>
        <v>1</v>
      </c>
      <c r="F2495" s="1">
        <f>_xlfn.XLOOKUP(payments_raw[[#This Row],[subscription_id]], subscriptions[subscription_id], subscriptions[start_date])</f>
        <v>45210</v>
      </c>
      <c r="G24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2495" s="2">
        <f>IF(payments_raw[[#This Row],[payment_date]] &lt; payments_raw[[#This Row],[sub_start_date]], 1, 0)</f>
        <v>0</v>
      </c>
      <c r="I2495" s="2">
        <f>IF(AND(payments_raw[[#This Row],[sub_end_date]]&lt;&gt;"", payments_raw[[#This Row],[payment_date]] &gt; payments_raw[[#This Row],[sub_end_date]]), 1, 0)</f>
        <v>0</v>
      </c>
      <c r="J2495" s="2">
        <f>IF(payments_raw[[#This Row],[amount]] &lt;= 0, 1, 0)</f>
        <v>0</v>
      </c>
      <c r="K24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6" spans="1:11" x14ac:dyDescent="0.3">
      <c r="A2496">
        <v>91207477</v>
      </c>
      <c r="B2496">
        <v>1293919</v>
      </c>
      <c r="C2496" s="1">
        <v>45479</v>
      </c>
      <c r="D2496">
        <v>190</v>
      </c>
      <c r="E2496">
        <f>IF(
  ISNA(
    _xlfn.XLOOKUP(
      payments_raw[[#This Row],[subscription_id]],
      subscriptions[subscription_id],
      subscriptions[subscription_id]
    )
  ),
  0,
  1
)</f>
        <v>1</v>
      </c>
      <c r="F2496" s="1">
        <f>_xlfn.XLOOKUP(payments_raw[[#This Row],[subscription_id]], subscriptions[subscription_id], subscriptions[start_date])</f>
        <v>45476</v>
      </c>
      <c r="G24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6" s="2">
        <f>IF(payments_raw[[#This Row],[payment_date]] &lt; payments_raw[[#This Row],[sub_start_date]], 1, 0)</f>
        <v>0</v>
      </c>
      <c r="I2496" s="2">
        <f>IF(AND(payments_raw[[#This Row],[sub_end_date]]&lt;&gt;"", payments_raw[[#This Row],[payment_date]] &gt; payments_raw[[#This Row],[sub_end_date]]), 1, 0)</f>
        <v>0</v>
      </c>
      <c r="J2496" s="2">
        <f>IF(payments_raw[[#This Row],[amount]] &lt;= 0, 1, 0)</f>
        <v>0</v>
      </c>
      <c r="K24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7" spans="1:11" x14ac:dyDescent="0.3">
      <c r="A2497">
        <v>25128630</v>
      </c>
      <c r="B2497">
        <v>2389566</v>
      </c>
      <c r="C2497" s="1">
        <v>45465</v>
      </c>
      <c r="D2497">
        <v>190</v>
      </c>
      <c r="E2497">
        <f>IF(
  ISNA(
    _xlfn.XLOOKUP(
      payments_raw[[#This Row],[subscription_id]],
      subscriptions[subscription_id],
      subscriptions[subscription_id]
    )
  ),
  0,
  1
)</f>
        <v>1</v>
      </c>
      <c r="F2497" s="1">
        <f>_xlfn.XLOOKUP(payments_raw[[#This Row],[subscription_id]], subscriptions[subscription_id], subscriptions[start_date])</f>
        <v>45421</v>
      </c>
      <c r="G24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45512</v>
      </c>
      <c r="H2497" s="2">
        <f>IF(payments_raw[[#This Row],[payment_date]] &lt; payments_raw[[#This Row],[sub_start_date]], 1, 0)</f>
        <v>0</v>
      </c>
      <c r="I2497" s="2">
        <f>IF(AND(payments_raw[[#This Row],[sub_end_date]]&lt;&gt;"", payments_raw[[#This Row],[payment_date]] &gt; payments_raw[[#This Row],[sub_end_date]]), 1, 0)</f>
        <v>0</v>
      </c>
      <c r="J2497" s="2">
        <f>IF(payments_raw[[#This Row],[amount]] &lt;= 0, 1, 0)</f>
        <v>0</v>
      </c>
      <c r="K24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8" spans="1:11" x14ac:dyDescent="0.3">
      <c r="A2498">
        <v>95485363</v>
      </c>
      <c r="B2498">
        <v>9358431</v>
      </c>
      <c r="C2498" s="1">
        <v>45363</v>
      </c>
      <c r="D2498">
        <v>1490</v>
      </c>
      <c r="E2498">
        <f>IF(
  ISNA(
    _xlfn.XLOOKUP(
      payments_raw[[#This Row],[subscription_id]],
      subscriptions[subscription_id],
      subscriptions[subscription_id]
    )
  ),
  0,
  1
)</f>
        <v>1</v>
      </c>
      <c r="F2498" s="1">
        <f>_xlfn.XLOOKUP(payments_raw[[#This Row],[subscription_id]], subscriptions[subscription_id], subscriptions[start_date])</f>
        <v>44934</v>
      </c>
      <c r="G24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8" s="2">
        <f>IF(payments_raw[[#This Row],[payment_date]] &lt; payments_raw[[#This Row],[sub_start_date]], 1, 0)</f>
        <v>0</v>
      </c>
      <c r="I2498" s="2">
        <f>IF(AND(payments_raw[[#This Row],[sub_end_date]]&lt;&gt;"", payments_raw[[#This Row],[payment_date]] &gt; payments_raw[[#This Row],[sub_end_date]]), 1, 0)</f>
        <v>0</v>
      </c>
      <c r="J2498" s="2">
        <f>IF(payments_raw[[#This Row],[amount]] &lt;= 0, 1, 0)</f>
        <v>0</v>
      </c>
      <c r="K24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499" spans="1:11" x14ac:dyDescent="0.3">
      <c r="A2499">
        <v>35003381</v>
      </c>
      <c r="B2499">
        <v>3949666</v>
      </c>
      <c r="C2499" s="1">
        <v>45640</v>
      </c>
      <c r="D2499">
        <v>390</v>
      </c>
      <c r="E2499">
        <f>IF(
  ISNA(
    _xlfn.XLOOKUP(
      payments_raw[[#This Row],[subscription_id]],
      subscriptions[subscription_id],
      subscriptions[subscription_id]
    )
  ),
  0,
  1
)</f>
        <v>1</v>
      </c>
      <c r="F2499" s="1">
        <f>_xlfn.XLOOKUP(payments_raw[[#This Row],[subscription_id]], subscriptions[subscription_id], subscriptions[start_date])</f>
        <v>45501</v>
      </c>
      <c r="G24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499" s="2">
        <f>IF(payments_raw[[#This Row],[payment_date]] &lt; payments_raw[[#This Row],[sub_start_date]], 1, 0)</f>
        <v>0</v>
      </c>
      <c r="I2499" s="2">
        <f>IF(AND(payments_raw[[#This Row],[sub_end_date]]&lt;&gt;"", payments_raw[[#This Row],[payment_date]] &gt; payments_raw[[#This Row],[sub_end_date]]), 1, 0)</f>
        <v>0</v>
      </c>
      <c r="J2499" s="2">
        <f>IF(payments_raw[[#This Row],[amount]] &lt;= 0, 1, 0)</f>
        <v>0</v>
      </c>
      <c r="K24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0" spans="1:11" x14ac:dyDescent="0.3">
      <c r="A2500">
        <v>27883205</v>
      </c>
      <c r="B2500">
        <v>2281267</v>
      </c>
      <c r="C2500" s="1">
        <v>44610</v>
      </c>
      <c r="D2500">
        <v>190</v>
      </c>
      <c r="E2500">
        <f>IF(
  ISNA(
    _xlfn.XLOOKUP(
      payments_raw[[#This Row],[subscription_id]],
      subscriptions[subscription_id],
      subscriptions[subscription_id]
    )
  ),
  0,
  1
)</f>
        <v>1</v>
      </c>
      <c r="F2500" s="1">
        <f>_xlfn.XLOOKUP(payments_raw[[#This Row],[subscription_id]], subscriptions[subscription_id], subscriptions[start_date])</f>
        <v>44566</v>
      </c>
      <c r="G2500" s="1">
        <f>IF(_xlfn.XLOOKUP(payments_raw[[#This Row],[subscription_id]], subscriptions[subscription_id], subscriptions[end_date])=0,"",_xlfn.XLOOKUP(payments_raw[[#This Row],[subscription_id]], subscriptions[subscription_id], subscriptions[end_date]))</f>
        <v>44672</v>
      </c>
      <c r="H2500" s="2">
        <f>IF(payments_raw[[#This Row],[payment_date]] &lt; payments_raw[[#This Row],[sub_start_date]], 1, 0)</f>
        <v>0</v>
      </c>
      <c r="I2500" s="2">
        <f>IF(AND(payments_raw[[#This Row],[sub_end_date]]&lt;&gt;"", payments_raw[[#This Row],[payment_date]] &gt; payments_raw[[#This Row],[sub_end_date]]), 1, 0)</f>
        <v>0</v>
      </c>
      <c r="J2500" s="2">
        <f>IF(payments_raw[[#This Row],[amount]] &lt;= 0, 1, 0)</f>
        <v>0</v>
      </c>
      <c r="K25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1" spans="1:11" x14ac:dyDescent="0.3">
      <c r="A2501">
        <v>32395401</v>
      </c>
      <c r="B2501">
        <v>2247548</v>
      </c>
      <c r="C2501" s="1">
        <v>45124</v>
      </c>
      <c r="D2501">
        <v>390</v>
      </c>
      <c r="E2501">
        <f>IF(
  ISNA(
    _xlfn.XLOOKUP(
      payments_raw[[#This Row],[subscription_id]],
      subscriptions[subscription_id],
      subscriptions[subscription_id]
    )
  ),
  0,
  1
)</f>
        <v>1</v>
      </c>
      <c r="F2501" s="1">
        <f>_xlfn.XLOOKUP(payments_raw[[#This Row],[subscription_id]], subscriptions[subscription_id], subscriptions[start_date])</f>
        <v>45084</v>
      </c>
      <c r="G25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1" s="2">
        <f>IF(payments_raw[[#This Row],[payment_date]] &lt; payments_raw[[#This Row],[sub_start_date]], 1, 0)</f>
        <v>0</v>
      </c>
      <c r="I2501" s="2">
        <f>IF(AND(payments_raw[[#This Row],[sub_end_date]]&lt;&gt;"", payments_raw[[#This Row],[payment_date]] &gt; payments_raw[[#This Row],[sub_end_date]]), 1, 0)</f>
        <v>0</v>
      </c>
      <c r="J2501" s="2">
        <f>IF(payments_raw[[#This Row],[amount]] &lt;= 0, 1, 0)</f>
        <v>0</v>
      </c>
      <c r="K25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2" spans="1:11" x14ac:dyDescent="0.3">
      <c r="A2502">
        <v>19102656</v>
      </c>
      <c r="B2502">
        <v>9901791</v>
      </c>
      <c r="C2502" s="1">
        <v>44655</v>
      </c>
      <c r="D2502">
        <v>299</v>
      </c>
      <c r="E2502">
        <f>IF(
  ISNA(
    _xlfn.XLOOKUP(
      payments_raw[[#This Row],[subscription_id]],
      subscriptions[subscription_id],
      subscriptions[subscription_id]
    )
  ),
  0,
  1
)</f>
        <v>1</v>
      </c>
      <c r="F2502" s="1">
        <f>_xlfn.XLOOKUP(payments_raw[[#This Row],[subscription_id]], subscriptions[subscription_id], subscriptions[start_date])</f>
        <v>44634</v>
      </c>
      <c r="G2502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44697</v>
      </c>
      <c r="H2502" s="2">
        <f>IF(payments_raw[[#This Row],[payment_date]] &lt; payments_raw[[#This Row],[sub_start_date]], 1, 0)</f>
        <v>0</v>
      </c>
      <c r="I2502" s="2">
        <f>IF(AND(payments_raw[[#This Row],[sub_end_date]]&lt;&gt;"", payments_raw[[#This Row],[payment_date]] &gt; payments_raw[[#This Row],[sub_end_date]]), 1, 0)</f>
        <v>0</v>
      </c>
      <c r="J2502" s="2">
        <f>IF(payments_raw[[#This Row],[amount]] &lt;= 0, 1, 0)</f>
        <v>0</v>
      </c>
      <c r="K25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3" spans="1:11" x14ac:dyDescent="0.3">
      <c r="A2503">
        <v>41224916</v>
      </c>
      <c r="B2503">
        <v>9767063</v>
      </c>
      <c r="C2503" s="1">
        <v>45639</v>
      </c>
      <c r="D2503">
        <v>9.5</v>
      </c>
      <c r="E2503">
        <f>IF(
  ISNA(
    _xlfn.XLOOKUP(
      payments_raw[[#This Row],[subscription_id]],
      subscriptions[subscription_id],
      subscriptions[subscription_id]
    )
  ),
  0,
  1
)</f>
        <v>1</v>
      </c>
      <c r="F2503" s="1">
        <f>_xlfn.XLOOKUP(payments_raw[[#This Row],[subscription_id]], subscriptions[subscription_id], subscriptions[start_date])</f>
        <v>45182</v>
      </c>
      <c r="G25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3" s="2">
        <f>IF(payments_raw[[#This Row],[payment_date]] &lt; payments_raw[[#This Row],[sub_start_date]], 1, 0)</f>
        <v>0</v>
      </c>
      <c r="I2503" s="2">
        <f>IF(AND(payments_raw[[#This Row],[sub_end_date]]&lt;&gt;"", payments_raw[[#This Row],[payment_date]] &gt; payments_raw[[#This Row],[sub_end_date]]), 1, 0)</f>
        <v>0</v>
      </c>
      <c r="J2503" s="2">
        <f>IF(payments_raw[[#This Row],[amount]] &lt;= 0, 1, 0)</f>
        <v>0</v>
      </c>
      <c r="K25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4" spans="1:11" x14ac:dyDescent="0.3">
      <c r="A2504">
        <v>97560003</v>
      </c>
      <c r="B2504">
        <v>8095426</v>
      </c>
      <c r="C2504" s="1">
        <v>45478</v>
      </c>
      <c r="D2504">
        <v>79</v>
      </c>
      <c r="E2504">
        <f>IF(
  ISNA(
    _xlfn.XLOOKUP(
      payments_raw[[#This Row],[subscription_id]],
      subscriptions[subscription_id],
      subscriptions[subscription_id]
    )
  ),
  0,
  1
)</f>
        <v>1</v>
      </c>
      <c r="F2504" s="1">
        <f>_xlfn.XLOOKUP(payments_raw[[#This Row],[subscription_id]], subscriptions[subscription_id], subscriptions[start_date])</f>
        <v>45114</v>
      </c>
      <c r="G25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4" s="2">
        <f>IF(payments_raw[[#This Row],[payment_date]] &lt; payments_raw[[#This Row],[sub_start_date]], 1, 0)</f>
        <v>0</v>
      </c>
      <c r="I2504" s="2">
        <f>IF(AND(payments_raw[[#This Row],[sub_end_date]]&lt;&gt;"", payments_raw[[#This Row],[payment_date]] &gt; payments_raw[[#This Row],[sub_end_date]]), 1, 0)</f>
        <v>0</v>
      </c>
      <c r="J2504" s="2">
        <f>IF(payments_raw[[#This Row],[amount]] &lt;= 0, 1, 0)</f>
        <v>0</v>
      </c>
      <c r="K25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5" spans="1:11" x14ac:dyDescent="0.3">
      <c r="A2505">
        <v>27978533</v>
      </c>
      <c r="B2505">
        <v>8027140</v>
      </c>
      <c r="C2505" s="1">
        <v>45039</v>
      </c>
      <c r="D2505">
        <v>299</v>
      </c>
      <c r="E2505">
        <f>IF(
  ISNA(
    _xlfn.XLOOKUP(
      payments_raw[[#This Row],[subscription_id]],
      subscriptions[subscription_id],
      subscriptions[subscription_id]
    )
  ),
  0,
  1
)</f>
        <v>1</v>
      </c>
      <c r="F2505" s="1">
        <f>_xlfn.XLOOKUP(payments_raw[[#This Row],[subscription_id]], subscriptions[subscription_id], subscriptions[start_date])</f>
        <v>45032</v>
      </c>
      <c r="G25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5" s="2">
        <f>IF(payments_raw[[#This Row],[payment_date]] &lt; payments_raw[[#This Row],[sub_start_date]], 1, 0)</f>
        <v>0</v>
      </c>
      <c r="I2505" s="2">
        <f>IF(AND(payments_raw[[#This Row],[sub_end_date]]&lt;&gt;"", payments_raw[[#This Row],[payment_date]] &gt; payments_raw[[#This Row],[sub_end_date]]), 1, 0)</f>
        <v>0</v>
      </c>
      <c r="J2505" s="2">
        <f>IF(payments_raw[[#This Row],[amount]] &lt;= 0, 1, 0)</f>
        <v>0</v>
      </c>
      <c r="K25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6" spans="1:11" x14ac:dyDescent="0.3">
      <c r="A2506">
        <v>47513650</v>
      </c>
      <c r="B2506">
        <v>1238423</v>
      </c>
      <c r="C2506" s="1">
        <v>44941</v>
      </c>
      <c r="D2506">
        <v>71.099999999999994</v>
      </c>
      <c r="E2506">
        <f>IF(
  ISNA(
    _xlfn.XLOOKUP(
      payments_raw[[#This Row],[subscription_id]],
      subscriptions[subscription_id],
      subscriptions[subscription_id]
    )
  ),
  0,
  1
)</f>
        <v>1</v>
      </c>
      <c r="F2506" s="1">
        <f>_xlfn.XLOOKUP(payments_raw[[#This Row],[subscription_id]], subscriptions[subscription_id], subscriptions[start_date])</f>
        <v>44874</v>
      </c>
      <c r="G25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6" s="2">
        <f>IF(payments_raw[[#This Row],[payment_date]] &lt; payments_raw[[#This Row],[sub_start_date]], 1, 0)</f>
        <v>0</v>
      </c>
      <c r="I2506" s="2">
        <f>IF(AND(payments_raw[[#This Row],[sub_end_date]]&lt;&gt;"", payments_raw[[#This Row],[payment_date]] &gt; payments_raw[[#This Row],[sub_end_date]]), 1, 0)</f>
        <v>0</v>
      </c>
      <c r="J2506" s="2">
        <f>IF(payments_raw[[#This Row],[amount]] &lt;= 0, 1, 0)</f>
        <v>0</v>
      </c>
      <c r="K25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7" spans="1:11" x14ac:dyDescent="0.3">
      <c r="A2507">
        <v>76403941</v>
      </c>
      <c r="B2507">
        <v>5692416</v>
      </c>
      <c r="C2507" s="1">
        <v>45629</v>
      </c>
      <c r="D2507">
        <v>790</v>
      </c>
      <c r="E2507">
        <f>IF(
  ISNA(
    _xlfn.XLOOKUP(
      payments_raw[[#This Row],[subscription_id]],
      subscriptions[subscription_id],
      subscriptions[subscription_id]
    )
  ),
  0,
  1
)</f>
        <v>1</v>
      </c>
      <c r="F2507" s="1">
        <f>_xlfn.XLOOKUP(payments_raw[[#This Row],[subscription_id]], subscriptions[subscription_id], subscriptions[start_date])</f>
        <v>44923</v>
      </c>
      <c r="G25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7" s="2">
        <f>IF(payments_raw[[#This Row],[payment_date]] &lt; payments_raw[[#This Row],[sub_start_date]], 1, 0)</f>
        <v>0</v>
      </c>
      <c r="I2507" s="2">
        <f>IF(AND(payments_raw[[#This Row],[sub_end_date]]&lt;&gt;"", payments_raw[[#This Row],[payment_date]] &gt; payments_raw[[#This Row],[sub_end_date]]), 1, 0)</f>
        <v>0</v>
      </c>
      <c r="J2507" s="2">
        <f>IF(payments_raw[[#This Row],[amount]] &lt;= 0, 1, 0)</f>
        <v>0</v>
      </c>
      <c r="K25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8" spans="1:11" x14ac:dyDescent="0.3">
      <c r="A2508">
        <v>46522173</v>
      </c>
      <c r="B2508">
        <v>9089445</v>
      </c>
      <c r="C2508" s="1">
        <v>45157</v>
      </c>
      <c r="D2508">
        <v>1490</v>
      </c>
      <c r="E2508">
        <f>IF(
  ISNA(
    _xlfn.XLOOKUP(
      payments_raw[[#This Row],[subscription_id]],
      subscriptions[subscription_id],
      subscriptions[subscription_id]
    )
  ),
  0,
  1
)</f>
        <v>1</v>
      </c>
      <c r="F2508" s="1">
        <f>_xlfn.XLOOKUP(payments_raw[[#This Row],[subscription_id]], subscriptions[subscription_id], subscriptions[start_date])</f>
        <v>45055</v>
      </c>
      <c r="G25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08" s="2">
        <f>IF(payments_raw[[#This Row],[payment_date]] &lt; payments_raw[[#This Row],[sub_start_date]], 1, 0)</f>
        <v>0</v>
      </c>
      <c r="I2508" s="2">
        <f>IF(AND(payments_raw[[#This Row],[sub_end_date]]&lt;&gt;"", payments_raw[[#This Row],[payment_date]] &gt; payments_raw[[#This Row],[sub_end_date]]), 1, 0)</f>
        <v>0</v>
      </c>
      <c r="J2508" s="2">
        <f>IF(payments_raw[[#This Row],[amount]] &lt;= 0, 1, 0)</f>
        <v>0</v>
      </c>
      <c r="K25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09" spans="1:11" x14ac:dyDescent="0.3">
      <c r="A2509">
        <v>31415919</v>
      </c>
      <c r="B2509">
        <v>5812480</v>
      </c>
      <c r="C2509" s="1">
        <v>45162</v>
      </c>
      <c r="D2509">
        <v>79</v>
      </c>
      <c r="E2509">
        <f>IF(
  ISNA(
    _xlfn.XLOOKUP(
      payments_raw[[#This Row],[subscription_id]],
      subscriptions[subscription_id],
      subscriptions[subscription_id]
    )
  ),
  0,
  1
)</f>
        <v>1</v>
      </c>
      <c r="F2509" s="1">
        <f>_xlfn.XLOOKUP(payments_raw[[#This Row],[subscription_id]], subscriptions[subscription_id], subscriptions[start_date])</f>
        <v>45024</v>
      </c>
      <c r="G25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45404</v>
      </c>
      <c r="H2509" s="2">
        <f>IF(payments_raw[[#This Row],[payment_date]] &lt; payments_raw[[#This Row],[sub_start_date]], 1, 0)</f>
        <v>0</v>
      </c>
      <c r="I2509" s="2">
        <f>IF(AND(payments_raw[[#This Row],[sub_end_date]]&lt;&gt;"", payments_raw[[#This Row],[payment_date]] &gt; payments_raw[[#This Row],[sub_end_date]]), 1, 0)</f>
        <v>0</v>
      </c>
      <c r="J2509" s="2">
        <f>IF(payments_raw[[#This Row],[amount]] &lt;= 0, 1, 0)</f>
        <v>0</v>
      </c>
      <c r="K25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0" spans="1:11" x14ac:dyDescent="0.3">
      <c r="A2510">
        <v>42238832</v>
      </c>
      <c r="B2510">
        <v>1802525</v>
      </c>
      <c r="C2510" s="1">
        <v>44737</v>
      </c>
      <c r="D2510">
        <v>224.25</v>
      </c>
      <c r="E2510">
        <f>IF(
  ISNA(
    _xlfn.XLOOKUP(
      payments_raw[[#This Row],[subscription_id]],
      subscriptions[subscription_id],
      subscriptions[subscription_id]
    )
  ),
  0,
  1
)</f>
        <v>1</v>
      </c>
      <c r="F2510" s="1">
        <f>_xlfn.XLOOKUP(payments_raw[[#This Row],[subscription_id]], subscriptions[subscription_id], subscriptions[start_date])</f>
        <v>44583</v>
      </c>
      <c r="G25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0" s="2">
        <f>IF(payments_raw[[#This Row],[payment_date]] &lt; payments_raw[[#This Row],[sub_start_date]], 1, 0)</f>
        <v>0</v>
      </c>
      <c r="I2510" s="2">
        <f>IF(AND(payments_raw[[#This Row],[sub_end_date]]&lt;&gt;"", payments_raw[[#This Row],[payment_date]] &gt; payments_raw[[#This Row],[sub_end_date]]), 1, 0)</f>
        <v>0</v>
      </c>
      <c r="J2510" s="2">
        <f>IF(payments_raw[[#This Row],[amount]] &lt;= 0, 1, 0)</f>
        <v>0</v>
      </c>
      <c r="K25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1" spans="1:11" x14ac:dyDescent="0.3">
      <c r="A2511">
        <v>92694983</v>
      </c>
      <c r="B2511">
        <v>2165255</v>
      </c>
      <c r="C2511" s="1">
        <v>45219</v>
      </c>
      <c r="D2511">
        <v>2691</v>
      </c>
      <c r="E2511">
        <f>IF(
  ISNA(
    _xlfn.XLOOKUP(
      payments_raw[[#This Row],[subscription_id]],
      subscriptions[subscription_id],
      subscriptions[subscription_id]
    )
  ),
  0,
  1
)</f>
        <v>1</v>
      </c>
      <c r="F2511" s="1">
        <f>_xlfn.XLOOKUP(payments_raw[[#This Row],[subscription_id]], subscriptions[subscription_id], subscriptions[start_date])</f>
        <v>44903</v>
      </c>
      <c r="G25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1" s="2">
        <f>IF(payments_raw[[#This Row],[payment_date]] &lt; payments_raw[[#This Row],[sub_start_date]], 1, 0)</f>
        <v>0</v>
      </c>
      <c r="I2511" s="2">
        <f>IF(AND(payments_raw[[#This Row],[sub_end_date]]&lt;&gt;"", payments_raw[[#This Row],[payment_date]] &gt; payments_raw[[#This Row],[sub_end_date]]), 1, 0)</f>
        <v>0</v>
      </c>
      <c r="J2511" s="2">
        <f>IF(payments_raw[[#This Row],[amount]] &lt;= 0, 1, 0)</f>
        <v>0</v>
      </c>
      <c r="K25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2" spans="1:11" x14ac:dyDescent="0.3">
      <c r="A2512">
        <v>29386792</v>
      </c>
      <c r="B2512">
        <v>1698478</v>
      </c>
      <c r="C2512" s="1">
        <v>44983</v>
      </c>
      <c r="D2512">
        <v>19</v>
      </c>
      <c r="E2512">
        <f>IF(
  ISNA(
    _xlfn.XLOOKUP(
      payments_raw[[#This Row],[subscription_id]],
      subscriptions[subscription_id],
      subscriptions[subscription_id]
    )
  ),
  0,
  1
)</f>
        <v>1</v>
      </c>
      <c r="F2512" s="1">
        <f>_xlfn.XLOOKUP(payments_raw[[#This Row],[subscription_id]], subscriptions[subscription_id], subscriptions[start_date])</f>
        <v>44947</v>
      </c>
      <c r="G25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45134</v>
      </c>
      <c r="H2512" s="2">
        <f>IF(payments_raw[[#This Row],[payment_date]] &lt; payments_raw[[#This Row],[sub_start_date]], 1, 0)</f>
        <v>0</v>
      </c>
      <c r="I2512" s="2">
        <f>IF(AND(payments_raw[[#This Row],[sub_end_date]]&lt;&gt;"", payments_raw[[#This Row],[payment_date]] &gt; payments_raw[[#This Row],[sub_end_date]]), 1, 0)</f>
        <v>0</v>
      </c>
      <c r="J2512" s="2">
        <f>IF(payments_raw[[#This Row],[amount]] &lt;= 0, 1, 0)</f>
        <v>0</v>
      </c>
      <c r="K25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3" spans="1:11" x14ac:dyDescent="0.3">
      <c r="A2513">
        <v>83012583</v>
      </c>
      <c r="B2513">
        <v>2875419</v>
      </c>
      <c r="C2513" s="1">
        <v>45384</v>
      </c>
      <c r="D2513">
        <v>2691</v>
      </c>
      <c r="E2513">
        <f>IF(
  ISNA(
    _xlfn.XLOOKUP(
      payments_raw[[#This Row],[subscription_id]],
      subscriptions[subscription_id],
      subscriptions[subscription_id]
    )
  ),
  0,
  1
)</f>
        <v>1</v>
      </c>
      <c r="F2513" s="1">
        <f>_xlfn.XLOOKUP(payments_raw[[#This Row],[subscription_id]], subscriptions[subscription_id], subscriptions[start_date])</f>
        <v>44908</v>
      </c>
      <c r="G25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3" s="2">
        <f>IF(payments_raw[[#This Row],[payment_date]] &lt; payments_raw[[#This Row],[sub_start_date]], 1, 0)</f>
        <v>0</v>
      </c>
      <c r="I2513" s="2">
        <f>IF(AND(payments_raw[[#This Row],[sub_end_date]]&lt;&gt;"", payments_raw[[#This Row],[payment_date]] &gt; payments_raw[[#This Row],[sub_end_date]]), 1, 0)</f>
        <v>0</v>
      </c>
      <c r="J2513" s="2">
        <f>IF(payments_raw[[#This Row],[amount]] &lt;= 0, 1, 0)</f>
        <v>0</v>
      </c>
      <c r="K25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4" spans="1:11" x14ac:dyDescent="0.3">
      <c r="A2514">
        <v>84896302</v>
      </c>
      <c r="B2514">
        <v>5273985</v>
      </c>
      <c r="C2514" s="1">
        <v>45462</v>
      </c>
      <c r="D2514">
        <v>19</v>
      </c>
      <c r="E2514">
        <f>IF(
  ISNA(
    _xlfn.XLOOKUP(
      payments_raw[[#This Row],[subscription_id]],
      subscriptions[subscription_id],
      subscriptions[subscription_id]
    )
  ),
  0,
  1
)</f>
        <v>1</v>
      </c>
      <c r="F2514" s="1">
        <f>_xlfn.XLOOKUP(payments_raw[[#This Row],[subscription_id]], subscriptions[subscription_id], subscriptions[start_date])</f>
        <v>44976</v>
      </c>
      <c r="G25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4" s="2">
        <f>IF(payments_raw[[#This Row],[payment_date]] &lt; payments_raw[[#This Row],[sub_start_date]], 1, 0)</f>
        <v>0</v>
      </c>
      <c r="I2514" s="2">
        <f>IF(AND(payments_raw[[#This Row],[sub_end_date]]&lt;&gt;"", payments_raw[[#This Row],[payment_date]] &gt; payments_raw[[#This Row],[sub_end_date]]), 1, 0)</f>
        <v>0</v>
      </c>
      <c r="J2514" s="2">
        <f>IF(payments_raw[[#This Row],[amount]] &lt;= 0, 1, 0)</f>
        <v>0</v>
      </c>
      <c r="K25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5" spans="1:11" x14ac:dyDescent="0.3">
      <c r="A2515">
        <v>62314659</v>
      </c>
      <c r="B2515">
        <v>2067513</v>
      </c>
      <c r="C2515" s="1">
        <v>45474</v>
      </c>
      <c r="D2515">
        <v>79</v>
      </c>
      <c r="E2515">
        <f>IF(
  ISNA(
    _xlfn.XLOOKUP(
      payments_raw[[#This Row],[subscription_id]],
      subscriptions[subscription_id],
      subscriptions[subscription_id]
    )
  ),
  0,
  1
)</f>
        <v>1</v>
      </c>
      <c r="F2515" s="1">
        <f>_xlfn.XLOOKUP(payments_raw[[#This Row],[subscription_id]], subscriptions[subscription_id], subscriptions[start_date])</f>
        <v>45409</v>
      </c>
      <c r="G25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2515" s="2">
        <f>IF(payments_raw[[#This Row],[payment_date]] &lt; payments_raw[[#This Row],[sub_start_date]], 1, 0)</f>
        <v>0</v>
      </c>
      <c r="I2515" s="2">
        <f>IF(AND(payments_raw[[#This Row],[sub_end_date]]&lt;&gt;"", payments_raw[[#This Row],[payment_date]] &gt; payments_raw[[#This Row],[sub_end_date]]), 1, 0)</f>
        <v>0</v>
      </c>
      <c r="J2515" s="2">
        <f>IF(payments_raw[[#This Row],[amount]] &lt;= 0, 1, 0)</f>
        <v>0</v>
      </c>
      <c r="K25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6" spans="1:11" x14ac:dyDescent="0.3">
      <c r="A2516">
        <v>87086107</v>
      </c>
      <c r="B2516">
        <v>3691366</v>
      </c>
      <c r="C2516" s="1">
        <v>45436</v>
      </c>
      <c r="D2516">
        <v>390</v>
      </c>
      <c r="E2516">
        <f>IF(
  ISNA(
    _xlfn.XLOOKUP(
      payments_raw[[#This Row],[subscription_id]],
      subscriptions[subscription_id],
      subscriptions[subscription_id]
    )
  ),
  0,
  1
)</f>
        <v>1</v>
      </c>
      <c r="F2516" s="1">
        <f>_xlfn.XLOOKUP(payments_raw[[#This Row],[subscription_id]], subscriptions[subscription_id], subscriptions[start_date])</f>
        <v>45228</v>
      </c>
      <c r="G25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45627</v>
      </c>
      <c r="H2516" s="2">
        <f>IF(payments_raw[[#This Row],[payment_date]] &lt; payments_raw[[#This Row],[sub_start_date]], 1, 0)</f>
        <v>0</v>
      </c>
      <c r="I2516" s="2">
        <f>IF(AND(payments_raw[[#This Row],[sub_end_date]]&lt;&gt;"", payments_raw[[#This Row],[payment_date]] &gt; payments_raw[[#This Row],[sub_end_date]]), 1, 0)</f>
        <v>0</v>
      </c>
      <c r="J2516" s="2">
        <f>IF(payments_raw[[#This Row],[amount]] &lt;= 0, 1, 0)</f>
        <v>0</v>
      </c>
      <c r="K25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7" spans="1:11" x14ac:dyDescent="0.3">
      <c r="A2517">
        <v>33817750</v>
      </c>
      <c r="B2517">
        <v>6437103</v>
      </c>
      <c r="C2517" s="1">
        <v>45465</v>
      </c>
      <c r="D2517">
        <v>142.5</v>
      </c>
      <c r="E2517">
        <f>IF(
  ISNA(
    _xlfn.XLOOKUP(
      payments_raw[[#This Row],[subscription_id]],
      subscriptions[subscription_id],
      subscriptions[subscription_id]
    )
  ),
  0,
  1
)</f>
        <v>1</v>
      </c>
      <c r="F2517" s="1">
        <f>_xlfn.XLOOKUP(payments_raw[[#This Row],[subscription_id]], subscriptions[subscription_id], subscriptions[start_date])</f>
        <v>45274</v>
      </c>
      <c r="G25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7" s="2">
        <f>IF(payments_raw[[#This Row],[payment_date]] &lt; payments_raw[[#This Row],[sub_start_date]], 1, 0)</f>
        <v>0</v>
      </c>
      <c r="I2517" s="2">
        <f>IF(AND(payments_raw[[#This Row],[sub_end_date]]&lt;&gt;"", payments_raw[[#This Row],[payment_date]] &gt; payments_raw[[#This Row],[sub_end_date]]), 1, 0)</f>
        <v>0</v>
      </c>
      <c r="J2517" s="2">
        <f>IF(payments_raw[[#This Row],[amount]] &lt;= 0, 1, 0)</f>
        <v>0</v>
      </c>
      <c r="K25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8" spans="1:11" x14ac:dyDescent="0.3">
      <c r="A2518">
        <v>50070341</v>
      </c>
      <c r="B2518">
        <v>5715786</v>
      </c>
      <c r="C2518" s="1">
        <v>45439</v>
      </c>
      <c r="D2518">
        <v>2990</v>
      </c>
      <c r="E2518">
        <f>IF(
  ISNA(
    _xlfn.XLOOKUP(
      payments_raw[[#This Row],[subscription_id]],
      subscriptions[subscription_id],
      subscriptions[subscription_id]
    )
  ),
  0,
  1
)</f>
        <v>1</v>
      </c>
      <c r="F2518" s="1">
        <f>_xlfn.XLOOKUP(payments_raw[[#This Row],[subscription_id]], subscriptions[subscription_id], subscriptions[start_date])</f>
        <v>45366</v>
      </c>
      <c r="G25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8" s="2">
        <f>IF(payments_raw[[#This Row],[payment_date]] &lt; payments_raw[[#This Row],[sub_start_date]], 1, 0)</f>
        <v>0</v>
      </c>
      <c r="I2518" s="2">
        <f>IF(AND(payments_raw[[#This Row],[sub_end_date]]&lt;&gt;"", payments_raw[[#This Row],[payment_date]] &gt; payments_raw[[#This Row],[sub_end_date]]), 1, 0)</f>
        <v>0</v>
      </c>
      <c r="J2518" s="2">
        <f>IF(payments_raw[[#This Row],[amount]] &lt;= 0, 1, 0)</f>
        <v>0</v>
      </c>
      <c r="K25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19" spans="1:11" x14ac:dyDescent="0.3">
      <c r="A2519">
        <v>11877542</v>
      </c>
      <c r="B2519">
        <v>8651518</v>
      </c>
      <c r="C2519" s="1">
        <v>45196</v>
      </c>
      <c r="D2519">
        <v>299</v>
      </c>
      <c r="E2519">
        <f>IF(
  ISNA(
    _xlfn.XLOOKUP(
      payments_raw[[#This Row],[subscription_id]],
      subscriptions[subscription_id],
      subscriptions[subscription_id]
    )
  ),
  0,
  1
)</f>
        <v>1</v>
      </c>
      <c r="F2519" s="1">
        <f>_xlfn.XLOOKUP(payments_raw[[#This Row],[subscription_id]], subscriptions[subscription_id], subscriptions[start_date])</f>
        <v>44925</v>
      </c>
      <c r="G25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19" s="2">
        <f>IF(payments_raw[[#This Row],[payment_date]] &lt; payments_raw[[#This Row],[sub_start_date]], 1, 0)</f>
        <v>0</v>
      </c>
      <c r="I2519" s="2">
        <f>IF(AND(payments_raw[[#This Row],[sub_end_date]]&lt;&gt;"", payments_raw[[#This Row],[payment_date]] &gt; payments_raw[[#This Row],[sub_end_date]]), 1, 0)</f>
        <v>0</v>
      </c>
      <c r="J2519" s="2">
        <f>IF(payments_raw[[#This Row],[amount]] &lt;= 0, 1, 0)</f>
        <v>0</v>
      </c>
      <c r="K25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0" spans="1:11" x14ac:dyDescent="0.3">
      <c r="A2520">
        <v>96662531</v>
      </c>
      <c r="B2520">
        <v>5856148</v>
      </c>
      <c r="C2520" s="1">
        <v>44875</v>
      </c>
      <c r="D2520">
        <v>149</v>
      </c>
      <c r="E2520">
        <f>IF(
  ISNA(
    _xlfn.XLOOKUP(
      payments_raw[[#This Row],[subscription_id]],
      subscriptions[subscription_id],
      subscriptions[subscription_id]
    )
  ),
  0,
  1
)</f>
        <v>1</v>
      </c>
      <c r="F2520" s="1">
        <f>_xlfn.XLOOKUP(payments_raw[[#This Row],[subscription_id]], subscriptions[subscription_id], subscriptions[start_date])</f>
        <v>44766</v>
      </c>
      <c r="G25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45048</v>
      </c>
      <c r="H2520" s="2">
        <f>IF(payments_raw[[#This Row],[payment_date]] &lt; payments_raw[[#This Row],[sub_start_date]], 1, 0)</f>
        <v>0</v>
      </c>
      <c r="I2520" s="2">
        <f>IF(AND(payments_raw[[#This Row],[sub_end_date]]&lt;&gt;"", payments_raw[[#This Row],[payment_date]] &gt; payments_raw[[#This Row],[sub_end_date]]), 1, 0)</f>
        <v>0</v>
      </c>
      <c r="J2520" s="2">
        <f>IF(payments_raw[[#This Row],[amount]] &lt;= 0, 1, 0)</f>
        <v>0</v>
      </c>
      <c r="K25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1" spans="1:11" x14ac:dyDescent="0.3">
      <c r="A2521">
        <v>23378659</v>
      </c>
      <c r="B2521">
        <v>1428411</v>
      </c>
      <c r="C2521" s="1">
        <v>44806</v>
      </c>
      <c r="D2521">
        <v>390</v>
      </c>
      <c r="E2521">
        <f>IF(
  ISNA(
    _xlfn.XLOOKUP(
      payments_raw[[#This Row],[subscription_id]],
      subscriptions[subscription_id],
      subscriptions[subscription_id]
    )
  ),
  0,
  1
)</f>
        <v>1</v>
      </c>
      <c r="F2521" s="1">
        <f>_xlfn.XLOOKUP(payments_raw[[#This Row],[subscription_id]], subscriptions[subscription_id], subscriptions[start_date])</f>
        <v>44779</v>
      </c>
      <c r="G25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2521" s="2">
        <f>IF(payments_raw[[#This Row],[payment_date]] &lt; payments_raw[[#This Row],[sub_start_date]], 1, 0)</f>
        <v>0</v>
      </c>
      <c r="I2521" s="2">
        <f>IF(AND(payments_raw[[#This Row],[sub_end_date]]&lt;&gt;"", payments_raw[[#This Row],[payment_date]] &gt; payments_raw[[#This Row],[sub_end_date]]), 1, 0)</f>
        <v>0</v>
      </c>
      <c r="J2521" s="2">
        <f>IF(payments_raw[[#This Row],[amount]] &lt;= 0, 1, 0)</f>
        <v>0</v>
      </c>
      <c r="K25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2" spans="1:11" x14ac:dyDescent="0.3">
      <c r="A2522">
        <v>93464229</v>
      </c>
      <c r="B2522">
        <v>1044808</v>
      </c>
      <c r="C2522" s="1">
        <v>45042</v>
      </c>
      <c r="D2522">
        <v>2242.5</v>
      </c>
      <c r="E2522">
        <f>IF(
  ISNA(
    _xlfn.XLOOKUP(
      payments_raw[[#This Row],[subscription_id]],
      subscriptions[subscription_id],
      subscriptions[subscription_id]
    )
  ),
  0,
  1
)</f>
        <v>1</v>
      </c>
      <c r="F2522" s="1">
        <f>_xlfn.XLOOKUP(payments_raw[[#This Row],[subscription_id]], subscriptions[subscription_id], subscriptions[start_date])</f>
        <v>45036</v>
      </c>
      <c r="G25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45112</v>
      </c>
      <c r="H2522" s="2">
        <f>IF(payments_raw[[#This Row],[payment_date]] &lt; payments_raw[[#This Row],[sub_start_date]], 1, 0)</f>
        <v>0</v>
      </c>
      <c r="I2522" s="2">
        <f>IF(AND(payments_raw[[#This Row],[sub_end_date]]&lt;&gt;"", payments_raw[[#This Row],[payment_date]] &gt; payments_raw[[#This Row],[sub_end_date]]), 1, 0)</f>
        <v>0</v>
      </c>
      <c r="J2522" s="2">
        <f>IF(payments_raw[[#This Row],[amount]] &lt;= 0, 1, 0)</f>
        <v>0</v>
      </c>
      <c r="K25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3" spans="1:11" x14ac:dyDescent="0.3">
      <c r="A2523">
        <v>61347932</v>
      </c>
      <c r="B2523">
        <v>2092722</v>
      </c>
      <c r="C2523" s="1">
        <v>45621</v>
      </c>
      <c r="D2523">
        <v>14.25</v>
      </c>
      <c r="E2523">
        <f>IF(
  ISNA(
    _xlfn.XLOOKUP(
      payments_raw[[#This Row],[subscription_id]],
      subscriptions[subscription_id],
      subscriptions[subscription_id]
    )
  ),
  0,
  1
)</f>
        <v>1</v>
      </c>
      <c r="F2523" s="1">
        <f>_xlfn.XLOOKUP(payments_raw[[#This Row],[subscription_id]], subscriptions[subscription_id], subscriptions[start_date])</f>
        <v>45401</v>
      </c>
      <c r="G25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23" s="2">
        <f>IF(payments_raw[[#This Row],[payment_date]] &lt; payments_raw[[#This Row],[sub_start_date]], 1, 0)</f>
        <v>0</v>
      </c>
      <c r="I2523" s="2">
        <f>IF(AND(payments_raw[[#This Row],[sub_end_date]]&lt;&gt;"", payments_raw[[#This Row],[payment_date]] &gt; payments_raw[[#This Row],[sub_end_date]]), 1, 0)</f>
        <v>0</v>
      </c>
      <c r="J2523" s="2">
        <f>IF(payments_raw[[#This Row],[amount]] &lt;= 0, 1, 0)</f>
        <v>0</v>
      </c>
      <c r="K25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4" spans="1:11" x14ac:dyDescent="0.3">
      <c r="A2524">
        <v>38871875</v>
      </c>
      <c r="B2524">
        <v>6082313</v>
      </c>
      <c r="C2524" s="1">
        <v>44947</v>
      </c>
      <c r="D2524">
        <v>79</v>
      </c>
      <c r="E2524">
        <f>IF(
  ISNA(
    _xlfn.XLOOKUP(
      payments_raw[[#This Row],[subscription_id]],
      subscriptions[subscription_id],
      subscriptions[subscription_id]
    )
  ),
  0,
  1
)</f>
        <v>1</v>
      </c>
      <c r="F2524" s="1">
        <f>_xlfn.XLOOKUP(payments_raw[[#This Row],[subscription_id]], subscriptions[subscription_id], subscriptions[start_date])</f>
        <v>44896</v>
      </c>
      <c r="G25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24" s="2">
        <f>IF(payments_raw[[#This Row],[payment_date]] &lt; payments_raw[[#This Row],[sub_start_date]], 1, 0)</f>
        <v>0</v>
      </c>
      <c r="I2524" s="2">
        <f>IF(AND(payments_raw[[#This Row],[sub_end_date]]&lt;&gt;"", payments_raw[[#This Row],[payment_date]] &gt; payments_raw[[#This Row],[sub_end_date]]), 1, 0)</f>
        <v>0</v>
      </c>
      <c r="J2524" s="2">
        <f>IF(payments_raw[[#This Row],[amount]] &lt;= 0, 1, 0)</f>
        <v>0</v>
      </c>
      <c r="K25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5" spans="1:11" x14ac:dyDescent="0.3">
      <c r="A2525">
        <v>30039953</v>
      </c>
      <c r="B2525">
        <v>7735054</v>
      </c>
      <c r="C2525" s="1">
        <v>45093</v>
      </c>
      <c r="D2525">
        <v>19</v>
      </c>
      <c r="E2525">
        <f>IF(
  ISNA(
    _xlfn.XLOOKUP(
      payments_raw[[#This Row],[subscription_id]],
      subscriptions[subscription_id],
      subscriptions[subscription_id]
    )
  ),
  0,
  1
)</f>
        <v>1</v>
      </c>
      <c r="F2525" s="1">
        <f>_xlfn.XLOOKUP(payments_raw[[#This Row],[subscription_id]], subscriptions[subscription_id], subscriptions[start_date])</f>
        <v>44814</v>
      </c>
      <c r="G25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2525" s="2">
        <f>IF(payments_raw[[#This Row],[payment_date]] &lt; payments_raw[[#This Row],[sub_start_date]], 1, 0)</f>
        <v>0</v>
      </c>
      <c r="I2525" s="2">
        <f>IF(AND(payments_raw[[#This Row],[sub_end_date]]&lt;&gt;"", payments_raw[[#This Row],[payment_date]] &gt; payments_raw[[#This Row],[sub_end_date]]), 1, 0)</f>
        <v>0</v>
      </c>
      <c r="J2525" s="2">
        <f>IF(payments_raw[[#This Row],[amount]] &lt;= 0, 1, 0)</f>
        <v>0</v>
      </c>
      <c r="K25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6" spans="1:11" x14ac:dyDescent="0.3">
      <c r="A2526">
        <v>97617026</v>
      </c>
      <c r="B2526">
        <v>6938019</v>
      </c>
      <c r="C2526" s="1">
        <v>45293</v>
      </c>
      <c r="D2526">
        <v>745</v>
      </c>
      <c r="E2526">
        <f>IF(
  ISNA(
    _xlfn.XLOOKUP(
      payments_raw[[#This Row],[subscription_id]],
      subscriptions[subscription_id],
      subscriptions[subscription_id]
    )
  ),
  0,
  1
)</f>
        <v>1</v>
      </c>
      <c r="F2526" s="1">
        <f>_xlfn.XLOOKUP(payments_raw[[#This Row],[subscription_id]], subscriptions[subscription_id], subscriptions[start_date])</f>
        <v>45207</v>
      </c>
      <c r="G25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26" s="2">
        <f>IF(payments_raw[[#This Row],[payment_date]] &lt; payments_raw[[#This Row],[sub_start_date]], 1, 0)</f>
        <v>0</v>
      </c>
      <c r="I2526" s="2">
        <f>IF(AND(payments_raw[[#This Row],[sub_end_date]]&lt;&gt;"", payments_raw[[#This Row],[payment_date]] &gt; payments_raw[[#This Row],[sub_end_date]]), 1, 0)</f>
        <v>0</v>
      </c>
      <c r="J2526" s="2">
        <f>IF(payments_raw[[#This Row],[amount]] &lt;= 0, 1, 0)</f>
        <v>0</v>
      </c>
      <c r="K25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7" spans="1:11" x14ac:dyDescent="0.3">
      <c r="A2527">
        <v>14717473</v>
      </c>
      <c r="B2527">
        <v>7341430</v>
      </c>
      <c r="C2527" s="1">
        <v>45559</v>
      </c>
      <c r="D2527">
        <v>390</v>
      </c>
      <c r="E2527">
        <f>IF(
  ISNA(
    _xlfn.XLOOKUP(
      payments_raw[[#This Row],[subscription_id]],
      subscriptions[subscription_id],
      subscriptions[subscription_id]
    )
  ),
  0,
  1
)</f>
        <v>1</v>
      </c>
      <c r="F2527" s="1">
        <f>_xlfn.XLOOKUP(payments_raw[[#This Row],[subscription_id]], subscriptions[subscription_id], subscriptions[start_date])</f>
        <v>45555</v>
      </c>
      <c r="G25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527" s="2">
        <f>IF(payments_raw[[#This Row],[payment_date]] &lt; payments_raw[[#This Row],[sub_start_date]], 1, 0)</f>
        <v>0</v>
      </c>
      <c r="I2527" s="2">
        <f>IF(AND(payments_raw[[#This Row],[sub_end_date]]&lt;&gt;"", payments_raw[[#This Row],[payment_date]] &gt; payments_raw[[#This Row],[sub_end_date]]), 1, 0)</f>
        <v>0</v>
      </c>
      <c r="J2527" s="2">
        <f>IF(payments_raw[[#This Row],[amount]] &lt;= 0, 1, 0)</f>
        <v>0</v>
      </c>
      <c r="K25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8" spans="1:11" x14ac:dyDescent="0.3">
      <c r="A2528">
        <v>41735204</v>
      </c>
      <c r="B2528">
        <v>1139836</v>
      </c>
      <c r="C2528" s="1">
        <v>45608</v>
      </c>
      <c r="D2528">
        <v>2990</v>
      </c>
      <c r="E2528">
        <f>IF(
  ISNA(
    _xlfn.XLOOKUP(
      payments_raw[[#This Row],[subscription_id]],
      subscriptions[subscription_id],
      subscriptions[subscription_id]
    )
  ),
  0,
  1
)</f>
        <v>1</v>
      </c>
      <c r="F2528" s="1">
        <f>_xlfn.XLOOKUP(payments_raw[[#This Row],[subscription_id]], subscriptions[subscription_id], subscriptions[start_date])</f>
        <v>45583</v>
      </c>
      <c r="G25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2528" s="2">
        <f>IF(payments_raw[[#This Row],[payment_date]] &lt; payments_raw[[#This Row],[sub_start_date]], 1, 0)</f>
        <v>0</v>
      </c>
      <c r="I2528" s="2">
        <f>IF(AND(payments_raw[[#This Row],[sub_end_date]]&lt;&gt;"", payments_raw[[#This Row],[payment_date]] &gt; payments_raw[[#This Row],[sub_end_date]]), 1, 0)</f>
        <v>0</v>
      </c>
      <c r="J2528" s="2">
        <f>IF(payments_raw[[#This Row],[amount]] &lt;= 0, 1, 0)</f>
        <v>0</v>
      </c>
      <c r="K25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29" spans="1:11" x14ac:dyDescent="0.3">
      <c r="A2529">
        <v>65580175</v>
      </c>
      <c r="B2529">
        <v>3825261</v>
      </c>
      <c r="C2529" s="1">
        <v>45586</v>
      </c>
      <c r="D2529">
        <v>14.25</v>
      </c>
      <c r="E2529">
        <f>IF(
  ISNA(
    _xlfn.XLOOKUP(
      payments_raw[[#This Row],[subscription_id]],
      subscriptions[subscription_id],
      subscriptions[subscription_id]
    )
  ),
  0,
  1
)</f>
        <v>1</v>
      </c>
      <c r="F2529" s="1">
        <f>_xlfn.XLOOKUP(payments_raw[[#This Row],[subscription_id]], subscriptions[subscription_id], subscriptions[start_date])</f>
        <v>45569</v>
      </c>
      <c r="G25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29" s="2">
        <f>IF(payments_raw[[#This Row],[payment_date]] &lt; payments_raw[[#This Row],[sub_start_date]], 1, 0)</f>
        <v>0</v>
      </c>
      <c r="I2529" s="2">
        <f>IF(AND(payments_raw[[#This Row],[sub_end_date]]&lt;&gt;"", payments_raw[[#This Row],[payment_date]] &gt; payments_raw[[#This Row],[sub_end_date]]), 1, 0)</f>
        <v>0</v>
      </c>
      <c r="J2529" s="2">
        <f>IF(payments_raw[[#This Row],[amount]] &lt;= 0, 1, 0)</f>
        <v>0</v>
      </c>
      <c r="K25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0" spans="1:11" x14ac:dyDescent="0.3">
      <c r="A2530">
        <v>36386383</v>
      </c>
      <c r="B2530">
        <v>7528651</v>
      </c>
      <c r="C2530" s="1">
        <v>45420</v>
      </c>
      <c r="D2530">
        <v>1490</v>
      </c>
      <c r="E2530">
        <f>IF(
  ISNA(
    _xlfn.XLOOKUP(
      payments_raw[[#This Row],[subscription_id]],
      subscriptions[subscription_id],
      subscriptions[subscription_id]
    )
  ),
  0,
  1
)</f>
        <v>1</v>
      </c>
      <c r="F2530" s="1">
        <f>_xlfn.XLOOKUP(payments_raw[[#This Row],[subscription_id]], subscriptions[subscription_id], subscriptions[start_date])</f>
        <v>44582</v>
      </c>
      <c r="G25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0" s="2">
        <f>IF(payments_raw[[#This Row],[payment_date]] &lt; payments_raw[[#This Row],[sub_start_date]], 1, 0)</f>
        <v>0</v>
      </c>
      <c r="I2530" s="2">
        <f>IF(AND(payments_raw[[#This Row],[sub_end_date]]&lt;&gt;"", payments_raw[[#This Row],[payment_date]] &gt; payments_raw[[#This Row],[sub_end_date]]), 1, 0)</f>
        <v>0</v>
      </c>
      <c r="J2530" s="2">
        <f>IF(payments_raw[[#This Row],[amount]] &lt;= 0, 1, 0)</f>
        <v>0</v>
      </c>
      <c r="K25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1" spans="1:11" x14ac:dyDescent="0.3">
      <c r="A2531">
        <v>88301601</v>
      </c>
      <c r="B2531">
        <v>2019943</v>
      </c>
      <c r="C2531" s="1">
        <v>44958</v>
      </c>
      <c r="D2531">
        <v>224.25</v>
      </c>
      <c r="E2531">
        <f>IF(
  ISNA(
    _xlfn.XLOOKUP(
      payments_raw[[#This Row],[subscription_id]],
      subscriptions[subscription_id],
      subscriptions[subscription_id]
    )
  ),
  0,
  1
)</f>
        <v>1</v>
      </c>
      <c r="F2531" s="1">
        <f>_xlfn.XLOOKUP(payments_raw[[#This Row],[subscription_id]], subscriptions[subscription_id], subscriptions[start_date])</f>
        <v>44951</v>
      </c>
      <c r="G25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45184</v>
      </c>
      <c r="H2531" s="2">
        <f>IF(payments_raw[[#This Row],[payment_date]] &lt; payments_raw[[#This Row],[sub_start_date]], 1, 0)</f>
        <v>0</v>
      </c>
      <c r="I2531" s="2">
        <f>IF(AND(payments_raw[[#This Row],[sub_end_date]]&lt;&gt;"", payments_raw[[#This Row],[payment_date]] &gt; payments_raw[[#This Row],[sub_end_date]]), 1, 0)</f>
        <v>0</v>
      </c>
      <c r="J2531" s="2">
        <f>IF(payments_raw[[#This Row],[amount]] &lt;= 0, 1, 0)</f>
        <v>0</v>
      </c>
      <c r="K25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2" spans="1:11" x14ac:dyDescent="0.3">
      <c r="A2532">
        <v>73860268</v>
      </c>
      <c r="B2532">
        <v>4041045</v>
      </c>
      <c r="C2532" s="1">
        <v>45465</v>
      </c>
      <c r="D2532">
        <v>149.5</v>
      </c>
      <c r="E2532">
        <f>IF(
  ISNA(
    _xlfn.XLOOKUP(
      payments_raw[[#This Row],[subscription_id]],
      subscriptions[subscription_id],
      subscriptions[subscription_id]
    )
  ),
  0,
  1
)</f>
        <v>1</v>
      </c>
      <c r="F2532" s="1">
        <f>_xlfn.XLOOKUP(payments_raw[[#This Row],[subscription_id]], subscriptions[subscription_id], subscriptions[start_date])</f>
        <v>45145</v>
      </c>
      <c r="G25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2" s="2">
        <f>IF(payments_raw[[#This Row],[payment_date]] &lt; payments_raw[[#This Row],[sub_start_date]], 1, 0)</f>
        <v>0</v>
      </c>
      <c r="I2532" s="2">
        <f>IF(AND(payments_raw[[#This Row],[sub_end_date]]&lt;&gt;"", payments_raw[[#This Row],[payment_date]] &gt; payments_raw[[#This Row],[sub_end_date]]), 1, 0)</f>
        <v>0</v>
      </c>
      <c r="J2532" s="2">
        <f>IF(payments_raw[[#This Row],[amount]] &lt;= 0, 1, 0)</f>
        <v>0</v>
      </c>
      <c r="K25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3" spans="1:11" x14ac:dyDescent="0.3">
      <c r="A2533">
        <v>76428759</v>
      </c>
      <c r="B2533">
        <v>1810137</v>
      </c>
      <c r="C2533" s="1">
        <v>45497</v>
      </c>
      <c r="D2533">
        <v>39</v>
      </c>
      <c r="E2533">
        <f>IF(
  ISNA(
    _xlfn.XLOOKUP(
      payments_raw[[#This Row],[subscription_id]],
      subscriptions[subscription_id],
      subscriptions[subscription_id]
    )
  ),
  0,
  1
)</f>
        <v>1</v>
      </c>
      <c r="F2533" s="1">
        <f>_xlfn.XLOOKUP(payments_raw[[#This Row],[subscription_id]], subscriptions[subscription_id], subscriptions[start_date])</f>
        <v>45435</v>
      </c>
      <c r="G25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3" s="2">
        <f>IF(payments_raw[[#This Row],[payment_date]] &lt; payments_raw[[#This Row],[sub_start_date]], 1, 0)</f>
        <v>0</v>
      </c>
      <c r="I2533" s="2">
        <f>IF(AND(payments_raw[[#This Row],[sub_end_date]]&lt;&gt;"", payments_raw[[#This Row],[payment_date]] &gt; payments_raw[[#This Row],[sub_end_date]]), 1, 0)</f>
        <v>0</v>
      </c>
      <c r="J2533" s="2">
        <f>IF(payments_raw[[#This Row],[amount]] &lt;= 0, 1, 0)</f>
        <v>0</v>
      </c>
      <c r="K25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4" spans="1:11" x14ac:dyDescent="0.3">
      <c r="A2534">
        <v>85576096</v>
      </c>
      <c r="B2534">
        <v>4225237</v>
      </c>
      <c r="C2534" s="1">
        <v>45653</v>
      </c>
      <c r="D2534">
        <v>111.75</v>
      </c>
      <c r="E2534">
        <f>IF(
  ISNA(
    _xlfn.XLOOKUP(
      payments_raw[[#This Row],[subscription_id]],
      subscriptions[subscription_id],
      subscriptions[subscription_id]
    )
  ),
  0,
  1
)</f>
        <v>1</v>
      </c>
      <c r="F2534" s="1">
        <f>_xlfn.XLOOKUP(payments_raw[[#This Row],[subscription_id]], subscriptions[subscription_id], subscriptions[start_date])</f>
        <v>45406</v>
      </c>
      <c r="G25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4" s="2">
        <f>IF(payments_raw[[#This Row],[payment_date]] &lt; payments_raw[[#This Row],[sub_start_date]], 1, 0)</f>
        <v>0</v>
      </c>
      <c r="I2534" s="2">
        <f>IF(AND(payments_raw[[#This Row],[sub_end_date]]&lt;&gt;"", payments_raw[[#This Row],[payment_date]] &gt; payments_raw[[#This Row],[sub_end_date]]), 1, 0)</f>
        <v>0</v>
      </c>
      <c r="J2534" s="2">
        <f>IF(payments_raw[[#This Row],[amount]] &lt;= 0, 1, 0)</f>
        <v>0</v>
      </c>
      <c r="K25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5" spans="1:11" x14ac:dyDescent="0.3">
      <c r="A2535">
        <v>39016246</v>
      </c>
      <c r="B2535">
        <v>1351266</v>
      </c>
      <c r="C2535" s="1">
        <v>45524</v>
      </c>
      <c r="D2535">
        <v>2990</v>
      </c>
      <c r="E2535">
        <f>IF(
  ISNA(
    _xlfn.XLOOKUP(
      payments_raw[[#This Row],[subscription_id]],
      subscriptions[subscription_id],
      subscriptions[subscription_id]
    )
  ),
  0,
  1
)</f>
        <v>1</v>
      </c>
      <c r="F2535" s="1">
        <f>_xlfn.XLOOKUP(payments_raw[[#This Row],[subscription_id]], subscriptions[subscription_id], subscriptions[start_date])</f>
        <v>45446</v>
      </c>
      <c r="G25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45549</v>
      </c>
      <c r="H2535" s="2">
        <f>IF(payments_raw[[#This Row],[payment_date]] &lt; payments_raw[[#This Row],[sub_start_date]], 1, 0)</f>
        <v>0</v>
      </c>
      <c r="I2535" s="2">
        <f>IF(AND(payments_raw[[#This Row],[sub_end_date]]&lt;&gt;"", payments_raw[[#This Row],[payment_date]] &gt; payments_raw[[#This Row],[sub_end_date]]), 1, 0)</f>
        <v>0</v>
      </c>
      <c r="J2535" s="2">
        <f>IF(payments_raw[[#This Row],[amount]] &lt;= 0, 1, 0)</f>
        <v>0</v>
      </c>
      <c r="K25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6" spans="1:11" x14ac:dyDescent="0.3">
      <c r="A2536">
        <v>35435139</v>
      </c>
      <c r="B2536">
        <v>6983579</v>
      </c>
      <c r="C2536" s="1">
        <v>45157</v>
      </c>
      <c r="D2536">
        <v>19</v>
      </c>
      <c r="E2536">
        <f>IF(
  ISNA(
    _xlfn.XLOOKUP(
      payments_raw[[#This Row],[subscription_id]],
      subscriptions[subscription_id],
      subscriptions[subscription_id]
    )
  ),
  0,
  1
)</f>
        <v>1</v>
      </c>
      <c r="F2536" s="1">
        <f>_xlfn.XLOOKUP(payments_raw[[#This Row],[subscription_id]], subscriptions[subscription_id], subscriptions[start_date])</f>
        <v>45140</v>
      </c>
      <c r="G25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45426</v>
      </c>
      <c r="H2536" s="2">
        <f>IF(payments_raw[[#This Row],[payment_date]] &lt; payments_raw[[#This Row],[sub_start_date]], 1, 0)</f>
        <v>0</v>
      </c>
      <c r="I2536" s="2">
        <f>IF(AND(payments_raw[[#This Row],[sub_end_date]]&lt;&gt;"", payments_raw[[#This Row],[payment_date]] &gt; payments_raw[[#This Row],[sub_end_date]]), 1, 0)</f>
        <v>0</v>
      </c>
      <c r="J2536" s="2">
        <f>IF(payments_raw[[#This Row],[amount]] &lt;= 0, 1, 0)</f>
        <v>0</v>
      </c>
      <c r="K25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7" spans="1:11" x14ac:dyDescent="0.3">
      <c r="A2537">
        <v>33040510</v>
      </c>
      <c r="B2537">
        <v>3457722</v>
      </c>
      <c r="C2537" s="1">
        <v>45019</v>
      </c>
      <c r="D2537">
        <v>74.5</v>
      </c>
      <c r="E2537">
        <f>IF(
  ISNA(
    _xlfn.XLOOKUP(
      payments_raw[[#This Row],[subscription_id]],
      subscriptions[subscription_id],
      subscriptions[subscription_id]
    )
  ),
  0,
  1
)</f>
        <v>1</v>
      </c>
      <c r="F2537" s="1">
        <f>_xlfn.XLOOKUP(payments_raw[[#This Row],[subscription_id]], subscriptions[subscription_id], subscriptions[start_date])</f>
        <v>44855</v>
      </c>
      <c r="G25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7" s="2">
        <f>IF(payments_raw[[#This Row],[payment_date]] &lt; payments_raw[[#This Row],[sub_start_date]], 1, 0)</f>
        <v>0</v>
      </c>
      <c r="I2537" s="2">
        <f>IF(AND(payments_raw[[#This Row],[sub_end_date]]&lt;&gt;"", payments_raw[[#This Row],[payment_date]] &gt; payments_raw[[#This Row],[sub_end_date]]), 1, 0)</f>
        <v>0</v>
      </c>
      <c r="J2537" s="2">
        <f>IF(payments_raw[[#This Row],[amount]] &lt;= 0, 1, 0)</f>
        <v>0</v>
      </c>
      <c r="K25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8" spans="1:11" x14ac:dyDescent="0.3">
      <c r="A2538">
        <v>82549495</v>
      </c>
      <c r="B2538">
        <v>9901791</v>
      </c>
      <c r="C2538" s="1">
        <v>44682</v>
      </c>
      <c r="D2538">
        <v>299</v>
      </c>
      <c r="E2538">
        <f>IF(
  ISNA(
    _xlfn.XLOOKUP(
      payments_raw[[#This Row],[subscription_id]],
      subscriptions[subscription_id],
      subscriptions[subscription_id]
    )
  ),
  0,
  1
)</f>
        <v>1</v>
      </c>
      <c r="F2538" s="1">
        <f>_xlfn.XLOOKUP(payments_raw[[#This Row],[subscription_id]], subscriptions[subscription_id], subscriptions[start_date])</f>
        <v>44634</v>
      </c>
      <c r="G2538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44697</v>
      </c>
      <c r="H2538" s="2">
        <f>IF(payments_raw[[#This Row],[payment_date]] &lt; payments_raw[[#This Row],[sub_start_date]], 1, 0)</f>
        <v>0</v>
      </c>
      <c r="I2538" s="2">
        <f>IF(AND(payments_raw[[#This Row],[sub_end_date]]&lt;&gt;"", payments_raw[[#This Row],[payment_date]] &gt; payments_raw[[#This Row],[sub_end_date]]), 1, 0)</f>
        <v>0</v>
      </c>
      <c r="J2538" s="2">
        <f>IF(payments_raw[[#This Row],[amount]] &lt;= 0, 1, 0)</f>
        <v>0</v>
      </c>
      <c r="K25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39" spans="1:11" x14ac:dyDescent="0.3">
      <c r="A2539">
        <v>78359248</v>
      </c>
      <c r="B2539">
        <v>9777333</v>
      </c>
      <c r="C2539" s="1">
        <v>45490</v>
      </c>
      <c r="D2539">
        <v>299</v>
      </c>
      <c r="E2539">
        <f>IF(
  ISNA(
    _xlfn.XLOOKUP(
      payments_raw[[#This Row],[subscription_id]],
      subscriptions[subscription_id],
      subscriptions[subscription_id]
    )
  ),
  0,
  1
)</f>
        <v>1</v>
      </c>
      <c r="F2539" s="1">
        <f>_xlfn.XLOOKUP(payments_raw[[#This Row],[subscription_id]], subscriptions[subscription_id], subscriptions[start_date])</f>
        <v>45249</v>
      </c>
      <c r="G25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39" s="2">
        <f>IF(payments_raw[[#This Row],[payment_date]] &lt; payments_raw[[#This Row],[sub_start_date]], 1, 0)</f>
        <v>0</v>
      </c>
      <c r="I2539" s="2">
        <f>IF(AND(payments_raw[[#This Row],[sub_end_date]]&lt;&gt;"", payments_raw[[#This Row],[payment_date]] &gt; payments_raw[[#This Row],[sub_end_date]]), 1, 0)</f>
        <v>0</v>
      </c>
      <c r="J2539" s="2">
        <f>IF(payments_raw[[#This Row],[amount]] &lt;= 0, 1, 0)</f>
        <v>0</v>
      </c>
      <c r="K25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0" spans="1:11" x14ac:dyDescent="0.3">
      <c r="A2540">
        <v>97924151</v>
      </c>
      <c r="B2540">
        <v>7320122</v>
      </c>
      <c r="C2540" s="1">
        <v>44781</v>
      </c>
      <c r="D2540">
        <v>299</v>
      </c>
      <c r="E2540">
        <f>IF(
  ISNA(
    _xlfn.XLOOKUP(
      payments_raw[[#This Row],[subscription_id]],
      subscriptions[subscription_id],
      subscriptions[subscription_id]
    )
  ),
  0,
  1
)</f>
        <v>1</v>
      </c>
      <c r="F2540" s="1">
        <f>_xlfn.XLOOKUP(payments_raw[[#This Row],[subscription_id]], subscriptions[subscription_id], subscriptions[start_date])</f>
        <v>44682</v>
      </c>
      <c r="G254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44882</v>
      </c>
      <c r="H2540" s="2">
        <f>IF(payments_raw[[#This Row],[payment_date]] &lt; payments_raw[[#This Row],[sub_start_date]], 1, 0)</f>
        <v>0</v>
      </c>
      <c r="I2540" s="2">
        <f>IF(AND(payments_raw[[#This Row],[sub_end_date]]&lt;&gt;"", payments_raw[[#This Row],[payment_date]] &gt; payments_raw[[#This Row],[sub_end_date]]), 1, 0)</f>
        <v>0</v>
      </c>
      <c r="J2540" s="2">
        <f>IF(payments_raw[[#This Row],[amount]] &lt;= 0, 1, 0)</f>
        <v>0</v>
      </c>
      <c r="K25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1" spans="1:11" x14ac:dyDescent="0.3">
      <c r="A2541">
        <v>34915893</v>
      </c>
      <c r="B2541">
        <v>9066089</v>
      </c>
      <c r="C2541" s="1">
        <v>45567</v>
      </c>
      <c r="D2541">
        <v>224.25</v>
      </c>
      <c r="E2541">
        <f>IF(
  ISNA(
    _xlfn.XLOOKUP(
      payments_raw[[#This Row],[subscription_id]],
      subscriptions[subscription_id],
      subscriptions[subscription_id]
    )
  ),
  0,
  1
)</f>
        <v>1</v>
      </c>
      <c r="F2541" s="1">
        <f>_xlfn.XLOOKUP(payments_raw[[#This Row],[subscription_id]], subscriptions[subscription_id], subscriptions[start_date])</f>
        <v>45552</v>
      </c>
      <c r="G25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2541" s="2">
        <f>IF(payments_raw[[#This Row],[payment_date]] &lt; payments_raw[[#This Row],[sub_start_date]], 1, 0)</f>
        <v>0</v>
      </c>
      <c r="I2541" s="2">
        <f>IF(AND(payments_raw[[#This Row],[sub_end_date]]&lt;&gt;"", payments_raw[[#This Row],[payment_date]] &gt; payments_raw[[#This Row],[sub_end_date]]), 1, 0)</f>
        <v>0</v>
      </c>
      <c r="J2541" s="2">
        <f>IF(payments_raw[[#This Row],[amount]] &lt;= 0, 1, 0)</f>
        <v>0</v>
      </c>
      <c r="K25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2" spans="1:11" x14ac:dyDescent="0.3">
      <c r="A2542">
        <v>52441437</v>
      </c>
      <c r="B2542">
        <v>2643275</v>
      </c>
      <c r="C2542" s="1">
        <v>45405</v>
      </c>
      <c r="D2542">
        <v>149</v>
      </c>
      <c r="E2542">
        <f>IF(
  ISNA(
    _xlfn.XLOOKUP(
      payments_raw[[#This Row],[subscription_id]],
      subscriptions[subscription_id],
      subscriptions[subscription_id]
    )
  ),
  0,
  1
)</f>
        <v>1</v>
      </c>
      <c r="F2542" s="1">
        <f>_xlfn.XLOOKUP(payments_raw[[#This Row],[subscription_id]], subscriptions[subscription_id], subscriptions[start_date])</f>
        <v>45334</v>
      </c>
      <c r="G25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2542" s="2">
        <f>IF(payments_raw[[#This Row],[payment_date]] &lt; payments_raw[[#This Row],[sub_start_date]], 1, 0)</f>
        <v>0</v>
      </c>
      <c r="I2542" s="2">
        <f>IF(AND(payments_raw[[#This Row],[sub_end_date]]&lt;&gt;"", payments_raw[[#This Row],[payment_date]] &gt; payments_raw[[#This Row],[sub_end_date]]), 1, 0)</f>
        <v>0</v>
      </c>
      <c r="J2542" s="2">
        <f>IF(payments_raw[[#This Row],[amount]] &lt;= 0, 1, 0)</f>
        <v>0</v>
      </c>
      <c r="K25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3" spans="1:11" x14ac:dyDescent="0.3">
      <c r="A2543">
        <v>25015562</v>
      </c>
      <c r="B2543">
        <v>2742939</v>
      </c>
      <c r="C2543" s="1">
        <v>45147</v>
      </c>
      <c r="D2543">
        <v>149</v>
      </c>
      <c r="E2543">
        <f>IF(
  ISNA(
    _xlfn.XLOOKUP(
      payments_raw[[#This Row],[subscription_id]],
      subscriptions[subscription_id],
      subscriptions[subscription_id]
    )
  ),
  0,
  1
)</f>
        <v>1</v>
      </c>
      <c r="F2543" s="1">
        <f>_xlfn.XLOOKUP(payments_raw[[#This Row],[subscription_id]], subscriptions[subscription_id], subscriptions[start_date])</f>
        <v>44640</v>
      </c>
      <c r="G25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43" s="2">
        <f>IF(payments_raw[[#This Row],[payment_date]] &lt; payments_raw[[#This Row],[sub_start_date]], 1, 0)</f>
        <v>0</v>
      </c>
      <c r="I2543" s="2">
        <f>IF(AND(payments_raw[[#This Row],[sub_end_date]]&lt;&gt;"", payments_raw[[#This Row],[payment_date]] &gt; payments_raw[[#This Row],[sub_end_date]]), 1, 0)</f>
        <v>0</v>
      </c>
      <c r="J2543" s="2">
        <f>IF(payments_raw[[#This Row],[amount]] &lt;= 0, 1, 0)</f>
        <v>0</v>
      </c>
      <c r="K25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4" spans="1:11" x14ac:dyDescent="0.3">
      <c r="A2544">
        <v>32439039</v>
      </c>
      <c r="B2544">
        <v>7012107</v>
      </c>
      <c r="C2544" s="1">
        <v>44815</v>
      </c>
      <c r="D2544">
        <v>39</v>
      </c>
      <c r="E2544">
        <f>IF(
  ISNA(
    _xlfn.XLOOKUP(
      payments_raw[[#This Row],[subscription_id]],
      subscriptions[subscription_id],
      subscriptions[subscription_id]
    )
  ),
  0,
  1
)</f>
        <v>1</v>
      </c>
      <c r="F2544" s="1">
        <f>_xlfn.XLOOKUP(payments_raw[[#This Row],[subscription_id]], subscriptions[subscription_id], subscriptions[start_date])</f>
        <v>44807</v>
      </c>
      <c r="G254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2544" s="2">
        <f>IF(payments_raw[[#This Row],[payment_date]] &lt; payments_raw[[#This Row],[sub_start_date]], 1, 0)</f>
        <v>0</v>
      </c>
      <c r="I2544" s="2">
        <f>IF(AND(payments_raw[[#This Row],[sub_end_date]]&lt;&gt;"", payments_raw[[#This Row],[payment_date]] &gt; payments_raw[[#This Row],[sub_end_date]]), 1, 0)</f>
        <v>0</v>
      </c>
      <c r="J2544" s="2">
        <f>IF(payments_raw[[#This Row],[amount]] &lt;= 0, 1, 0)</f>
        <v>0</v>
      </c>
      <c r="K25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5" spans="1:11" x14ac:dyDescent="0.3">
      <c r="A2545">
        <v>10844050</v>
      </c>
      <c r="B2545">
        <v>2003047</v>
      </c>
      <c r="C2545" s="1">
        <v>45190</v>
      </c>
      <c r="D2545">
        <v>390</v>
      </c>
      <c r="E2545">
        <f>IF(
  ISNA(
    _xlfn.XLOOKUP(
      payments_raw[[#This Row],[subscription_id]],
      subscriptions[subscription_id],
      subscriptions[subscription_id]
    )
  ),
  0,
  1
)</f>
        <v>1</v>
      </c>
      <c r="F2545" s="1">
        <f>_xlfn.XLOOKUP(payments_raw[[#This Row],[subscription_id]], subscriptions[subscription_id], subscriptions[start_date])</f>
        <v>45161</v>
      </c>
      <c r="G25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2545" s="2">
        <f>IF(payments_raw[[#This Row],[payment_date]] &lt; payments_raw[[#This Row],[sub_start_date]], 1, 0)</f>
        <v>0</v>
      </c>
      <c r="I2545" s="2">
        <f>IF(AND(payments_raw[[#This Row],[sub_end_date]]&lt;&gt;"", payments_raw[[#This Row],[payment_date]] &gt; payments_raw[[#This Row],[sub_end_date]]), 1, 0)</f>
        <v>0</v>
      </c>
      <c r="J2545" s="2">
        <f>IF(payments_raw[[#This Row],[amount]] &lt;= 0, 1, 0)</f>
        <v>0</v>
      </c>
      <c r="K25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6" spans="1:11" x14ac:dyDescent="0.3">
      <c r="A2546">
        <v>42867023</v>
      </c>
      <c r="B2546">
        <v>2929715</v>
      </c>
      <c r="C2546" s="1">
        <v>45205</v>
      </c>
      <c r="D2546">
        <v>19.5</v>
      </c>
      <c r="E2546">
        <f>IF(
  ISNA(
    _xlfn.XLOOKUP(
      payments_raw[[#This Row],[subscription_id]],
      subscriptions[subscription_id],
      subscriptions[subscription_id]
    )
  ),
  0,
  1
)</f>
        <v>1</v>
      </c>
      <c r="F2546" s="1">
        <f>_xlfn.XLOOKUP(payments_raw[[#This Row],[subscription_id]], subscriptions[subscription_id], subscriptions[start_date])</f>
        <v>45101</v>
      </c>
      <c r="G25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2546" s="2">
        <f>IF(payments_raw[[#This Row],[payment_date]] &lt; payments_raw[[#This Row],[sub_start_date]], 1, 0)</f>
        <v>0</v>
      </c>
      <c r="I2546" s="2">
        <f>IF(AND(payments_raw[[#This Row],[sub_end_date]]&lt;&gt;"", payments_raw[[#This Row],[payment_date]] &gt; payments_raw[[#This Row],[sub_end_date]]), 1, 0)</f>
        <v>0</v>
      </c>
      <c r="J2546" s="2">
        <f>IF(payments_raw[[#This Row],[amount]] &lt;= 0, 1, 0)</f>
        <v>0</v>
      </c>
      <c r="K25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7" spans="1:11" x14ac:dyDescent="0.3">
      <c r="A2547">
        <v>40277222</v>
      </c>
      <c r="B2547">
        <v>8135314</v>
      </c>
      <c r="C2547" s="1">
        <v>45386</v>
      </c>
      <c r="D2547">
        <v>19</v>
      </c>
      <c r="E2547">
        <f>IF(
  ISNA(
    _xlfn.XLOOKUP(
      payments_raw[[#This Row],[subscription_id]],
      subscriptions[subscription_id],
      subscriptions[subscription_id]
    )
  ),
  0,
  1
)</f>
        <v>1</v>
      </c>
      <c r="F2547" s="1">
        <f>_xlfn.XLOOKUP(payments_raw[[#This Row],[subscription_id]], subscriptions[subscription_id], subscriptions[start_date])</f>
        <v>45367</v>
      </c>
      <c r="G25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45399</v>
      </c>
      <c r="H2547" s="2">
        <f>IF(payments_raw[[#This Row],[payment_date]] &lt; payments_raw[[#This Row],[sub_start_date]], 1, 0)</f>
        <v>0</v>
      </c>
      <c r="I2547" s="2">
        <f>IF(AND(payments_raw[[#This Row],[sub_end_date]]&lt;&gt;"", payments_raw[[#This Row],[payment_date]] &gt; payments_raw[[#This Row],[sub_end_date]]), 1, 0)</f>
        <v>0</v>
      </c>
      <c r="J2547" s="2">
        <f>IF(payments_raw[[#This Row],[amount]] &lt;= 0, 1, 0)</f>
        <v>0</v>
      </c>
      <c r="K25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8" spans="1:11" x14ac:dyDescent="0.3">
      <c r="A2548">
        <v>27682464</v>
      </c>
      <c r="B2548">
        <v>2772324</v>
      </c>
      <c r="C2548" s="1">
        <v>45306</v>
      </c>
      <c r="D2548">
        <v>2990</v>
      </c>
      <c r="E2548">
        <f>IF(
  ISNA(
    _xlfn.XLOOKUP(
      payments_raw[[#This Row],[subscription_id]],
      subscriptions[subscription_id],
      subscriptions[subscription_id]
    )
  ),
  0,
  1
)</f>
        <v>1</v>
      </c>
      <c r="F2548" s="1">
        <f>_xlfn.XLOOKUP(payments_raw[[#This Row],[subscription_id]], subscriptions[subscription_id], subscriptions[start_date])</f>
        <v>45212</v>
      </c>
      <c r="G25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48" s="2">
        <f>IF(payments_raw[[#This Row],[payment_date]] &lt; payments_raw[[#This Row],[sub_start_date]], 1, 0)</f>
        <v>0</v>
      </c>
      <c r="I2548" s="2">
        <f>IF(AND(payments_raw[[#This Row],[sub_end_date]]&lt;&gt;"", payments_raw[[#This Row],[payment_date]] &gt; payments_raw[[#This Row],[sub_end_date]]), 1, 0)</f>
        <v>0</v>
      </c>
      <c r="J2548" s="2">
        <f>IF(payments_raw[[#This Row],[amount]] &lt;= 0, 1, 0)</f>
        <v>0</v>
      </c>
      <c r="K25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49" spans="1:11" x14ac:dyDescent="0.3">
      <c r="A2549">
        <v>22461172</v>
      </c>
      <c r="B2549">
        <v>7777424</v>
      </c>
      <c r="C2549" s="1">
        <v>45616</v>
      </c>
      <c r="D2549">
        <v>190</v>
      </c>
      <c r="E2549">
        <f>IF(
  ISNA(
    _xlfn.XLOOKUP(
      payments_raw[[#This Row],[subscription_id]],
      subscriptions[subscription_id],
      subscriptions[subscription_id]
    )
  ),
  0,
  1
)</f>
        <v>1</v>
      </c>
      <c r="F2549" s="1">
        <f>_xlfn.XLOOKUP(payments_raw[[#This Row],[subscription_id]], subscriptions[subscription_id], subscriptions[start_date])</f>
        <v>45575</v>
      </c>
      <c r="G25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45631</v>
      </c>
      <c r="H2549" s="2">
        <f>IF(payments_raw[[#This Row],[payment_date]] &lt; payments_raw[[#This Row],[sub_start_date]], 1, 0)</f>
        <v>0</v>
      </c>
      <c r="I2549" s="2">
        <f>IF(AND(payments_raw[[#This Row],[sub_end_date]]&lt;&gt;"", payments_raw[[#This Row],[payment_date]] &gt; payments_raw[[#This Row],[sub_end_date]]), 1, 0)</f>
        <v>0</v>
      </c>
      <c r="J2549" s="2">
        <f>IF(payments_raw[[#This Row],[amount]] &lt;= 0, 1, 0)</f>
        <v>0</v>
      </c>
      <c r="K25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0" spans="1:11" x14ac:dyDescent="0.3">
      <c r="A2550">
        <v>29336846</v>
      </c>
      <c r="B2550">
        <v>6261082</v>
      </c>
      <c r="C2550" s="1">
        <v>45528</v>
      </c>
      <c r="D2550">
        <v>790</v>
      </c>
      <c r="E2550">
        <f>IF(
  ISNA(
    _xlfn.XLOOKUP(
      payments_raw[[#This Row],[subscription_id]],
      subscriptions[subscription_id],
      subscriptions[subscription_id]
    )
  ),
  0,
  1
)</f>
        <v>1</v>
      </c>
      <c r="F2550" s="1">
        <f>_xlfn.XLOOKUP(payments_raw[[#This Row],[subscription_id]], subscriptions[subscription_id], subscriptions[start_date])</f>
        <v>45485</v>
      </c>
      <c r="G25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550" s="2">
        <f>IF(payments_raw[[#This Row],[payment_date]] &lt; payments_raw[[#This Row],[sub_start_date]], 1, 0)</f>
        <v>0</v>
      </c>
      <c r="I2550" s="2">
        <f>IF(AND(payments_raw[[#This Row],[sub_end_date]]&lt;&gt;"", payments_raw[[#This Row],[payment_date]] &gt; payments_raw[[#This Row],[sub_end_date]]), 1, 0)</f>
        <v>0</v>
      </c>
      <c r="J2550" s="2">
        <f>IF(payments_raw[[#This Row],[amount]] &lt;= 0, 1, 0)</f>
        <v>0</v>
      </c>
      <c r="K25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1" spans="1:11" x14ac:dyDescent="0.3">
      <c r="A2551">
        <v>88881524</v>
      </c>
      <c r="B2551">
        <v>9341509</v>
      </c>
      <c r="C2551" s="1">
        <v>45012</v>
      </c>
      <c r="D2551">
        <v>299</v>
      </c>
      <c r="E2551">
        <f>IF(
  ISNA(
    _xlfn.XLOOKUP(
      payments_raw[[#This Row],[subscription_id]],
      subscriptions[subscription_id],
      subscriptions[subscription_id]
    )
  ),
  0,
  1
)</f>
        <v>1</v>
      </c>
      <c r="F2551" s="1">
        <f>_xlfn.XLOOKUP(payments_raw[[#This Row],[subscription_id]], subscriptions[subscription_id], subscriptions[start_date])</f>
        <v>44943</v>
      </c>
      <c r="G25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45076</v>
      </c>
      <c r="H2551" s="2">
        <f>IF(payments_raw[[#This Row],[payment_date]] &lt; payments_raw[[#This Row],[sub_start_date]], 1, 0)</f>
        <v>0</v>
      </c>
      <c r="I2551" s="2">
        <f>IF(AND(payments_raw[[#This Row],[sub_end_date]]&lt;&gt;"", payments_raw[[#This Row],[payment_date]] &gt; payments_raw[[#This Row],[sub_end_date]]), 1, 0)</f>
        <v>0</v>
      </c>
      <c r="J2551" s="2">
        <f>IF(payments_raw[[#This Row],[amount]] &lt;= 0, 1, 0)</f>
        <v>0</v>
      </c>
      <c r="K25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2" spans="1:11" x14ac:dyDescent="0.3">
      <c r="A2552">
        <v>29047652</v>
      </c>
      <c r="B2552">
        <v>3138306</v>
      </c>
      <c r="C2552" s="1">
        <v>45389</v>
      </c>
      <c r="D2552">
        <v>149</v>
      </c>
      <c r="E2552">
        <f>IF(
  ISNA(
    _xlfn.XLOOKUP(
      payments_raw[[#This Row],[subscription_id]],
      subscriptions[subscription_id],
      subscriptions[subscription_id]
    )
  ),
  0,
  1
)</f>
        <v>1</v>
      </c>
      <c r="F2552" s="1">
        <f>_xlfn.XLOOKUP(payments_raw[[#This Row],[subscription_id]], subscriptions[subscription_id], subscriptions[start_date])</f>
        <v>45385</v>
      </c>
      <c r="G25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2552" s="2">
        <f>IF(payments_raw[[#This Row],[payment_date]] &lt; payments_raw[[#This Row],[sub_start_date]], 1, 0)</f>
        <v>0</v>
      </c>
      <c r="I2552" s="2">
        <f>IF(AND(payments_raw[[#This Row],[sub_end_date]]&lt;&gt;"", payments_raw[[#This Row],[payment_date]] &gt; payments_raw[[#This Row],[sub_end_date]]), 1, 0)</f>
        <v>0</v>
      </c>
      <c r="J2552" s="2">
        <f>IF(payments_raw[[#This Row],[amount]] &lt;= 0, 1, 0)</f>
        <v>0</v>
      </c>
      <c r="K25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3" spans="1:11" x14ac:dyDescent="0.3">
      <c r="A2553">
        <v>50948608</v>
      </c>
      <c r="B2553">
        <v>2300646</v>
      </c>
      <c r="C2553" s="1">
        <v>45571</v>
      </c>
      <c r="D2553">
        <v>2990</v>
      </c>
      <c r="E2553">
        <f>IF(
  ISNA(
    _xlfn.XLOOKUP(
      payments_raw[[#This Row],[subscription_id]],
      subscriptions[subscription_id],
      subscriptions[subscription_id]
    )
  ),
  0,
  1
)</f>
        <v>1</v>
      </c>
      <c r="F2553" s="1">
        <f>_xlfn.XLOOKUP(payments_raw[[#This Row],[subscription_id]], subscriptions[subscription_id], subscriptions[start_date])</f>
        <v>45115</v>
      </c>
      <c r="G25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53" s="2">
        <f>IF(payments_raw[[#This Row],[payment_date]] &lt; payments_raw[[#This Row],[sub_start_date]], 1, 0)</f>
        <v>0</v>
      </c>
      <c r="I2553" s="2">
        <f>IF(AND(payments_raw[[#This Row],[sub_end_date]]&lt;&gt;"", payments_raw[[#This Row],[payment_date]] &gt; payments_raw[[#This Row],[sub_end_date]]), 1, 0)</f>
        <v>0</v>
      </c>
      <c r="J2553" s="2">
        <f>IF(payments_raw[[#This Row],[amount]] &lt;= 0, 1, 0)</f>
        <v>0</v>
      </c>
      <c r="K25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4" spans="1:11" x14ac:dyDescent="0.3">
      <c r="A2554">
        <v>73680989</v>
      </c>
      <c r="B2554">
        <v>1715977</v>
      </c>
      <c r="C2554" s="1">
        <v>44724</v>
      </c>
      <c r="D2554">
        <v>19</v>
      </c>
      <c r="E2554">
        <f>IF(
  ISNA(
    _xlfn.XLOOKUP(
      payments_raw[[#This Row],[subscription_id]],
      subscriptions[subscription_id],
      subscriptions[subscription_id]
    )
  ),
  0,
  1
)</f>
        <v>1</v>
      </c>
      <c r="F2554" s="1">
        <f>_xlfn.XLOOKUP(payments_raw[[#This Row],[subscription_id]], subscriptions[subscription_id], subscriptions[start_date])</f>
        <v>44678</v>
      </c>
      <c r="G2554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44833</v>
      </c>
      <c r="H2554" s="2">
        <f>IF(payments_raw[[#This Row],[payment_date]] &lt; payments_raw[[#This Row],[sub_start_date]], 1, 0)</f>
        <v>0</v>
      </c>
      <c r="I2554" s="2">
        <f>IF(AND(payments_raw[[#This Row],[sub_end_date]]&lt;&gt;"", payments_raw[[#This Row],[payment_date]] &gt; payments_raw[[#This Row],[sub_end_date]]), 1, 0)</f>
        <v>0</v>
      </c>
      <c r="J2554" s="2">
        <f>IF(payments_raw[[#This Row],[amount]] &lt;= 0, 1, 0)</f>
        <v>0</v>
      </c>
      <c r="K25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5" spans="1:11" x14ac:dyDescent="0.3">
      <c r="A2555">
        <v>13033850</v>
      </c>
      <c r="B2555">
        <v>3636248</v>
      </c>
      <c r="C2555" s="1">
        <v>45334</v>
      </c>
      <c r="D2555">
        <v>299</v>
      </c>
      <c r="E2555">
        <f>IF(
  ISNA(
    _xlfn.XLOOKUP(
      payments_raw[[#This Row],[subscription_id]],
      subscriptions[subscription_id],
      subscriptions[subscription_id]
    )
  ),
  0,
  1
)</f>
        <v>1</v>
      </c>
      <c r="F2555" s="1">
        <f>_xlfn.XLOOKUP(payments_raw[[#This Row],[subscription_id]], subscriptions[subscription_id], subscriptions[start_date])</f>
        <v>45228</v>
      </c>
      <c r="G25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45500</v>
      </c>
      <c r="H2555" s="2">
        <f>IF(payments_raw[[#This Row],[payment_date]] &lt; payments_raw[[#This Row],[sub_start_date]], 1, 0)</f>
        <v>0</v>
      </c>
      <c r="I2555" s="2">
        <f>IF(AND(payments_raw[[#This Row],[sub_end_date]]&lt;&gt;"", payments_raw[[#This Row],[payment_date]] &gt; payments_raw[[#This Row],[sub_end_date]]), 1, 0)</f>
        <v>0</v>
      </c>
      <c r="J2555" s="2">
        <f>IF(payments_raw[[#This Row],[amount]] &lt;= 0, 1, 0)</f>
        <v>0</v>
      </c>
      <c r="K25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6" spans="1:11" x14ac:dyDescent="0.3">
      <c r="A2556">
        <v>66460869</v>
      </c>
      <c r="B2556">
        <v>1546929</v>
      </c>
      <c r="C2556" s="1">
        <v>45525</v>
      </c>
      <c r="D2556">
        <v>39</v>
      </c>
      <c r="E2556">
        <f>IF(
  ISNA(
    _xlfn.XLOOKUP(
      payments_raw[[#This Row],[subscription_id]],
      subscriptions[subscription_id],
      subscriptions[subscription_id]
    )
  ),
  0,
  1
)</f>
        <v>1</v>
      </c>
      <c r="F2556" s="1">
        <f>_xlfn.XLOOKUP(payments_raw[[#This Row],[subscription_id]], subscriptions[subscription_id], subscriptions[start_date])</f>
        <v>44869</v>
      </c>
      <c r="G25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56" s="2">
        <f>IF(payments_raw[[#This Row],[payment_date]] &lt; payments_raw[[#This Row],[sub_start_date]], 1, 0)</f>
        <v>0</v>
      </c>
      <c r="I2556" s="2">
        <f>IF(AND(payments_raw[[#This Row],[sub_end_date]]&lt;&gt;"", payments_raw[[#This Row],[payment_date]] &gt; payments_raw[[#This Row],[sub_end_date]]), 1, 0)</f>
        <v>0</v>
      </c>
      <c r="J2556" s="2">
        <f>IF(payments_raw[[#This Row],[amount]] &lt;= 0, 1, 0)</f>
        <v>0</v>
      </c>
      <c r="K25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7" spans="1:11" x14ac:dyDescent="0.3">
      <c r="A2557">
        <v>52386800</v>
      </c>
      <c r="B2557">
        <v>4453773</v>
      </c>
      <c r="C2557" s="1">
        <v>45581</v>
      </c>
      <c r="D2557">
        <v>299</v>
      </c>
      <c r="E2557">
        <f>IF(
  ISNA(
    _xlfn.XLOOKUP(
      payments_raw[[#This Row],[subscription_id]],
      subscriptions[subscription_id],
      subscriptions[subscription_id]
    )
  ),
  0,
  1
)</f>
        <v>1</v>
      </c>
      <c r="F2557" s="1">
        <f>_xlfn.XLOOKUP(payments_raw[[#This Row],[subscription_id]], subscriptions[subscription_id], subscriptions[start_date])</f>
        <v>45575</v>
      </c>
      <c r="G25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45629</v>
      </c>
      <c r="H2557" s="2">
        <f>IF(payments_raw[[#This Row],[payment_date]] &lt; payments_raw[[#This Row],[sub_start_date]], 1, 0)</f>
        <v>0</v>
      </c>
      <c r="I2557" s="2">
        <f>IF(AND(payments_raw[[#This Row],[sub_end_date]]&lt;&gt;"", payments_raw[[#This Row],[payment_date]] &gt; payments_raw[[#This Row],[sub_end_date]]), 1, 0)</f>
        <v>0</v>
      </c>
      <c r="J2557" s="2">
        <f>IF(payments_raw[[#This Row],[amount]] &lt;= 0, 1, 0)</f>
        <v>0</v>
      </c>
      <c r="K25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8" spans="1:11" x14ac:dyDescent="0.3">
      <c r="A2558">
        <v>27522122</v>
      </c>
      <c r="B2558">
        <v>6422262</v>
      </c>
      <c r="C2558" s="1">
        <v>45217</v>
      </c>
      <c r="D2558">
        <v>39</v>
      </c>
      <c r="E2558">
        <f>IF(
  ISNA(
    _xlfn.XLOOKUP(
      payments_raw[[#This Row],[subscription_id]],
      subscriptions[subscription_id],
      subscriptions[subscription_id]
    )
  ),
  0,
  1
)</f>
        <v>1</v>
      </c>
      <c r="F2558" s="1">
        <f>_xlfn.XLOOKUP(payments_raw[[#This Row],[subscription_id]], subscriptions[subscription_id], subscriptions[start_date])</f>
        <v>45097</v>
      </c>
      <c r="G25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2558" s="2">
        <f>IF(payments_raw[[#This Row],[payment_date]] &lt; payments_raw[[#This Row],[sub_start_date]], 1, 0)</f>
        <v>0</v>
      </c>
      <c r="I2558" s="2">
        <f>IF(AND(payments_raw[[#This Row],[sub_end_date]]&lt;&gt;"", payments_raw[[#This Row],[payment_date]] &gt; payments_raw[[#This Row],[sub_end_date]]), 1, 0)</f>
        <v>0</v>
      </c>
      <c r="J2558" s="2">
        <f>IF(payments_raw[[#This Row],[amount]] &lt;= 0, 1, 0)</f>
        <v>0</v>
      </c>
      <c r="K25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59" spans="1:11" x14ac:dyDescent="0.3">
      <c r="A2559">
        <v>97448980</v>
      </c>
      <c r="B2559">
        <v>2627051</v>
      </c>
      <c r="C2559" s="1">
        <v>45610</v>
      </c>
      <c r="D2559">
        <v>390</v>
      </c>
      <c r="E2559">
        <f>IF(
  ISNA(
    _xlfn.XLOOKUP(
      payments_raw[[#This Row],[subscription_id]],
      subscriptions[subscription_id],
      subscriptions[subscription_id]
    )
  ),
  0,
  1
)</f>
        <v>1</v>
      </c>
      <c r="F2559" s="1">
        <f>_xlfn.XLOOKUP(payments_raw[[#This Row],[subscription_id]], subscriptions[subscription_id], subscriptions[start_date])</f>
        <v>45372</v>
      </c>
      <c r="G25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59" s="2">
        <f>IF(payments_raw[[#This Row],[payment_date]] &lt; payments_raw[[#This Row],[sub_start_date]], 1, 0)</f>
        <v>0</v>
      </c>
      <c r="I2559" s="2">
        <f>IF(AND(payments_raw[[#This Row],[sub_end_date]]&lt;&gt;"", payments_raw[[#This Row],[payment_date]] &gt; payments_raw[[#This Row],[sub_end_date]]), 1, 0)</f>
        <v>0</v>
      </c>
      <c r="J2559" s="2">
        <f>IF(payments_raw[[#This Row],[amount]] &lt;= 0, 1, 0)</f>
        <v>0</v>
      </c>
      <c r="K25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0" spans="1:11" x14ac:dyDescent="0.3">
      <c r="A2560">
        <v>50279806</v>
      </c>
      <c r="B2560">
        <v>4168543</v>
      </c>
      <c r="C2560" s="1">
        <v>45637</v>
      </c>
      <c r="D2560">
        <v>35.1</v>
      </c>
      <c r="E2560">
        <f>IF(
  ISNA(
    _xlfn.XLOOKUP(
      payments_raw[[#This Row],[subscription_id]],
      subscriptions[subscription_id],
      subscriptions[subscription_id]
    )
  ),
  0,
  1
)</f>
        <v>1</v>
      </c>
      <c r="F2560" s="1">
        <f>_xlfn.XLOOKUP(payments_raw[[#This Row],[subscription_id]], subscriptions[subscription_id], subscriptions[start_date])</f>
        <v>45566</v>
      </c>
      <c r="G25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2560" s="2">
        <f>IF(payments_raw[[#This Row],[payment_date]] &lt; payments_raw[[#This Row],[sub_start_date]], 1, 0)</f>
        <v>0</v>
      </c>
      <c r="I2560" s="2">
        <f>IF(AND(payments_raw[[#This Row],[sub_end_date]]&lt;&gt;"", payments_raw[[#This Row],[payment_date]] &gt; payments_raw[[#This Row],[sub_end_date]]), 1, 0)</f>
        <v>0</v>
      </c>
      <c r="J2560" s="2">
        <f>IF(payments_raw[[#This Row],[amount]] &lt;= 0, 1, 0)</f>
        <v>0</v>
      </c>
      <c r="K25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1" spans="1:11" x14ac:dyDescent="0.3">
      <c r="A2561">
        <v>27976656</v>
      </c>
      <c r="B2561">
        <v>4937877</v>
      </c>
      <c r="C2561" s="1">
        <v>45414</v>
      </c>
      <c r="D2561">
        <v>79</v>
      </c>
      <c r="E2561">
        <f>IF(
  ISNA(
    _xlfn.XLOOKUP(
      payments_raw[[#This Row],[subscription_id]],
      subscriptions[subscription_id],
      subscriptions[subscription_id]
    )
  ),
  0,
  1
)</f>
        <v>1</v>
      </c>
      <c r="F2561" s="1">
        <f>_xlfn.XLOOKUP(payments_raw[[#This Row],[subscription_id]], subscriptions[subscription_id], subscriptions[start_date])</f>
        <v>45276</v>
      </c>
      <c r="G25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1" s="2">
        <f>IF(payments_raw[[#This Row],[payment_date]] &lt; payments_raw[[#This Row],[sub_start_date]], 1, 0)</f>
        <v>0</v>
      </c>
      <c r="I2561" s="2">
        <f>IF(AND(payments_raw[[#This Row],[sub_end_date]]&lt;&gt;"", payments_raw[[#This Row],[payment_date]] &gt; payments_raw[[#This Row],[sub_end_date]]), 1, 0)</f>
        <v>0</v>
      </c>
      <c r="J2561" s="2">
        <f>IF(payments_raw[[#This Row],[amount]] &lt;= 0, 1, 0)</f>
        <v>0</v>
      </c>
      <c r="K25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2" spans="1:11" x14ac:dyDescent="0.3">
      <c r="A2562">
        <v>58196283</v>
      </c>
      <c r="B2562">
        <v>1267689</v>
      </c>
      <c r="C2562" s="1">
        <v>45566</v>
      </c>
      <c r="D2562">
        <v>190</v>
      </c>
      <c r="E2562">
        <f>IF(
  ISNA(
    _xlfn.XLOOKUP(
      payments_raw[[#This Row],[subscription_id]],
      subscriptions[subscription_id],
      subscriptions[subscription_id]
    )
  ),
  0,
  1
)</f>
        <v>1</v>
      </c>
      <c r="F2562" s="1">
        <f>_xlfn.XLOOKUP(payments_raw[[#This Row],[subscription_id]], subscriptions[subscription_id], subscriptions[start_date])</f>
        <v>45417</v>
      </c>
      <c r="G25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2562" s="2">
        <f>IF(payments_raw[[#This Row],[payment_date]] &lt; payments_raw[[#This Row],[sub_start_date]], 1, 0)</f>
        <v>0</v>
      </c>
      <c r="I2562" s="2">
        <f>IF(AND(payments_raw[[#This Row],[sub_end_date]]&lt;&gt;"", payments_raw[[#This Row],[payment_date]] &gt; payments_raw[[#This Row],[sub_end_date]]), 1, 0)</f>
        <v>0</v>
      </c>
      <c r="J2562" s="2">
        <f>IF(payments_raw[[#This Row],[amount]] &lt;= 0, 1, 0)</f>
        <v>0</v>
      </c>
      <c r="K25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3" spans="1:11" x14ac:dyDescent="0.3">
      <c r="A2563">
        <v>25025239</v>
      </c>
      <c r="B2563">
        <v>1426542</v>
      </c>
      <c r="C2563" s="1">
        <v>45568</v>
      </c>
      <c r="D2563">
        <v>74.5</v>
      </c>
      <c r="E2563">
        <f>IF(
  ISNA(
    _xlfn.XLOOKUP(
      payments_raw[[#This Row],[subscription_id]],
      subscriptions[subscription_id],
      subscriptions[subscription_id]
    )
  ),
  0,
  1
)</f>
        <v>1</v>
      </c>
      <c r="F2563" s="1">
        <f>_xlfn.XLOOKUP(payments_raw[[#This Row],[subscription_id]], subscriptions[subscription_id], subscriptions[start_date])</f>
        <v>45471</v>
      </c>
      <c r="G25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563" s="2">
        <f>IF(payments_raw[[#This Row],[payment_date]] &lt; payments_raw[[#This Row],[sub_start_date]], 1, 0)</f>
        <v>0</v>
      </c>
      <c r="I2563" s="2">
        <f>IF(AND(payments_raw[[#This Row],[sub_end_date]]&lt;&gt;"", payments_raw[[#This Row],[payment_date]] &gt; payments_raw[[#This Row],[sub_end_date]]), 1, 0)</f>
        <v>0</v>
      </c>
      <c r="J2563" s="2">
        <f>IF(payments_raw[[#This Row],[amount]] &lt;= 0, 1, 0)</f>
        <v>0</v>
      </c>
      <c r="K25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4" spans="1:11" x14ac:dyDescent="0.3">
      <c r="A2564">
        <v>24267429</v>
      </c>
      <c r="B2564">
        <v>7074992</v>
      </c>
      <c r="C2564" s="1">
        <v>45262</v>
      </c>
      <c r="D2564">
        <v>79</v>
      </c>
      <c r="E2564">
        <f>IF(
  ISNA(
    _xlfn.XLOOKUP(
      payments_raw[[#This Row],[subscription_id]],
      subscriptions[subscription_id],
      subscriptions[subscription_id]
    )
  ),
  0,
  1
)</f>
        <v>1</v>
      </c>
      <c r="F2564" s="1">
        <f>_xlfn.XLOOKUP(payments_raw[[#This Row],[subscription_id]], subscriptions[subscription_id], subscriptions[start_date])</f>
        <v>44968</v>
      </c>
      <c r="G25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45272</v>
      </c>
      <c r="H2564" s="2">
        <f>IF(payments_raw[[#This Row],[payment_date]] &lt; payments_raw[[#This Row],[sub_start_date]], 1, 0)</f>
        <v>0</v>
      </c>
      <c r="I2564" s="2">
        <f>IF(AND(payments_raw[[#This Row],[sub_end_date]]&lt;&gt;"", payments_raw[[#This Row],[payment_date]] &gt; payments_raw[[#This Row],[sub_end_date]]), 1, 0)</f>
        <v>0</v>
      </c>
      <c r="J2564" s="2">
        <f>IF(payments_raw[[#This Row],[amount]] &lt;= 0, 1, 0)</f>
        <v>0</v>
      </c>
      <c r="K25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5" spans="1:11" x14ac:dyDescent="0.3">
      <c r="A2565">
        <v>52905265</v>
      </c>
      <c r="B2565">
        <v>9949336</v>
      </c>
      <c r="C2565" s="1">
        <v>44916</v>
      </c>
      <c r="D2565">
        <v>2990</v>
      </c>
      <c r="E2565">
        <f>IF(
  ISNA(
    _xlfn.XLOOKUP(
      payments_raw[[#This Row],[subscription_id]],
      subscriptions[subscription_id],
      subscriptions[subscription_id]
    )
  ),
  0,
  1
)</f>
        <v>1</v>
      </c>
      <c r="F2565" s="1">
        <f>_xlfn.XLOOKUP(payments_raw[[#This Row],[subscription_id]], subscriptions[subscription_id], subscriptions[start_date])</f>
        <v>44642</v>
      </c>
      <c r="G256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2565" s="2">
        <f>IF(payments_raw[[#This Row],[payment_date]] &lt; payments_raw[[#This Row],[sub_start_date]], 1, 0)</f>
        <v>0</v>
      </c>
      <c r="I2565" s="2">
        <f>IF(AND(payments_raw[[#This Row],[sub_end_date]]&lt;&gt;"", payments_raw[[#This Row],[payment_date]] &gt; payments_raw[[#This Row],[sub_end_date]]), 1, 0)</f>
        <v>0</v>
      </c>
      <c r="J2565" s="2">
        <f>IF(payments_raw[[#This Row],[amount]] &lt;= 0, 1, 0)</f>
        <v>0</v>
      </c>
      <c r="K25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6" spans="1:11" x14ac:dyDescent="0.3">
      <c r="A2566">
        <v>22202914</v>
      </c>
      <c r="B2566">
        <v>2426723</v>
      </c>
      <c r="C2566" s="1">
        <v>44827</v>
      </c>
      <c r="D2566">
        <v>190</v>
      </c>
      <c r="E2566">
        <f>IF(
  ISNA(
    _xlfn.XLOOKUP(
      payments_raw[[#This Row],[subscription_id]],
      subscriptions[subscription_id],
      subscriptions[subscription_id]
    )
  ),
  0,
  1
)</f>
        <v>1</v>
      </c>
      <c r="F2566" s="1">
        <f>_xlfn.XLOOKUP(payments_raw[[#This Row],[subscription_id]], subscriptions[subscription_id], subscriptions[start_date])</f>
        <v>44653</v>
      </c>
      <c r="G25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6" s="2">
        <f>IF(payments_raw[[#This Row],[payment_date]] &lt; payments_raw[[#This Row],[sub_start_date]], 1, 0)</f>
        <v>0</v>
      </c>
      <c r="I2566" s="2">
        <f>IF(AND(payments_raw[[#This Row],[sub_end_date]]&lt;&gt;"", payments_raw[[#This Row],[payment_date]] &gt; payments_raw[[#This Row],[sub_end_date]]), 1, 0)</f>
        <v>0</v>
      </c>
      <c r="J2566" s="2">
        <f>IF(payments_raw[[#This Row],[amount]] &lt;= 0, 1, 0)</f>
        <v>0</v>
      </c>
      <c r="K25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7" spans="1:11" x14ac:dyDescent="0.3">
      <c r="A2567">
        <v>82543688</v>
      </c>
      <c r="B2567">
        <v>3519714</v>
      </c>
      <c r="C2567" s="1">
        <v>45438</v>
      </c>
      <c r="D2567">
        <v>39</v>
      </c>
      <c r="E2567">
        <f>IF(
  ISNA(
    _xlfn.XLOOKUP(
      payments_raw[[#This Row],[subscription_id]],
      subscriptions[subscription_id],
      subscriptions[subscription_id]
    )
  ),
  0,
  1
)</f>
        <v>1</v>
      </c>
      <c r="F2567" s="1">
        <f>_xlfn.XLOOKUP(payments_raw[[#This Row],[subscription_id]], subscriptions[subscription_id], subscriptions[start_date])</f>
        <v>44610</v>
      </c>
      <c r="G25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7" s="2">
        <f>IF(payments_raw[[#This Row],[payment_date]] &lt; payments_raw[[#This Row],[sub_start_date]], 1, 0)</f>
        <v>0</v>
      </c>
      <c r="I2567" s="2">
        <f>IF(AND(payments_raw[[#This Row],[sub_end_date]]&lt;&gt;"", payments_raw[[#This Row],[payment_date]] &gt; payments_raw[[#This Row],[sub_end_date]]), 1, 0)</f>
        <v>0</v>
      </c>
      <c r="J2567" s="2">
        <f>IF(payments_raw[[#This Row],[amount]] &lt;= 0, 1, 0)</f>
        <v>0</v>
      </c>
      <c r="K25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8" spans="1:11" x14ac:dyDescent="0.3">
      <c r="A2568">
        <v>48323962</v>
      </c>
      <c r="B2568">
        <v>2299884</v>
      </c>
      <c r="C2568" s="1">
        <v>45657</v>
      </c>
      <c r="D2568">
        <v>79</v>
      </c>
      <c r="E2568">
        <f>IF(
  ISNA(
    _xlfn.XLOOKUP(
      payments_raw[[#This Row],[subscription_id]],
      subscriptions[subscription_id],
      subscriptions[subscription_id]
    )
  ),
  0,
  1
)</f>
        <v>1</v>
      </c>
      <c r="F2568" s="1">
        <f>_xlfn.XLOOKUP(payments_raw[[#This Row],[subscription_id]], subscriptions[subscription_id], subscriptions[start_date])</f>
        <v>45470</v>
      </c>
      <c r="G25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8" s="2">
        <f>IF(payments_raw[[#This Row],[payment_date]] &lt; payments_raw[[#This Row],[sub_start_date]], 1, 0)</f>
        <v>0</v>
      </c>
      <c r="I2568" s="2">
        <f>IF(AND(payments_raw[[#This Row],[sub_end_date]]&lt;&gt;"", payments_raw[[#This Row],[payment_date]] &gt; payments_raw[[#This Row],[sub_end_date]]), 1, 0)</f>
        <v>0</v>
      </c>
      <c r="J2568" s="2">
        <f>IF(payments_raw[[#This Row],[amount]] &lt;= 0, 1, 0)</f>
        <v>0</v>
      </c>
      <c r="K25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69" spans="1:11" x14ac:dyDescent="0.3">
      <c r="A2569">
        <v>81921995</v>
      </c>
      <c r="B2569">
        <v>9580328</v>
      </c>
      <c r="C2569" s="1">
        <v>45320</v>
      </c>
      <c r="D2569">
        <v>149</v>
      </c>
      <c r="E2569">
        <f>IF(
  ISNA(
    _xlfn.XLOOKUP(
      payments_raw[[#This Row],[subscription_id]],
      subscriptions[subscription_id],
      subscriptions[subscription_id]
    )
  ),
  0,
  1
)</f>
        <v>1</v>
      </c>
      <c r="F2569" s="1">
        <f>_xlfn.XLOOKUP(payments_raw[[#This Row],[subscription_id]], subscriptions[subscription_id], subscriptions[start_date])</f>
        <v>44897</v>
      </c>
      <c r="G25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69" s="2">
        <f>IF(payments_raw[[#This Row],[payment_date]] &lt; payments_raw[[#This Row],[sub_start_date]], 1, 0)</f>
        <v>0</v>
      </c>
      <c r="I2569" s="2">
        <f>IF(AND(payments_raw[[#This Row],[sub_end_date]]&lt;&gt;"", payments_raw[[#This Row],[payment_date]] &gt; payments_raw[[#This Row],[sub_end_date]]), 1, 0)</f>
        <v>0</v>
      </c>
      <c r="J2569" s="2">
        <f>IF(payments_raw[[#This Row],[amount]] &lt;= 0, 1, 0)</f>
        <v>0</v>
      </c>
      <c r="K25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0" spans="1:11" x14ac:dyDescent="0.3">
      <c r="A2570">
        <v>84625405</v>
      </c>
      <c r="B2570">
        <v>4056477</v>
      </c>
      <c r="C2570" s="1">
        <v>45614</v>
      </c>
      <c r="D2570">
        <v>1490</v>
      </c>
      <c r="E2570">
        <f>IF(
  ISNA(
    _xlfn.XLOOKUP(
      payments_raw[[#This Row],[subscription_id]],
      subscriptions[subscription_id],
      subscriptions[subscription_id]
    )
  ),
  0,
  1
)</f>
        <v>1</v>
      </c>
      <c r="F2570" s="1">
        <f>_xlfn.XLOOKUP(payments_raw[[#This Row],[subscription_id]], subscriptions[subscription_id], subscriptions[start_date])</f>
        <v>45560</v>
      </c>
      <c r="G25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0" s="2">
        <f>IF(payments_raw[[#This Row],[payment_date]] &lt; payments_raw[[#This Row],[sub_start_date]], 1, 0)</f>
        <v>0</v>
      </c>
      <c r="I2570" s="2">
        <f>IF(AND(payments_raw[[#This Row],[sub_end_date]]&lt;&gt;"", payments_raw[[#This Row],[payment_date]] &gt; payments_raw[[#This Row],[sub_end_date]]), 1, 0)</f>
        <v>0</v>
      </c>
      <c r="J2570" s="2">
        <f>IF(payments_raw[[#This Row],[amount]] &lt;= 0, 1, 0)</f>
        <v>0</v>
      </c>
      <c r="K25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1" spans="1:11" x14ac:dyDescent="0.3">
      <c r="A2571">
        <v>78946993</v>
      </c>
      <c r="B2571">
        <v>1161102</v>
      </c>
      <c r="C2571" s="1">
        <v>45528</v>
      </c>
      <c r="D2571">
        <v>299</v>
      </c>
      <c r="E2571">
        <f>IF(
  ISNA(
    _xlfn.XLOOKUP(
      payments_raw[[#This Row],[subscription_id]],
      subscriptions[subscription_id],
      subscriptions[subscription_id]
    )
  ),
  0,
  1
)</f>
        <v>1</v>
      </c>
      <c r="F2571" s="1">
        <f>_xlfn.XLOOKUP(payments_raw[[#This Row],[subscription_id]], subscriptions[subscription_id], subscriptions[start_date])</f>
        <v>45442</v>
      </c>
      <c r="G25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45529</v>
      </c>
      <c r="H2571" s="2">
        <f>IF(payments_raw[[#This Row],[payment_date]] &lt; payments_raw[[#This Row],[sub_start_date]], 1, 0)</f>
        <v>0</v>
      </c>
      <c r="I2571" s="2">
        <f>IF(AND(payments_raw[[#This Row],[sub_end_date]]&lt;&gt;"", payments_raw[[#This Row],[payment_date]] &gt; payments_raw[[#This Row],[sub_end_date]]), 1, 0)</f>
        <v>0</v>
      </c>
      <c r="J2571" s="2">
        <f>IF(payments_raw[[#This Row],[amount]] &lt;= 0, 1, 0)</f>
        <v>0</v>
      </c>
      <c r="K25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2" spans="1:11" x14ac:dyDescent="0.3">
      <c r="A2572">
        <v>38708354</v>
      </c>
      <c r="B2572">
        <v>2653843</v>
      </c>
      <c r="C2572" s="1">
        <v>45230</v>
      </c>
      <c r="D2572">
        <v>79</v>
      </c>
      <c r="E2572">
        <f>IF(
  ISNA(
    _xlfn.XLOOKUP(
      payments_raw[[#This Row],[subscription_id]],
      subscriptions[subscription_id],
      subscriptions[subscription_id]
    )
  ),
  0,
  1
)</f>
        <v>1</v>
      </c>
      <c r="F2572" s="1">
        <f>_xlfn.XLOOKUP(payments_raw[[#This Row],[subscription_id]], subscriptions[subscription_id], subscriptions[start_date])</f>
        <v>44756</v>
      </c>
      <c r="G25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2" s="2">
        <f>IF(payments_raw[[#This Row],[payment_date]] &lt; payments_raw[[#This Row],[sub_start_date]], 1, 0)</f>
        <v>0</v>
      </c>
      <c r="I2572" s="2">
        <f>IF(AND(payments_raw[[#This Row],[sub_end_date]]&lt;&gt;"", payments_raw[[#This Row],[payment_date]] &gt; payments_raw[[#This Row],[sub_end_date]]), 1, 0)</f>
        <v>0</v>
      </c>
      <c r="J2572" s="2">
        <f>IF(payments_raw[[#This Row],[amount]] &lt;= 0, 1, 0)</f>
        <v>0</v>
      </c>
      <c r="K25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3" spans="1:11" x14ac:dyDescent="0.3">
      <c r="A2573">
        <v>17890314</v>
      </c>
      <c r="B2573">
        <v>3879023</v>
      </c>
      <c r="C2573" s="1">
        <v>45430</v>
      </c>
      <c r="D2573">
        <v>2990</v>
      </c>
      <c r="E2573">
        <f>IF(
  ISNA(
    _xlfn.XLOOKUP(
      payments_raw[[#This Row],[subscription_id]],
      subscriptions[subscription_id],
      subscriptions[subscription_id]
    )
  ),
  0,
  1
)</f>
        <v>1</v>
      </c>
      <c r="F2573" s="1">
        <f>_xlfn.XLOOKUP(payments_raw[[#This Row],[subscription_id]], subscriptions[subscription_id], subscriptions[start_date])</f>
        <v>45428</v>
      </c>
      <c r="G25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2573" s="2">
        <f>IF(payments_raw[[#This Row],[payment_date]] &lt; payments_raw[[#This Row],[sub_start_date]], 1, 0)</f>
        <v>0</v>
      </c>
      <c r="I2573" s="2">
        <f>IF(AND(payments_raw[[#This Row],[sub_end_date]]&lt;&gt;"", payments_raw[[#This Row],[payment_date]] &gt; payments_raw[[#This Row],[sub_end_date]]), 1, 0)</f>
        <v>0</v>
      </c>
      <c r="J2573" s="2">
        <f>IF(payments_raw[[#This Row],[amount]] &lt;= 0, 1, 0)</f>
        <v>0</v>
      </c>
      <c r="K25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4" spans="1:11" x14ac:dyDescent="0.3">
      <c r="A2574">
        <v>46136013</v>
      </c>
      <c r="B2574">
        <v>5668364</v>
      </c>
      <c r="C2574" s="1">
        <v>45364</v>
      </c>
      <c r="D2574">
        <v>390</v>
      </c>
      <c r="E2574">
        <f>IF(
  ISNA(
    _xlfn.XLOOKUP(
      payments_raw[[#This Row],[subscription_id]],
      subscriptions[subscription_id],
      subscriptions[subscription_id]
    )
  ),
  0,
  1
)</f>
        <v>1</v>
      </c>
      <c r="F2574" s="1">
        <f>_xlfn.XLOOKUP(payments_raw[[#This Row],[subscription_id]], subscriptions[subscription_id], subscriptions[start_date])</f>
        <v>45205</v>
      </c>
      <c r="G25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4" s="2">
        <f>IF(payments_raw[[#This Row],[payment_date]] &lt; payments_raw[[#This Row],[sub_start_date]], 1, 0)</f>
        <v>0</v>
      </c>
      <c r="I2574" s="2">
        <f>IF(AND(payments_raw[[#This Row],[sub_end_date]]&lt;&gt;"", payments_raw[[#This Row],[payment_date]] &gt; payments_raw[[#This Row],[sub_end_date]]), 1, 0)</f>
        <v>0</v>
      </c>
      <c r="J2574" s="2">
        <f>IF(payments_raw[[#This Row],[amount]] &lt;= 0, 1, 0)</f>
        <v>0</v>
      </c>
      <c r="K25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5" spans="1:11" x14ac:dyDescent="0.3">
      <c r="A2575">
        <v>13172317</v>
      </c>
      <c r="B2575">
        <v>3030620</v>
      </c>
      <c r="C2575" s="1">
        <v>45283</v>
      </c>
      <c r="D2575">
        <v>1490</v>
      </c>
      <c r="E2575">
        <f>IF(
  ISNA(
    _xlfn.XLOOKUP(
      payments_raw[[#This Row],[subscription_id]],
      subscriptions[subscription_id],
      subscriptions[subscription_id]
    )
  ),
  0,
  1
)</f>
        <v>1</v>
      </c>
      <c r="F2575" s="1">
        <f>_xlfn.XLOOKUP(payments_raw[[#This Row],[subscription_id]], subscriptions[subscription_id], subscriptions[start_date])</f>
        <v>44760</v>
      </c>
      <c r="G25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5" s="2">
        <f>IF(payments_raw[[#This Row],[payment_date]] &lt; payments_raw[[#This Row],[sub_start_date]], 1, 0)</f>
        <v>0</v>
      </c>
      <c r="I2575" s="2">
        <f>IF(AND(payments_raw[[#This Row],[sub_end_date]]&lt;&gt;"", payments_raw[[#This Row],[payment_date]] &gt; payments_raw[[#This Row],[sub_end_date]]), 1, 0)</f>
        <v>0</v>
      </c>
      <c r="J2575" s="2">
        <f>IF(payments_raw[[#This Row],[amount]] &lt;= 0, 1, 0)</f>
        <v>0</v>
      </c>
      <c r="K25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6" spans="1:11" x14ac:dyDescent="0.3">
      <c r="A2576">
        <v>68830582</v>
      </c>
      <c r="B2576">
        <v>2081652</v>
      </c>
      <c r="C2576" s="1">
        <v>45631</v>
      </c>
      <c r="D2576">
        <v>790</v>
      </c>
      <c r="E2576">
        <f>IF(
  ISNA(
    _xlfn.XLOOKUP(
      payments_raw[[#This Row],[subscription_id]],
      subscriptions[subscription_id],
      subscriptions[subscription_id]
    )
  ),
  0,
  1
)</f>
        <v>1</v>
      </c>
      <c r="F2576" s="1">
        <f>_xlfn.XLOOKUP(payments_raw[[#This Row],[subscription_id]], subscriptions[subscription_id], subscriptions[start_date])</f>
        <v>45211</v>
      </c>
      <c r="G25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6" s="2">
        <f>IF(payments_raw[[#This Row],[payment_date]] &lt; payments_raw[[#This Row],[sub_start_date]], 1, 0)</f>
        <v>0</v>
      </c>
      <c r="I2576" s="2">
        <f>IF(AND(payments_raw[[#This Row],[sub_end_date]]&lt;&gt;"", payments_raw[[#This Row],[payment_date]] &gt; payments_raw[[#This Row],[sub_end_date]]), 1, 0)</f>
        <v>0</v>
      </c>
      <c r="J2576" s="2">
        <f>IF(payments_raw[[#This Row],[amount]] &lt;= 0, 1, 0)</f>
        <v>0</v>
      </c>
      <c r="K25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7" spans="1:11" x14ac:dyDescent="0.3">
      <c r="A2577">
        <v>21887765</v>
      </c>
      <c r="B2577">
        <v>6111364</v>
      </c>
      <c r="C2577" s="1">
        <v>45527</v>
      </c>
      <c r="D2577">
        <v>390</v>
      </c>
      <c r="E2577">
        <f>IF(
  ISNA(
    _xlfn.XLOOKUP(
      payments_raw[[#This Row],[subscription_id]],
      subscriptions[subscription_id],
      subscriptions[subscription_id]
    )
  ),
  0,
  1
)</f>
        <v>1</v>
      </c>
      <c r="F2577" s="1">
        <f>_xlfn.XLOOKUP(payments_raw[[#This Row],[subscription_id]], subscriptions[subscription_id], subscriptions[start_date])</f>
        <v>45238</v>
      </c>
      <c r="G25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7" s="2">
        <f>IF(payments_raw[[#This Row],[payment_date]] &lt; payments_raw[[#This Row],[sub_start_date]], 1, 0)</f>
        <v>0</v>
      </c>
      <c r="I2577" s="2">
        <f>IF(AND(payments_raw[[#This Row],[sub_end_date]]&lt;&gt;"", payments_raw[[#This Row],[payment_date]] &gt; payments_raw[[#This Row],[sub_end_date]]), 1, 0)</f>
        <v>0</v>
      </c>
      <c r="J2577" s="2">
        <f>IF(payments_raw[[#This Row],[amount]] &lt;= 0, 1, 0)</f>
        <v>0</v>
      </c>
      <c r="K25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8" spans="1:11" x14ac:dyDescent="0.3">
      <c r="A2578">
        <v>14365968</v>
      </c>
      <c r="B2578">
        <v>3893851</v>
      </c>
      <c r="C2578" s="1">
        <v>45581</v>
      </c>
      <c r="D2578">
        <v>79</v>
      </c>
      <c r="E2578">
        <f>IF(
  ISNA(
    _xlfn.XLOOKUP(
      payments_raw[[#This Row],[subscription_id]],
      subscriptions[subscription_id],
      subscriptions[subscription_id]
    )
  ),
  0,
  1
)</f>
        <v>1</v>
      </c>
      <c r="F2578" s="1">
        <f>_xlfn.XLOOKUP(payments_raw[[#This Row],[subscription_id]], subscriptions[subscription_id], subscriptions[start_date])</f>
        <v>45330</v>
      </c>
      <c r="G25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2578" s="2">
        <f>IF(payments_raw[[#This Row],[payment_date]] &lt; payments_raw[[#This Row],[sub_start_date]], 1, 0)</f>
        <v>0</v>
      </c>
      <c r="I2578" s="2">
        <f>IF(AND(payments_raw[[#This Row],[sub_end_date]]&lt;&gt;"", payments_raw[[#This Row],[payment_date]] &gt; payments_raw[[#This Row],[sub_end_date]]), 1, 0)</f>
        <v>0</v>
      </c>
      <c r="J2578" s="2">
        <f>IF(payments_raw[[#This Row],[amount]] &lt;= 0, 1, 0)</f>
        <v>0</v>
      </c>
      <c r="K25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79" spans="1:11" x14ac:dyDescent="0.3">
      <c r="A2579">
        <v>86135513</v>
      </c>
      <c r="B2579">
        <v>8962478</v>
      </c>
      <c r="C2579" s="1">
        <v>45471</v>
      </c>
      <c r="D2579">
        <v>29.25</v>
      </c>
      <c r="E2579">
        <f>IF(
  ISNA(
    _xlfn.XLOOKUP(
      payments_raw[[#This Row],[subscription_id]],
      subscriptions[subscription_id],
      subscriptions[subscription_id]
    )
  ),
  0,
  1
)</f>
        <v>1</v>
      </c>
      <c r="F2579" s="1">
        <f>_xlfn.XLOOKUP(payments_raw[[#This Row],[subscription_id]], subscriptions[subscription_id], subscriptions[start_date])</f>
        <v>45438</v>
      </c>
      <c r="G25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79" s="2">
        <f>IF(payments_raw[[#This Row],[payment_date]] &lt; payments_raw[[#This Row],[sub_start_date]], 1, 0)</f>
        <v>0</v>
      </c>
      <c r="I2579" s="2">
        <f>IF(AND(payments_raw[[#This Row],[sub_end_date]]&lt;&gt;"", payments_raw[[#This Row],[payment_date]] &gt; payments_raw[[#This Row],[sub_end_date]]), 1, 0)</f>
        <v>0</v>
      </c>
      <c r="J2579" s="2">
        <f>IF(payments_raw[[#This Row],[amount]] &lt;= 0, 1, 0)</f>
        <v>0</v>
      </c>
      <c r="K25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0" spans="1:11" x14ac:dyDescent="0.3">
      <c r="A2580">
        <v>15853516</v>
      </c>
      <c r="B2580">
        <v>7153780</v>
      </c>
      <c r="C2580" s="1">
        <v>45443</v>
      </c>
      <c r="D2580">
        <v>149</v>
      </c>
      <c r="E2580">
        <f>IF(
  ISNA(
    _xlfn.XLOOKUP(
      payments_raw[[#This Row],[subscription_id]],
      subscriptions[subscription_id],
      subscriptions[subscription_id]
    )
  ),
  0,
  1
)</f>
        <v>1</v>
      </c>
      <c r="F2580" s="1">
        <f>_xlfn.XLOOKUP(payments_raw[[#This Row],[subscription_id]], subscriptions[subscription_id], subscriptions[start_date])</f>
        <v>45431</v>
      </c>
      <c r="G25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0" s="2">
        <f>IF(payments_raw[[#This Row],[payment_date]] &lt; payments_raw[[#This Row],[sub_start_date]], 1, 0)</f>
        <v>0</v>
      </c>
      <c r="I2580" s="2">
        <f>IF(AND(payments_raw[[#This Row],[sub_end_date]]&lt;&gt;"", payments_raw[[#This Row],[payment_date]] &gt; payments_raw[[#This Row],[sub_end_date]]), 1, 0)</f>
        <v>0</v>
      </c>
      <c r="J2580" s="2">
        <f>IF(payments_raw[[#This Row],[amount]] &lt;= 0, 1, 0)</f>
        <v>0</v>
      </c>
      <c r="K25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1" spans="1:11" x14ac:dyDescent="0.3">
      <c r="A2581">
        <v>81012790</v>
      </c>
      <c r="B2581">
        <v>1750288</v>
      </c>
      <c r="C2581" s="1">
        <v>45207</v>
      </c>
      <c r="D2581">
        <v>19</v>
      </c>
      <c r="E2581">
        <f>IF(
  ISNA(
    _xlfn.XLOOKUP(
      payments_raw[[#This Row],[subscription_id]],
      subscriptions[subscription_id],
      subscriptions[subscription_id]
    )
  ),
  0,
  1
)</f>
        <v>1</v>
      </c>
      <c r="F2581" s="1">
        <f>_xlfn.XLOOKUP(payments_raw[[#This Row],[subscription_id]], subscriptions[subscription_id], subscriptions[start_date])</f>
        <v>45001</v>
      </c>
      <c r="G25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1" s="2">
        <f>IF(payments_raw[[#This Row],[payment_date]] &lt; payments_raw[[#This Row],[sub_start_date]], 1, 0)</f>
        <v>0</v>
      </c>
      <c r="I2581" s="2">
        <f>IF(AND(payments_raw[[#This Row],[sub_end_date]]&lt;&gt;"", payments_raw[[#This Row],[payment_date]] &gt; payments_raw[[#This Row],[sub_end_date]]), 1, 0)</f>
        <v>0</v>
      </c>
      <c r="J2581" s="2">
        <f>IF(payments_raw[[#This Row],[amount]] &lt;= 0, 1, 0)</f>
        <v>0</v>
      </c>
      <c r="K25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2" spans="1:11" x14ac:dyDescent="0.3">
      <c r="A2582">
        <v>93930001</v>
      </c>
      <c r="B2582">
        <v>6426063</v>
      </c>
      <c r="C2582" s="1">
        <v>44737</v>
      </c>
      <c r="D2582">
        <v>390</v>
      </c>
      <c r="E2582">
        <f>IF(
  ISNA(
    _xlfn.XLOOKUP(
      payments_raw[[#This Row],[subscription_id]],
      subscriptions[subscription_id],
      subscriptions[subscription_id]
    )
  ),
  0,
  1
)</f>
        <v>1</v>
      </c>
      <c r="F2582" s="1">
        <f>_xlfn.XLOOKUP(payments_raw[[#This Row],[subscription_id]], subscriptions[subscription_id], subscriptions[start_date])</f>
        <v>44672</v>
      </c>
      <c r="G25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45065</v>
      </c>
      <c r="H2582" s="2">
        <f>IF(payments_raw[[#This Row],[payment_date]] &lt; payments_raw[[#This Row],[sub_start_date]], 1, 0)</f>
        <v>0</v>
      </c>
      <c r="I2582" s="2">
        <f>IF(AND(payments_raw[[#This Row],[sub_end_date]]&lt;&gt;"", payments_raw[[#This Row],[payment_date]] &gt; payments_raw[[#This Row],[sub_end_date]]), 1, 0)</f>
        <v>0</v>
      </c>
      <c r="J2582" s="2">
        <f>IF(payments_raw[[#This Row],[amount]] &lt;= 0, 1, 0)</f>
        <v>0</v>
      </c>
      <c r="K25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3" spans="1:11" x14ac:dyDescent="0.3">
      <c r="A2583">
        <v>53759724</v>
      </c>
      <c r="B2583">
        <v>4654790</v>
      </c>
      <c r="C2583" s="1">
        <v>45515</v>
      </c>
      <c r="D2583">
        <v>149</v>
      </c>
      <c r="E2583">
        <f>IF(
  ISNA(
    _xlfn.XLOOKUP(
      payments_raw[[#This Row],[subscription_id]],
      subscriptions[subscription_id],
      subscriptions[subscription_id]
    )
  ),
  0,
  1
)</f>
        <v>1</v>
      </c>
      <c r="F2583" s="1">
        <f>_xlfn.XLOOKUP(payments_raw[[#This Row],[subscription_id]], subscriptions[subscription_id], subscriptions[start_date])</f>
        <v>45398</v>
      </c>
      <c r="G25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3" s="2">
        <f>IF(payments_raw[[#This Row],[payment_date]] &lt; payments_raw[[#This Row],[sub_start_date]], 1, 0)</f>
        <v>0</v>
      </c>
      <c r="I2583" s="2">
        <f>IF(AND(payments_raw[[#This Row],[sub_end_date]]&lt;&gt;"", payments_raw[[#This Row],[payment_date]] &gt; payments_raw[[#This Row],[sub_end_date]]), 1, 0)</f>
        <v>0</v>
      </c>
      <c r="J2583" s="2">
        <f>IF(payments_raw[[#This Row],[amount]] &lt;= 0, 1, 0)</f>
        <v>0</v>
      </c>
      <c r="K25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4" spans="1:11" x14ac:dyDescent="0.3">
      <c r="A2584">
        <v>46106651</v>
      </c>
      <c r="B2584">
        <v>8859233</v>
      </c>
      <c r="C2584" s="1">
        <v>45213</v>
      </c>
      <c r="D2584">
        <v>1490</v>
      </c>
      <c r="E2584">
        <f>IF(
  ISNA(
    _xlfn.XLOOKUP(
      payments_raw[[#This Row],[subscription_id]],
      subscriptions[subscription_id],
      subscriptions[subscription_id]
    )
  ),
  0,
  1
)</f>
        <v>1</v>
      </c>
      <c r="F2584" s="1">
        <f>_xlfn.XLOOKUP(payments_raw[[#This Row],[subscription_id]], subscriptions[subscription_id], subscriptions[start_date])</f>
        <v>44952</v>
      </c>
      <c r="G25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2584" s="2">
        <f>IF(payments_raw[[#This Row],[payment_date]] &lt; payments_raw[[#This Row],[sub_start_date]], 1, 0)</f>
        <v>0</v>
      </c>
      <c r="I2584" s="2">
        <f>IF(AND(payments_raw[[#This Row],[sub_end_date]]&lt;&gt;"", payments_raw[[#This Row],[payment_date]] &gt; payments_raw[[#This Row],[sub_end_date]]), 1, 0)</f>
        <v>0</v>
      </c>
      <c r="J2584" s="2">
        <f>IF(payments_raw[[#This Row],[amount]] &lt;= 0, 1, 0)</f>
        <v>0</v>
      </c>
      <c r="K25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5" spans="1:11" x14ac:dyDescent="0.3">
      <c r="A2585">
        <v>70270117</v>
      </c>
      <c r="B2585">
        <v>7279004</v>
      </c>
      <c r="C2585" s="1">
        <v>44652</v>
      </c>
      <c r="D2585">
        <v>149</v>
      </c>
      <c r="E2585">
        <f>IF(
  ISNA(
    _xlfn.XLOOKUP(
      payments_raw[[#This Row],[subscription_id]],
      subscriptions[subscription_id],
      subscriptions[subscription_id]
    )
  ),
  0,
  1
)</f>
        <v>1</v>
      </c>
      <c r="F2585" s="1">
        <f>_xlfn.XLOOKUP(payments_raw[[#This Row],[subscription_id]], subscriptions[subscription_id], subscriptions[start_date])</f>
        <v>44572</v>
      </c>
      <c r="G25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5" s="2">
        <f>IF(payments_raw[[#This Row],[payment_date]] &lt; payments_raw[[#This Row],[sub_start_date]], 1, 0)</f>
        <v>0</v>
      </c>
      <c r="I2585" s="2">
        <f>IF(AND(payments_raw[[#This Row],[sub_end_date]]&lt;&gt;"", payments_raw[[#This Row],[payment_date]] &gt; payments_raw[[#This Row],[sub_end_date]]), 1, 0)</f>
        <v>0</v>
      </c>
      <c r="J2585" s="2">
        <f>IF(payments_raw[[#This Row],[amount]] &lt;= 0, 1, 0)</f>
        <v>0</v>
      </c>
      <c r="K25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6" spans="1:11" x14ac:dyDescent="0.3">
      <c r="A2586">
        <v>25739492</v>
      </c>
      <c r="B2586">
        <v>2846089</v>
      </c>
      <c r="C2586" s="1">
        <v>44703</v>
      </c>
      <c r="D2586">
        <v>39</v>
      </c>
      <c r="E2586">
        <f>IF(
  ISNA(
    _xlfn.XLOOKUP(
      payments_raw[[#This Row],[subscription_id]],
      subscriptions[subscription_id],
      subscriptions[subscription_id]
    )
  ),
  0,
  1
)</f>
        <v>1</v>
      </c>
      <c r="F2586" s="1">
        <f>_xlfn.XLOOKUP(payments_raw[[#This Row],[subscription_id]], subscriptions[subscription_id], subscriptions[start_date])</f>
        <v>44589</v>
      </c>
      <c r="G25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2586" s="2">
        <f>IF(payments_raw[[#This Row],[payment_date]] &lt; payments_raw[[#This Row],[sub_start_date]], 1, 0)</f>
        <v>0</v>
      </c>
      <c r="I2586" s="2">
        <f>IF(AND(payments_raw[[#This Row],[sub_end_date]]&lt;&gt;"", payments_raw[[#This Row],[payment_date]] &gt; payments_raw[[#This Row],[sub_end_date]]), 1, 0)</f>
        <v>0</v>
      </c>
      <c r="J2586" s="2">
        <f>IF(payments_raw[[#This Row],[amount]] &lt;= 0, 1, 0)</f>
        <v>0</v>
      </c>
      <c r="K25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7" spans="1:11" x14ac:dyDescent="0.3">
      <c r="A2587">
        <v>80837978</v>
      </c>
      <c r="B2587">
        <v>4272848</v>
      </c>
      <c r="C2587" s="1">
        <v>45065</v>
      </c>
      <c r="D2587">
        <v>2990</v>
      </c>
      <c r="E2587">
        <f>IF(
  ISNA(
    _xlfn.XLOOKUP(
      payments_raw[[#This Row],[subscription_id]],
      subscriptions[subscription_id],
      subscriptions[subscription_id]
    )
  ),
  0,
  1
)</f>
        <v>1</v>
      </c>
      <c r="F2587" s="1">
        <f>_xlfn.XLOOKUP(payments_raw[[#This Row],[subscription_id]], subscriptions[subscription_id], subscriptions[start_date])</f>
        <v>44855</v>
      </c>
      <c r="G258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2587" s="2">
        <f>IF(payments_raw[[#This Row],[payment_date]] &lt; payments_raw[[#This Row],[sub_start_date]], 1, 0)</f>
        <v>0</v>
      </c>
      <c r="I2587" s="2">
        <f>IF(AND(payments_raw[[#This Row],[sub_end_date]]&lt;&gt;"", payments_raw[[#This Row],[payment_date]] &gt; payments_raw[[#This Row],[sub_end_date]]), 1, 0)</f>
        <v>0</v>
      </c>
      <c r="J2587" s="2">
        <f>IF(payments_raw[[#This Row],[amount]] &lt;= 0, 1, 0)</f>
        <v>0</v>
      </c>
      <c r="K25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8" spans="1:11" x14ac:dyDescent="0.3">
      <c r="A2588">
        <v>67940915</v>
      </c>
      <c r="B2588">
        <v>8538483</v>
      </c>
      <c r="C2588" s="1">
        <v>44952</v>
      </c>
      <c r="D2588">
        <v>2990</v>
      </c>
      <c r="E2588">
        <f>IF(
  ISNA(
    _xlfn.XLOOKUP(
      payments_raw[[#This Row],[subscription_id]],
      subscriptions[subscription_id],
      subscriptions[subscription_id]
    )
  ),
  0,
  1
)</f>
        <v>1</v>
      </c>
      <c r="F2588" s="1">
        <f>_xlfn.XLOOKUP(payments_raw[[#This Row],[subscription_id]], subscriptions[subscription_id], subscriptions[start_date])</f>
        <v>44761</v>
      </c>
      <c r="G25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88" s="2">
        <f>IF(payments_raw[[#This Row],[payment_date]] &lt; payments_raw[[#This Row],[sub_start_date]], 1, 0)</f>
        <v>0</v>
      </c>
      <c r="I2588" s="2">
        <f>IF(AND(payments_raw[[#This Row],[sub_end_date]]&lt;&gt;"", payments_raw[[#This Row],[payment_date]] &gt; payments_raw[[#This Row],[sub_end_date]]), 1, 0)</f>
        <v>0</v>
      </c>
      <c r="J2588" s="2">
        <f>IF(payments_raw[[#This Row],[amount]] &lt;= 0, 1, 0)</f>
        <v>0</v>
      </c>
      <c r="K25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89" spans="1:11" x14ac:dyDescent="0.3">
      <c r="A2589">
        <v>11305716</v>
      </c>
      <c r="B2589">
        <v>5322289</v>
      </c>
      <c r="C2589" s="1">
        <v>45558</v>
      </c>
      <c r="D2589">
        <v>9.5</v>
      </c>
      <c r="E2589">
        <f>IF(
  ISNA(
    _xlfn.XLOOKUP(
      payments_raw[[#This Row],[subscription_id]],
      subscriptions[subscription_id],
      subscriptions[subscription_id]
    )
  ),
  0,
  1
)</f>
        <v>1</v>
      </c>
      <c r="F2589" s="1">
        <f>_xlfn.XLOOKUP(payments_raw[[#This Row],[subscription_id]], subscriptions[subscription_id], subscriptions[start_date])</f>
        <v>45537</v>
      </c>
      <c r="G25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2589" s="2">
        <f>IF(payments_raw[[#This Row],[payment_date]] &lt; payments_raw[[#This Row],[sub_start_date]], 1, 0)</f>
        <v>0</v>
      </c>
      <c r="I2589" s="2">
        <f>IF(AND(payments_raw[[#This Row],[sub_end_date]]&lt;&gt;"", payments_raw[[#This Row],[payment_date]] &gt; payments_raw[[#This Row],[sub_end_date]]), 1, 0)</f>
        <v>0</v>
      </c>
      <c r="J2589" s="2">
        <f>IF(payments_raw[[#This Row],[amount]] &lt;= 0, 1, 0)</f>
        <v>0</v>
      </c>
      <c r="K25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0" spans="1:11" x14ac:dyDescent="0.3">
      <c r="A2590">
        <v>36749842</v>
      </c>
      <c r="B2590">
        <v>9522069</v>
      </c>
      <c r="C2590" s="1">
        <v>45646</v>
      </c>
      <c r="D2590">
        <v>390</v>
      </c>
      <c r="E2590">
        <f>IF(
  ISNA(
    _xlfn.XLOOKUP(
      payments_raw[[#This Row],[subscription_id]],
      subscriptions[subscription_id],
      subscriptions[subscription_id]
    )
  ),
  0,
  1
)</f>
        <v>1</v>
      </c>
      <c r="F2590" s="1">
        <f>_xlfn.XLOOKUP(payments_raw[[#This Row],[subscription_id]], subscriptions[subscription_id], subscriptions[start_date])</f>
        <v>45395</v>
      </c>
      <c r="G25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0" s="2">
        <f>IF(payments_raw[[#This Row],[payment_date]] &lt; payments_raw[[#This Row],[sub_start_date]], 1, 0)</f>
        <v>0</v>
      </c>
      <c r="I2590" s="2">
        <f>IF(AND(payments_raw[[#This Row],[sub_end_date]]&lt;&gt;"", payments_raw[[#This Row],[payment_date]] &gt; payments_raw[[#This Row],[sub_end_date]]), 1, 0)</f>
        <v>0</v>
      </c>
      <c r="J2590" s="2">
        <f>IF(payments_raw[[#This Row],[amount]] &lt;= 0, 1, 0)</f>
        <v>0</v>
      </c>
      <c r="K25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1" spans="1:11" x14ac:dyDescent="0.3">
      <c r="A2591">
        <v>29915816</v>
      </c>
      <c r="B2591">
        <v>6086875</v>
      </c>
      <c r="C2591" s="1">
        <v>45116</v>
      </c>
      <c r="D2591">
        <v>142.5</v>
      </c>
      <c r="E2591">
        <f>IF(
  ISNA(
    _xlfn.XLOOKUP(
      payments_raw[[#This Row],[subscription_id]],
      subscriptions[subscription_id],
      subscriptions[subscription_id]
    )
  ),
  0,
  1
)</f>
        <v>1</v>
      </c>
      <c r="F2591" s="1">
        <f>_xlfn.XLOOKUP(payments_raw[[#This Row],[subscription_id]], subscriptions[subscription_id], subscriptions[start_date])</f>
        <v>45061</v>
      </c>
      <c r="G25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45116</v>
      </c>
      <c r="H2591" s="2">
        <f>IF(payments_raw[[#This Row],[payment_date]] &lt; payments_raw[[#This Row],[sub_start_date]], 1, 0)</f>
        <v>0</v>
      </c>
      <c r="I2591" s="2">
        <f>IF(AND(payments_raw[[#This Row],[sub_end_date]]&lt;&gt;"", payments_raw[[#This Row],[payment_date]] &gt; payments_raw[[#This Row],[sub_end_date]]), 1, 0)</f>
        <v>0</v>
      </c>
      <c r="J2591" s="2">
        <f>IF(payments_raw[[#This Row],[amount]] &lt;= 0, 1, 0)</f>
        <v>0</v>
      </c>
      <c r="K25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2" spans="1:11" x14ac:dyDescent="0.3">
      <c r="A2592">
        <v>10199996</v>
      </c>
      <c r="B2592">
        <v>7994575</v>
      </c>
      <c r="C2592" s="1">
        <v>45326</v>
      </c>
      <c r="D2592">
        <v>390</v>
      </c>
      <c r="E2592">
        <f>IF(
  ISNA(
    _xlfn.XLOOKUP(
      payments_raw[[#This Row],[subscription_id]],
      subscriptions[subscription_id],
      subscriptions[subscription_id]
    )
  ),
  0,
  1
)</f>
        <v>1</v>
      </c>
      <c r="F2592" s="1">
        <f>_xlfn.XLOOKUP(payments_raw[[#This Row],[subscription_id]], subscriptions[subscription_id], subscriptions[start_date])</f>
        <v>45113</v>
      </c>
      <c r="G25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2" s="2">
        <f>IF(payments_raw[[#This Row],[payment_date]] &lt; payments_raw[[#This Row],[sub_start_date]], 1, 0)</f>
        <v>0</v>
      </c>
      <c r="I2592" s="2">
        <f>IF(AND(payments_raw[[#This Row],[sub_end_date]]&lt;&gt;"", payments_raw[[#This Row],[payment_date]] &gt; payments_raw[[#This Row],[sub_end_date]]), 1, 0)</f>
        <v>0</v>
      </c>
      <c r="J2592" s="2">
        <f>IF(payments_raw[[#This Row],[amount]] &lt;= 0, 1, 0)</f>
        <v>0</v>
      </c>
      <c r="K25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3" spans="1:11" x14ac:dyDescent="0.3">
      <c r="A2593">
        <v>10265528</v>
      </c>
      <c r="B2593">
        <v>2451280</v>
      </c>
      <c r="C2593" s="1">
        <v>45588</v>
      </c>
      <c r="D2593">
        <v>351</v>
      </c>
      <c r="E2593">
        <f>IF(
  ISNA(
    _xlfn.XLOOKUP(
      payments_raw[[#This Row],[subscription_id]],
      subscriptions[subscription_id],
      subscriptions[subscription_id]
    )
  ),
  0,
  1
)</f>
        <v>1</v>
      </c>
      <c r="F2593" s="1">
        <f>_xlfn.XLOOKUP(payments_raw[[#This Row],[subscription_id]], subscriptions[subscription_id], subscriptions[start_date])</f>
        <v>45581</v>
      </c>
      <c r="G25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3" s="2">
        <f>IF(payments_raw[[#This Row],[payment_date]] &lt; payments_raw[[#This Row],[sub_start_date]], 1, 0)</f>
        <v>0</v>
      </c>
      <c r="I2593" s="2">
        <f>IF(AND(payments_raw[[#This Row],[sub_end_date]]&lt;&gt;"", payments_raw[[#This Row],[payment_date]] &gt; payments_raw[[#This Row],[sub_end_date]]), 1, 0)</f>
        <v>0</v>
      </c>
      <c r="J2593" s="2">
        <f>IF(payments_raw[[#This Row],[amount]] &lt;= 0, 1, 0)</f>
        <v>0</v>
      </c>
      <c r="K25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4" spans="1:11" x14ac:dyDescent="0.3">
      <c r="A2594">
        <v>79658618</v>
      </c>
      <c r="B2594">
        <v>4524641</v>
      </c>
      <c r="C2594" s="1">
        <v>45488</v>
      </c>
      <c r="D2594">
        <v>149</v>
      </c>
      <c r="E2594">
        <f>IF(
  ISNA(
    _xlfn.XLOOKUP(
      payments_raw[[#This Row],[subscription_id]],
      subscriptions[subscription_id],
      subscriptions[subscription_id]
    )
  ),
  0,
  1
)</f>
        <v>1</v>
      </c>
      <c r="F2594" s="1">
        <f>_xlfn.XLOOKUP(payments_raw[[#This Row],[subscription_id]], subscriptions[subscription_id], subscriptions[start_date])</f>
        <v>45103</v>
      </c>
      <c r="G25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4" s="2">
        <f>IF(payments_raw[[#This Row],[payment_date]] &lt; payments_raw[[#This Row],[sub_start_date]], 1, 0)</f>
        <v>0</v>
      </c>
      <c r="I2594" s="2">
        <f>IF(AND(payments_raw[[#This Row],[sub_end_date]]&lt;&gt;"", payments_raw[[#This Row],[payment_date]] &gt; payments_raw[[#This Row],[sub_end_date]]), 1, 0)</f>
        <v>0</v>
      </c>
      <c r="J2594" s="2">
        <f>IF(payments_raw[[#This Row],[amount]] &lt;= 0, 1, 0)</f>
        <v>0</v>
      </c>
      <c r="K25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5" spans="1:11" x14ac:dyDescent="0.3">
      <c r="A2595">
        <v>49150077</v>
      </c>
      <c r="B2595">
        <v>5832995</v>
      </c>
      <c r="C2595" s="1">
        <v>45476</v>
      </c>
      <c r="D2595">
        <v>39</v>
      </c>
      <c r="E2595">
        <f>IF(
  ISNA(
    _xlfn.XLOOKUP(
      payments_raw[[#This Row],[subscription_id]],
      subscriptions[subscription_id],
      subscriptions[subscription_id]
    )
  ),
  0,
  1
)</f>
        <v>1</v>
      </c>
      <c r="F2595" s="1">
        <f>_xlfn.XLOOKUP(payments_raw[[#This Row],[subscription_id]], subscriptions[subscription_id], subscriptions[start_date])</f>
        <v>44715</v>
      </c>
      <c r="G25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5" s="2">
        <f>IF(payments_raw[[#This Row],[payment_date]] &lt; payments_raw[[#This Row],[sub_start_date]], 1, 0)</f>
        <v>0</v>
      </c>
      <c r="I2595" s="2">
        <f>IF(AND(payments_raw[[#This Row],[sub_end_date]]&lt;&gt;"", payments_raw[[#This Row],[payment_date]] &gt; payments_raw[[#This Row],[sub_end_date]]), 1, 0)</f>
        <v>0</v>
      </c>
      <c r="J2595" s="2">
        <f>IF(payments_raw[[#This Row],[amount]] &lt;= 0, 1, 0)</f>
        <v>0</v>
      </c>
      <c r="K25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6" spans="1:11" x14ac:dyDescent="0.3">
      <c r="A2596">
        <v>64130831</v>
      </c>
      <c r="B2596">
        <v>1750288</v>
      </c>
      <c r="C2596" s="1">
        <v>45465</v>
      </c>
      <c r="D2596">
        <v>19</v>
      </c>
      <c r="E2596">
        <f>IF(
  ISNA(
    _xlfn.XLOOKUP(
      payments_raw[[#This Row],[subscription_id]],
      subscriptions[subscription_id],
      subscriptions[subscription_id]
    )
  ),
  0,
  1
)</f>
        <v>1</v>
      </c>
      <c r="F2596" s="1">
        <f>_xlfn.XLOOKUP(payments_raw[[#This Row],[subscription_id]], subscriptions[subscription_id], subscriptions[start_date])</f>
        <v>45001</v>
      </c>
      <c r="G25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6" s="2">
        <f>IF(payments_raw[[#This Row],[payment_date]] &lt; payments_raw[[#This Row],[sub_start_date]], 1, 0)</f>
        <v>0</v>
      </c>
      <c r="I2596" s="2">
        <f>IF(AND(payments_raw[[#This Row],[sub_end_date]]&lt;&gt;"", payments_raw[[#This Row],[payment_date]] &gt; payments_raw[[#This Row],[sub_end_date]]), 1, 0)</f>
        <v>0</v>
      </c>
      <c r="J2596" s="2">
        <f>IF(payments_raw[[#This Row],[amount]] &lt;= 0, 1, 0)</f>
        <v>0</v>
      </c>
      <c r="K25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7" spans="1:11" x14ac:dyDescent="0.3">
      <c r="A2597">
        <v>24929023</v>
      </c>
      <c r="B2597">
        <v>9177419</v>
      </c>
      <c r="C2597" s="1">
        <v>44585</v>
      </c>
      <c r="D2597">
        <v>171</v>
      </c>
      <c r="E2597">
        <f>IF(
  ISNA(
    _xlfn.XLOOKUP(
      payments_raw[[#This Row],[subscription_id]],
      subscriptions[subscription_id],
      subscriptions[subscription_id]
    )
  ),
  0,
  1
)</f>
        <v>1</v>
      </c>
      <c r="F2597" s="1">
        <f>_xlfn.XLOOKUP(payments_raw[[#This Row],[subscription_id]], subscriptions[subscription_id], subscriptions[start_date])</f>
        <v>44576</v>
      </c>
      <c r="G25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7" s="2">
        <f>IF(payments_raw[[#This Row],[payment_date]] &lt; payments_raw[[#This Row],[sub_start_date]], 1, 0)</f>
        <v>0</v>
      </c>
      <c r="I2597" s="2">
        <f>IF(AND(payments_raw[[#This Row],[sub_end_date]]&lt;&gt;"", payments_raw[[#This Row],[payment_date]] &gt; payments_raw[[#This Row],[sub_end_date]]), 1, 0)</f>
        <v>0</v>
      </c>
      <c r="J2597" s="2">
        <f>IF(payments_raw[[#This Row],[amount]] &lt;= 0, 1, 0)</f>
        <v>0</v>
      </c>
      <c r="K25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8" spans="1:11" x14ac:dyDescent="0.3">
      <c r="A2598">
        <v>86737279</v>
      </c>
      <c r="B2598">
        <v>7103458</v>
      </c>
      <c r="C2598" s="1">
        <v>44779</v>
      </c>
      <c r="D2598">
        <v>149</v>
      </c>
      <c r="E2598">
        <f>IF(
  ISNA(
    _xlfn.XLOOKUP(
      payments_raw[[#This Row],[subscription_id]],
      subscriptions[subscription_id],
      subscriptions[subscription_id]
    )
  ),
  0,
  1
)</f>
        <v>1</v>
      </c>
      <c r="F2598" s="1">
        <f>_xlfn.XLOOKUP(payments_raw[[#This Row],[subscription_id]], subscriptions[subscription_id], subscriptions[start_date])</f>
        <v>44595</v>
      </c>
      <c r="G25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598" s="2">
        <f>IF(payments_raw[[#This Row],[payment_date]] &lt; payments_raw[[#This Row],[sub_start_date]], 1, 0)</f>
        <v>0</v>
      </c>
      <c r="I2598" s="2">
        <f>IF(AND(payments_raw[[#This Row],[sub_end_date]]&lt;&gt;"", payments_raw[[#This Row],[payment_date]] &gt; payments_raw[[#This Row],[sub_end_date]]), 1, 0)</f>
        <v>0</v>
      </c>
      <c r="J2598" s="2">
        <f>IF(payments_raw[[#This Row],[amount]] &lt;= 0, 1, 0)</f>
        <v>0</v>
      </c>
      <c r="K25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599" spans="1:11" x14ac:dyDescent="0.3">
      <c r="A2599">
        <v>25986801</v>
      </c>
      <c r="B2599">
        <v>5762844</v>
      </c>
      <c r="C2599" s="1">
        <v>45592</v>
      </c>
      <c r="D2599">
        <v>2990</v>
      </c>
      <c r="E2599">
        <f>IF(
  ISNA(
    _xlfn.XLOOKUP(
      payments_raw[[#This Row],[subscription_id]],
      subscriptions[subscription_id],
      subscriptions[subscription_id]
    )
  ),
  0,
  1
)</f>
        <v>1</v>
      </c>
      <c r="F2599" s="1">
        <f>_xlfn.XLOOKUP(payments_raw[[#This Row],[subscription_id]], subscriptions[subscription_id], subscriptions[start_date])</f>
        <v>45567</v>
      </c>
      <c r="G25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2599" s="2">
        <f>IF(payments_raw[[#This Row],[payment_date]] &lt; payments_raw[[#This Row],[sub_start_date]], 1, 0)</f>
        <v>0</v>
      </c>
      <c r="I2599" s="2">
        <f>IF(AND(payments_raw[[#This Row],[sub_end_date]]&lt;&gt;"", payments_raw[[#This Row],[payment_date]] &gt; payments_raw[[#This Row],[sub_end_date]]), 1, 0)</f>
        <v>0</v>
      </c>
      <c r="J2599" s="2">
        <f>IF(payments_raw[[#This Row],[amount]] &lt;= 0, 1, 0)</f>
        <v>0</v>
      </c>
      <c r="K25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0" spans="1:11" x14ac:dyDescent="0.3">
      <c r="A2600">
        <v>13106154</v>
      </c>
      <c r="B2600">
        <v>3161173</v>
      </c>
      <c r="C2600" s="1">
        <v>45058</v>
      </c>
      <c r="D2600">
        <v>2990</v>
      </c>
      <c r="E2600">
        <f>IF(
  ISNA(
    _xlfn.XLOOKUP(
      payments_raw[[#This Row],[subscription_id]],
      subscriptions[subscription_id],
      subscriptions[subscription_id]
    )
  ),
  0,
  1
)</f>
        <v>1</v>
      </c>
      <c r="F2600" s="1">
        <f>_xlfn.XLOOKUP(payments_raw[[#This Row],[subscription_id]], subscriptions[subscription_id], subscriptions[start_date])</f>
        <v>44984</v>
      </c>
      <c r="G26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45058</v>
      </c>
      <c r="H2600" s="2">
        <f>IF(payments_raw[[#This Row],[payment_date]] &lt; payments_raw[[#This Row],[sub_start_date]], 1, 0)</f>
        <v>0</v>
      </c>
      <c r="I2600" s="2">
        <f>IF(AND(payments_raw[[#This Row],[sub_end_date]]&lt;&gt;"", payments_raw[[#This Row],[payment_date]] &gt; payments_raw[[#This Row],[sub_end_date]]), 1, 0)</f>
        <v>0</v>
      </c>
      <c r="J2600" s="2">
        <f>IF(payments_raw[[#This Row],[amount]] &lt;= 0, 1, 0)</f>
        <v>0</v>
      </c>
      <c r="K26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1" spans="1:11" x14ac:dyDescent="0.3">
      <c r="A2601">
        <v>22394373</v>
      </c>
      <c r="B2601">
        <v>2657659</v>
      </c>
      <c r="C2601" s="1">
        <v>45184</v>
      </c>
      <c r="D2601">
        <v>39</v>
      </c>
      <c r="E2601">
        <f>IF(
  ISNA(
    _xlfn.XLOOKUP(
      payments_raw[[#This Row],[subscription_id]],
      subscriptions[subscription_id],
      subscriptions[subscription_id]
    )
  ),
  0,
  1
)</f>
        <v>1</v>
      </c>
      <c r="F2601" s="1">
        <f>_xlfn.XLOOKUP(payments_raw[[#This Row],[subscription_id]], subscriptions[subscription_id], subscriptions[start_date])</f>
        <v>45160</v>
      </c>
      <c r="G26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45204</v>
      </c>
      <c r="H2601" s="2">
        <f>IF(payments_raw[[#This Row],[payment_date]] &lt; payments_raw[[#This Row],[sub_start_date]], 1, 0)</f>
        <v>0</v>
      </c>
      <c r="I2601" s="2">
        <f>IF(AND(payments_raw[[#This Row],[sub_end_date]]&lt;&gt;"", payments_raw[[#This Row],[payment_date]] &gt; payments_raw[[#This Row],[sub_end_date]]), 1, 0)</f>
        <v>0</v>
      </c>
      <c r="J2601" s="2">
        <f>IF(payments_raw[[#This Row],[amount]] &lt;= 0, 1, 0)</f>
        <v>0</v>
      </c>
      <c r="K26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2" spans="1:11" x14ac:dyDescent="0.3">
      <c r="A2602">
        <v>94258614</v>
      </c>
      <c r="B2602">
        <v>3481086</v>
      </c>
      <c r="C2602" s="1">
        <v>45174</v>
      </c>
      <c r="D2602">
        <v>79</v>
      </c>
      <c r="E2602">
        <f>IF(
  ISNA(
    _xlfn.XLOOKUP(
      payments_raw[[#This Row],[subscription_id]],
      subscriptions[subscription_id],
      subscriptions[subscription_id]
    )
  ),
  0,
  1
)</f>
        <v>1</v>
      </c>
      <c r="F2602" s="1">
        <f>_xlfn.XLOOKUP(payments_raw[[#This Row],[subscription_id]], subscriptions[subscription_id], subscriptions[start_date])</f>
        <v>45097</v>
      </c>
      <c r="G26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45475</v>
      </c>
      <c r="H2602" s="2">
        <f>IF(payments_raw[[#This Row],[payment_date]] &lt; payments_raw[[#This Row],[sub_start_date]], 1, 0)</f>
        <v>0</v>
      </c>
      <c r="I2602" s="2">
        <f>IF(AND(payments_raw[[#This Row],[sub_end_date]]&lt;&gt;"", payments_raw[[#This Row],[payment_date]] &gt; payments_raw[[#This Row],[sub_end_date]]), 1, 0)</f>
        <v>0</v>
      </c>
      <c r="J2602" s="2">
        <f>IF(payments_raw[[#This Row],[amount]] &lt;= 0, 1, 0)</f>
        <v>0</v>
      </c>
      <c r="K26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3" spans="1:11" x14ac:dyDescent="0.3">
      <c r="A2603">
        <v>28637972</v>
      </c>
      <c r="B2603">
        <v>7235826</v>
      </c>
      <c r="C2603" s="1">
        <v>45022</v>
      </c>
      <c r="D2603">
        <v>39</v>
      </c>
      <c r="E2603">
        <f>IF(
  ISNA(
    _xlfn.XLOOKUP(
      payments_raw[[#This Row],[subscription_id]],
      subscriptions[subscription_id],
      subscriptions[subscription_id]
    )
  ),
  0,
  1
)</f>
        <v>1</v>
      </c>
      <c r="F2603" s="1">
        <f>_xlfn.XLOOKUP(payments_raw[[#This Row],[subscription_id]], subscriptions[subscription_id], subscriptions[start_date])</f>
        <v>44672</v>
      </c>
      <c r="G26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45041</v>
      </c>
      <c r="H2603" s="2">
        <f>IF(payments_raw[[#This Row],[payment_date]] &lt; payments_raw[[#This Row],[sub_start_date]], 1, 0)</f>
        <v>0</v>
      </c>
      <c r="I2603" s="2">
        <f>IF(AND(payments_raw[[#This Row],[sub_end_date]]&lt;&gt;"", payments_raw[[#This Row],[payment_date]] &gt; payments_raw[[#This Row],[sub_end_date]]), 1, 0)</f>
        <v>0</v>
      </c>
      <c r="J2603" s="2">
        <f>IF(payments_raw[[#This Row],[amount]] &lt;= 0, 1, 0)</f>
        <v>0</v>
      </c>
      <c r="K26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4" spans="1:11" x14ac:dyDescent="0.3">
      <c r="A2604">
        <v>71303454</v>
      </c>
      <c r="B2604">
        <v>8123479</v>
      </c>
      <c r="C2604" s="1">
        <v>45640</v>
      </c>
      <c r="D2604">
        <v>190</v>
      </c>
      <c r="E2604">
        <f>IF(
  ISNA(
    _xlfn.XLOOKUP(
      payments_raw[[#This Row],[subscription_id]],
      subscriptions[subscription_id],
      subscriptions[subscription_id]
    )
  ),
  0,
  1
)</f>
        <v>1</v>
      </c>
      <c r="F2604" s="1">
        <f>_xlfn.XLOOKUP(payments_raw[[#This Row],[subscription_id]], subscriptions[subscription_id], subscriptions[start_date])</f>
        <v>45368</v>
      </c>
      <c r="G26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04" s="2">
        <f>IF(payments_raw[[#This Row],[payment_date]] &lt; payments_raw[[#This Row],[sub_start_date]], 1, 0)</f>
        <v>0</v>
      </c>
      <c r="I2604" s="2">
        <f>IF(AND(payments_raw[[#This Row],[sub_end_date]]&lt;&gt;"", payments_raw[[#This Row],[payment_date]] &gt; payments_raw[[#This Row],[sub_end_date]]), 1, 0)</f>
        <v>0</v>
      </c>
      <c r="J2604" s="2">
        <f>IF(payments_raw[[#This Row],[amount]] &lt;= 0, 1, 0)</f>
        <v>0</v>
      </c>
      <c r="K26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5" spans="1:11" x14ac:dyDescent="0.3">
      <c r="A2605">
        <v>87466401</v>
      </c>
      <c r="B2605">
        <v>3981886</v>
      </c>
      <c r="C2605" s="1">
        <v>45462</v>
      </c>
      <c r="D2605">
        <v>149</v>
      </c>
      <c r="E2605">
        <f>IF(
  ISNA(
    _xlfn.XLOOKUP(
      payments_raw[[#This Row],[subscription_id]],
      subscriptions[subscription_id],
      subscriptions[subscription_id]
    )
  ),
  0,
  1
)</f>
        <v>1</v>
      </c>
      <c r="F2605" s="1">
        <f>_xlfn.XLOOKUP(payments_raw[[#This Row],[subscription_id]], subscriptions[subscription_id], subscriptions[start_date])</f>
        <v>45369</v>
      </c>
      <c r="G26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45495</v>
      </c>
      <c r="H2605" s="2">
        <f>IF(payments_raw[[#This Row],[payment_date]] &lt; payments_raw[[#This Row],[sub_start_date]], 1, 0)</f>
        <v>0</v>
      </c>
      <c r="I2605" s="2">
        <f>IF(AND(payments_raw[[#This Row],[sub_end_date]]&lt;&gt;"", payments_raw[[#This Row],[payment_date]] &gt; payments_raw[[#This Row],[sub_end_date]]), 1, 0)</f>
        <v>0</v>
      </c>
      <c r="J2605" s="2">
        <f>IF(payments_raw[[#This Row],[amount]] &lt;= 0, 1, 0)</f>
        <v>0</v>
      </c>
      <c r="K26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6" spans="1:11" x14ac:dyDescent="0.3">
      <c r="A2606">
        <v>92916480</v>
      </c>
      <c r="B2606">
        <v>2255341</v>
      </c>
      <c r="C2606" s="1">
        <v>45436</v>
      </c>
      <c r="D2606">
        <v>39</v>
      </c>
      <c r="E2606">
        <f>IF(
  ISNA(
    _xlfn.XLOOKUP(
      payments_raw[[#This Row],[subscription_id]],
      subscriptions[subscription_id],
      subscriptions[subscription_id]
    )
  ),
  0,
  1
)</f>
        <v>1</v>
      </c>
      <c r="F2606" s="1">
        <f>_xlfn.XLOOKUP(payments_raw[[#This Row],[subscription_id]], subscriptions[subscription_id], subscriptions[start_date])</f>
        <v>45425</v>
      </c>
      <c r="G26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2606" s="2">
        <f>IF(payments_raw[[#This Row],[payment_date]] &lt; payments_raw[[#This Row],[sub_start_date]], 1, 0)</f>
        <v>0</v>
      </c>
      <c r="I2606" s="2">
        <f>IF(AND(payments_raw[[#This Row],[sub_end_date]]&lt;&gt;"", payments_raw[[#This Row],[payment_date]] &gt; payments_raw[[#This Row],[sub_end_date]]), 1, 0)</f>
        <v>0</v>
      </c>
      <c r="J2606" s="2">
        <f>IF(payments_raw[[#This Row],[amount]] &lt;= 0, 1, 0)</f>
        <v>0</v>
      </c>
      <c r="K26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7" spans="1:11" x14ac:dyDescent="0.3">
      <c r="A2607">
        <v>82716080</v>
      </c>
      <c r="B2607">
        <v>8938605</v>
      </c>
      <c r="C2607" s="1">
        <v>45460</v>
      </c>
      <c r="D2607">
        <v>299</v>
      </c>
      <c r="E2607">
        <f>IF(
  ISNA(
    _xlfn.XLOOKUP(
      payments_raw[[#This Row],[subscription_id]],
      subscriptions[subscription_id],
      subscriptions[subscription_id]
    )
  ),
  0,
  1
)</f>
        <v>1</v>
      </c>
      <c r="F2607" s="1">
        <f>_xlfn.XLOOKUP(payments_raw[[#This Row],[subscription_id]], subscriptions[subscription_id], subscriptions[start_date])</f>
        <v>45288</v>
      </c>
      <c r="G26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07" s="2">
        <f>IF(payments_raw[[#This Row],[payment_date]] &lt; payments_raw[[#This Row],[sub_start_date]], 1, 0)</f>
        <v>0</v>
      </c>
      <c r="I2607" s="2">
        <f>IF(AND(payments_raw[[#This Row],[sub_end_date]]&lt;&gt;"", payments_raw[[#This Row],[payment_date]] &gt; payments_raw[[#This Row],[sub_end_date]]), 1, 0)</f>
        <v>0</v>
      </c>
      <c r="J2607" s="2">
        <f>IF(payments_raw[[#This Row],[amount]] &lt;= 0, 1, 0)</f>
        <v>0</v>
      </c>
      <c r="K26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8" spans="1:11" x14ac:dyDescent="0.3">
      <c r="A2608">
        <v>21032763</v>
      </c>
      <c r="B2608">
        <v>2818665</v>
      </c>
      <c r="C2608" s="1">
        <v>45650</v>
      </c>
      <c r="D2608">
        <v>299</v>
      </c>
      <c r="E2608">
        <f>IF(
  ISNA(
    _xlfn.XLOOKUP(
      payments_raw[[#This Row],[subscription_id]],
      subscriptions[subscription_id],
      subscriptions[subscription_id]
    )
  ),
  0,
  1
)</f>
        <v>1</v>
      </c>
      <c r="F2608" s="1">
        <f>_xlfn.XLOOKUP(payments_raw[[#This Row],[subscription_id]], subscriptions[subscription_id], subscriptions[start_date])</f>
        <v>44775</v>
      </c>
      <c r="G26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08" s="2">
        <f>IF(payments_raw[[#This Row],[payment_date]] &lt; payments_raw[[#This Row],[sub_start_date]], 1, 0)</f>
        <v>0</v>
      </c>
      <c r="I2608" s="2">
        <f>IF(AND(payments_raw[[#This Row],[sub_end_date]]&lt;&gt;"", payments_raw[[#This Row],[payment_date]] &gt; payments_raw[[#This Row],[sub_end_date]]), 1, 0)</f>
        <v>0</v>
      </c>
      <c r="J2608" s="2">
        <f>IF(payments_raw[[#This Row],[amount]] &lt;= 0, 1, 0)</f>
        <v>0</v>
      </c>
      <c r="K26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09" spans="1:11" x14ac:dyDescent="0.3">
      <c r="A2609">
        <v>83499395</v>
      </c>
      <c r="B2609">
        <v>4415979</v>
      </c>
      <c r="C2609" s="1">
        <v>45630</v>
      </c>
      <c r="D2609">
        <v>1490</v>
      </c>
      <c r="E2609">
        <f>IF(
  ISNA(
    _xlfn.XLOOKUP(
      payments_raw[[#This Row],[subscription_id]],
      subscriptions[subscription_id],
      subscriptions[subscription_id]
    )
  ),
  0,
  1
)</f>
        <v>1</v>
      </c>
      <c r="F2609" s="1">
        <f>_xlfn.XLOOKUP(payments_raw[[#This Row],[subscription_id]], subscriptions[subscription_id], subscriptions[start_date])</f>
        <v>45576</v>
      </c>
      <c r="G26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09" s="2">
        <f>IF(payments_raw[[#This Row],[payment_date]] &lt; payments_raw[[#This Row],[sub_start_date]], 1, 0)</f>
        <v>0</v>
      </c>
      <c r="I2609" s="2">
        <f>IF(AND(payments_raw[[#This Row],[sub_end_date]]&lt;&gt;"", payments_raw[[#This Row],[payment_date]] &gt; payments_raw[[#This Row],[sub_end_date]]), 1, 0)</f>
        <v>0</v>
      </c>
      <c r="J2609" s="2">
        <f>IF(payments_raw[[#This Row],[amount]] &lt;= 0, 1, 0)</f>
        <v>0</v>
      </c>
      <c r="K26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0" spans="1:11" x14ac:dyDescent="0.3">
      <c r="A2610">
        <v>44629948</v>
      </c>
      <c r="B2610">
        <v>1664254</v>
      </c>
      <c r="C2610" s="1">
        <v>45405</v>
      </c>
      <c r="D2610">
        <v>790</v>
      </c>
      <c r="E2610">
        <f>IF(
  ISNA(
    _xlfn.XLOOKUP(
      payments_raw[[#This Row],[subscription_id]],
      subscriptions[subscription_id],
      subscriptions[subscription_id]
    )
  ),
  0,
  1
)</f>
        <v>1</v>
      </c>
      <c r="F2610" s="1">
        <f>_xlfn.XLOOKUP(payments_raw[[#This Row],[subscription_id]], subscriptions[subscription_id], subscriptions[start_date])</f>
        <v>45306</v>
      </c>
      <c r="G26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45541</v>
      </c>
      <c r="H2610" s="2">
        <f>IF(payments_raw[[#This Row],[payment_date]] &lt; payments_raw[[#This Row],[sub_start_date]], 1, 0)</f>
        <v>0</v>
      </c>
      <c r="I2610" s="2">
        <f>IF(AND(payments_raw[[#This Row],[sub_end_date]]&lt;&gt;"", payments_raw[[#This Row],[payment_date]] &gt; payments_raw[[#This Row],[sub_end_date]]), 1, 0)</f>
        <v>0</v>
      </c>
      <c r="J2610" s="2">
        <f>IF(payments_raw[[#This Row],[amount]] &lt;= 0, 1, 0)</f>
        <v>0</v>
      </c>
      <c r="K26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1" spans="1:11" x14ac:dyDescent="0.3">
      <c r="A2611">
        <v>16799765</v>
      </c>
      <c r="B2611">
        <v>2672723</v>
      </c>
      <c r="C2611" s="1">
        <v>45476</v>
      </c>
      <c r="D2611">
        <v>2990</v>
      </c>
      <c r="E2611">
        <f>IF(
  ISNA(
    _xlfn.XLOOKUP(
      payments_raw[[#This Row],[subscription_id]],
      subscriptions[subscription_id],
      subscriptions[subscription_id]
    )
  ),
  0,
  1
)</f>
        <v>1</v>
      </c>
      <c r="F2611" s="1">
        <f>_xlfn.XLOOKUP(payments_raw[[#This Row],[subscription_id]], subscriptions[subscription_id], subscriptions[start_date])</f>
        <v>45471</v>
      </c>
      <c r="G26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1" s="2">
        <f>IF(payments_raw[[#This Row],[payment_date]] &lt; payments_raw[[#This Row],[sub_start_date]], 1, 0)</f>
        <v>0</v>
      </c>
      <c r="I2611" s="2">
        <f>IF(AND(payments_raw[[#This Row],[sub_end_date]]&lt;&gt;"", payments_raw[[#This Row],[payment_date]] &gt; payments_raw[[#This Row],[sub_end_date]]), 1, 0)</f>
        <v>0</v>
      </c>
      <c r="J2611" s="2">
        <f>IF(payments_raw[[#This Row],[amount]] &lt;= 0, 1, 0)</f>
        <v>0</v>
      </c>
      <c r="K26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2" spans="1:11" x14ac:dyDescent="0.3">
      <c r="A2612">
        <v>89119532</v>
      </c>
      <c r="B2612">
        <v>1077963</v>
      </c>
      <c r="C2612" s="1">
        <v>45638</v>
      </c>
      <c r="D2612">
        <v>149</v>
      </c>
      <c r="E2612">
        <f>IF(
  ISNA(
    _xlfn.XLOOKUP(
      payments_raw[[#This Row],[subscription_id]],
      subscriptions[subscription_id],
      subscriptions[subscription_id]
    )
  ),
  0,
  1
)</f>
        <v>1</v>
      </c>
      <c r="F2612" s="1">
        <f>_xlfn.XLOOKUP(payments_raw[[#This Row],[subscription_id]], subscriptions[subscription_id], subscriptions[start_date])</f>
        <v>45507</v>
      </c>
      <c r="G26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2" s="2">
        <f>IF(payments_raw[[#This Row],[payment_date]] &lt; payments_raw[[#This Row],[sub_start_date]], 1, 0)</f>
        <v>0</v>
      </c>
      <c r="I2612" s="2">
        <f>IF(AND(payments_raw[[#This Row],[sub_end_date]]&lt;&gt;"", payments_raw[[#This Row],[payment_date]] &gt; payments_raw[[#This Row],[sub_end_date]]), 1, 0)</f>
        <v>0</v>
      </c>
      <c r="J2612" s="2">
        <f>IF(payments_raw[[#This Row],[amount]] &lt;= 0, 1, 0)</f>
        <v>0</v>
      </c>
      <c r="K26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3" spans="1:11" x14ac:dyDescent="0.3">
      <c r="A2613">
        <v>39409531</v>
      </c>
      <c r="B2613">
        <v>7635829</v>
      </c>
      <c r="C2613" s="1">
        <v>45286</v>
      </c>
      <c r="D2613">
        <v>190</v>
      </c>
      <c r="E2613">
        <f>IF(
  ISNA(
    _xlfn.XLOOKUP(
      payments_raw[[#This Row],[subscription_id]],
      subscriptions[subscription_id],
      subscriptions[subscription_id]
    )
  ),
  0,
  1
)</f>
        <v>1</v>
      </c>
      <c r="F2613" s="1">
        <f>_xlfn.XLOOKUP(payments_raw[[#This Row],[subscription_id]], subscriptions[subscription_id], subscriptions[start_date])</f>
        <v>45031</v>
      </c>
      <c r="G26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3" s="2">
        <f>IF(payments_raw[[#This Row],[payment_date]] &lt; payments_raw[[#This Row],[sub_start_date]], 1, 0)</f>
        <v>0</v>
      </c>
      <c r="I2613" s="2">
        <f>IF(AND(payments_raw[[#This Row],[sub_end_date]]&lt;&gt;"", payments_raw[[#This Row],[payment_date]] &gt; payments_raw[[#This Row],[sub_end_date]]), 1, 0)</f>
        <v>0</v>
      </c>
      <c r="J2613" s="2">
        <f>IF(payments_raw[[#This Row],[amount]] &lt;= 0, 1, 0)</f>
        <v>0</v>
      </c>
      <c r="K26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4" spans="1:11" x14ac:dyDescent="0.3">
      <c r="A2614">
        <v>22989735</v>
      </c>
      <c r="B2614">
        <v>6847188</v>
      </c>
      <c r="C2614" s="1">
        <v>45443</v>
      </c>
      <c r="D2614">
        <v>1490</v>
      </c>
      <c r="E2614">
        <f>IF(
  ISNA(
    _xlfn.XLOOKUP(
      payments_raw[[#This Row],[subscription_id]],
      subscriptions[subscription_id],
      subscriptions[subscription_id]
    )
  ),
  0,
  1
)</f>
        <v>1</v>
      </c>
      <c r="F2614" s="1">
        <f>_xlfn.XLOOKUP(payments_raw[[#This Row],[subscription_id]], subscriptions[subscription_id], subscriptions[start_date])</f>
        <v>44703</v>
      </c>
      <c r="G26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4" s="2">
        <f>IF(payments_raw[[#This Row],[payment_date]] &lt; payments_raw[[#This Row],[sub_start_date]], 1, 0)</f>
        <v>0</v>
      </c>
      <c r="I2614" s="2">
        <f>IF(AND(payments_raw[[#This Row],[sub_end_date]]&lt;&gt;"", payments_raw[[#This Row],[payment_date]] &gt; payments_raw[[#This Row],[sub_end_date]]), 1, 0)</f>
        <v>0</v>
      </c>
      <c r="J2614" s="2">
        <f>IF(payments_raw[[#This Row],[amount]] &lt;= 0, 1, 0)</f>
        <v>0</v>
      </c>
      <c r="K26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5" spans="1:11" x14ac:dyDescent="0.3">
      <c r="A2615">
        <v>69816708</v>
      </c>
      <c r="B2615">
        <v>7503423</v>
      </c>
      <c r="C2615" s="1">
        <v>45135</v>
      </c>
      <c r="D2615">
        <v>790</v>
      </c>
      <c r="E2615">
        <f>IF(
  ISNA(
    _xlfn.XLOOKUP(
      payments_raw[[#This Row],[subscription_id]],
      subscriptions[subscription_id],
      subscriptions[subscription_id]
    )
  ),
  0,
  1
)</f>
        <v>1</v>
      </c>
      <c r="F2615" s="1">
        <f>_xlfn.XLOOKUP(payments_raw[[#This Row],[subscription_id]], subscriptions[subscription_id], subscriptions[start_date])</f>
        <v>45051</v>
      </c>
      <c r="G26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5" s="2">
        <f>IF(payments_raw[[#This Row],[payment_date]] &lt; payments_raw[[#This Row],[sub_start_date]], 1, 0)</f>
        <v>0</v>
      </c>
      <c r="I2615" s="2">
        <f>IF(AND(payments_raw[[#This Row],[sub_end_date]]&lt;&gt;"", payments_raw[[#This Row],[payment_date]] &gt; payments_raw[[#This Row],[sub_end_date]]), 1, 0)</f>
        <v>0</v>
      </c>
      <c r="J2615" s="2">
        <f>IF(payments_raw[[#This Row],[amount]] &lt;= 0, 1, 0)</f>
        <v>0</v>
      </c>
      <c r="K26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6" spans="1:11" x14ac:dyDescent="0.3">
      <c r="A2616">
        <v>80248400</v>
      </c>
      <c r="B2616">
        <v>6739966</v>
      </c>
      <c r="C2616" s="1">
        <v>44876</v>
      </c>
      <c r="D2616">
        <v>149</v>
      </c>
      <c r="E2616">
        <f>IF(
  ISNA(
    _xlfn.XLOOKUP(
      payments_raw[[#This Row],[subscription_id]],
      subscriptions[subscription_id],
      subscriptions[subscription_id]
    )
  ),
  0,
  1
)</f>
        <v>1</v>
      </c>
      <c r="F2616" s="1">
        <f>_xlfn.XLOOKUP(payments_raw[[#This Row],[subscription_id]], subscriptions[subscription_id], subscriptions[start_date])</f>
        <v>44833</v>
      </c>
      <c r="G26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45231</v>
      </c>
      <c r="H2616" s="2">
        <f>IF(payments_raw[[#This Row],[payment_date]] &lt; payments_raw[[#This Row],[sub_start_date]], 1, 0)</f>
        <v>0</v>
      </c>
      <c r="I2616" s="2">
        <f>IF(AND(payments_raw[[#This Row],[sub_end_date]]&lt;&gt;"", payments_raw[[#This Row],[payment_date]] &gt; payments_raw[[#This Row],[sub_end_date]]), 1, 0)</f>
        <v>0</v>
      </c>
      <c r="J2616" s="2">
        <f>IF(payments_raw[[#This Row],[amount]] &lt;= 0, 1, 0)</f>
        <v>0</v>
      </c>
      <c r="K26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7" spans="1:11" x14ac:dyDescent="0.3">
      <c r="A2617">
        <v>98872644</v>
      </c>
      <c r="B2617">
        <v>2741350</v>
      </c>
      <c r="C2617" s="1">
        <v>45658</v>
      </c>
      <c r="D2617">
        <v>190</v>
      </c>
      <c r="E2617">
        <f>IF(
  ISNA(
    _xlfn.XLOOKUP(
      payments_raw[[#This Row],[subscription_id]],
      subscriptions[subscription_id],
      subscriptions[subscription_id]
    )
  ),
  0,
  1
)</f>
        <v>1</v>
      </c>
      <c r="F2617" s="1">
        <f>_xlfn.XLOOKUP(payments_raw[[#This Row],[subscription_id]], subscriptions[subscription_id], subscriptions[start_date])</f>
        <v>45040</v>
      </c>
      <c r="G26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17" s="2">
        <f>IF(payments_raw[[#This Row],[payment_date]] &lt; payments_raw[[#This Row],[sub_start_date]], 1, 0)</f>
        <v>0</v>
      </c>
      <c r="I2617" s="2">
        <f>IF(AND(payments_raw[[#This Row],[sub_end_date]]&lt;&gt;"", payments_raw[[#This Row],[payment_date]] &gt; payments_raw[[#This Row],[sub_end_date]]), 1, 0)</f>
        <v>0</v>
      </c>
      <c r="J2617" s="2">
        <f>IF(payments_raw[[#This Row],[amount]] &lt;= 0, 1, 0)</f>
        <v>0</v>
      </c>
      <c r="K26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8" spans="1:11" x14ac:dyDescent="0.3">
      <c r="A2618">
        <v>59577347</v>
      </c>
      <c r="B2618">
        <v>4654207</v>
      </c>
      <c r="C2618" s="1">
        <v>44712</v>
      </c>
      <c r="D2618">
        <v>190</v>
      </c>
      <c r="E2618">
        <f>IF(
  ISNA(
    _xlfn.XLOOKUP(
      payments_raw[[#This Row],[subscription_id]],
      subscriptions[subscription_id],
      subscriptions[subscription_id]
    )
  ),
  0,
  1
)</f>
        <v>1</v>
      </c>
      <c r="F2618" s="1">
        <f>_xlfn.XLOOKUP(payments_raw[[#This Row],[subscription_id]], subscriptions[subscription_id], subscriptions[start_date])</f>
        <v>44580</v>
      </c>
      <c r="G26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44872</v>
      </c>
      <c r="H2618" s="2">
        <f>IF(payments_raw[[#This Row],[payment_date]] &lt; payments_raw[[#This Row],[sub_start_date]], 1, 0)</f>
        <v>0</v>
      </c>
      <c r="I2618" s="2">
        <f>IF(AND(payments_raw[[#This Row],[sub_end_date]]&lt;&gt;"", payments_raw[[#This Row],[payment_date]] &gt; payments_raw[[#This Row],[sub_end_date]]), 1, 0)</f>
        <v>0</v>
      </c>
      <c r="J2618" s="2">
        <f>IF(payments_raw[[#This Row],[amount]] &lt;= 0, 1, 0)</f>
        <v>0</v>
      </c>
      <c r="K26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19" spans="1:11" x14ac:dyDescent="0.3">
      <c r="A2619">
        <v>28994710</v>
      </c>
      <c r="B2619">
        <v>1526365</v>
      </c>
      <c r="C2619" s="1">
        <v>45122</v>
      </c>
      <c r="D2619">
        <v>149</v>
      </c>
      <c r="E2619">
        <f>IF(
  ISNA(
    _xlfn.XLOOKUP(
      payments_raw[[#This Row],[subscription_id]],
      subscriptions[subscription_id],
      subscriptions[subscription_id]
    )
  ),
  0,
  1
)</f>
        <v>1</v>
      </c>
      <c r="F2619" s="1">
        <f>_xlfn.XLOOKUP(payments_raw[[#This Row],[subscription_id]], subscriptions[subscription_id], subscriptions[start_date])</f>
        <v>44829</v>
      </c>
      <c r="G26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45178</v>
      </c>
      <c r="H2619" s="2">
        <f>IF(payments_raw[[#This Row],[payment_date]] &lt; payments_raw[[#This Row],[sub_start_date]], 1, 0)</f>
        <v>0</v>
      </c>
      <c r="I2619" s="2">
        <f>IF(AND(payments_raw[[#This Row],[sub_end_date]]&lt;&gt;"", payments_raw[[#This Row],[payment_date]] &gt; payments_raw[[#This Row],[sub_end_date]]), 1, 0)</f>
        <v>0</v>
      </c>
      <c r="J2619" s="2">
        <f>IF(payments_raw[[#This Row],[amount]] &lt;= 0, 1, 0)</f>
        <v>0</v>
      </c>
      <c r="K26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0" spans="1:11" x14ac:dyDescent="0.3">
      <c r="A2620">
        <v>51479441</v>
      </c>
      <c r="B2620">
        <v>3019210</v>
      </c>
      <c r="C2620" s="1">
        <v>44799</v>
      </c>
      <c r="D2620">
        <v>1490</v>
      </c>
      <c r="E2620">
        <f>IF(
  ISNA(
    _xlfn.XLOOKUP(
      payments_raw[[#This Row],[subscription_id]],
      subscriptions[subscription_id],
      subscriptions[subscription_id]
    )
  ),
  0,
  1
)</f>
        <v>1</v>
      </c>
      <c r="F2620" s="1">
        <f>_xlfn.XLOOKUP(payments_raw[[#This Row],[subscription_id]], subscriptions[subscription_id], subscriptions[start_date])</f>
        <v>44646</v>
      </c>
      <c r="G26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0" s="2">
        <f>IF(payments_raw[[#This Row],[payment_date]] &lt; payments_raw[[#This Row],[sub_start_date]], 1, 0)</f>
        <v>0</v>
      </c>
      <c r="I2620" s="2">
        <f>IF(AND(payments_raw[[#This Row],[sub_end_date]]&lt;&gt;"", payments_raw[[#This Row],[payment_date]] &gt; payments_raw[[#This Row],[sub_end_date]]), 1, 0)</f>
        <v>0</v>
      </c>
      <c r="J2620" s="2">
        <f>IF(payments_raw[[#This Row],[amount]] &lt;= 0, 1, 0)</f>
        <v>0</v>
      </c>
      <c r="K26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1" spans="1:11" x14ac:dyDescent="0.3">
      <c r="A2621">
        <v>35382259</v>
      </c>
      <c r="B2621">
        <v>7078057</v>
      </c>
      <c r="C2621" s="1">
        <v>45583</v>
      </c>
      <c r="D2621">
        <v>39</v>
      </c>
      <c r="E2621">
        <f>IF(
  ISNA(
    _xlfn.XLOOKUP(
      payments_raw[[#This Row],[subscription_id]],
      subscriptions[subscription_id],
      subscriptions[subscription_id]
    )
  ),
  0,
  1
)</f>
        <v>1</v>
      </c>
      <c r="F2621" s="1">
        <f>_xlfn.XLOOKUP(payments_raw[[#This Row],[subscription_id]], subscriptions[subscription_id], subscriptions[start_date])</f>
        <v>45258</v>
      </c>
      <c r="G26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1" s="2">
        <f>IF(payments_raw[[#This Row],[payment_date]] &lt; payments_raw[[#This Row],[sub_start_date]], 1, 0)</f>
        <v>0</v>
      </c>
      <c r="I2621" s="2">
        <f>IF(AND(payments_raw[[#This Row],[sub_end_date]]&lt;&gt;"", payments_raw[[#This Row],[payment_date]] &gt; payments_raw[[#This Row],[sub_end_date]]), 1, 0)</f>
        <v>0</v>
      </c>
      <c r="J2621" s="2">
        <f>IF(payments_raw[[#This Row],[amount]] &lt;= 0, 1, 0)</f>
        <v>0</v>
      </c>
      <c r="K26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2" spans="1:11" x14ac:dyDescent="0.3">
      <c r="A2622">
        <v>99218645</v>
      </c>
      <c r="B2622">
        <v>6138255</v>
      </c>
      <c r="C2622" s="1">
        <v>44624</v>
      </c>
      <c r="D2622">
        <v>95</v>
      </c>
      <c r="E2622">
        <f>IF(
  ISNA(
    _xlfn.XLOOKUP(
      payments_raw[[#This Row],[subscription_id]],
      subscriptions[subscription_id],
      subscriptions[subscription_id]
    )
  ),
  0,
  1
)</f>
        <v>1</v>
      </c>
      <c r="F2622" s="1">
        <f>_xlfn.XLOOKUP(payments_raw[[#This Row],[subscription_id]], subscriptions[subscription_id], subscriptions[start_date])</f>
        <v>44618</v>
      </c>
      <c r="G262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44938</v>
      </c>
      <c r="H2622" s="2">
        <f>IF(payments_raw[[#This Row],[payment_date]] &lt; payments_raw[[#This Row],[sub_start_date]], 1, 0)</f>
        <v>0</v>
      </c>
      <c r="I2622" s="2">
        <f>IF(AND(payments_raw[[#This Row],[sub_end_date]]&lt;&gt;"", payments_raw[[#This Row],[payment_date]] &gt; payments_raw[[#This Row],[sub_end_date]]), 1, 0)</f>
        <v>0</v>
      </c>
      <c r="J2622" s="2">
        <f>IF(payments_raw[[#This Row],[amount]] &lt;= 0, 1, 0)</f>
        <v>0</v>
      </c>
      <c r="K26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3" spans="1:11" x14ac:dyDescent="0.3">
      <c r="A2623">
        <v>53478750</v>
      </c>
      <c r="B2623">
        <v>4157447</v>
      </c>
      <c r="C2623" s="1">
        <v>45006</v>
      </c>
      <c r="D2623">
        <v>190</v>
      </c>
      <c r="E2623">
        <f>IF(
  ISNA(
    _xlfn.XLOOKUP(
      payments_raw[[#This Row],[subscription_id]],
      subscriptions[subscription_id],
      subscriptions[subscription_id]
    )
  ),
  0,
  1
)</f>
        <v>1</v>
      </c>
      <c r="F2623" s="1">
        <f>_xlfn.XLOOKUP(payments_raw[[#This Row],[subscription_id]], subscriptions[subscription_id], subscriptions[start_date])</f>
        <v>44945</v>
      </c>
      <c r="G26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45091</v>
      </c>
      <c r="H2623" s="2">
        <f>IF(payments_raw[[#This Row],[payment_date]] &lt; payments_raw[[#This Row],[sub_start_date]], 1, 0)</f>
        <v>0</v>
      </c>
      <c r="I2623" s="2">
        <f>IF(AND(payments_raw[[#This Row],[sub_end_date]]&lt;&gt;"", payments_raw[[#This Row],[payment_date]] &gt; payments_raw[[#This Row],[sub_end_date]]), 1, 0)</f>
        <v>0</v>
      </c>
      <c r="J2623" s="2">
        <f>IF(payments_raw[[#This Row],[amount]] &lt;= 0, 1, 0)</f>
        <v>0</v>
      </c>
      <c r="K26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4" spans="1:11" x14ac:dyDescent="0.3">
      <c r="A2624">
        <v>65179030</v>
      </c>
      <c r="B2624">
        <v>4333354</v>
      </c>
      <c r="C2624" s="1">
        <v>45598</v>
      </c>
      <c r="D2624">
        <v>149</v>
      </c>
      <c r="E2624">
        <f>IF(
  ISNA(
    _xlfn.XLOOKUP(
      payments_raw[[#This Row],[subscription_id]],
      subscriptions[subscription_id],
      subscriptions[subscription_id]
    )
  ),
  0,
  1
)</f>
        <v>1</v>
      </c>
      <c r="F2624" s="1">
        <f>_xlfn.XLOOKUP(payments_raw[[#This Row],[subscription_id]], subscriptions[subscription_id], subscriptions[start_date])</f>
        <v>45597</v>
      </c>
      <c r="G26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4" s="2">
        <f>IF(payments_raw[[#This Row],[payment_date]] &lt; payments_raw[[#This Row],[sub_start_date]], 1, 0)</f>
        <v>0</v>
      </c>
      <c r="I2624" s="2">
        <f>IF(AND(payments_raw[[#This Row],[sub_end_date]]&lt;&gt;"", payments_raw[[#This Row],[payment_date]] &gt; payments_raw[[#This Row],[sub_end_date]]), 1, 0)</f>
        <v>0</v>
      </c>
      <c r="J2624" s="2">
        <f>IF(payments_raw[[#This Row],[amount]] &lt;= 0, 1, 0)</f>
        <v>0</v>
      </c>
      <c r="K26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5" spans="1:11" x14ac:dyDescent="0.3">
      <c r="A2625">
        <v>60339944</v>
      </c>
      <c r="B2625">
        <v>8214533</v>
      </c>
      <c r="C2625" s="1">
        <v>45645</v>
      </c>
      <c r="D2625">
        <v>19</v>
      </c>
      <c r="E2625">
        <f>IF(
  ISNA(
    _xlfn.XLOOKUP(
      payments_raw[[#This Row],[subscription_id]],
      subscriptions[subscription_id],
      subscriptions[subscription_id]
    )
  ),
  0,
  1
)</f>
        <v>1</v>
      </c>
      <c r="F2625" s="1">
        <f>_xlfn.XLOOKUP(payments_raw[[#This Row],[subscription_id]], subscriptions[subscription_id], subscriptions[start_date])</f>
        <v>45057</v>
      </c>
      <c r="G26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5" s="2">
        <f>IF(payments_raw[[#This Row],[payment_date]] &lt; payments_raw[[#This Row],[sub_start_date]], 1, 0)</f>
        <v>0</v>
      </c>
      <c r="I2625" s="2">
        <f>IF(AND(payments_raw[[#This Row],[sub_end_date]]&lt;&gt;"", payments_raw[[#This Row],[payment_date]] &gt; payments_raw[[#This Row],[sub_end_date]]), 1, 0)</f>
        <v>0</v>
      </c>
      <c r="J2625" s="2">
        <f>IF(payments_raw[[#This Row],[amount]] &lt;= 0, 1, 0)</f>
        <v>0</v>
      </c>
      <c r="K26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6" spans="1:11" x14ac:dyDescent="0.3">
      <c r="A2626">
        <v>43605818</v>
      </c>
      <c r="B2626">
        <v>9792694</v>
      </c>
      <c r="C2626" s="1">
        <v>45113</v>
      </c>
      <c r="D2626">
        <v>190</v>
      </c>
      <c r="E2626">
        <f>IF(
  ISNA(
    _xlfn.XLOOKUP(
      payments_raw[[#This Row],[subscription_id]],
      subscriptions[subscription_id],
      subscriptions[subscription_id]
    )
  ),
  0,
  1
)</f>
        <v>1</v>
      </c>
      <c r="F2626" s="1">
        <f>_xlfn.XLOOKUP(payments_raw[[#This Row],[subscription_id]], subscriptions[subscription_id], subscriptions[start_date])</f>
        <v>44968</v>
      </c>
      <c r="G26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45288</v>
      </c>
      <c r="H2626" s="2">
        <f>IF(payments_raw[[#This Row],[payment_date]] &lt; payments_raw[[#This Row],[sub_start_date]], 1, 0)</f>
        <v>0</v>
      </c>
      <c r="I2626" s="2">
        <f>IF(AND(payments_raw[[#This Row],[sub_end_date]]&lt;&gt;"", payments_raw[[#This Row],[payment_date]] &gt; payments_raw[[#This Row],[sub_end_date]]), 1, 0)</f>
        <v>0</v>
      </c>
      <c r="J2626" s="2">
        <f>IF(payments_raw[[#This Row],[amount]] &lt;= 0, 1, 0)</f>
        <v>0</v>
      </c>
      <c r="K26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7" spans="1:11" x14ac:dyDescent="0.3">
      <c r="A2627">
        <v>46686837</v>
      </c>
      <c r="B2627">
        <v>7463257</v>
      </c>
      <c r="C2627" s="1">
        <v>44877</v>
      </c>
      <c r="D2627">
        <v>790</v>
      </c>
      <c r="E2627">
        <f>IF(
  ISNA(
    _xlfn.XLOOKUP(
      payments_raw[[#This Row],[subscription_id]],
      subscriptions[subscription_id],
      subscriptions[subscription_id]
    )
  ),
  0,
  1
)</f>
        <v>1</v>
      </c>
      <c r="F2627" s="1">
        <f>_xlfn.XLOOKUP(payments_raw[[#This Row],[subscription_id]], subscriptions[subscription_id], subscriptions[start_date])</f>
        <v>44774</v>
      </c>
      <c r="G262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44954</v>
      </c>
      <c r="H2627" s="2">
        <f>IF(payments_raw[[#This Row],[payment_date]] &lt; payments_raw[[#This Row],[sub_start_date]], 1, 0)</f>
        <v>0</v>
      </c>
      <c r="I2627" s="2">
        <f>IF(AND(payments_raw[[#This Row],[sub_end_date]]&lt;&gt;"", payments_raw[[#This Row],[payment_date]] &gt; payments_raw[[#This Row],[sub_end_date]]), 1, 0)</f>
        <v>0</v>
      </c>
      <c r="J2627" s="2">
        <f>IF(payments_raw[[#This Row],[amount]] &lt;= 0, 1, 0)</f>
        <v>0</v>
      </c>
      <c r="K26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8" spans="1:11" x14ac:dyDescent="0.3">
      <c r="A2628">
        <v>29900441</v>
      </c>
      <c r="B2628">
        <v>8127514</v>
      </c>
      <c r="C2628" s="1">
        <v>45598</v>
      </c>
      <c r="D2628">
        <v>1495</v>
      </c>
      <c r="E2628">
        <f>IF(
  ISNA(
    _xlfn.XLOOKUP(
      payments_raw[[#This Row],[subscription_id]],
      subscriptions[subscription_id],
      subscriptions[subscription_id]
    )
  ),
  0,
  1
)</f>
        <v>1</v>
      </c>
      <c r="F2628" s="1">
        <f>_xlfn.XLOOKUP(payments_raw[[#This Row],[subscription_id]], subscriptions[subscription_id], subscriptions[start_date])</f>
        <v>44865</v>
      </c>
      <c r="G26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28" s="2">
        <f>IF(payments_raw[[#This Row],[payment_date]] &lt; payments_raw[[#This Row],[sub_start_date]], 1, 0)</f>
        <v>0</v>
      </c>
      <c r="I2628" s="2">
        <f>IF(AND(payments_raw[[#This Row],[sub_end_date]]&lt;&gt;"", payments_raw[[#This Row],[payment_date]] &gt; payments_raw[[#This Row],[sub_end_date]]), 1, 0)</f>
        <v>0</v>
      </c>
      <c r="J2628" s="2">
        <f>IF(payments_raw[[#This Row],[amount]] &lt;= 0, 1, 0)</f>
        <v>0</v>
      </c>
      <c r="K26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29" spans="1:11" x14ac:dyDescent="0.3">
      <c r="A2629">
        <v>83891751</v>
      </c>
      <c r="B2629">
        <v>8590547</v>
      </c>
      <c r="C2629" s="1">
        <v>44994</v>
      </c>
      <c r="D2629">
        <v>390</v>
      </c>
      <c r="E2629">
        <f>IF(
  ISNA(
    _xlfn.XLOOKUP(
      payments_raw[[#This Row],[subscription_id]],
      subscriptions[subscription_id],
      subscriptions[subscription_id]
    )
  ),
  0,
  1
)</f>
        <v>1</v>
      </c>
      <c r="F2629" s="1">
        <f>_xlfn.XLOOKUP(payments_raw[[#This Row],[subscription_id]], subscriptions[subscription_id], subscriptions[start_date])</f>
        <v>44977</v>
      </c>
      <c r="G26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45103</v>
      </c>
      <c r="H2629" s="2">
        <f>IF(payments_raw[[#This Row],[payment_date]] &lt; payments_raw[[#This Row],[sub_start_date]], 1, 0)</f>
        <v>0</v>
      </c>
      <c r="I2629" s="2">
        <f>IF(AND(payments_raw[[#This Row],[sub_end_date]]&lt;&gt;"", payments_raw[[#This Row],[payment_date]] &gt; payments_raw[[#This Row],[sub_end_date]]), 1, 0)</f>
        <v>0</v>
      </c>
      <c r="J2629" s="2">
        <f>IF(payments_raw[[#This Row],[amount]] &lt;= 0, 1, 0)</f>
        <v>0</v>
      </c>
      <c r="K26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0" spans="1:11" x14ac:dyDescent="0.3">
      <c r="A2630">
        <v>96431172</v>
      </c>
      <c r="B2630">
        <v>4654207</v>
      </c>
      <c r="C2630" s="1">
        <v>44588</v>
      </c>
      <c r="D2630">
        <v>190</v>
      </c>
      <c r="E2630">
        <f>IF(
  ISNA(
    _xlfn.XLOOKUP(
      payments_raw[[#This Row],[subscription_id]],
      subscriptions[subscription_id],
      subscriptions[subscription_id]
    )
  ),
  0,
  1
)</f>
        <v>1</v>
      </c>
      <c r="F2630" s="1">
        <f>_xlfn.XLOOKUP(payments_raw[[#This Row],[subscription_id]], subscriptions[subscription_id], subscriptions[start_date])</f>
        <v>44580</v>
      </c>
      <c r="G263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44872</v>
      </c>
      <c r="H2630" s="2">
        <f>IF(payments_raw[[#This Row],[payment_date]] &lt; payments_raw[[#This Row],[sub_start_date]], 1, 0)</f>
        <v>0</v>
      </c>
      <c r="I2630" s="2">
        <f>IF(AND(payments_raw[[#This Row],[sub_end_date]]&lt;&gt;"", payments_raw[[#This Row],[payment_date]] &gt; payments_raw[[#This Row],[sub_end_date]]), 1, 0)</f>
        <v>0</v>
      </c>
      <c r="J2630" s="2">
        <f>IF(payments_raw[[#This Row],[amount]] &lt;= 0, 1, 0)</f>
        <v>0</v>
      </c>
      <c r="K26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1" spans="1:11" x14ac:dyDescent="0.3">
      <c r="A2631">
        <v>82353403</v>
      </c>
      <c r="B2631">
        <v>4115619</v>
      </c>
      <c r="C2631" s="1">
        <v>45026</v>
      </c>
      <c r="D2631">
        <v>299</v>
      </c>
      <c r="E2631">
        <f>IF(
  ISNA(
    _xlfn.XLOOKUP(
      payments_raw[[#This Row],[subscription_id]],
      subscriptions[subscription_id],
      subscriptions[subscription_id]
    )
  ),
  0,
  1
)</f>
        <v>1</v>
      </c>
      <c r="F2631" s="1">
        <f>_xlfn.XLOOKUP(payments_raw[[#This Row],[subscription_id]], subscriptions[subscription_id], subscriptions[start_date])</f>
        <v>45015</v>
      </c>
      <c r="G26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45082</v>
      </c>
      <c r="H2631" s="2">
        <f>IF(payments_raw[[#This Row],[payment_date]] &lt; payments_raw[[#This Row],[sub_start_date]], 1, 0)</f>
        <v>0</v>
      </c>
      <c r="I2631" s="2">
        <f>IF(AND(payments_raw[[#This Row],[sub_end_date]]&lt;&gt;"", payments_raw[[#This Row],[payment_date]] &gt; payments_raw[[#This Row],[sub_end_date]]), 1, 0)</f>
        <v>0</v>
      </c>
      <c r="J2631" s="2">
        <f>IF(payments_raw[[#This Row],[amount]] &lt;= 0, 1, 0)</f>
        <v>0</v>
      </c>
      <c r="K26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2" spans="1:11" x14ac:dyDescent="0.3">
      <c r="A2632">
        <v>30428950</v>
      </c>
      <c r="B2632">
        <v>6821657</v>
      </c>
      <c r="C2632" s="1">
        <v>45623</v>
      </c>
      <c r="D2632">
        <v>2990</v>
      </c>
      <c r="E2632">
        <f>IF(
  ISNA(
    _xlfn.XLOOKUP(
      payments_raw[[#This Row],[subscription_id]],
      subscriptions[subscription_id],
      subscriptions[subscription_id]
    )
  ),
  0,
  1
)</f>
        <v>1</v>
      </c>
      <c r="F2632" s="1">
        <f>_xlfn.XLOOKUP(payments_raw[[#This Row],[subscription_id]], subscriptions[subscription_id], subscriptions[start_date])</f>
        <v>45152</v>
      </c>
      <c r="G26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2" s="2">
        <f>IF(payments_raw[[#This Row],[payment_date]] &lt; payments_raw[[#This Row],[sub_start_date]], 1, 0)</f>
        <v>0</v>
      </c>
      <c r="I2632" s="2">
        <f>IF(AND(payments_raw[[#This Row],[sub_end_date]]&lt;&gt;"", payments_raw[[#This Row],[payment_date]] &gt; payments_raw[[#This Row],[sub_end_date]]), 1, 0)</f>
        <v>0</v>
      </c>
      <c r="J2632" s="2">
        <f>IF(payments_raw[[#This Row],[amount]] &lt;= 0, 1, 0)</f>
        <v>0</v>
      </c>
      <c r="K26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3" spans="1:11" x14ac:dyDescent="0.3">
      <c r="A2633">
        <v>39862398</v>
      </c>
      <c r="B2633">
        <v>7862438</v>
      </c>
      <c r="C2633" s="1">
        <v>45351</v>
      </c>
      <c r="D2633">
        <v>190</v>
      </c>
      <c r="E2633">
        <f>IF(
  ISNA(
    _xlfn.XLOOKUP(
      payments_raw[[#This Row],[subscription_id]],
      subscriptions[subscription_id],
      subscriptions[subscription_id]
    )
  ),
  0,
  1
)</f>
        <v>1</v>
      </c>
      <c r="F2633" s="1">
        <f>_xlfn.XLOOKUP(payments_raw[[#This Row],[subscription_id]], subscriptions[subscription_id], subscriptions[start_date])</f>
        <v>44826</v>
      </c>
      <c r="G26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3" s="2">
        <f>IF(payments_raw[[#This Row],[payment_date]] &lt; payments_raw[[#This Row],[sub_start_date]], 1, 0)</f>
        <v>0</v>
      </c>
      <c r="I2633" s="2">
        <f>IF(AND(payments_raw[[#This Row],[sub_end_date]]&lt;&gt;"", payments_raw[[#This Row],[payment_date]] &gt; payments_raw[[#This Row],[sub_end_date]]), 1, 0)</f>
        <v>0</v>
      </c>
      <c r="J2633" s="2">
        <f>IF(payments_raw[[#This Row],[amount]] &lt;= 0, 1, 0)</f>
        <v>0</v>
      </c>
      <c r="K26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4" spans="1:11" x14ac:dyDescent="0.3">
      <c r="A2634">
        <v>48787039</v>
      </c>
      <c r="B2634">
        <v>7774201</v>
      </c>
      <c r="C2634" s="1">
        <v>44701</v>
      </c>
      <c r="D2634">
        <v>790</v>
      </c>
      <c r="E2634">
        <f>IF(
  ISNA(
    _xlfn.XLOOKUP(
      payments_raw[[#This Row],[subscription_id]],
      subscriptions[subscription_id],
      subscriptions[subscription_id]
    )
  ),
  0,
  1
)</f>
        <v>1</v>
      </c>
      <c r="F2634" s="1">
        <f>_xlfn.XLOOKUP(payments_raw[[#This Row],[subscription_id]], subscriptions[subscription_id], subscriptions[start_date])</f>
        <v>44700</v>
      </c>
      <c r="G26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4" s="2">
        <f>IF(payments_raw[[#This Row],[payment_date]] &lt; payments_raw[[#This Row],[sub_start_date]], 1, 0)</f>
        <v>0</v>
      </c>
      <c r="I2634" s="2">
        <f>IF(AND(payments_raw[[#This Row],[sub_end_date]]&lt;&gt;"", payments_raw[[#This Row],[payment_date]] &gt; payments_raw[[#This Row],[sub_end_date]]), 1, 0)</f>
        <v>0</v>
      </c>
      <c r="J2634" s="2">
        <f>IF(payments_raw[[#This Row],[amount]] &lt;= 0, 1, 0)</f>
        <v>0</v>
      </c>
      <c r="K26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5" spans="1:11" x14ac:dyDescent="0.3">
      <c r="A2635">
        <v>62490143</v>
      </c>
      <c r="B2635">
        <v>2542997</v>
      </c>
      <c r="C2635" s="1">
        <v>45347</v>
      </c>
      <c r="D2635">
        <v>29.25</v>
      </c>
      <c r="E2635">
        <f>IF(
  ISNA(
    _xlfn.XLOOKUP(
      payments_raw[[#This Row],[subscription_id]],
      subscriptions[subscription_id],
      subscriptions[subscription_id]
    )
  ),
  0,
  1
)</f>
        <v>1</v>
      </c>
      <c r="F2635" s="1">
        <f>_xlfn.XLOOKUP(payments_raw[[#This Row],[subscription_id]], subscriptions[subscription_id], subscriptions[start_date])</f>
        <v>45275</v>
      </c>
      <c r="G26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635" s="2">
        <f>IF(payments_raw[[#This Row],[payment_date]] &lt; payments_raw[[#This Row],[sub_start_date]], 1, 0)</f>
        <v>0</v>
      </c>
      <c r="I2635" s="2">
        <f>IF(AND(payments_raw[[#This Row],[sub_end_date]]&lt;&gt;"", payments_raw[[#This Row],[payment_date]] &gt; payments_raw[[#This Row],[sub_end_date]]), 1, 0)</f>
        <v>0</v>
      </c>
      <c r="J2635" s="2">
        <f>IF(payments_raw[[#This Row],[amount]] &lt;= 0, 1, 0)</f>
        <v>0</v>
      </c>
      <c r="K26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6" spans="1:11" x14ac:dyDescent="0.3">
      <c r="A2636">
        <v>77215850</v>
      </c>
      <c r="B2636">
        <v>1703542</v>
      </c>
      <c r="C2636" s="1">
        <v>45064</v>
      </c>
      <c r="D2636">
        <v>2990</v>
      </c>
      <c r="E2636">
        <f>IF(
  ISNA(
    _xlfn.XLOOKUP(
      payments_raw[[#This Row],[subscription_id]],
      subscriptions[subscription_id],
      subscriptions[subscription_id]
    )
  ),
  0,
  1
)</f>
        <v>1</v>
      </c>
      <c r="F2636" s="1">
        <f>_xlfn.XLOOKUP(payments_raw[[#This Row],[subscription_id]], subscriptions[subscription_id], subscriptions[start_date])</f>
        <v>44993</v>
      </c>
      <c r="G26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6" s="2">
        <f>IF(payments_raw[[#This Row],[payment_date]] &lt; payments_raw[[#This Row],[sub_start_date]], 1, 0)</f>
        <v>0</v>
      </c>
      <c r="I2636" s="2">
        <f>IF(AND(payments_raw[[#This Row],[sub_end_date]]&lt;&gt;"", payments_raw[[#This Row],[payment_date]] &gt; payments_raw[[#This Row],[sub_end_date]]), 1, 0)</f>
        <v>0</v>
      </c>
      <c r="J2636" s="2">
        <f>IF(payments_raw[[#This Row],[amount]] &lt;= 0, 1, 0)</f>
        <v>0</v>
      </c>
      <c r="K26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7" spans="1:11" x14ac:dyDescent="0.3">
      <c r="A2637">
        <v>53588773</v>
      </c>
      <c r="B2637">
        <v>9971807</v>
      </c>
      <c r="C2637" s="1">
        <v>45545</v>
      </c>
      <c r="D2637">
        <v>790</v>
      </c>
      <c r="E2637">
        <f>IF(
  ISNA(
    _xlfn.XLOOKUP(
      payments_raw[[#This Row],[subscription_id]],
      subscriptions[subscription_id],
      subscriptions[subscription_id]
    )
  ),
  0,
  1
)</f>
        <v>1</v>
      </c>
      <c r="F2637" s="1">
        <f>_xlfn.XLOOKUP(payments_raw[[#This Row],[subscription_id]], subscriptions[subscription_id], subscriptions[start_date])</f>
        <v>45511</v>
      </c>
      <c r="G26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7" s="2">
        <f>IF(payments_raw[[#This Row],[payment_date]] &lt; payments_raw[[#This Row],[sub_start_date]], 1, 0)</f>
        <v>0</v>
      </c>
      <c r="I2637" s="2">
        <f>IF(AND(payments_raw[[#This Row],[sub_end_date]]&lt;&gt;"", payments_raw[[#This Row],[payment_date]] &gt; payments_raw[[#This Row],[sub_end_date]]), 1, 0)</f>
        <v>0</v>
      </c>
      <c r="J2637" s="2">
        <f>IF(payments_raw[[#This Row],[amount]] &lt;= 0, 1, 0)</f>
        <v>0</v>
      </c>
      <c r="K26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8" spans="1:11" x14ac:dyDescent="0.3">
      <c r="A2638">
        <v>58118532</v>
      </c>
      <c r="B2638">
        <v>2368490</v>
      </c>
      <c r="C2638" s="1">
        <v>45583</v>
      </c>
      <c r="D2638">
        <v>79</v>
      </c>
      <c r="E2638">
        <f>IF(
  ISNA(
    _xlfn.XLOOKUP(
      payments_raw[[#This Row],[subscription_id]],
      subscriptions[subscription_id],
      subscriptions[subscription_id]
    )
  ),
  0,
  1
)</f>
        <v>1</v>
      </c>
      <c r="F2638" s="1">
        <f>_xlfn.XLOOKUP(payments_raw[[#This Row],[subscription_id]], subscriptions[subscription_id], subscriptions[start_date])</f>
        <v>45257</v>
      </c>
      <c r="G263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8" s="2">
        <f>IF(payments_raw[[#This Row],[payment_date]] &lt; payments_raw[[#This Row],[sub_start_date]], 1, 0)</f>
        <v>0</v>
      </c>
      <c r="I2638" s="2">
        <f>IF(AND(payments_raw[[#This Row],[sub_end_date]]&lt;&gt;"", payments_raw[[#This Row],[payment_date]] &gt; payments_raw[[#This Row],[sub_end_date]]), 1, 0)</f>
        <v>0</v>
      </c>
      <c r="J2638" s="2">
        <f>IF(payments_raw[[#This Row],[amount]] &lt;= 0, 1, 0)</f>
        <v>0</v>
      </c>
      <c r="K26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39" spans="1:11" x14ac:dyDescent="0.3">
      <c r="A2639">
        <v>65242115</v>
      </c>
      <c r="B2639">
        <v>9964482</v>
      </c>
      <c r="C2639" s="1">
        <v>45427</v>
      </c>
      <c r="D2639">
        <v>39</v>
      </c>
      <c r="E2639">
        <f>IF(
  ISNA(
    _xlfn.XLOOKUP(
      payments_raw[[#This Row],[subscription_id]],
      subscriptions[subscription_id],
      subscriptions[subscription_id]
    )
  ),
  0,
  1
)</f>
        <v>1</v>
      </c>
      <c r="F2639" s="1">
        <f>_xlfn.XLOOKUP(payments_raw[[#This Row],[subscription_id]], subscriptions[subscription_id], subscriptions[start_date])</f>
        <v>45268</v>
      </c>
      <c r="G26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39" s="2">
        <f>IF(payments_raw[[#This Row],[payment_date]] &lt; payments_raw[[#This Row],[sub_start_date]], 1, 0)</f>
        <v>0</v>
      </c>
      <c r="I2639" s="2">
        <f>IF(AND(payments_raw[[#This Row],[sub_end_date]]&lt;&gt;"", payments_raw[[#This Row],[payment_date]] &gt; payments_raw[[#This Row],[sub_end_date]]), 1, 0)</f>
        <v>0</v>
      </c>
      <c r="J2639" s="2">
        <f>IF(payments_raw[[#This Row],[amount]] &lt;= 0, 1, 0)</f>
        <v>0</v>
      </c>
      <c r="K26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0" spans="1:11" x14ac:dyDescent="0.3">
      <c r="A2640">
        <v>39832464</v>
      </c>
      <c r="B2640">
        <v>9745909</v>
      </c>
      <c r="C2640" s="1">
        <v>45388</v>
      </c>
      <c r="D2640">
        <v>39</v>
      </c>
      <c r="E2640">
        <f>IF(
  ISNA(
    _xlfn.XLOOKUP(
      payments_raw[[#This Row],[subscription_id]],
      subscriptions[subscription_id],
      subscriptions[subscription_id]
    )
  ),
  0,
  1
)</f>
        <v>1</v>
      </c>
      <c r="F2640" s="1">
        <f>_xlfn.XLOOKUP(payments_raw[[#This Row],[subscription_id]], subscriptions[subscription_id], subscriptions[start_date])</f>
        <v>45212</v>
      </c>
      <c r="G26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0" s="2">
        <f>IF(payments_raw[[#This Row],[payment_date]] &lt; payments_raw[[#This Row],[sub_start_date]], 1, 0)</f>
        <v>0</v>
      </c>
      <c r="I2640" s="2">
        <f>IF(AND(payments_raw[[#This Row],[sub_end_date]]&lt;&gt;"", payments_raw[[#This Row],[payment_date]] &gt; payments_raw[[#This Row],[sub_end_date]]), 1, 0)</f>
        <v>0</v>
      </c>
      <c r="J2640" s="2">
        <f>IF(payments_raw[[#This Row],[amount]] &lt;= 0, 1, 0)</f>
        <v>0</v>
      </c>
      <c r="K26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1" spans="1:11" x14ac:dyDescent="0.3">
      <c r="A2641">
        <v>12334965</v>
      </c>
      <c r="B2641">
        <v>1355809</v>
      </c>
      <c r="C2641" s="1">
        <v>44661</v>
      </c>
      <c r="D2641">
        <v>2990</v>
      </c>
      <c r="E2641">
        <f>IF(
  ISNA(
    _xlfn.XLOOKUP(
      payments_raw[[#This Row],[subscription_id]],
      subscriptions[subscription_id],
      subscriptions[subscription_id]
    )
  ),
  0,
  1
)</f>
        <v>1</v>
      </c>
      <c r="F2641" s="1">
        <f>_xlfn.XLOOKUP(payments_raw[[#This Row],[subscription_id]], subscriptions[subscription_id], subscriptions[start_date])</f>
        <v>44653</v>
      </c>
      <c r="G26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1" s="2">
        <f>IF(payments_raw[[#This Row],[payment_date]] &lt; payments_raw[[#This Row],[sub_start_date]], 1, 0)</f>
        <v>0</v>
      </c>
      <c r="I2641" s="2">
        <f>IF(AND(payments_raw[[#This Row],[sub_end_date]]&lt;&gt;"", payments_raw[[#This Row],[payment_date]] &gt; payments_raw[[#This Row],[sub_end_date]]), 1, 0)</f>
        <v>0</v>
      </c>
      <c r="J2641" s="2">
        <f>IF(payments_raw[[#This Row],[amount]] &lt;= 0, 1, 0)</f>
        <v>0</v>
      </c>
      <c r="K26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2" spans="1:11" x14ac:dyDescent="0.3">
      <c r="A2642">
        <v>31403749</v>
      </c>
      <c r="B2642">
        <v>2064762</v>
      </c>
      <c r="C2642" s="1">
        <v>45296</v>
      </c>
      <c r="D2642">
        <v>134.1</v>
      </c>
      <c r="E2642">
        <f>IF(
  ISNA(
    _xlfn.XLOOKUP(
      payments_raw[[#This Row],[subscription_id]],
      subscriptions[subscription_id],
      subscriptions[subscription_id]
    )
  ),
  0,
  1
)</f>
        <v>1</v>
      </c>
      <c r="F2642" s="1">
        <f>_xlfn.XLOOKUP(payments_raw[[#This Row],[subscription_id]], subscriptions[subscription_id], subscriptions[start_date])</f>
        <v>44662</v>
      </c>
      <c r="G26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2" s="2">
        <f>IF(payments_raw[[#This Row],[payment_date]] &lt; payments_raw[[#This Row],[sub_start_date]], 1, 0)</f>
        <v>0</v>
      </c>
      <c r="I2642" s="2">
        <f>IF(AND(payments_raw[[#This Row],[sub_end_date]]&lt;&gt;"", payments_raw[[#This Row],[payment_date]] &gt; payments_raw[[#This Row],[sub_end_date]]), 1, 0)</f>
        <v>0</v>
      </c>
      <c r="J2642" s="2">
        <f>IF(payments_raw[[#This Row],[amount]] &lt;= 0, 1, 0)</f>
        <v>0</v>
      </c>
      <c r="K26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3" spans="1:11" x14ac:dyDescent="0.3">
      <c r="A2643">
        <v>28721927</v>
      </c>
      <c r="B2643">
        <v>7528651</v>
      </c>
      <c r="C2643" s="1">
        <v>45261</v>
      </c>
      <c r="D2643">
        <v>1490</v>
      </c>
      <c r="E2643">
        <f>IF(
  ISNA(
    _xlfn.XLOOKUP(
      payments_raw[[#This Row],[subscription_id]],
      subscriptions[subscription_id],
      subscriptions[subscription_id]
    )
  ),
  0,
  1
)</f>
        <v>1</v>
      </c>
      <c r="F2643" s="1">
        <f>_xlfn.XLOOKUP(payments_raw[[#This Row],[subscription_id]], subscriptions[subscription_id], subscriptions[start_date])</f>
        <v>44582</v>
      </c>
      <c r="G26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3" s="2">
        <f>IF(payments_raw[[#This Row],[payment_date]] &lt; payments_raw[[#This Row],[sub_start_date]], 1, 0)</f>
        <v>0</v>
      </c>
      <c r="I2643" s="2">
        <f>IF(AND(payments_raw[[#This Row],[sub_end_date]]&lt;&gt;"", payments_raw[[#This Row],[payment_date]] &gt; payments_raw[[#This Row],[sub_end_date]]), 1, 0)</f>
        <v>0</v>
      </c>
      <c r="J2643" s="2">
        <f>IF(payments_raw[[#This Row],[amount]] &lt;= 0, 1, 0)</f>
        <v>0</v>
      </c>
      <c r="K26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4" spans="1:11" x14ac:dyDescent="0.3">
      <c r="A2644">
        <v>25595477</v>
      </c>
      <c r="B2644">
        <v>8980743</v>
      </c>
      <c r="C2644" s="1">
        <v>45620</v>
      </c>
      <c r="D2644">
        <v>149</v>
      </c>
      <c r="E2644">
        <f>IF(
  ISNA(
    _xlfn.XLOOKUP(
      payments_raw[[#This Row],[subscription_id]],
      subscriptions[subscription_id],
      subscriptions[subscription_id]
    )
  ),
  0,
  1
)</f>
        <v>1</v>
      </c>
      <c r="F2644" s="1">
        <f>_xlfn.XLOOKUP(payments_raw[[#This Row],[subscription_id]], subscriptions[subscription_id], subscriptions[start_date])</f>
        <v>45513</v>
      </c>
      <c r="G264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2644" s="2">
        <f>IF(payments_raw[[#This Row],[payment_date]] &lt; payments_raw[[#This Row],[sub_start_date]], 1, 0)</f>
        <v>0</v>
      </c>
      <c r="I2644" s="2">
        <f>IF(AND(payments_raw[[#This Row],[sub_end_date]]&lt;&gt;"", payments_raw[[#This Row],[payment_date]] &gt; payments_raw[[#This Row],[sub_end_date]]), 1, 0)</f>
        <v>0</v>
      </c>
      <c r="J2644" s="2">
        <f>IF(payments_raw[[#This Row],[amount]] &lt;= 0, 1, 0)</f>
        <v>0</v>
      </c>
      <c r="K26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5" spans="1:11" x14ac:dyDescent="0.3">
      <c r="A2645">
        <v>94334607</v>
      </c>
      <c r="B2645">
        <v>6773384</v>
      </c>
      <c r="C2645" s="1">
        <v>45608</v>
      </c>
      <c r="D2645">
        <v>190</v>
      </c>
      <c r="E2645">
        <f>IF(
  ISNA(
    _xlfn.XLOOKUP(
      payments_raw[[#This Row],[subscription_id]],
      subscriptions[subscription_id],
      subscriptions[subscription_id]
    )
  ),
  0,
  1
)</f>
        <v>1</v>
      </c>
      <c r="F2645" s="1">
        <f>_xlfn.XLOOKUP(payments_raw[[#This Row],[subscription_id]], subscriptions[subscription_id], subscriptions[start_date])</f>
        <v>45586</v>
      </c>
      <c r="G26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5" s="2">
        <f>IF(payments_raw[[#This Row],[payment_date]] &lt; payments_raw[[#This Row],[sub_start_date]], 1, 0)</f>
        <v>0</v>
      </c>
      <c r="I2645" s="2">
        <f>IF(AND(payments_raw[[#This Row],[sub_end_date]]&lt;&gt;"", payments_raw[[#This Row],[payment_date]] &gt; payments_raw[[#This Row],[sub_end_date]]), 1, 0)</f>
        <v>0</v>
      </c>
      <c r="J2645" s="2">
        <f>IF(payments_raw[[#This Row],[amount]] &lt;= 0, 1, 0)</f>
        <v>0</v>
      </c>
      <c r="K26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6" spans="1:11" x14ac:dyDescent="0.3">
      <c r="A2646">
        <v>53938049</v>
      </c>
      <c r="B2646">
        <v>6939158</v>
      </c>
      <c r="C2646" s="1">
        <v>45609</v>
      </c>
      <c r="D2646">
        <v>790</v>
      </c>
      <c r="E2646">
        <f>IF(
  ISNA(
    _xlfn.XLOOKUP(
      payments_raw[[#This Row],[subscription_id]],
      subscriptions[subscription_id],
      subscriptions[subscription_id]
    )
  ),
  0,
  1
)</f>
        <v>1</v>
      </c>
      <c r="F2646" s="1">
        <f>_xlfn.XLOOKUP(payments_raw[[#This Row],[subscription_id]], subscriptions[subscription_id], subscriptions[start_date])</f>
        <v>45521</v>
      </c>
      <c r="G26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6" s="2">
        <f>IF(payments_raw[[#This Row],[payment_date]] &lt; payments_raw[[#This Row],[sub_start_date]], 1, 0)</f>
        <v>0</v>
      </c>
      <c r="I2646" s="2">
        <f>IF(AND(payments_raw[[#This Row],[sub_end_date]]&lt;&gt;"", payments_raw[[#This Row],[payment_date]] &gt; payments_raw[[#This Row],[sub_end_date]]), 1, 0)</f>
        <v>0</v>
      </c>
      <c r="J2646" s="2">
        <f>IF(payments_raw[[#This Row],[amount]] &lt;= 0, 1, 0)</f>
        <v>0</v>
      </c>
      <c r="K26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7" spans="1:11" x14ac:dyDescent="0.3">
      <c r="A2647">
        <v>48502327</v>
      </c>
      <c r="B2647">
        <v>8861463</v>
      </c>
      <c r="C2647" s="1">
        <v>45150</v>
      </c>
      <c r="D2647">
        <v>39</v>
      </c>
      <c r="E2647">
        <f>IF(
  ISNA(
    _xlfn.XLOOKUP(
      payments_raw[[#This Row],[subscription_id]],
      subscriptions[subscription_id],
      subscriptions[subscription_id]
    )
  ),
  0,
  1
)</f>
        <v>1</v>
      </c>
      <c r="F2647" s="1">
        <f>_xlfn.XLOOKUP(payments_raw[[#This Row],[subscription_id]], subscriptions[subscription_id], subscriptions[start_date])</f>
        <v>45065</v>
      </c>
      <c r="G26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2647" s="2">
        <f>IF(payments_raw[[#This Row],[payment_date]] &lt; payments_raw[[#This Row],[sub_start_date]], 1, 0)</f>
        <v>0</v>
      </c>
      <c r="I2647" s="2">
        <f>IF(AND(payments_raw[[#This Row],[sub_end_date]]&lt;&gt;"", payments_raw[[#This Row],[payment_date]] &gt; payments_raw[[#This Row],[sub_end_date]]), 1, 0)</f>
        <v>0</v>
      </c>
      <c r="J2647" s="2">
        <f>IF(payments_raw[[#This Row],[amount]] &lt;= 0, 1, 0)</f>
        <v>0</v>
      </c>
      <c r="K26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8" spans="1:11" x14ac:dyDescent="0.3">
      <c r="A2648">
        <v>63362652</v>
      </c>
      <c r="B2648">
        <v>6309658</v>
      </c>
      <c r="C2648" s="1">
        <v>44966</v>
      </c>
      <c r="D2648">
        <v>39</v>
      </c>
      <c r="E2648">
        <f>IF(
  ISNA(
    _xlfn.XLOOKUP(
      payments_raw[[#This Row],[subscription_id]],
      subscriptions[subscription_id],
      subscriptions[subscription_id]
    )
  ),
  0,
  1
)</f>
        <v>1</v>
      </c>
      <c r="F2648" s="1">
        <f>_xlfn.XLOOKUP(payments_raw[[#This Row],[subscription_id]], subscriptions[subscription_id], subscriptions[start_date])</f>
        <v>44908</v>
      </c>
      <c r="G26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45238</v>
      </c>
      <c r="H2648" s="2">
        <f>IF(payments_raw[[#This Row],[payment_date]] &lt; payments_raw[[#This Row],[sub_start_date]], 1, 0)</f>
        <v>0</v>
      </c>
      <c r="I2648" s="2">
        <f>IF(AND(payments_raw[[#This Row],[sub_end_date]]&lt;&gt;"", payments_raw[[#This Row],[payment_date]] &gt; payments_raw[[#This Row],[sub_end_date]]), 1, 0)</f>
        <v>0</v>
      </c>
      <c r="J2648" s="2">
        <f>IF(payments_raw[[#This Row],[amount]] &lt;= 0, 1, 0)</f>
        <v>0</v>
      </c>
      <c r="K26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49" spans="1:11" x14ac:dyDescent="0.3">
      <c r="A2649">
        <v>18164767</v>
      </c>
      <c r="B2649">
        <v>8191191</v>
      </c>
      <c r="C2649" s="1">
        <v>45484</v>
      </c>
      <c r="D2649">
        <v>790</v>
      </c>
      <c r="E2649">
        <f>IF(
  ISNA(
    _xlfn.XLOOKUP(
      payments_raw[[#This Row],[subscription_id]],
      subscriptions[subscription_id],
      subscriptions[subscription_id]
    )
  ),
  0,
  1
)</f>
        <v>1</v>
      </c>
      <c r="F2649" s="1">
        <f>_xlfn.XLOOKUP(payments_raw[[#This Row],[subscription_id]], subscriptions[subscription_id], subscriptions[start_date])</f>
        <v>45247</v>
      </c>
      <c r="G26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49" s="2">
        <f>IF(payments_raw[[#This Row],[payment_date]] &lt; payments_raw[[#This Row],[sub_start_date]], 1, 0)</f>
        <v>0</v>
      </c>
      <c r="I2649" s="2">
        <f>IF(AND(payments_raw[[#This Row],[sub_end_date]]&lt;&gt;"", payments_raw[[#This Row],[payment_date]] &gt; payments_raw[[#This Row],[sub_end_date]]), 1, 0)</f>
        <v>0</v>
      </c>
      <c r="J2649" s="2">
        <f>IF(payments_raw[[#This Row],[amount]] &lt;= 0, 1, 0)</f>
        <v>0</v>
      </c>
      <c r="K26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0" spans="1:11" x14ac:dyDescent="0.3">
      <c r="A2650">
        <v>39402174</v>
      </c>
      <c r="B2650">
        <v>8980743</v>
      </c>
      <c r="C2650" s="1">
        <v>45527</v>
      </c>
      <c r="D2650">
        <v>149</v>
      </c>
      <c r="E2650">
        <f>IF(
  ISNA(
    _xlfn.XLOOKUP(
      payments_raw[[#This Row],[subscription_id]],
      subscriptions[subscription_id],
      subscriptions[subscription_id]
    )
  ),
  0,
  1
)</f>
        <v>1</v>
      </c>
      <c r="F2650" s="1">
        <f>_xlfn.XLOOKUP(payments_raw[[#This Row],[subscription_id]], subscriptions[subscription_id], subscriptions[start_date])</f>
        <v>45513</v>
      </c>
      <c r="G26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2650" s="2">
        <f>IF(payments_raw[[#This Row],[payment_date]] &lt; payments_raw[[#This Row],[sub_start_date]], 1, 0)</f>
        <v>0</v>
      </c>
      <c r="I2650" s="2">
        <f>IF(AND(payments_raw[[#This Row],[sub_end_date]]&lt;&gt;"", payments_raw[[#This Row],[payment_date]] &gt; payments_raw[[#This Row],[sub_end_date]]), 1, 0)</f>
        <v>0</v>
      </c>
      <c r="J2650" s="2">
        <f>IF(payments_raw[[#This Row],[amount]] &lt;= 0, 1, 0)</f>
        <v>0</v>
      </c>
      <c r="K26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1" spans="1:11" x14ac:dyDescent="0.3">
      <c r="A2651">
        <v>64814320</v>
      </c>
      <c r="B2651">
        <v>7383812</v>
      </c>
      <c r="C2651" s="1">
        <v>44841</v>
      </c>
      <c r="D2651">
        <v>149.5</v>
      </c>
      <c r="E2651">
        <f>IF(
  ISNA(
    _xlfn.XLOOKUP(
      payments_raw[[#This Row],[subscription_id]],
      subscriptions[subscription_id],
      subscriptions[subscription_id]
    )
  ),
  0,
  1
)</f>
        <v>1</v>
      </c>
      <c r="F2651" s="1">
        <f>_xlfn.XLOOKUP(payments_raw[[#This Row],[subscription_id]], subscriptions[subscription_id], subscriptions[start_date])</f>
        <v>44817</v>
      </c>
      <c r="G26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1" s="2">
        <f>IF(payments_raw[[#This Row],[payment_date]] &lt; payments_raw[[#This Row],[sub_start_date]], 1, 0)</f>
        <v>0</v>
      </c>
      <c r="I2651" s="2">
        <f>IF(AND(payments_raw[[#This Row],[sub_end_date]]&lt;&gt;"", payments_raw[[#This Row],[payment_date]] &gt; payments_raw[[#This Row],[sub_end_date]]), 1, 0)</f>
        <v>0</v>
      </c>
      <c r="J2651" s="2">
        <f>IF(payments_raw[[#This Row],[amount]] &lt;= 0, 1, 0)</f>
        <v>0</v>
      </c>
      <c r="K26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2" spans="1:11" x14ac:dyDescent="0.3">
      <c r="A2652">
        <v>85370985</v>
      </c>
      <c r="B2652">
        <v>2391959</v>
      </c>
      <c r="C2652" s="1">
        <v>45626</v>
      </c>
      <c r="D2652">
        <v>2990</v>
      </c>
      <c r="E2652">
        <f>IF(
  ISNA(
    _xlfn.XLOOKUP(
      payments_raw[[#This Row],[subscription_id]],
      subscriptions[subscription_id],
      subscriptions[subscription_id]
    )
  ),
  0,
  1
)</f>
        <v>1</v>
      </c>
      <c r="F2652" s="1">
        <f>_xlfn.XLOOKUP(payments_raw[[#This Row],[subscription_id]], subscriptions[subscription_id], subscriptions[start_date])</f>
        <v>45595</v>
      </c>
      <c r="G26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2" s="2">
        <f>IF(payments_raw[[#This Row],[payment_date]] &lt; payments_raw[[#This Row],[sub_start_date]], 1, 0)</f>
        <v>0</v>
      </c>
      <c r="I2652" s="2">
        <f>IF(AND(payments_raw[[#This Row],[sub_end_date]]&lt;&gt;"", payments_raw[[#This Row],[payment_date]] &gt; payments_raw[[#This Row],[sub_end_date]]), 1, 0)</f>
        <v>0</v>
      </c>
      <c r="J2652" s="2">
        <f>IF(payments_raw[[#This Row],[amount]] &lt;= 0, 1, 0)</f>
        <v>0</v>
      </c>
      <c r="K26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3" spans="1:11" x14ac:dyDescent="0.3">
      <c r="A2653">
        <v>71509466</v>
      </c>
      <c r="B2653">
        <v>1238423</v>
      </c>
      <c r="C2653" s="1">
        <v>44962</v>
      </c>
      <c r="D2653">
        <v>71.099999999999994</v>
      </c>
      <c r="E2653">
        <f>IF(
  ISNA(
    _xlfn.XLOOKUP(
      payments_raw[[#This Row],[subscription_id]],
      subscriptions[subscription_id],
      subscriptions[subscription_id]
    )
  ),
  0,
  1
)</f>
        <v>1</v>
      </c>
      <c r="F2653" s="1">
        <f>_xlfn.XLOOKUP(payments_raw[[#This Row],[subscription_id]], subscriptions[subscription_id], subscriptions[start_date])</f>
        <v>44874</v>
      </c>
      <c r="G26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3" s="2">
        <f>IF(payments_raw[[#This Row],[payment_date]] &lt; payments_raw[[#This Row],[sub_start_date]], 1, 0)</f>
        <v>0</v>
      </c>
      <c r="I2653" s="2">
        <f>IF(AND(payments_raw[[#This Row],[sub_end_date]]&lt;&gt;"", payments_raw[[#This Row],[payment_date]] &gt; payments_raw[[#This Row],[sub_end_date]]), 1, 0)</f>
        <v>0</v>
      </c>
      <c r="J2653" s="2">
        <f>IF(payments_raw[[#This Row],[amount]] &lt;= 0, 1, 0)</f>
        <v>0</v>
      </c>
      <c r="K26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4" spans="1:11" x14ac:dyDescent="0.3">
      <c r="A2654">
        <v>33592931</v>
      </c>
      <c r="B2654">
        <v>3760410</v>
      </c>
      <c r="C2654" s="1">
        <v>45173</v>
      </c>
      <c r="D2654">
        <v>390</v>
      </c>
      <c r="E2654">
        <f>IF(
  ISNA(
    _xlfn.XLOOKUP(
      payments_raw[[#This Row],[subscription_id]],
      subscriptions[subscription_id],
      subscriptions[subscription_id]
    )
  ),
  0,
  1
)</f>
        <v>1</v>
      </c>
      <c r="F2654" s="1">
        <f>_xlfn.XLOOKUP(payments_raw[[#This Row],[subscription_id]], subscriptions[subscription_id], subscriptions[start_date])</f>
        <v>44968</v>
      </c>
      <c r="G26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4" s="2">
        <f>IF(payments_raw[[#This Row],[payment_date]] &lt; payments_raw[[#This Row],[sub_start_date]], 1, 0)</f>
        <v>0</v>
      </c>
      <c r="I2654" s="2">
        <f>IF(AND(payments_raw[[#This Row],[sub_end_date]]&lt;&gt;"", payments_raw[[#This Row],[payment_date]] &gt; payments_raw[[#This Row],[sub_end_date]]), 1, 0)</f>
        <v>0</v>
      </c>
      <c r="J2654" s="2">
        <f>IF(payments_raw[[#This Row],[amount]] &lt;= 0, 1, 0)</f>
        <v>0</v>
      </c>
      <c r="K26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5" spans="1:11" x14ac:dyDescent="0.3">
      <c r="A2655">
        <v>27066088</v>
      </c>
      <c r="B2655">
        <v>2025218</v>
      </c>
      <c r="C2655" s="1">
        <v>45630</v>
      </c>
      <c r="D2655">
        <v>149.5</v>
      </c>
      <c r="E2655">
        <f>IF(
  ISNA(
    _xlfn.XLOOKUP(
      payments_raw[[#This Row],[subscription_id]],
      subscriptions[subscription_id],
      subscriptions[subscription_id]
    )
  ),
  0,
  1
)</f>
        <v>1</v>
      </c>
      <c r="F2655" s="1">
        <f>_xlfn.XLOOKUP(payments_raw[[#This Row],[subscription_id]], subscriptions[subscription_id], subscriptions[start_date])</f>
        <v>45521</v>
      </c>
      <c r="G26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5" s="2">
        <f>IF(payments_raw[[#This Row],[payment_date]] &lt; payments_raw[[#This Row],[sub_start_date]], 1, 0)</f>
        <v>0</v>
      </c>
      <c r="I2655" s="2">
        <f>IF(AND(payments_raw[[#This Row],[sub_end_date]]&lt;&gt;"", payments_raw[[#This Row],[payment_date]] &gt; payments_raw[[#This Row],[sub_end_date]]), 1, 0)</f>
        <v>0</v>
      </c>
      <c r="J2655" s="2">
        <f>IF(payments_raw[[#This Row],[amount]] &lt;= 0, 1, 0)</f>
        <v>0</v>
      </c>
      <c r="K26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6" spans="1:11" x14ac:dyDescent="0.3">
      <c r="A2656">
        <v>26789758</v>
      </c>
      <c r="B2656">
        <v>3675009</v>
      </c>
      <c r="C2656" s="1">
        <v>45427</v>
      </c>
      <c r="D2656">
        <v>79</v>
      </c>
      <c r="E2656">
        <f>IF(
  ISNA(
    _xlfn.XLOOKUP(
      payments_raw[[#This Row],[subscription_id]],
      subscriptions[subscription_id],
      subscriptions[subscription_id]
    )
  ),
  0,
  1
)</f>
        <v>1</v>
      </c>
      <c r="F2656" s="1">
        <f>_xlfn.XLOOKUP(payments_raw[[#This Row],[subscription_id]], subscriptions[subscription_id], subscriptions[start_date])</f>
        <v>45420</v>
      </c>
      <c r="G26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6" s="2">
        <f>IF(payments_raw[[#This Row],[payment_date]] &lt; payments_raw[[#This Row],[sub_start_date]], 1, 0)</f>
        <v>0</v>
      </c>
      <c r="I2656" s="2">
        <f>IF(AND(payments_raw[[#This Row],[sub_end_date]]&lt;&gt;"", payments_raw[[#This Row],[payment_date]] &gt; payments_raw[[#This Row],[sub_end_date]]), 1, 0)</f>
        <v>0</v>
      </c>
      <c r="J2656" s="2">
        <f>IF(payments_raw[[#This Row],[amount]] &lt;= 0, 1, 0)</f>
        <v>0</v>
      </c>
      <c r="K26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7" spans="1:11" x14ac:dyDescent="0.3">
      <c r="A2657">
        <v>45499509</v>
      </c>
      <c r="B2657">
        <v>5215259</v>
      </c>
      <c r="C2657" s="1">
        <v>45564</v>
      </c>
      <c r="D2657">
        <v>1490</v>
      </c>
      <c r="E2657">
        <f>IF(
  ISNA(
    _xlfn.XLOOKUP(
      payments_raw[[#This Row],[subscription_id]],
      subscriptions[subscription_id],
      subscriptions[subscription_id]
    )
  ),
  0,
  1
)</f>
        <v>1</v>
      </c>
      <c r="F2657" s="1">
        <f>_xlfn.XLOOKUP(payments_raw[[#This Row],[subscription_id]], subscriptions[subscription_id], subscriptions[start_date])</f>
        <v>45292</v>
      </c>
      <c r="G26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7" s="2">
        <f>IF(payments_raw[[#This Row],[payment_date]] &lt; payments_raw[[#This Row],[sub_start_date]], 1, 0)</f>
        <v>0</v>
      </c>
      <c r="I2657" s="2">
        <f>IF(AND(payments_raw[[#This Row],[sub_end_date]]&lt;&gt;"", payments_raw[[#This Row],[payment_date]] &gt; payments_raw[[#This Row],[sub_end_date]]), 1, 0)</f>
        <v>0</v>
      </c>
      <c r="J2657" s="2">
        <f>IF(payments_raw[[#This Row],[amount]] &lt;= 0, 1, 0)</f>
        <v>0</v>
      </c>
      <c r="K26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8" spans="1:11" x14ac:dyDescent="0.3">
      <c r="A2658">
        <v>11547308</v>
      </c>
      <c r="B2658">
        <v>6415010</v>
      </c>
      <c r="C2658" s="1">
        <v>45613</v>
      </c>
      <c r="D2658">
        <v>79</v>
      </c>
      <c r="E2658">
        <f>IF(
  ISNA(
    _xlfn.XLOOKUP(
      payments_raw[[#This Row],[subscription_id]],
      subscriptions[subscription_id],
      subscriptions[subscription_id]
    )
  ),
  0,
  1
)</f>
        <v>1</v>
      </c>
      <c r="F2658" s="1">
        <f>_xlfn.XLOOKUP(payments_raw[[#This Row],[subscription_id]], subscriptions[subscription_id], subscriptions[start_date])</f>
        <v>44594</v>
      </c>
      <c r="G26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58" s="2">
        <f>IF(payments_raw[[#This Row],[payment_date]] &lt; payments_raw[[#This Row],[sub_start_date]], 1, 0)</f>
        <v>0</v>
      </c>
      <c r="I2658" s="2">
        <f>IF(AND(payments_raw[[#This Row],[sub_end_date]]&lt;&gt;"", payments_raw[[#This Row],[payment_date]] &gt; payments_raw[[#This Row],[sub_end_date]]), 1, 0)</f>
        <v>0</v>
      </c>
      <c r="J2658" s="2">
        <f>IF(payments_raw[[#This Row],[amount]] &lt;= 0, 1, 0)</f>
        <v>0</v>
      </c>
      <c r="K26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59" spans="1:11" x14ac:dyDescent="0.3">
      <c r="A2659">
        <v>68415071</v>
      </c>
      <c r="B2659">
        <v>7012107</v>
      </c>
      <c r="C2659" s="1">
        <v>44848</v>
      </c>
      <c r="D2659">
        <v>39</v>
      </c>
      <c r="E2659">
        <f>IF(
  ISNA(
    _xlfn.XLOOKUP(
      payments_raw[[#This Row],[subscription_id]],
      subscriptions[subscription_id],
      subscriptions[subscription_id]
    )
  ),
  0,
  1
)</f>
        <v>1</v>
      </c>
      <c r="F2659" s="1">
        <f>_xlfn.XLOOKUP(payments_raw[[#This Row],[subscription_id]], subscriptions[subscription_id], subscriptions[start_date])</f>
        <v>44807</v>
      </c>
      <c r="G26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2659" s="2">
        <f>IF(payments_raw[[#This Row],[payment_date]] &lt; payments_raw[[#This Row],[sub_start_date]], 1, 0)</f>
        <v>0</v>
      </c>
      <c r="I2659" s="2">
        <f>IF(AND(payments_raw[[#This Row],[sub_end_date]]&lt;&gt;"", payments_raw[[#This Row],[payment_date]] &gt; payments_raw[[#This Row],[sub_end_date]]), 1, 0)</f>
        <v>0</v>
      </c>
      <c r="J2659" s="2">
        <f>IF(payments_raw[[#This Row],[amount]] &lt;= 0, 1, 0)</f>
        <v>0</v>
      </c>
      <c r="K26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0" spans="1:11" x14ac:dyDescent="0.3">
      <c r="A2660">
        <v>44701832</v>
      </c>
      <c r="B2660">
        <v>9731393</v>
      </c>
      <c r="C2660" s="1">
        <v>45249</v>
      </c>
      <c r="D2660">
        <v>390</v>
      </c>
      <c r="E2660">
        <f>IF(
  ISNA(
    _xlfn.XLOOKUP(
      payments_raw[[#This Row],[subscription_id]],
      subscriptions[subscription_id],
      subscriptions[subscription_id]
    )
  ),
  0,
  1
)</f>
        <v>1</v>
      </c>
      <c r="F2660" s="1">
        <f>_xlfn.XLOOKUP(payments_raw[[#This Row],[subscription_id]], subscriptions[subscription_id], subscriptions[start_date])</f>
        <v>44610</v>
      </c>
      <c r="G26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0" s="2">
        <f>IF(payments_raw[[#This Row],[payment_date]] &lt; payments_raw[[#This Row],[sub_start_date]], 1, 0)</f>
        <v>0</v>
      </c>
      <c r="I2660" s="2">
        <f>IF(AND(payments_raw[[#This Row],[sub_end_date]]&lt;&gt;"", payments_raw[[#This Row],[payment_date]] &gt; payments_raw[[#This Row],[sub_end_date]]), 1, 0)</f>
        <v>0</v>
      </c>
      <c r="J2660" s="2">
        <f>IF(payments_raw[[#This Row],[amount]] &lt;= 0, 1, 0)</f>
        <v>0</v>
      </c>
      <c r="K26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1" spans="1:11" x14ac:dyDescent="0.3">
      <c r="A2661">
        <v>16174484</v>
      </c>
      <c r="B2661">
        <v>3061828</v>
      </c>
      <c r="C2661" s="1">
        <v>45212</v>
      </c>
      <c r="D2661">
        <v>299</v>
      </c>
      <c r="E2661">
        <f>IF(
  ISNA(
    _xlfn.XLOOKUP(
      payments_raw[[#This Row],[subscription_id]],
      subscriptions[subscription_id],
      subscriptions[subscription_id]
    )
  ),
  0,
  1
)</f>
        <v>1</v>
      </c>
      <c r="F2661" s="1">
        <f>_xlfn.XLOOKUP(payments_raw[[#This Row],[subscription_id]], subscriptions[subscription_id], subscriptions[start_date])</f>
        <v>45134</v>
      </c>
      <c r="G26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45291</v>
      </c>
      <c r="H2661" s="2">
        <f>IF(payments_raw[[#This Row],[payment_date]] &lt; payments_raw[[#This Row],[sub_start_date]], 1, 0)</f>
        <v>0</v>
      </c>
      <c r="I2661" s="2">
        <f>IF(AND(payments_raw[[#This Row],[sub_end_date]]&lt;&gt;"", payments_raw[[#This Row],[payment_date]] &gt; payments_raw[[#This Row],[sub_end_date]]), 1, 0)</f>
        <v>0</v>
      </c>
      <c r="J2661" s="2">
        <f>IF(payments_raw[[#This Row],[amount]] &lt;= 0, 1, 0)</f>
        <v>0</v>
      </c>
      <c r="K26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2" spans="1:11" x14ac:dyDescent="0.3">
      <c r="A2662">
        <v>29371183</v>
      </c>
      <c r="B2662">
        <v>8014552</v>
      </c>
      <c r="C2662" s="1">
        <v>45530</v>
      </c>
      <c r="D2662">
        <v>790</v>
      </c>
      <c r="E2662">
        <f>IF(
  ISNA(
    _xlfn.XLOOKUP(
      payments_raw[[#This Row],[subscription_id]],
      subscriptions[subscription_id],
      subscriptions[subscription_id]
    )
  ),
  0,
  1
)</f>
        <v>1</v>
      </c>
      <c r="F2662" s="1">
        <f>_xlfn.XLOOKUP(payments_raw[[#This Row],[subscription_id]], subscriptions[subscription_id], subscriptions[start_date])</f>
        <v>45418</v>
      </c>
      <c r="G26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2" s="2">
        <f>IF(payments_raw[[#This Row],[payment_date]] &lt; payments_raw[[#This Row],[sub_start_date]], 1, 0)</f>
        <v>0</v>
      </c>
      <c r="I2662" s="2">
        <f>IF(AND(payments_raw[[#This Row],[sub_end_date]]&lt;&gt;"", payments_raw[[#This Row],[payment_date]] &gt; payments_raw[[#This Row],[sub_end_date]]), 1, 0)</f>
        <v>0</v>
      </c>
      <c r="J2662" s="2">
        <f>IF(payments_raw[[#This Row],[amount]] &lt;= 0, 1, 0)</f>
        <v>0</v>
      </c>
      <c r="K26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3" spans="1:11" x14ac:dyDescent="0.3">
      <c r="A2663">
        <v>39361875</v>
      </c>
      <c r="B2663">
        <v>8161079</v>
      </c>
      <c r="C2663" s="1">
        <v>45493</v>
      </c>
      <c r="D2663">
        <v>39</v>
      </c>
      <c r="E2663">
        <f>IF(
  ISNA(
    _xlfn.XLOOKUP(
      payments_raw[[#This Row],[subscription_id]],
      subscriptions[subscription_id],
      subscriptions[subscription_id]
    )
  ),
  0,
  1
)</f>
        <v>1</v>
      </c>
      <c r="F2663" s="1">
        <f>_xlfn.XLOOKUP(payments_raw[[#This Row],[subscription_id]], subscriptions[subscription_id], subscriptions[start_date])</f>
        <v>44844</v>
      </c>
      <c r="G26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3" s="2">
        <f>IF(payments_raw[[#This Row],[payment_date]] &lt; payments_raw[[#This Row],[sub_start_date]], 1, 0)</f>
        <v>0</v>
      </c>
      <c r="I2663" s="2">
        <f>IF(AND(payments_raw[[#This Row],[sub_end_date]]&lt;&gt;"", payments_raw[[#This Row],[payment_date]] &gt; payments_raw[[#This Row],[sub_end_date]]), 1, 0)</f>
        <v>0</v>
      </c>
      <c r="J2663" s="2">
        <f>IF(payments_raw[[#This Row],[amount]] &lt;= 0, 1, 0)</f>
        <v>0</v>
      </c>
      <c r="K26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4" spans="1:11" x14ac:dyDescent="0.3">
      <c r="A2664">
        <v>13376007</v>
      </c>
      <c r="B2664">
        <v>5066398</v>
      </c>
      <c r="C2664" s="1">
        <v>44996</v>
      </c>
      <c r="D2664">
        <v>79</v>
      </c>
      <c r="E2664">
        <f>IF(
  ISNA(
    _xlfn.XLOOKUP(
      payments_raw[[#This Row],[subscription_id]],
      subscriptions[subscription_id],
      subscriptions[subscription_id]
    )
  ),
  0,
  1
)</f>
        <v>1</v>
      </c>
      <c r="F2664" s="1">
        <f>_xlfn.XLOOKUP(payments_raw[[#This Row],[subscription_id]], subscriptions[subscription_id], subscriptions[start_date])</f>
        <v>44983</v>
      </c>
      <c r="G26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45051</v>
      </c>
      <c r="H2664" s="2">
        <f>IF(payments_raw[[#This Row],[payment_date]] &lt; payments_raw[[#This Row],[sub_start_date]], 1, 0)</f>
        <v>0</v>
      </c>
      <c r="I2664" s="2">
        <f>IF(AND(payments_raw[[#This Row],[sub_end_date]]&lt;&gt;"", payments_raw[[#This Row],[payment_date]] &gt; payments_raw[[#This Row],[sub_end_date]]), 1, 0)</f>
        <v>0</v>
      </c>
      <c r="J2664" s="2">
        <f>IF(payments_raw[[#This Row],[amount]] &lt;= 0, 1, 0)</f>
        <v>0</v>
      </c>
      <c r="K26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5" spans="1:11" x14ac:dyDescent="0.3">
      <c r="A2665">
        <v>54680584</v>
      </c>
      <c r="B2665">
        <v>3081873</v>
      </c>
      <c r="C2665" s="1">
        <v>45016</v>
      </c>
      <c r="D2665">
        <v>2242.5</v>
      </c>
      <c r="E2665">
        <f>IF(
  ISNA(
    _xlfn.XLOOKUP(
      payments_raw[[#This Row],[subscription_id]],
      subscriptions[subscription_id],
      subscriptions[subscription_id]
    )
  ),
  0,
  1
)</f>
        <v>1</v>
      </c>
      <c r="F2665" s="1">
        <f>_xlfn.XLOOKUP(payments_raw[[#This Row],[subscription_id]], subscriptions[subscription_id], subscriptions[start_date])</f>
        <v>44986</v>
      </c>
      <c r="G26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45076</v>
      </c>
      <c r="H2665" s="2">
        <f>IF(payments_raw[[#This Row],[payment_date]] &lt; payments_raw[[#This Row],[sub_start_date]], 1, 0)</f>
        <v>0</v>
      </c>
      <c r="I2665" s="2">
        <f>IF(AND(payments_raw[[#This Row],[sub_end_date]]&lt;&gt;"", payments_raw[[#This Row],[payment_date]] &gt; payments_raw[[#This Row],[sub_end_date]]), 1, 0)</f>
        <v>0</v>
      </c>
      <c r="J2665" s="2">
        <f>IF(payments_raw[[#This Row],[amount]] &lt;= 0, 1, 0)</f>
        <v>0</v>
      </c>
      <c r="K26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6" spans="1:11" x14ac:dyDescent="0.3">
      <c r="A2666">
        <v>94009764</v>
      </c>
      <c r="B2666">
        <v>4096510</v>
      </c>
      <c r="C2666" s="1">
        <v>45304</v>
      </c>
      <c r="D2666">
        <v>390</v>
      </c>
      <c r="E2666">
        <f>IF(
  ISNA(
    _xlfn.XLOOKUP(
      payments_raw[[#This Row],[subscription_id]],
      subscriptions[subscription_id],
      subscriptions[subscription_id]
    )
  ),
  0,
  1
)</f>
        <v>1</v>
      </c>
      <c r="F2666" s="1">
        <f>_xlfn.XLOOKUP(payments_raw[[#This Row],[subscription_id]], subscriptions[subscription_id], subscriptions[start_date])</f>
        <v>45095</v>
      </c>
      <c r="G26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6" s="2">
        <f>IF(payments_raw[[#This Row],[payment_date]] &lt; payments_raw[[#This Row],[sub_start_date]], 1, 0)</f>
        <v>0</v>
      </c>
      <c r="I2666" s="2">
        <f>IF(AND(payments_raw[[#This Row],[sub_end_date]]&lt;&gt;"", payments_raw[[#This Row],[payment_date]] &gt; payments_raw[[#This Row],[sub_end_date]]), 1, 0)</f>
        <v>0</v>
      </c>
      <c r="J2666" s="2">
        <f>IF(payments_raw[[#This Row],[amount]] &lt;= 0, 1, 0)</f>
        <v>0</v>
      </c>
      <c r="K26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7" spans="1:11" x14ac:dyDescent="0.3">
      <c r="A2667">
        <v>51490410</v>
      </c>
      <c r="B2667">
        <v>2845328</v>
      </c>
      <c r="C2667" s="1">
        <v>45646</v>
      </c>
      <c r="D2667">
        <v>39</v>
      </c>
      <c r="E2667">
        <f>IF(
  ISNA(
    _xlfn.XLOOKUP(
      payments_raw[[#This Row],[subscription_id]],
      subscriptions[subscription_id],
      subscriptions[subscription_id]
    )
  ),
  0,
  1
)</f>
        <v>1</v>
      </c>
      <c r="F2667" s="1">
        <f>_xlfn.XLOOKUP(payments_raw[[#This Row],[subscription_id]], subscriptions[subscription_id], subscriptions[start_date])</f>
        <v>45395</v>
      </c>
      <c r="G26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7" s="2">
        <f>IF(payments_raw[[#This Row],[payment_date]] &lt; payments_raw[[#This Row],[sub_start_date]], 1, 0)</f>
        <v>0</v>
      </c>
      <c r="I2667" s="2">
        <f>IF(AND(payments_raw[[#This Row],[sub_end_date]]&lt;&gt;"", payments_raw[[#This Row],[payment_date]] &gt; payments_raw[[#This Row],[sub_end_date]]), 1, 0)</f>
        <v>0</v>
      </c>
      <c r="J2667" s="2">
        <f>IF(payments_raw[[#This Row],[amount]] &lt;= 0, 1, 0)</f>
        <v>0</v>
      </c>
      <c r="K26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8" spans="1:11" x14ac:dyDescent="0.3">
      <c r="A2668">
        <v>44825874</v>
      </c>
      <c r="B2668">
        <v>3596701</v>
      </c>
      <c r="C2668" s="1">
        <v>45298</v>
      </c>
      <c r="D2668">
        <v>299</v>
      </c>
      <c r="E2668">
        <f>IF(
  ISNA(
    _xlfn.XLOOKUP(
      payments_raw[[#This Row],[subscription_id]],
      subscriptions[subscription_id],
      subscriptions[subscription_id]
    )
  ),
  0,
  1
)</f>
        <v>1</v>
      </c>
      <c r="F2668" s="1">
        <f>_xlfn.XLOOKUP(payments_raw[[#This Row],[subscription_id]], subscriptions[subscription_id], subscriptions[start_date])</f>
        <v>45178</v>
      </c>
      <c r="G26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2668" s="2">
        <f>IF(payments_raw[[#This Row],[payment_date]] &lt; payments_raw[[#This Row],[sub_start_date]], 1, 0)</f>
        <v>0</v>
      </c>
      <c r="I2668" s="2">
        <f>IF(AND(payments_raw[[#This Row],[sub_end_date]]&lt;&gt;"", payments_raw[[#This Row],[payment_date]] &gt; payments_raw[[#This Row],[sub_end_date]]), 1, 0)</f>
        <v>0</v>
      </c>
      <c r="J2668" s="2">
        <f>IF(payments_raw[[#This Row],[amount]] &lt;= 0, 1, 0)</f>
        <v>0</v>
      </c>
      <c r="K26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69" spans="1:11" x14ac:dyDescent="0.3">
      <c r="A2669">
        <v>66620520</v>
      </c>
      <c r="B2669">
        <v>7232368</v>
      </c>
      <c r="C2669" s="1">
        <v>45451</v>
      </c>
      <c r="D2669">
        <v>390</v>
      </c>
      <c r="E2669">
        <f>IF(
  ISNA(
    _xlfn.XLOOKUP(
      payments_raw[[#This Row],[subscription_id]],
      subscriptions[subscription_id],
      subscriptions[subscription_id]
    )
  ),
  0,
  1
)</f>
        <v>1</v>
      </c>
      <c r="F2669" s="1">
        <f>_xlfn.XLOOKUP(payments_raw[[#This Row],[subscription_id]], subscriptions[subscription_id], subscriptions[start_date])</f>
        <v>45430</v>
      </c>
      <c r="G26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69" s="2">
        <f>IF(payments_raw[[#This Row],[payment_date]] &lt; payments_raw[[#This Row],[sub_start_date]], 1, 0)</f>
        <v>0</v>
      </c>
      <c r="I2669" s="2">
        <f>IF(AND(payments_raw[[#This Row],[sub_end_date]]&lt;&gt;"", payments_raw[[#This Row],[payment_date]] &gt; payments_raw[[#This Row],[sub_end_date]]), 1, 0)</f>
        <v>0</v>
      </c>
      <c r="J2669" s="2">
        <f>IF(payments_raw[[#This Row],[amount]] &lt;= 0, 1, 0)</f>
        <v>0</v>
      </c>
      <c r="K26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0" spans="1:11" x14ac:dyDescent="0.3">
      <c r="A2670">
        <v>65006761</v>
      </c>
      <c r="B2670">
        <v>9442389</v>
      </c>
      <c r="C2670" s="1">
        <v>45540</v>
      </c>
      <c r="D2670">
        <v>39</v>
      </c>
      <c r="E2670">
        <f>IF(
  ISNA(
    _xlfn.XLOOKUP(
      payments_raw[[#This Row],[subscription_id]],
      subscriptions[subscription_id],
      subscriptions[subscription_id]
    )
  ),
  0,
  1
)</f>
        <v>1</v>
      </c>
      <c r="F2670" s="1">
        <f>_xlfn.XLOOKUP(payments_raw[[#This Row],[subscription_id]], subscriptions[subscription_id], subscriptions[start_date])</f>
        <v>44993</v>
      </c>
      <c r="G26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0" s="2">
        <f>IF(payments_raw[[#This Row],[payment_date]] &lt; payments_raw[[#This Row],[sub_start_date]], 1, 0)</f>
        <v>0</v>
      </c>
      <c r="I2670" s="2">
        <f>IF(AND(payments_raw[[#This Row],[sub_end_date]]&lt;&gt;"", payments_raw[[#This Row],[payment_date]] &gt; payments_raw[[#This Row],[sub_end_date]]), 1, 0)</f>
        <v>0</v>
      </c>
      <c r="J2670" s="2">
        <f>IF(payments_raw[[#This Row],[amount]] &lt;= 0, 1, 0)</f>
        <v>0</v>
      </c>
      <c r="K26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1" spans="1:11" x14ac:dyDescent="0.3">
      <c r="A2671">
        <v>52661147</v>
      </c>
      <c r="B2671">
        <v>7787380</v>
      </c>
      <c r="C2671" s="1">
        <v>45415</v>
      </c>
      <c r="D2671">
        <v>79</v>
      </c>
      <c r="E2671">
        <f>IF(
  ISNA(
    _xlfn.XLOOKUP(
      payments_raw[[#This Row],[subscription_id]],
      subscriptions[subscription_id],
      subscriptions[subscription_id]
    )
  ),
  0,
  1
)</f>
        <v>1</v>
      </c>
      <c r="F2671" s="1">
        <f>_xlfn.XLOOKUP(payments_raw[[#This Row],[subscription_id]], subscriptions[subscription_id], subscriptions[start_date])</f>
        <v>45364</v>
      </c>
      <c r="G26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1" s="2">
        <f>IF(payments_raw[[#This Row],[payment_date]] &lt; payments_raw[[#This Row],[sub_start_date]], 1, 0)</f>
        <v>0</v>
      </c>
      <c r="I2671" s="2">
        <f>IF(AND(payments_raw[[#This Row],[sub_end_date]]&lt;&gt;"", payments_raw[[#This Row],[payment_date]] &gt; payments_raw[[#This Row],[sub_end_date]]), 1, 0)</f>
        <v>0</v>
      </c>
      <c r="J2671" s="2">
        <f>IF(payments_raw[[#This Row],[amount]] &lt;= 0, 1, 0)</f>
        <v>0</v>
      </c>
      <c r="K26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2" spans="1:11" x14ac:dyDescent="0.3">
      <c r="A2672">
        <v>26940639</v>
      </c>
      <c r="B2672">
        <v>8859936</v>
      </c>
      <c r="C2672" s="1">
        <v>45631</v>
      </c>
      <c r="D2672">
        <v>149</v>
      </c>
      <c r="E2672">
        <f>IF(
  ISNA(
    _xlfn.XLOOKUP(
      payments_raw[[#This Row],[subscription_id]],
      subscriptions[subscription_id],
      subscriptions[subscription_id]
    )
  ),
  0,
  1
)</f>
        <v>1</v>
      </c>
      <c r="F2672" s="1">
        <f>_xlfn.XLOOKUP(payments_raw[[#This Row],[subscription_id]], subscriptions[subscription_id], subscriptions[start_date])</f>
        <v>45514</v>
      </c>
      <c r="G26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2" s="2">
        <f>IF(payments_raw[[#This Row],[payment_date]] &lt; payments_raw[[#This Row],[sub_start_date]], 1, 0)</f>
        <v>0</v>
      </c>
      <c r="I2672" s="2">
        <f>IF(AND(payments_raw[[#This Row],[sub_end_date]]&lt;&gt;"", payments_raw[[#This Row],[payment_date]] &gt; payments_raw[[#This Row],[sub_end_date]]), 1, 0)</f>
        <v>0</v>
      </c>
      <c r="J2672" s="2">
        <f>IF(payments_raw[[#This Row],[amount]] &lt;= 0, 1, 0)</f>
        <v>0</v>
      </c>
      <c r="K26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3" spans="1:11" x14ac:dyDescent="0.3">
      <c r="A2673">
        <v>34598469</v>
      </c>
      <c r="B2673">
        <v>4346251</v>
      </c>
      <c r="C2673" s="1">
        <v>45203</v>
      </c>
      <c r="D2673">
        <v>2990</v>
      </c>
      <c r="E2673">
        <f>IF(
  ISNA(
    _xlfn.XLOOKUP(
      payments_raw[[#This Row],[subscription_id]],
      subscriptions[subscription_id],
      subscriptions[subscription_id]
    )
  ),
  0,
  1
)</f>
        <v>1</v>
      </c>
      <c r="F2673" s="1">
        <f>_xlfn.XLOOKUP(payments_raw[[#This Row],[subscription_id]], subscriptions[subscription_id], subscriptions[start_date])</f>
        <v>45002</v>
      </c>
      <c r="G26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2673" s="2">
        <f>IF(payments_raw[[#This Row],[payment_date]] &lt; payments_raw[[#This Row],[sub_start_date]], 1, 0)</f>
        <v>0</v>
      </c>
      <c r="I2673" s="2">
        <f>IF(AND(payments_raw[[#This Row],[sub_end_date]]&lt;&gt;"", payments_raw[[#This Row],[payment_date]] &gt; payments_raw[[#This Row],[sub_end_date]]), 1, 0)</f>
        <v>0</v>
      </c>
      <c r="J2673" s="2">
        <f>IF(payments_raw[[#This Row],[amount]] &lt;= 0, 1, 0)</f>
        <v>0</v>
      </c>
      <c r="K26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4" spans="1:11" x14ac:dyDescent="0.3">
      <c r="A2674">
        <v>10509134</v>
      </c>
      <c r="B2674">
        <v>2847769</v>
      </c>
      <c r="C2674" s="1">
        <v>45542</v>
      </c>
      <c r="D2674">
        <v>790</v>
      </c>
      <c r="E2674">
        <f>IF(
  ISNA(
    _xlfn.XLOOKUP(
      payments_raw[[#This Row],[subscription_id]],
      subscriptions[subscription_id],
      subscriptions[subscription_id]
    )
  ),
  0,
  1
)</f>
        <v>1</v>
      </c>
      <c r="F2674" s="1">
        <f>_xlfn.XLOOKUP(payments_raw[[#This Row],[subscription_id]], subscriptions[subscription_id], subscriptions[start_date])</f>
        <v>45021</v>
      </c>
      <c r="G26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4" s="2">
        <f>IF(payments_raw[[#This Row],[payment_date]] &lt; payments_raw[[#This Row],[sub_start_date]], 1, 0)</f>
        <v>0</v>
      </c>
      <c r="I2674" s="2">
        <f>IF(AND(payments_raw[[#This Row],[sub_end_date]]&lt;&gt;"", payments_raw[[#This Row],[payment_date]] &gt; payments_raw[[#This Row],[sub_end_date]]), 1, 0)</f>
        <v>0</v>
      </c>
      <c r="J2674" s="2">
        <f>IF(payments_raw[[#This Row],[amount]] &lt;= 0, 1, 0)</f>
        <v>0</v>
      </c>
      <c r="K26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5" spans="1:11" x14ac:dyDescent="0.3">
      <c r="A2675">
        <v>66144019</v>
      </c>
      <c r="B2675">
        <v>6290495</v>
      </c>
      <c r="C2675" s="1">
        <v>45531</v>
      </c>
      <c r="D2675">
        <v>190</v>
      </c>
      <c r="E2675">
        <f>IF(
  ISNA(
    _xlfn.XLOOKUP(
      payments_raw[[#This Row],[subscription_id]],
      subscriptions[subscription_id],
      subscriptions[subscription_id]
    )
  ),
  0,
  1
)</f>
        <v>1</v>
      </c>
      <c r="F2675" s="1">
        <f>_xlfn.XLOOKUP(payments_raw[[#This Row],[subscription_id]], subscriptions[subscription_id], subscriptions[start_date])</f>
        <v>45486</v>
      </c>
      <c r="G26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675" s="2">
        <f>IF(payments_raw[[#This Row],[payment_date]] &lt; payments_raw[[#This Row],[sub_start_date]], 1, 0)</f>
        <v>0</v>
      </c>
      <c r="I2675" s="2">
        <f>IF(AND(payments_raw[[#This Row],[sub_end_date]]&lt;&gt;"", payments_raw[[#This Row],[payment_date]] &gt; payments_raw[[#This Row],[sub_end_date]]), 1, 0)</f>
        <v>0</v>
      </c>
      <c r="J2675" s="2">
        <f>IF(payments_raw[[#This Row],[amount]] &lt;= 0, 1, 0)</f>
        <v>0</v>
      </c>
      <c r="K26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6" spans="1:11" x14ac:dyDescent="0.3">
      <c r="A2676">
        <v>57121480</v>
      </c>
      <c r="B2676">
        <v>7985675</v>
      </c>
      <c r="C2676" s="1">
        <v>45641</v>
      </c>
      <c r="D2676">
        <v>299</v>
      </c>
      <c r="E2676">
        <f>IF(
  ISNA(
    _xlfn.XLOOKUP(
      payments_raw[[#This Row],[subscription_id]],
      subscriptions[subscription_id],
      subscriptions[subscription_id]
    )
  ),
  0,
  1
)</f>
        <v>1</v>
      </c>
      <c r="F2676" s="1">
        <f>_xlfn.XLOOKUP(payments_raw[[#This Row],[subscription_id]], subscriptions[subscription_id], subscriptions[start_date])</f>
        <v>44687</v>
      </c>
      <c r="G26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6" s="2">
        <f>IF(payments_raw[[#This Row],[payment_date]] &lt; payments_raw[[#This Row],[sub_start_date]], 1, 0)</f>
        <v>0</v>
      </c>
      <c r="I2676" s="2">
        <f>IF(AND(payments_raw[[#This Row],[sub_end_date]]&lt;&gt;"", payments_raw[[#This Row],[payment_date]] &gt; payments_raw[[#This Row],[sub_end_date]]), 1, 0)</f>
        <v>0</v>
      </c>
      <c r="J2676" s="2">
        <f>IF(payments_raw[[#This Row],[amount]] &lt;= 0, 1, 0)</f>
        <v>0</v>
      </c>
      <c r="K26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7" spans="1:11" x14ac:dyDescent="0.3">
      <c r="A2677">
        <v>63712506</v>
      </c>
      <c r="B2677">
        <v>2517205</v>
      </c>
      <c r="C2677" s="1">
        <v>45471</v>
      </c>
      <c r="D2677">
        <v>299</v>
      </c>
      <c r="E2677">
        <f>IF(
  ISNA(
    _xlfn.XLOOKUP(
      payments_raw[[#This Row],[subscription_id]],
      subscriptions[subscription_id],
      subscriptions[subscription_id]
    )
  ),
  0,
  1
)</f>
        <v>1</v>
      </c>
      <c r="F2677" s="1">
        <f>_xlfn.XLOOKUP(payments_raw[[#This Row],[subscription_id]], subscriptions[subscription_id], subscriptions[start_date])</f>
        <v>45393</v>
      </c>
      <c r="G26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77" s="2">
        <f>IF(payments_raw[[#This Row],[payment_date]] &lt; payments_raw[[#This Row],[sub_start_date]], 1, 0)</f>
        <v>0</v>
      </c>
      <c r="I2677" s="2">
        <f>IF(AND(payments_raw[[#This Row],[sub_end_date]]&lt;&gt;"", payments_raw[[#This Row],[payment_date]] &gt; payments_raw[[#This Row],[sub_end_date]]), 1, 0)</f>
        <v>0</v>
      </c>
      <c r="J2677" s="2">
        <f>IF(payments_raw[[#This Row],[amount]] &lt;= 0, 1, 0)</f>
        <v>0</v>
      </c>
      <c r="K26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8" spans="1:11" x14ac:dyDescent="0.3">
      <c r="A2678">
        <v>47052406</v>
      </c>
      <c r="B2678">
        <v>2333367</v>
      </c>
      <c r="C2678" s="1">
        <v>44728</v>
      </c>
      <c r="D2678">
        <v>19</v>
      </c>
      <c r="E2678">
        <f>IF(
  ISNA(
    _xlfn.XLOOKUP(
      payments_raw[[#This Row],[subscription_id]],
      subscriptions[subscription_id],
      subscriptions[subscription_id]
    )
  ),
  0,
  1
)</f>
        <v>1</v>
      </c>
      <c r="F2678" s="1">
        <f>_xlfn.XLOOKUP(payments_raw[[#This Row],[subscription_id]], subscriptions[subscription_id], subscriptions[start_date])</f>
        <v>44719</v>
      </c>
      <c r="G267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44796</v>
      </c>
      <c r="H2678" s="2">
        <f>IF(payments_raw[[#This Row],[payment_date]] &lt; payments_raw[[#This Row],[sub_start_date]], 1, 0)</f>
        <v>0</v>
      </c>
      <c r="I2678" s="2">
        <f>IF(AND(payments_raw[[#This Row],[sub_end_date]]&lt;&gt;"", payments_raw[[#This Row],[payment_date]] &gt; payments_raw[[#This Row],[sub_end_date]]), 1, 0)</f>
        <v>0</v>
      </c>
      <c r="J2678" s="2">
        <f>IF(payments_raw[[#This Row],[amount]] &lt;= 0, 1, 0)</f>
        <v>0</v>
      </c>
      <c r="K26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79" spans="1:11" x14ac:dyDescent="0.3">
      <c r="A2679">
        <v>93403051</v>
      </c>
      <c r="B2679">
        <v>5812771</v>
      </c>
      <c r="C2679" s="1">
        <v>45144</v>
      </c>
      <c r="D2679">
        <v>149</v>
      </c>
      <c r="E2679">
        <f>IF(
  ISNA(
    _xlfn.XLOOKUP(
      payments_raw[[#This Row],[subscription_id]],
      subscriptions[subscription_id],
      subscriptions[subscription_id]
    )
  ),
  0,
  1
)</f>
        <v>1</v>
      </c>
      <c r="F2679" s="1">
        <f>_xlfn.XLOOKUP(payments_raw[[#This Row],[subscription_id]], subscriptions[subscription_id], subscriptions[start_date])</f>
        <v>44919</v>
      </c>
      <c r="G26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2679" s="2">
        <f>IF(payments_raw[[#This Row],[payment_date]] &lt; payments_raw[[#This Row],[sub_start_date]], 1, 0)</f>
        <v>0</v>
      </c>
      <c r="I2679" s="2">
        <f>IF(AND(payments_raw[[#This Row],[sub_end_date]]&lt;&gt;"", payments_raw[[#This Row],[payment_date]] &gt; payments_raw[[#This Row],[sub_end_date]]), 1, 0)</f>
        <v>0</v>
      </c>
      <c r="J2679" s="2">
        <f>IF(payments_raw[[#This Row],[amount]] &lt;= 0, 1, 0)</f>
        <v>0</v>
      </c>
      <c r="K26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0" spans="1:11" x14ac:dyDescent="0.3">
      <c r="A2680">
        <v>64864149</v>
      </c>
      <c r="B2680">
        <v>4967894</v>
      </c>
      <c r="C2680" s="1">
        <v>44807</v>
      </c>
      <c r="D2680">
        <v>19</v>
      </c>
      <c r="E2680">
        <f>IF(
  ISNA(
    _xlfn.XLOOKUP(
      payments_raw[[#This Row],[subscription_id]],
      subscriptions[subscription_id],
      subscriptions[subscription_id]
    )
  ),
  0,
  1
)</f>
        <v>1</v>
      </c>
      <c r="F2680" s="1">
        <f>_xlfn.XLOOKUP(payments_raw[[#This Row],[subscription_id]], subscriptions[subscription_id], subscriptions[start_date])</f>
        <v>44668</v>
      </c>
      <c r="G268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44873</v>
      </c>
      <c r="H2680" s="2">
        <f>IF(payments_raw[[#This Row],[payment_date]] &lt; payments_raw[[#This Row],[sub_start_date]], 1, 0)</f>
        <v>0</v>
      </c>
      <c r="I2680" s="2">
        <f>IF(AND(payments_raw[[#This Row],[sub_end_date]]&lt;&gt;"", payments_raw[[#This Row],[payment_date]] &gt; payments_raw[[#This Row],[sub_end_date]]), 1, 0)</f>
        <v>0</v>
      </c>
      <c r="J2680" s="2">
        <f>IF(payments_raw[[#This Row],[amount]] &lt;= 0, 1, 0)</f>
        <v>0</v>
      </c>
      <c r="K26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1" spans="1:11" x14ac:dyDescent="0.3">
      <c r="A2681">
        <v>46180065</v>
      </c>
      <c r="B2681">
        <v>2649587</v>
      </c>
      <c r="C2681" s="1">
        <v>45497</v>
      </c>
      <c r="D2681">
        <v>149</v>
      </c>
      <c r="E2681">
        <f>IF(
  ISNA(
    _xlfn.XLOOKUP(
      payments_raw[[#This Row],[subscription_id]],
      subscriptions[subscription_id],
      subscriptions[subscription_id]
    )
  ),
  0,
  1
)</f>
        <v>1</v>
      </c>
      <c r="F2681" s="1">
        <f>_xlfn.XLOOKUP(payments_raw[[#This Row],[subscription_id]], subscriptions[subscription_id], subscriptions[start_date])</f>
        <v>45347</v>
      </c>
      <c r="G26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1" s="2">
        <f>IF(payments_raw[[#This Row],[payment_date]] &lt; payments_raw[[#This Row],[sub_start_date]], 1, 0)</f>
        <v>0</v>
      </c>
      <c r="I2681" s="2">
        <f>IF(AND(payments_raw[[#This Row],[sub_end_date]]&lt;&gt;"", payments_raw[[#This Row],[payment_date]] &gt; payments_raw[[#This Row],[sub_end_date]]), 1, 0)</f>
        <v>0</v>
      </c>
      <c r="J2681" s="2">
        <f>IF(payments_raw[[#This Row],[amount]] &lt;= 0, 1, 0)</f>
        <v>0</v>
      </c>
      <c r="K26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2" spans="1:11" x14ac:dyDescent="0.3">
      <c r="A2682">
        <v>20807157</v>
      </c>
      <c r="B2682">
        <v>5651273</v>
      </c>
      <c r="C2682" s="1">
        <v>45571</v>
      </c>
      <c r="D2682">
        <v>19</v>
      </c>
      <c r="E2682">
        <f>IF(
  ISNA(
    _xlfn.XLOOKUP(
      payments_raw[[#This Row],[subscription_id]],
      subscriptions[subscription_id],
      subscriptions[subscription_id]
    )
  ),
  0,
  1
)</f>
        <v>1</v>
      </c>
      <c r="F2682" s="1">
        <f>_xlfn.XLOOKUP(payments_raw[[#This Row],[subscription_id]], subscriptions[subscription_id], subscriptions[start_date])</f>
        <v>45531</v>
      </c>
      <c r="G26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2" s="2">
        <f>IF(payments_raw[[#This Row],[payment_date]] &lt; payments_raw[[#This Row],[sub_start_date]], 1, 0)</f>
        <v>0</v>
      </c>
      <c r="I2682" s="2">
        <f>IF(AND(payments_raw[[#This Row],[sub_end_date]]&lt;&gt;"", payments_raw[[#This Row],[payment_date]] &gt; payments_raw[[#This Row],[sub_end_date]]), 1, 0)</f>
        <v>0</v>
      </c>
      <c r="J2682" s="2">
        <f>IF(payments_raw[[#This Row],[amount]] &lt;= 0, 1, 0)</f>
        <v>0</v>
      </c>
      <c r="K26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3" spans="1:11" x14ac:dyDescent="0.3">
      <c r="A2683">
        <v>95780153</v>
      </c>
      <c r="B2683">
        <v>7417663</v>
      </c>
      <c r="C2683" s="1">
        <v>45480</v>
      </c>
      <c r="D2683">
        <v>39</v>
      </c>
      <c r="E2683">
        <f>IF(
  ISNA(
    _xlfn.XLOOKUP(
      payments_raw[[#This Row],[subscription_id]],
      subscriptions[subscription_id],
      subscriptions[subscription_id]
    )
  ),
  0,
  1
)</f>
        <v>1</v>
      </c>
      <c r="F2683" s="1">
        <f>_xlfn.XLOOKUP(payments_raw[[#This Row],[subscription_id]], subscriptions[subscription_id], subscriptions[start_date])</f>
        <v>45427</v>
      </c>
      <c r="G26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3" s="2">
        <f>IF(payments_raw[[#This Row],[payment_date]] &lt; payments_raw[[#This Row],[sub_start_date]], 1, 0)</f>
        <v>0</v>
      </c>
      <c r="I2683" s="2">
        <f>IF(AND(payments_raw[[#This Row],[sub_end_date]]&lt;&gt;"", payments_raw[[#This Row],[payment_date]] &gt; payments_raw[[#This Row],[sub_end_date]]), 1, 0)</f>
        <v>0</v>
      </c>
      <c r="J2683" s="2">
        <f>IF(payments_raw[[#This Row],[amount]] &lt;= 0, 1, 0)</f>
        <v>0</v>
      </c>
      <c r="K26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4" spans="1:11" x14ac:dyDescent="0.3">
      <c r="A2684">
        <v>14898870</v>
      </c>
      <c r="B2684">
        <v>9513662</v>
      </c>
      <c r="C2684" s="1">
        <v>45588</v>
      </c>
      <c r="D2684">
        <v>39</v>
      </c>
      <c r="E2684">
        <f>IF(
  ISNA(
    _xlfn.XLOOKUP(
      payments_raw[[#This Row],[subscription_id]],
      subscriptions[subscription_id],
      subscriptions[subscription_id]
    )
  ),
  0,
  1
)</f>
        <v>1</v>
      </c>
      <c r="F2684" s="1">
        <f>_xlfn.XLOOKUP(payments_raw[[#This Row],[subscription_id]], subscriptions[subscription_id], subscriptions[start_date])</f>
        <v>45536</v>
      </c>
      <c r="G26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4" s="2">
        <f>IF(payments_raw[[#This Row],[payment_date]] &lt; payments_raw[[#This Row],[sub_start_date]], 1, 0)</f>
        <v>0</v>
      </c>
      <c r="I2684" s="2">
        <f>IF(AND(payments_raw[[#This Row],[sub_end_date]]&lt;&gt;"", payments_raw[[#This Row],[payment_date]] &gt; payments_raw[[#This Row],[sub_end_date]]), 1, 0)</f>
        <v>0</v>
      </c>
      <c r="J2684" s="2">
        <f>IF(payments_raw[[#This Row],[amount]] &lt;= 0, 1, 0)</f>
        <v>0</v>
      </c>
      <c r="K26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5" spans="1:11" x14ac:dyDescent="0.3">
      <c r="A2685">
        <v>24610015</v>
      </c>
      <c r="B2685">
        <v>8590547</v>
      </c>
      <c r="C2685" s="1">
        <v>45080</v>
      </c>
      <c r="D2685">
        <v>390</v>
      </c>
      <c r="E2685">
        <f>IF(
  ISNA(
    _xlfn.XLOOKUP(
      payments_raw[[#This Row],[subscription_id]],
      subscriptions[subscription_id],
      subscriptions[subscription_id]
    )
  ),
  0,
  1
)</f>
        <v>1</v>
      </c>
      <c r="F2685" s="1">
        <f>_xlfn.XLOOKUP(payments_raw[[#This Row],[subscription_id]], subscriptions[subscription_id], subscriptions[start_date])</f>
        <v>44977</v>
      </c>
      <c r="G26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45103</v>
      </c>
      <c r="H2685" s="2">
        <f>IF(payments_raw[[#This Row],[payment_date]] &lt; payments_raw[[#This Row],[sub_start_date]], 1, 0)</f>
        <v>0</v>
      </c>
      <c r="I2685" s="2">
        <f>IF(AND(payments_raw[[#This Row],[sub_end_date]]&lt;&gt;"", payments_raw[[#This Row],[payment_date]] &gt; payments_raw[[#This Row],[sub_end_date]]), 1, 0)</f>
        <v>0</v>
      </c>
      <c r="J2685" s="2">
        <f>IF(payments_raw[[#This Row],[amount]] &lt;= 0, 1, 0)</f>
        <v>0</v>
      </c>
      <c r="K26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6" spans="1:11" x14ac:dyDescent="0.3">
      <c r="A2686">
        <v>77189199</v>
      </c>
      <c r="B2686">
        <v>9135271</v>
      </c>
      <c r="C2686" s="1">
        <v>45227</v>
      </c>
      <c r="D2686">
        <v>39</v>
      </c>
      <c r="E2686">
        <f>IF(
  ISNA(
    _xlfn.XLOOKUP(
      payments_raw[[#This Row],[subscription_id]],
      subscriptions[subscription_id],
      subscriptions[subscription_id]
    )
  ),
  0,
  1
)</f>
        <v>1</v>
      </c>
      <c r="F2686" s="1">
        <f>_xlfn.XLOOKUP(payments_raw[[#This Row],[subscription_id]], subscriptions[subscription_id], subscriptions[start_date])</f>
        <v>44648</v>
      </c>
      <c r="G26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6" s="2">
        <f>IF(payments_raw[[#This Row],[payment_date]] &lt; payments_raw[[#This Row],[sub_start_date]], 1, 0)</f>
        <v>0</v>
      </c>
      <c r="I2686" s="2">
        <f>IF(AND(payments_raw[[#This Row],[sub_end_date]]&lt;&gt;"", payments_raw[[#This Row],[payment_date]] &gt; payments_raw[[#This Row],[sub_end_date]]), 1, 0)</f>
        <v>0</v>
      </c>
      <c r="J2686" s="2">
        <f>IF(payments_raw[[#This Row],[amount]] &lt;= 0, 1, 0)</f>
        <v>0</v>
      </c>
      <c r="K26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7" spans="1:11" x14ac:dyDescent="0.3">
      <c r="A2687">
        <v>50444791</v>
      </c>
      <c r="B2687">
        <v>7012792</v>
      </c>
      <c r="C2687" s="1">
        <v>45284</v>
      </c>
      <c r="D2687">
        <v>299</v>
      </c>
      <c r="E2687">
        <f>IF(
  ISNA(
    _xlfn.XLOOKUP(
      payments_raw[[#This Row],[subscription_id]],
      subscriptions[subscription_id],
      subscriptions[subscription_id]
    )
  ),
  0,
  1
)</f>
        <v>1</v>
      </c>
      <c r="F2687" s="1">
        <f>_xlfn.XLOOKUP(payments_raw[[#This Row],[subscription_id]], subscriptions[subscription_id], subscriptions[start_date])</f>
        <v>45210</v>
      </c>
      <c r="G26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7" s="2">
        <f>IF(payments_raw[[#This Row],[payment_date]] &lt; payments_raw[[#This Row],[sub_start_date]], 1, 0)</f>
        <v>0</v>
      </c>
      <c r="I2687" s="2">
        <f>IF(AND(payments_raw[[#This Row],[sub_end_date]]&lt;&gt;"", payments_raw[[#This Row],[payment_date]] &gt; payments_raw[[#This Row],[sub_end_date]]), 1, 0)</f>
        <v>0</v>
      </c>
      <c r="J2687" s="2">
        <f>IF(payments_raw[[#This Row],[amount]] &lt;= 0, 1, 0)</f>
        <v>0</v>
      </c>
      <c r="K26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8" spans="1:11" x14ac:dyDescent="0.3">
      <c r="A2688">
        <v>52037932</v>
      </c>
      <c r="B2688">
        <v>1435209</v>
      </c>
      <c r="C2688" s="1">
        <v>45153</v>
      </c>
      <c r="D2688">
        <v>39</v>
      </c>
      <c r="E2688">
        <f>IF(
  ISNA(
    _xlfn.XLOOKUP(
      payments_raw[[#This Row],[subscription_id]],
      subscriptions[subscription_id],
      subscriptions[subscription_id]
    )
  ),
  0,
  1
)</f>
        <v>1</v>
      </c>
      <c r="F2688" s="1">
        <f>_xlfn.XLOOKUP(payments_raw[[#This Row],[subscription_id]], subscriptions[subscription_id], subscriptions[start_date])</f>
        <v>45014</v>
      </c>
      <c r="G26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2688" s="2">
        <f>IF(payments_raw[[#This Row],[payment_date]] &lt; payments_raw[[#This Row],[sub_start_date]], 1, 0)</f>
        <v>0</v>
      </c>
      <c r="I2688" s="2">
        <f>IF(AND(payments_raw[[#This Row],[sub_end_date]]&lt;&gt;"", payments_raw[[#This Row],[payment_date]] &gt; payments_raw[[#This Row],[sub_end_date]]), 1, 0)</f>
        <v>0</v>
      </c>
      <c r="J2688" s="2">
        <f>IF(payments_raw[[#This Row],[amount]] &lt;= 0, 1, 0)</f>
        <v>0</v>
      </c>
      <c r="K26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89" spans="1:11" x14ac:dyDescent="0.3">
      <c r="A2689">
        <v>51285310</v>
      </c>
      <c r="B2689">
        <v>6057767</v>
      </c>
      <c r="C2689" s="1">
        <v>44720</v>
      </c>
      <c r="D2689">
        <v>390</v>
      </c>
      <c r="E2689">
        <f>IF(
  ISNA(
    _xlfn.XLOOKUP(
      payments_raw[[#This Row],[subscription_id]],
      subscriptions[subscription_id],
      subscriptions[subscription_id]
    )
  ),
  0,
  1
)</f>
        <v>1</v>
      </c>
      <c r="F2689" s="1">
        <f>_xlfn.XLOOKUP(payments_raw[[#This Row],[subscription_id]], subscriptions[subscription_id], subscriptions[start_date])</f>
        <v>44611</v>
      </c>
      <c r="G26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89" s="2">
        <f>IF(payments_raw[[#This Row],[payment_date]] &lt; payments_raw[[#This Row],[sub_start_date]], 1, 0)</f>
        <v>0</v>
      </c>
      <c r="I2689" s="2">
        <f>IF(AND(payments_raw[[#This Row],[sub_end_date]]&lt;&gt;"", payments_raw[[#This Row],[payment_date]] &gt; payments_raw[[#This Row],[sub_end_date]]), 1, 0)</f>
        <v>0</v>
      </c>
      <c r="J2689" s="2">
        <f>IF(payments_raw[[#This Row],[amount]] &lt;= 0, 1, 0)</f>
        <v>0</v>
      </c>
      <c r="K26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0" spans="1:11" x14ac:dyDescent="0.3">
      <c r="A2690">
        <v>66274290</v>
      </c>
      <c r="B2690">
        <v>6806635</v>
      </c>
      <c r="C2690" s="1">
        <v>45597</v>
      </c>
      <c r="D2690">
        <v>390</v>
      </c>
      <c r="E2690">
        <f>IF(
  ISNA(
    _xlfn.XLOOKUP(
      payments_raw[[#This Row],[subscription_id]],
      subscriptions[subscription_id],
      subscriptions[subscription_id]
    )
  ),
  0,
  1
)</f>
        <v>1</v>
      </c>
      <c r="F2690" s="1">
        <f>_xlfn.XLOOKUP(payments_raw[[#This Row],[subscription_id]], subscriptions[subscription_id], subscriptions[start_date])</f>
        <v>45501</v>
      </c>
      <c r="G26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0" s="2">
        <f>IF(payments_raw[[#This Row],[payment_date]] &lt; payments_raw[[#This Row],[sub_start_date]], 1, 0)</f>
        <v>0</v>
      </c>
      <c r="I2690" s="2">
        <f>IF(AND(payments_raw[[#This Row],[sub_end_date]]&lt;&gt;"", payments_raw[[#This Row],[payment_date]] &gt; payments_raw[[#This Row],[sub_end_date]]), 1, 0)</f>
        <v>0</v>
      </c>
      <c r="J2690" s="2">
        <f>IF(payments_raw[[#This Row],[amount]] &lt;= 0, 1, 0)</f>
        <v>0</v>
      </c>
      <c r="K26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1" spans="1:11" x14ac:dyDescent="0.3">
      <c r="A2691">
        <v>24826072</v>
      </c>
      <c r="B2691">
        <v>4910362</v>
      </c>
      <c r="C2691" s="1">
        <v>45146</v>
      </c>
      <c r="D2691">
        <v>711</v>
      </c>
      <c r="E2691">
        <f>IF(
  ISNA(
    _xlfn.XLOOKUP(
      payments_raw[[#This Row],[subscription_id]],
      subscriptions[subscription_id],
      subscriptions[subscription_id]
    )
  ),
  0,
  1
)</f>
        <v>1</v>
      </c>
      <c r="F2691" s="1">
        <f>_xlfn.XLOOKUP(payments_raw[[#This Row],[subscription_id]], subscriptions[subscription_id], subscriptions[start_date])</f>
        <v>44992</v>
      </c>
      <c r="G26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1" s="2">
        <f>IF(payments_raw[[#This Row],[payment_date]] &lt; payments_raw[[#This Row],[sub_start_date]], 1, 0)</f>
        <v>0</v>
      </c>
      <c r="I2691" s="2">
        <f>IF(AND(payments_raw[[#This Row],[sub_end_date]]&lt;&gt;"", payments_raw[[#This Row],[payment_date]] &gt; payments_raw[[#This Row],[sub_end_date]]), 1, 0)</f>
        <v>0</v>
      </c>
      <c r="J2691" s="2">
        <f>IF(payments_raw[[#This Row],[amount]] &lt;= 0, 1, 0)</f>
        <v>0</v>
      </c>
      <c r="K26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2" spans="1:11" x14ac:dyDescent="0.3">
      <c r="A2692">
        <v>68092604</v>
      </c>
      <c r="B2692">
        <v>8630409</v>
      </c>
      <c r="C2692" s="1">
        <v>45635</v>
      </c>
      <c r="D2692">
        <v>1490</v>
      </c>
      <c r="E2692">
        <f>IF(
  ISNA(
    _xlfn.XLOOKUP(
      payments_raw[[#This Row],[subscription_id]],
      subscriptions[subscription_id],
      subscriptions[subscription_id]
    )
  ),
  0,
  1
)</f>
        <v>1</v>
      </c>
      <c r="F2692" s="1">
        <f>_xlfn.XLOOKUP(payments_raw[[#This Row],[subscription_id]], subscriptions[subscription_id], subscriptions[start_date])</f>
        <v>45204</v>
      </c>
      <c r="G26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2" s="2">
        <f>IF(payments_raw[[#This Row],[payment_date]] &lt; payments_raw[[#This Row],[sub_start_date]], 1, 0)</f>
        <v>0</v>
      </c>
      <c r="I2692" s="2">
        <f>IF(AND(payments_raw[[#This Row],[sub_end_date]]&lt;&gt;"", payments_raw[[#This Row],[payment_date]] &gt; payments_raw[[#This Row],[sub_end_date]]), 1, 0)</f>
        <v>0</v>
      </c>
      <c r="J2692" s="2">
        <f>IF(payments_raw[[#This Row],[amount]] &lt;= 0, 1, 0)</f>
        <v>0</v>
      </c>
      <c r="K26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3" spans="1:11" x14ac:dyDescent="0.3">
      <c r="A2693">
        <v>57819136</v>
      </c>
      <c r="B2693">
        <v>3125741</v>
      </c>
      <c r="C2693" s="1">
        <v>45429</v>
      </c>
      <c r="D2693">
        <v>2990</v>
      </c>
      <c r="E2693">
        <f>IF(
  ISNA(
    _xlfn.XLOOKUP(
      payments_raw[[#This Row],[subscription_id]],
      subscriptions[subscription_id],
      subscriptions[subscription_id]
    )
  ),
  0,
  1
)</f>
        <v>1</v>
      </c>
      <c r="F2693" s="1">
        <f>_xlfn.XLOOKUP(payments_raw[[#This Row],[subscription_id]], subscriptions[subscription_id], subscriptions[start_date])</f>
        <v>45346</v>
      </c>
      <c r="G26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3" s="2">
        <f>IF(payments_raw[[#This Row],[payment_date]] &lt; payments_raw[[#This Row],[sub_start_date]], 1, 0)</f>
        <v>0</v>
      </c>
      <c r="I2693" s="2">
        <f>IF(AND(payments_raw[[#This Row],[sub_end_date]]&lt;&gt;"", payments_raw[[#This Row],[payment_date]] &gt; payments_raw[[#This Row],[sub_end_date]]), 1, 0)</f>
        <v>0</v>
      </c>
      <c r="J2693" s="2">
        <f>IF(payments_raw[[#This Row],[amount]] &lt;= 0, 1, 0)</f>
        <v>0</v>
      </c>
      <c r="K26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4" spans="1:11" x14ac:dyDescent="0.3">
      <c r="A2694">
        <v>87152651</v>
      </c>
      <c r="B2694">
        <v>4430300</v>
      </c>
      <c r="C2694" s="1">
        <v>45410</v>
      </c>
      <c r="D2694">
        <v>592.5</v>
      </c>
      <c r="E2694">
        <f>IF(
  ISNA(
    _xlfn.XLOOKUP(
      payments_raw[[#This Row],[subscription_id]],
      subscriptions[subscription_id],
      subscriptions[subscription_id]
    )
  ),
  0,
  1
)</f>
        <v>1</v>
      </c>
      <c r="F2694" s="1">
        <f>_xlfn.XLOOKUP(payments_raw[[#This Row],[subscription_id]], subscriptions[subscription_id], subscriptions[start_date])</f>
        <v>45322</v>
      </c>
      <c r="G26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4" s="2">
        <f>IF(payments_raw[[#This Row],[payment_date]] &lt; payments_raw[[#This Row],[sub_start_date]], 1, 0)</f>
        <v>0</v>
      </c>
      <c r="I2694" s="2">
        <f>IF(AND(payments_raw[[#This Row],[sub_end_date]]&lt;&gt;"", payments_raw[[#This Row],[payment_date]] &gt; payments_raw[[#This Row],[sub_end_date]]), 1, 0)</f>
        <v>0</v>
      </c>
      <c r="J2694" s="2">
        <f>IF(payments_raw[[#This Row],[amount]] &lt;= 0, 1, 0)</f>
        <v>0</v>
      </c>
      <c r="K26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5" spans="1:11" x14ac:dyDescent="0.3">
      <c r="A2695">
        <v>98573608</v>
      </c>
      <c r="B2695">
        <v>7204577</v>
      </c>
      <c r="C2695" s="1">
        <v>45626</v>
      </c>
      <c r="D2695">
        <v>2990</v>
      </c>
      <c r="E2695">
        <f>IF(
  ISNA(
    _xlfn.XLOOKUP(
      payments_raw[[#This Row],[subscription_id]],
      subscriptions[subscription_id],
      subscriptions[subscription_id]
    )
  ),
  0,
  1
)</f>
        <v>1</v>
      </c>
      <c r="F2695" s="1">
        <f>_xlfn.XLOOKUP(payments_raw[[#This Row],[subscription_id]], subscriptions[subscription_id], subscriptions[start_date])</f>
        <v>45538</v>
      </c>
      <c r="G26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5" s="2">
        <f>IF(payments_raw[[#This Row],[payment_date]] &lt; payments_raw[[#This Row],[sub_start_date]], 1, 0)</f>
        <v>0</v>
      </c>
      <c r="I2695" s="2">
        <f>IF(AND(payments_raw[[#This Row],[sub_end_date]]&lt;&gt;"", payments_raw[[#This Row],[payment_date]] &gt; payments_raw[[#This Row],[sub_end_date]]), 1, 0)</f>
        <v>0</v>
      </c>
      <c r="J2695" s="2">
        <f>IF(payments_raw[[#This Row],[amount]] &lt;= 0, 1, 0)</f>
        <v>0</v>
      </c>
      <c r="K26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6" spans="1:11" x14ac:dyDescent="0.3">
      <c r="A2696">
        <v>47990986</v>
      </c>
      <c r="B2696">
        <v>5632027</v>
      </c>
      <c r="C2696" s="1">
        <v>45119</v>
      </c>
      <c r="D2696">
        <v>390</v>
      </c>
      <c r="E2696">
        <f>IF(
  ISNA(
    _xlfn.XLOOKUP(
      payments_raw[[#This Row],[subscription_id]],
      subscriptions[subscription_id],
      subscriptions[subscription_id]
    )
  ),
  0,
  1
)</f>
        <v>1</v>
      </c>
      <c r="F2696" s="1">
        <f>_xlfn.XLOOKUP(payments_raw[[#This Row],[subscription_id]], subscriptions[subscription_id], subscriptions[start_date])</f>
        <v>45078</v>
      </c>
      <c r="G26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45122</v>
      </c>
      <c r="H2696" s="2">
        <f>IF(payments_raw[[#This Row],[payment_date]] &lt; payments_raw[[#This Row],[sub_start_date]], 1, 0)</f>
        <v>0</v>
      </c>
      <c r="I2696" s="2">
        <f>IF(AND(payments_raw[[#This Row],[sub_end_date]]&lt;&gt;"", payments_raw[[#This Row],[payment_date]] &gt; payments_raw[[#This Row],[sub_end_date]]), 1, 0)</f>
        <v>0</v>
      </c>
      <c r="J2696" s="2">
        <f>IF(payments_raw[[#This Row],[amount]] &lt;= 0, 1, 0)</f>
        <v>0</v>
      </c>
      <c r="K26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7" spans="1:11" x14ac:dyDescent="0.3">
      <c r="A2697">
        <v>26606060</v>
      </c>
      <c r="B2697">
        <v>2918079</v>
      </c>
      <c r="C2697" s="1">
        <v>45235</v>
      </c>
      <c r="D2697">
        <v>39</v>
      </c>
      <c r="E2697">
        <f>IF(
  ISNA(
    _xlfn.XLOOKUP(
      payments_raw[[#This Row],[subscription_id]],
      subscriptions[subscription_id],
      subscriptions[subscription_id]
    )
  ),
  0,
  1
)</f>
        <v>1</v>
      </c>
      <c r="F2697" s="1">
        <f>_xlfn.XLOOKUP(payments_raw[[#This Row],[subscription_id]], subscriptions[subscription_id], subscriptions[start_date])</f>
        <v>45132</v>
      </c>
      <c r="G26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7" s="2">
        <f>IF(payments_raw[[#This Row],[payment_date]] &lt; payments_raw[[#This Row],[sub_start_date]], 1, 0)</f>
        <v>0</v>
      </c>
      <c r="I2697" s="2">
        <f>IF(AND(payments_raw[[#This Row],[sub_end_date]]&lt;&gt;"", payments_raw[[#This Row],[payment_date]] &gt; payments_raw[[#This Row],[sub_end_date]]), 1, 0)</f>
        <v>0</v>
      </c>
      <c r="J2697" s="2">
        <f>IF(payments_raw[[#This Row],[amount]] &lt;= 0, 1, 0)</f>
        <v>0</v>
      </c>
      <c r="K26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8" spans="1:11" x14ac:dyDescent="0.3">
      <c r="A2698">
        <v>92202870</v>
      </c>
      <c r="B2698">
        <v>5370124</v>
      </c>
      <c r="C2698" s="1">
        <v>45171</v>
      </c>
      <c r="D2698">
        <v>190</v>
      </c>
      <c r="E2698">
        <f>IF(
  ISNA(
    _xlfn.XLOOKUP(
      payments_raw[[#This Row],[subscription_id]],
      subscriptions[subscription_id],
      subscriptions[subscription_id]
    )
  ),
  0,
  1
)</f>
        <v>1</v>
      </c>
      <c r="F2698" s="1">
        <f>_xlfn.XLOOKUP(payments_raw[[#This Row],[subscription_id]], subscriptions[subscription_id], subscriptions[start_date])</f>
        <v>44667</v>
      </c>
      <c r="G26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698" s="2">
        <f>IF(payments_raw[[#This Row],[payment_date]] &lt; payments_raw[[#This Row],[sub_start_date]], 1, 0)</f>
        <v>0</v>
      </c>
      <c r="I2698" s="2">
        <f>IF(AND(payments_raw[[#This Row],[sub_end_date]]&lt;&gt;"", payments_raw[[#This Row],[payment_date]] &gt; payments_raw[[#This Row],[sub_end_date]]), 1, 0)</f>
        <v>0</v>
      </c>
      <c r="J2698" s="2">
        <f>IF(payments_raw[[#This Row],[amount]] &lt;= 0, 1, 0)</f>
        <v>0</v>
      </c>
      <c r="K26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699" spans="1:11" x14ac:dyDescent="0.3">
      <c r="A2699">
        <v>83377097</v>
      </c>
      <c r="B2699">
        <v>2334575</v>
      </c>
      <c r="C2699" s="1">
        <v>45409</v>
      </c>
      <c r="D2699">
        <v>395</v>
      </c>
      <c r="E2699">
        <f>IF(
  ISNA(
    _xlfn.XLOOKUP(
      payments_raw[[#This Row],[subscription_id]],
      subscriptions[subscription_id],
      subscriptions[subscription_id]
    )
  ),
  0,
  1
)</f>
        <v>1</v>
      </c>
      <c r="F2699" s="1">
        <f>_xlfn.XLOOKUP(payments_raw[[#This Row],[subscription_id]], subscriptions[subscription_id], subscriptions[start_date])</f>
        <v>45128</v>
      </c>
      <c r="G26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2699" s="2">
        <f>IF(payments_raw[[#This Row],[payment_date]] &lt; payments_raw[[#This Row],[sub_start_date]], 1, 0)</f>
        <v>0</v>
      </c>
      <c r="I2699" s="2">
        <f>IF(AND(payments_raw[[#This Row],[sub_end_date]]&lt;&gt;"", payments_raw[[#This Row],[payment_date]] &gt; payments_raw[[#This Row],[sub_end_date]]), 1, 0)</f>
        <v>0</v>
      </c>
      <c r="J2699" s="2">
        <f>IF(payments_raw[[#This Row],[amount]] &lt;= 0, 1, 0)</f>
        <v>0</v>
      </c>
      <c r="K26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0" spans="1:11" x14ac:dyDescent="0.3">
      <c r="A2700">
        <v>72223246</v>
      </c>
      <c r="B2700">
        <v>1478098</v>
      </c>
      <c r="C2700" s="1">
        <v>45588</v>
      </c>
      <c r="D2700">
        <v>17.100000000000001</v>
      </c>
      <c r="E2700">
        <f>IF(
  ISNA(
    _xlfn.XLOOKUP(
      payments_raw[[#This Row],[subscription_id]],
      subscriptions[subscription_id],
      subscriptions[subscription_id]
    )
  ),
  0,
  1
)</f>
        <v>1</v>
      </c>
      <c r="F2700" s="1">
        <f>_xlfn.XLOOKUP(payments_raw[[#This Row],[subscription_id]], subscriptions[subscription_id], subscriptions[start_date])</f>
        <v>45525</v>
      </c>
      <c r="G27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0" s="2">
        <f>IF(payments_raw[[#This Row],[payment_date]] &lt; payments_raw[[#This Row],[sub_start_date]], 1, 0)</f>
        <v>0</v>
      </c>
      <c r="I2700" s="2">
        <f>IF(AND(payments_raw[[#This Row],[sub_end_date]]&lt;&gt;"", payments_raw[[#This Row],[payment_date]] &gt; payments_raw[[#This Row],[sub_end_date]]), 1, 0)</f>
        <v>0</v>
      </c>
      <c r="J2700" s="2">
        <f>IF(payments_raw[[#This Row],[amount]] &lt;= 0, 1, 0)</f>
        <v>0</v>
      </c>
      <c r="K27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1" spans="1:11" x14ac:dyDescent="0.3">
      <c r="A2701">
        <v>67584035</v>
      </c>
      <c r="B2701">
        <v>6707004</v>
      </c>
      <c r="C2701" s="1">
        <v>45405</v>
      </c>
      <c r="D2701">
        <v>39</v>
      </c>
      <c r="E2701">
        <f>IF(
  ISNA(
    _xlfn.XLOOKUP(
      payments_raw[[#This Row],[subscription_id]],
      subscriptions[subscription_id],
      subscriptions[subscription_id]
    )
  ),
  0,
  1
)</f>
        <v>1</v>
      </c>
      <c r="F2701" s="1">
        <f>_xlfn.XLOOKUP(payments_raw[[#This Row],[subscription_id]], subscriptions[subscription_id], subscriptions[start_date])</f>
        <v>45286</v>
      </c>
      <c r="G27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1" s="2">
        <f>IF(payments_raw[[#This Row],[payment_date]] &lt; payments_raw[[#This Row],[sub_start_date]], 1, 0)</f>
        <v>0</v>
      </c>
      <c r="I2701" s="2">
        <f>IF(AND(payments_raw[[#This Row],[sub_end_date]]&lt;&gt;"", payments_raw[[#This Row],[payment_date]] &gt; payments_raw[[#This Row],[sub_end_date]]), 1, 0)</f>
        <v>0</v>
      </c>
      <c r="J2701" s="2">
        <f>IF(payments_raw[[#This Row],[amount]] &lt;= 0, 1, 0)</f>
        <v>0</v>
      </c>
      <c r="K27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2" spans="1:11" x14ac:dyDescent="0.3">
      <c r="A2702">
        <v>55280118</v>
      </c>
      <c r="B2702">
        <v>5595368</v>
      </c>
      <c r="C2702" s="1">
        <v>45538</v>
      </c>
      <c r="D2702">
        <v>790</v>
      </c>
      <c r="E2702">
        <f>IF(
  ISNA(
    _xlfn.XLOOKUP(
      payments_raw[[#This Row],[subscription_id]],
      subscriptions[subscription_id],
      subscriptions[subscription_id]
    )
  ),
  0,
  1
)</f>
        <v>1</v>
      </c>
      <c r="F2702" s="1">
        <f>_xlfn.XLOOKUP(payments_raw[[#This Row],[subscription_id]], subscriptions[subscription_id], subscriptions[start_date])</f>
        <v>45391</v>
      </c>
      <c r="G27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2" s="2">
        <f>IF(payments_raw[[#This Row],[payment_date]] &lt; payments_raw[[#This Row],[sub_start_date]], 1, 0)</f>
        <v>0</v>
      </c>
      <c r="I2702" s="2">
        <f>IF(AND(payments_raw[[#This Row],[sub_end_date]]&lt;&gt;"", payments_raw[[#This Row],[payment_date]] &gt; payments_raw[[#This Row],[sub_end_date]]), 1, 0)</f>
        <v>0</v>
      </c>
      <c r="J2702" s="2">
        <f>IF(payments_raw[[#This Row],[amount]] &lt;= 0, 1, 0)</f>
        <v>0</v>
      </c>
      <c r="K27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3" spans="1:11" x14ac:dyDescent="0.3">
      <c r="A2703">
        <v>77469937</v>
      </c>
      <c r="B2703">
        <v>3254948</v>
      </c>
      <c r="C2703" s="1">
        <v>44929</v>
      </c>
      <c r="D2703">
        <v>79</v>
      </c>
      <c r="E2703">
        <f>IF(
  ISNA(
    _xlfn.XLOOKUP(
      payments_raw[[#This Row],[subscription_id]],
      subscriptions[subscription_id],
      subscriptions[subscription_id]
    )
  ),
  0,
  1
)</f>
        <v>1</v>
      </c>
      <c r="F2703" s="1">
        <f>_xlfn.XLOOKUP(payments_raw[[#This Row],[subscription_id]], subscriptions[subscription_id], subscriptions[start_date])</f>
        <v>44563</v>
      </c>
      <c r="G27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3" s="2">
        <f>IF(payments_raw[[#This Row],[payment_date]] &lt; payments_raw[[#This Row],[sub_start_date]], 1, 0)</f>
        <v>0</v>
      </c>
      <c r="I2703" s="2">
        <f>IF(AND(payments_raw[[#This Row],[sub_end_date]]&lt;&gt;"", payments_raw[[#This Row],[payment_date]] &gt; payments_raw[[#This Row],[sub_end_date]]), 1, 0)</f>
        <v>0</v>
      </c>
      <c r="J2703" s="2">
        <f>IF(payments_raw[[#This Row],[amount]] &lt;= 0, 1, 0)</f>
        <v>0</v>
      </c>
      <c r="K27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4" spans="1:11" x14ac:dyDescent="0.3">
      <c r="A2704">
        <v>80898513</v>
      </c>
      <c r="B2704">
        <v>6668492</v>
      </c>
      <c r="C2704" s="1">
        <v>45399</v>
      </c>
      <c r="D2704">
        <v>190</v>
      </c>
      <c r="E2704">
        <f>IF(
  ISNA(
    _xlfn.XLOOKUP(
      payments_raw[[#This Row],[subscription_id]],
      subscriptions[subscription_id],
      subscriptions[subscription_id]
    )
  ),
  0,
  1
)</f>
        <v>1</v>
      </c>
      <c r="F2704" s="1">
        <f>_xlfn.XLOOKUP(payments_raw[[#This Row],[subscription_id]], subscriptions[subscription_id], subscriptions[start_date])</f>
        <v>44870</v>
      </c>
      <c r="G27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4" s="2">
        <f>IF(payments_raw[[#This Row],[payment_date]] &lt; payments_raw[[#This Row],[sub_start_date]], 1, 0)</f>
        <v>0</v>
      </c>
      <c r="I2704" s="2">
        <f>IF(AND(payments_raw[[#This Row],[sub_end_date]]&lt;&gt;"", payments_raw[[#This Row],[payment_date]] &gt; payments_raw[[#This Row],[sub_end_date]]), 1, 0)</f>
        <v>0</v>
      </c>
      <c r="J2704" s="2">
        <f>IF(payments_raw[[#This Row],[amount]] &lt;= 0, 1, 0)</f>
        <v>0</v>
      </c>
      <c r="K27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5" spans="1:11" x14ac:dyDescent="0.3">
      <c r="A2705">
        <v>66341306</v>
      </c>
      <c r="B2705">
        <v>5376268</v>
      </c>
      <c r="C2705" s="1">
        <v>44900</v>
      </c>
      <c r="D2705">
        <v>59.25</v>
      </c>
      <c r="E2705">
        <f>IF(
  ISNA(
    _xlfn.XLOOKUP(
      payments_raw[[#This Row],[subscription_id]],
      subscriptions[subscription_id],
      subscriptions[subscription_id]
    )
  ),
  0,
  1
)</f>
        <v>1</v>
      </c>
      <c r="F2705" s="1">
        <f>_xlfn.XLOOKUP(payments_raw[[#This Row],[subscription_id]], subscriptions[subscription_id], subscriptions[start_date])</f>
        <v>44626</v>
      </c>
      <c r="G270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44920</v>
      </c>
      <c r="H2705" s="2">
        <f>IF(payments_raw[[#This Row],[payment_date]] &lt; payments_raw[[#This Row],[sub_start_date]], 1, 0)</f>
        <v>0</v>
      </c>
      <c r="I2705" s="2">
        <f>IF(AND(payments_raw[[#This Row],[sub_end_date]]&lt;&gt;"", payments_raw[[#This Row],[payment_date]] &gt; payments_raw[[#This Row],[sub_end_date]]), 1, 0)</f>
        <v>0</v>
      </c>
      <c r="J2705" s="2">
        <f>IF(payments_raw[[#This Row],[amount]] &lt;= 0, 1, 0)</f>
        <v>0</v>
      </c>
      <c r="K27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6" spans="1:11" x14ac:dyDescent="0.3">
      <c r="A2706">
        <v>64378528</v>
      </c>
      <c r="B2706">
        <v>9964482</v>
      </c>
      <c r="C2706" s="1">
        <v>45400</v>
      </c>
      <c r="D2706">
        <v>39</v>
      </c>
      <c r="E2706">
        <f>IF(
  ISNA(
    _xlfn.XLOOKUP(
      payments_raw[[#This Row],[subscription_id]],
      subscriptions[subscription_id],
      subscriptions[subscription_id]
    )
  ),
  0,
  1
)</f>
        <v>1</v>
      </c>
      <c r="F2706" s="1">
        <f>_xlfn.XLOOKUP(payments_raw[[#This Row],[subscription_id]], subscriptions[subscription_id], subscriptions[start_date])</f>
        <v>45268</v>
      </c>
      <c r="G27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6" s="2">
        <f>IF(payments_raw[[#This Row],[payment_date]] &lt; payments_raw[[#This Row],[sub_start_date]], 1, 0)</f>
        <v>0</v>
      </c>
      <c r="I2706" s="2">
        <f>IF(AND(payments_raw[[#This Row],[sub_end_date]]&lt;&gt;"", payments_raw[[#This Row],[payment_date]] &gt; payments_raw[[#This Row],[sub_end_date]]), 1, 0)</f>
        <v>0</v>
      </c>
      <c r="J2706" s="2">
        <f>IF(payments_raw[[#This Row],[amount]] &lt;= 0, 1, 0)</f>
        <v>0</v>
      </c>
      <c r="K27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7" spans="1:11" x14ac:dyDescent="0.3">
      <c r="A2707">
        <v>12454378</v>
      </c>
      <c r="B2707">
        <v>9161633</v>
      </c>
      <c r="C2707" s="1">
        <v>45289</v>
      </c>
      <c r="D2707">
        <v>149</v>
      </c>
      <c r="E2707">
        <f>IF(
  ISNA(
    _xlfn.XLOOKUP(
      payments_raw[[#This Row],[subscription_id]],
      subscriptions[subscription_id],
      subscriptions[subscription_id]
    )
  ),
  0,
  1
)</f>
        <v>1</v>
      </c>
      <c r="F2707" s="1">
        <f>_xlfn.XLOOKUP(payments_raw[[#This Row],[subscription_id]], subscriptions[subscription_id], subscriptions[start_date])</f>
        <v>44934</v>
      </c>
      <c r="G27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7" s="2">
        <f>IF(payments_raw[[#This Row],[payment_date]] &lt; payments_raw[[#This Row],[sub_start_date]], 1, 0)</f>
        <v>0</v>
      </c>
      <c r="I2707" s="2">
        <f>IF(AND(payments_raw[[#This Row],[sub_end_date]]&lt;&gt;"", payments_raw[[#This Row],[payment_date]] &gt; payments_raw[[#This Row],[sub_end_date]]), 1, 0)</f>
        <v>0</v>
      </c>
      <c r="J2707" s="2">
        <f>IF(payments_raw[[#This Row],[amount]] &lt;= 0, 1, 0)</f>
        <v>0</v>
      </c>
      <c r="K27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8" spans="1:11" x14ac:dyDescent="0.3">
      <c r="A2708">
        <v>23523308</v>
      </c>
      <c r="B2708">
        <v>9982810</v>
      </c>
      <c r="C2708" s="1">
        <v>45075</v>
      </c>
      <c r="D2708">
        <v>299</v>
      </c>
      <c r="E2708">
        <f>IF(
  ISNA(
    _xlfn.XLOOKUP(
      payments_raw[[#This Row],[subscription_id]],
      subscriptions[subscription_id],
      subscriptions[subscription_id]
    )
  ),
  0,
  1
)</f>
        <v>1</v>
      </c>
      <c r="F2708" s="1">
        <f>_xlfn.XLOOKUP(payments_raw[[#This Row],[subscription_id]], subscriptions[subscription_id], subscriptions[start_date])</f>
        <v>45064</v>
      </c>
      <c r="G27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45287</v>
      </c>
      <c r="H2708" s="2">
        <f>IF(payments_raw[[#This Row],[payment_date]] &lt; payments_raw[[#This Row],[sub_start_date]], 1, 0)</f>
        <v>0</v>
      </c>
      <c r="I2708" s="2">
        <f>IF(AND(payments_raw[[#This Row],[sub_end_date]]&lt;&gt;"", payments_raw[[#This Row],[payment_date]] &gt; payments_raw[[#This Row],[sub_end_date]]), 1, 0)</f>
        <v>0</v>
      </c>
      <c r="J2708" s="2">
        <f>IF(payments_raw[[#This Row],[amount]] &lt;= 0, 1, 0)</f>
        <v>0</v>
      </c>
      <c r="K27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09" spans="1:11" x14ac:dyDescent="0.3">
      <c r="A2709">
        <v>31608767</v>
      </c>
      <c r="B2709">
        <v>2673190</v>
      </c>
      <c r="C2709" s="1">
        <v>45524</v>
      </c>
      <c r="D2709">
        <v>790</v>
      </c>
      <c r="E2709">
        <f>IF(
  ISNA(
    _xlfn.XLOOKUP(
      payments_raw[[#This Row],[subscription_id]],
      subscriptions[subscription_id],
      subscriptions[subscription_id]
    )
  ),
  0,
  1
)</f>
        <v>1</v>
      </c>
      <c r="F2709" s="1">
        <f>_xlfn.XLOOKUP(payments_raw[[#This Row],[subscription_id]], subscriptions[subscription_id], subscriptions[start_date])</f>
        <v>45335</v>
      </c>
      <c r="G27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09" s="2">
        <f>IF(payments_raw[[#This Row],[payment_date]] &lt; payments_raw[[#This Row],[sub_start_date]], 1, 0)</f>
        <v>0</v>
      </c>
      <c r="I2709" s="2">
        <f>IF(AND(payments_raw[[#This Row],[sub_end_date]]&lt;&gt;"", payments_raw[[#This Row],[payment_date]] &gt; payments_raw[[#This Row],[sub_end_date]]), 1, 0)</f>
        <v>0</v>
      </c>
      <c r="J2709" s="2">
        <f>IF(payments_raw[[#This Row],[amount]] &lt;= 0, 1, 0)</f>
        <v>0</v>
      </c>
      <c r="K27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0" spans="1:11" x14ac:dyDescent="0.3">
      <c r="A2710">
        <v>98115484</v>
      </c>
      <c r="B2710">
        <v>8016442</v>
      </c>
      <c r="C2710" s="1">
        <v>45221</v>
      </c>
      <c r="D2710">
        <v>134.1</v>
      </c>
      <c r="E2710">
        <f>IF(
  ISNA(
    _xlfn.XLOOKUP(
      payments_raw[[#This Row],[subscription_id]],
      subscriptions[subscription_id],
      subscriptions[subscription_id]
    )
  ),
  0,
  1
)</f>
        <v>1</v>
      </c>
      <c r="F2710" s="1">
        <f>_xlfn.XLOOKUP(payments_raw[[#This Row],[subscription_id]], subscriptions[subscription_id], subscriptions[start_date])</f>
        <v>45079</v>
      </c>
      <c r="G27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2710" s="2">
        <f>IF(payments_raw[[#This Row],[payment_date]] &lt; payments_raw[[#This Row],[sub_start_date]], 1, 0)</f>
        <v>0</v>
      </c>
      <c r="I2710" s="2">
        <f>IF(AND(payments_raw[[#This Row],[sub_end_date]]&lt;&gt;"", payments_raw[[#This Row],[payment_date]] &gt; payments_raw[[#This Row],[sub_end_date]]), 1, 0)</f>
        <v>0</v>
      </c>
      <c r="J2710" s="2">
        <f>IF(payments_raw[[#This Row],[amount]] &lt;= 0, 1, 0)</f>
        <v>0</v>
      </c>
      <c r="K27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1" spans="1:11" x14ac:dyDescent="0.3">
      <c r="A2711">
        <v>35030010</v>
      </c>
      <c r="B2711">
        <v>5529825</v>
      </c>
      <c r="C2711" s="1">
        <v>44988</v>
      </c>
      <c r="D2711">
        <v>149</v>
      </c>
      <c r="E2711">
        <f>IF(
  ISNA(
    _xlfn.XLOOKUP(
      payments_raw[[#This Row],[subscription_id]],
      subscriptions[subscription_id],
      subscriptions[subscription_id]
    )
  ),
  0,
  1
)</f>
        <v>1</v>
      </c>
      <c r="F2711" s="1">
        <f>_xlfn.XLOOKUP(payments_raw[[#This Row],[subscription_id]], subscriptions[subscription_id], subscriptions[start_date])</f>
        <v>44735</v>
      </c>
      <c r="G27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1" s="2">
        <f>IF(payments_raw[[#This Row],[payment_date]] &lt; payments_raw[[#This Row],[sub_start_date]], 1, 0)</f>
        <v>0</v>
      </c>
      <c r="I2711" s="2">
        <f>IF(AND(payments_raw[[#This Row],[sub_end_date]]&lt;&gt;"", payments_raw[[#This Row],[payment_date]] &gt; payments_raw[[#This Row],[sub_end_date]]), 1, 0)</f>
        <v>0</v>
      </c>
      <c r="J2711" s="2">
        <f>IF(payments_raw[[#This Row],[amount]] &lt;= 0, 1, 0)</f>
        <v>0</v>
      </c>
      <c r="K27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2" spans="1:11" x14ac:dyDescent="0.3">
      <c r="A2712">
        <v>25899950</v>
      </c>
      <c r="B2712">
        <v>5105861</v>
      </c>
      <c r="C2712" s="1">
        <v>45505</v>
      </c>
      <c r="D2712">
        <v>71.099999999999994</v>
      </c>
      <c r="E2712">
        <f>IF(
  ISNA(
    _xlfn.XLOOKUP(
      payments_raw[[#This Row],[subscription_id]],
      subscriptions[subscription_id],
      subscriptions[subscription_id]
    )
  ),
  0,
  1
)</f>
        <v>1</v>
      </c>
      <c r="F2712" s="1">
        <f>_xlfn.XLOOKUP(payments_raw[[#This Row],[subscription_id]], subscriptions[subscription_id], subscriptions[start_date])</f>
        <v>45094</v>
      </c>
      <c r="G27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2" s="2">
        <f>IF(payments_raw[[#This Row],[payment_date]] &lt; payments_raw[[#This Row],[sub_start_date]], 1, 0)</f>
        <v>0</v>
      </c>
      <c r="I2712" s="2">
        <f>IF(AND(payments_raw[[#This Row],[sub_end_date]]&lt;&gt;"", payments_raw[[#This Row],[payment_date]] &gt; payments_raw[[#This Row],[sub_end_date]]), 1, 0)</f>
        <v>0</v>
      </c>
      <c r="J2712" s="2">
        <f>IF(payments_raw[[#This Row],[amount]] &lt;= 0, 1, 0)</f>
        <v>0</v>
      </c>
      <c r="K27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3" spans="1:11" x14ac:dyDescent="0.3">
      <c r="A2713">
        <v>80852543</v>
      </c>
      <c r="B2713">
        <v>4535328</v>
      </c>
      <c r="C2713" s="1">
        <v>45524</v>
      </c>
      <c r="D2713">
        <v>19.5</v>
      </c>
      <c r="E2713">
        <f>IF(
  ISNA(
    _xlfn.XLOOKUP(
      payments_raw[[#This Row],[subscription_id]],
      subscriptions[subscription_id],
      subscriptions[subscription_id]
    )
  ),
  0,
  1
)</f>
        <v>1</v>
      </c>
      <c r="F2713" s="1">
        <f>_xlfn.XLOOKUP(payments_raw[[#This Row],[subscription_id]], subscriptions[subscription_id], subscriptions[start_date])</f>
        <v>45090</v>
      </c>
      <c r="G27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3" s="2">
        <f>IF(payments_raw[[#This Row],[payment_date]] &lt; payments_raw[[#This Row],[sub_start_date]], 1, 0)</f>
        <v>0</v>
      </c>
      <c r="I2713" s="2">
        <f>IF(AND(payments_raw[[#This Row],[sub_end_date]]&lt;&gt;"", payments_raw[[#This Row],[payment_date]] &gt; payments_raw[[#This Row],[sub_end_date]]), 1, 0)</f>
        <v>0</v>
      </c>
      <c r="J2713" s="2">
        <f>IF(payments_raw[[#This Row],[amount]] &lt;= 0, 1, 0)</f>
        <v>0</v>
      </c>
      <c r="K27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4" spans="1:11" x14ac:dyDescent="0.3">
      <c r="A2714">
        <v>76662088</v>
      </c>
      <c r="B2714">
        <v>9694382</v>
      </c>
      <c r="C2714" s="1">
        <v>44926</v>
      </c>
      <c r="D2714">
        <v>79</v>
      </c>
      <c r="E2714">
        <f>IF(
  ISNA(
    _xlfn.XLOOKUP(
      payments_raw[[#This Row],[subscription_id]],
      subscriptions[subscription_id],
      subscriptions[subscription_id]
    )
  ),
  0,
  1
)</f>
        <v>1</v>
      </c>
      <c r="F2714" s="1">
        <f>_xlfn.XLOOKUP(payments_raw[[#This Row],[subscription_id]], subscriptions[subscription_id], subscriptions[start_date])</f>
        <v>44635</v>
      </c>
      <c r="G27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4" s="2">
        <f>IF(payments_raw[[#This Row],[payment_date]] &lt; payments_raw[[#This Row],[sub_start_date]], 1, 0)</f>
        <v>0</v>
      </c>
      <c r="I2714" s="2">
        <f>IF(AND(payments_raw[[#This Row],[sub_end_date]]&lt;&gt;"", payments_raw[[#This Row],[payment_date]] &gt; payments_raw[[#This Row],[sub_end_date]]), 1, 0)</f>
        <v>0</v>
      </c>
      <c r="J2714" s="2">
        <f>IF(payments_raw[[#This Row],[amount]] &lt;= 0, 1, 0)</f>
        <v>0</v>
      </c>
      <c r="K27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5" spans="1:11" x14ac:dyDescent="0.3">
      <c r="A2715">
        <v>96148994</v>
      </c>
      <c r="B2715">
        <v>7960470</v>
      </c>
      <c r="C2715" s="1">
        <v>45401</v>
      </c>
      <c r="D2715">
        <v>299</v>
      </c>
      <c r="E2715">
        <f>IF(
  ISNA(
    _xlfn.XLOOKUP(
      payments_raw[[#This Row],[subscription_id]],
      subscriptions[subscription_id],
      subscriptions[subscription_id]
    )
  ),
  0,
  1
)</f>
        <v>1</v>
      </c>
      <c r="F2715" s="1">
        <f>_xlfn.XLOOKUP(payments_raw[[#This Row],[subscription_id]], subscriptions[subscription_id], subscriptions[start_date])</f>
        <v>44884</v>
      </c>
      <c r="G27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5" s="2">
        <f>IF(payments_raw[[#This Row],[payment_date]] &lt; payments_raw[[#This Row],[sub_start_date]], 1, 0)</f>
        <v>0</v>
      </c>
      <c r="I2715" s="2">
        <f>IF(AND(payments_raw[[#This Row],[sub_end_date]]&lt;&gt;"", payments_raw[[#This Row],[payment_date]] &gt; payments_raw[[#This Row],[sub_end_date]]), 1, 0)</f>
        <v>0</v>
      </c>
      <c r="J2715" s="2">
        <f>IF(payments_raw[[#This Row],[amount]] &lt;= 0, 1, 0)</f>
        <v>0</v>
      </c>
      <c r="K27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6" spans="1:11" x14ac:dyDescent="0.3">
      <c r="A2716">
        <v>17845585</v>
      </c>
      <c r="B2716">
        <v>5811186</v>
      </c>
      <c r="C2716" s="1">
        <v>44996</v>
      </c>
      <c r="D2716">
        <v>39</v>
      </c>
      <c r="E2716">
        <f>IF(
  ISNA(
    _xlfn.XLOOKUP(
      payments_raw[[#This Row],[subscription_id]],
      subscriptions[subscription_id],
      subscriptions[subscription_id]
    )
  ),
  0,
  1
)</f>
        <v>1</v>
      </c>
      <c r="F2716" s="1">
        <f>_xlfn.XLOOKUP(payments_raw[[#This Row],[subscription_id]], subscriptions[subscription_id], subscriptions[start_date])</f>
        <v>44789</v>
      </c>
      <c r="G27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6" s="2">
        <f>IF(payments_raw[[#This Row],[payment_date]] &lt; payments_raw[[#This Row],[sub_start_date]], 1, 0)</f>
        <v>0</v>
      </c>
      <c r="I2716" s="2">
        <f>IF(AND(payments_raw[[#This Row],[sub_end_date]]&lt;&gt;"", payments_raw[[#This Row],[payment_date]] &gt; payments_raw[[#This Row],[sub_end_date]]), 1, 0)</f>
        <v>0</v>
      </c>
      <c r="J2716" s="2">
        <f>IF(payments_raw[[#This Row],[amount]] &lt;= 0, 1, 0)</f>
        <v>0</v>
      </c>
      <c r="K27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7" spans="1:11" x14ac:dyDescent="0.3">
      <c r="A2717">
        <v>37064257</v>
      </c>
      <c r="B2717">
        <v>2884667</v>
      </c>
      <c r="C2717" s="1">
        <v>44899</v>
      </c>
      <c r="D2717">
        <v>39</v>
      </c>
      <c r="E2717">
        <f>IF(
  ISNA(
    _xlfn.XLOOKUP(
      payments_raw[[#This Row],[subscription_id]],
      subscriptions[subscription_id],
      subscriptions[subscription_id]
    )
  ),
  0,
  1
)</f>
        <v>1</v>
      </c>
      <c r="F2717" s="1">
        <f>_xlfn.XLOOKUP(payments_raw[[#This Row],[subscription_id]], subscriptions[subscription_id], subscriptions[start_date])</f>
        <v>44886</v>
      </c>
      <c r="G271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44960</v>
      </c>
      <c r="H2717" s="2">
        <f>IF(payments_raw[[#This Row],[payment_date]] &lt; payments_raw[[#This Row],[sub_start_date]], 1, 0)</f>
        <v>0</v>
      </c>
      <c r="I2717" s="2">
        <f>IF(AND(payments_raw[[#This Row],[sub_end_date]]&lt;&gt;"", payments_raw[[#This Row],[payment_date]] &gt; payments_raw[[#This Row],[sub_end_date]]), 1, 0)</f>
        <v>0</v>
      </c>
      <c r="J2717" s="2">
        <f>IF(payments_raw[[#This Row],[amount]] &lt;= 0, 1, 0)</f>
        <v>0</v>
      </c>
      <c r="K27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8" spans="1:11" x14ac:dyDescent="0.3">
      <c r="A2718">
        <v>83921592</v>
      </c>
      <c r="B2718">
        <v>8654679</v>
      </c>
      <c r="C2718" s="1">
        <v>44664</v>
      </c>
      <c r="D2718">
        <v>2242.5</v>
      </c>
      <c r="E2718">
        <f>IF(
  ISNA(
    _xlfn.XLOOKUP(
      payments_raw[[#This Row],[subscription_id]],
      subscriptions[subscription_id],
      subscriptions[subscription_id]
    )
  ),
  0,
  1
)</f>
        <v>1</v>
      </c>
      <c r="F2718" s="1">
        <f>_xlfn.XLOOKUP(payments_raw[[#This Row],[subscription_id]], subscriptions[subscription_id], subscriptions[start_date])</f>
        <v>44563</v>
      </c>
      <c r="G27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18" s="2">
        <f>IF(payments_raw[[#This Row],[payment_date]] &lt; payments_raw[[#This Row],[sub_start_date]], 1, 0)</f>
        <v>0</v>
      </c>
      <c r="I2718" s="2">
        <f>IF(AND(payments_raw[[#This Row],[sub_end_date]]&lt;&gt;"", payments_raw[[#This Row],[payment_date]] &gt; payments_raw[[#This Row],[sub_end_date]]), 1, 0)</f>
        <v>0</v>
      </c>
      <c r="J2718" s="2">
        <f>IF(payments_raw[[#This Row],[amount]] &lt;= 0, 1, 0)</f>
        <v>0</v>
      </c>
      <c r="K27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19" spans="1:11" x14ac:dyDescent="0.3">
      <c r="A2719">
        <v>14353181</v>
      </c>
      <c r="B2719">
        <v>1881916</v>
      </c>
      <c r="C2719" s="1">
        <v>44931</v>
      </c>
      <c r="D2719">
        <v>19</v>
      </c>
      <c r="E2719">
        <f>IF(
  ISNA(
    _xlfn.XLOOKUP(
      payments_raw[[#This Row],[subscription_id]],
      subscriptions[subscription_id],
      subscriptions[subscription_id]
    )
  ),
  0,
  1
)</f>
        <v>1</v>
      </c>
      <c r="F2719" s="1">
        <f>_xlfn.XLOOKUP(payments_raw[[#This Row],[subscription_id]], subscriptions[subscription_id], subscriptions[start_date])</f>
        <v>44928</v>
      </c>
      <c r="G27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45158</v>
      </c>
      <c r="H2719" s="2">
        <f>IF(payments_raw[[#This Row],[payment_date]] &lt; payments_raw[[#This Row],[sub_start_date]], 1, 0)</f>
        <v>0</v>
      </c>
      <c r="I2719" s="2">
        <f>IF(AND(payments_raw[[#This Row],[sub_end_date]]&lt;&gt;"", payments_raw[[#This Row],[payment_date]] &gt; payments_raw[[#This Row],[sub_end_date]]), 1, 0)</f>
        <v>0</v>
      </c>
      <c r="J2719" s="2">
        <f>IF(payments_raw[[#This Row],[amount]] &lt;= 0, 1, 0)</f>
        <v>0</v>
      </c>
      <c r="K27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0" spans="1:11" x14ac:dyDescent="0.3">
      <c r="A2720">
        <v>73732465</v>
      </c>
      <c r="B2720">
        <v>7532030</v>
      </c>
      <c r="C2720" s="1">
        <v>45061</v>
      </c>
      <c r="D2720">
        <v>390</v>
      </c>
      <c r="E2720">
        <f>IF(
  ISNA(
    _xlfn.XLOOKUP(
      payments_raw[[#This Row],[subscription_id]],
      subscriptions[subscription_id],
      subscriptions[subscription_id]
    )
  ),
  0,
  1
)</f>
        <v>1</v>
      </c>
      <c r="F2720" s="1">
        <f>_xlfn.XLOOKUP(payments_raw[[#This Row],[subscription_id]], subscriptions[subscription_id], subscriptions[start_date])</f>
        <v>44957</v>
      </c>
      <c r="G272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2720" s="2">
        <f>IF(payments_raw[[#This Row],[payment_date]] &lt; payments_raw[[#This Row],[sub_start_date]], 1, 0)</f>
        <v>0</v>
      </c>
      <c r="I2720" s="2">
        <f>IF(AND(payments_raw[[#This Row],[sub_end_date]]&lt;&gt;"", payments_raw[[#This Row],[payment_date]] &gt; payments_raw[[#This Row],[sub_end_date]]), 1, 0)</f>
        <v>0</v>
      </c>
      <c r="J2720" s="2">
        <f>IF(payments_raw[[#This Row],[amount]] &lt;= 0, 1, 0)</f>
        <v>0</v>
      </c>
      <c r="K27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1" spans="1:11" x14ac:dyDescent="0.3">
      <c r="A2721">
        <v>24352951</v>
      </c>
      <c r="B2721">
        <v>2823879</v>
      </c>
      <c r="C2721" s="1">
        <v>45544</v>
      </c>
      <c r="D2721">
        <v>299</v>
      </c>
      <c r="E2721">
        <f>IF(
  ISNA(
    _xlfn.XLOOKUP(
      payments_raw[[#This Row],[subscription_id]],
      subscriptions[subscription_id],
      subscriptions[subscription_id]
    )
  ),
  0,
  1
)</f>
        <v>1</v>
      </c>
      <c r="F2721" s="1">
        <f>_xlfn.XLOOKUP(payments_raw[[#This Row],[subscription_id]], subscriptions[subscription_id], subscriptions[start_date])</f>
        <v>45036</v>
      </c>
      <c r="G27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1" s="2">
        <f>IF(payments_raw[[#This Row],[payment_date]] &lt; payments_raw[[#This Row],[sub_start_date]], 1, 0)</f>
        <v>0</v>
      </c>
      <c r="I2721" s="2">
        <f>IF(AND(payments_raw[[#This Row],[sub_end_date]]&lt;&gt;"", payments_raw[[#This Row],[payment_date]] &gt; payments_raw[[#This Row],[sub_end_date]]), 1, 0)</f>
        <v>0</v>
      </c>
      <c r="J2721" s="2">
        <f>IF(payments_raw[[#This Row],[amount]] &lt;= 0, 1, 0)</f>
        <v>0</v>
      </c>
      <c r="K27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2" spans="1:11" x14ac:dyDescent="0.3">
      <c r="A2722">
        <v>89147389</v>
      </c>
      <c r="B2722">
        <v>2800796</v>
      </c>
      <c r="C2722" s="1">
        <v>45631</v>
      </c>
      <c r="D2722">
        <v>190</v>
      </c>
      <c r="E2722">
        <f>IF(
  ISNA(
    _xlfn.XLOOKUP(
      payments_raw[[#This Row],[subscription_id]],
      subscriptions[subscription_id],
      subscriptions[subscription_id]
    )
  ),
  0,
  1
)</f>
        <v>1</v>
      </c>
      <c r="F2722" s="1">
        <f>_xlfn.XLOOKUP(payments_raw[[#This Row],[subscription_id]], subscriptions[subscription_id], subscriptions[start_date])</f>
        <v>45512</v>
      </c>
      <c r="G27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2" s="2">
        <f>IF(payments_raw[[#This Row],[payment_date]] &lt; payments_raw[[#This Row],[sub_start_date]], 1, 0)</f>
        <v>0</v>
      </c>
      <c r="I2722" s="2">
        <f>IF(AND(payments_raw[[#This Row],[sub_end_date]]&lt;&gt;"", payments_raw[[#This Row],[payment_date]] &gt; payments_raw[[#This Row],[sub_end_date]]), 1, 0)</f>
        <v>0</v>
      </c>
      <c r="J2722" s="2">
        <f>IF(payments_raw[[#This Row],[amount]] &lt;= 0, 1, 0)</f>
        <v>0</v>
      </c>
      <c r="K27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3" spans="1:11" x14ac:dyDescent="0.3">
      <c r="A2723">
        <v>84460758</v>
      </c>
      <c r="B2723">
        <v>3578194</v>
      </c>
      <c r="C2723" s="1">
        <v>45075</v>
      </c>
      <c r="D2723">
        <v>2691</v>
      </c>
      <c r="E2723">
        <f>IF(
  ISNA(
    _xlfn.XLOOKUP(
      payments_raw[[#This Row],[subscription_id]],
      subscriptions[subscription_id],
      subscriptions[subscription_id]
    )
  ),
  0,
  1
)</f>
        <v>1</v>
      </c>
      <c r="F2723" s="1">
        <f>_xlfn.XLOOKUP(payments_raw[[#This Row],[subscription_id]], subscriptions[subscription_id], subscriptions[start_date])</f>
        <v>44651</v>
      </c>
      <c r="G27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3" s="2">
        <f>IF(payments_raw[[#This Row],[payment_date]] &lt; payments_raw[[#This Row],[sub_start_date]], 1, 0)</f>
        <v>0</v>
      </c>
      <c r="I2723" s="2">
        <f>IF(AND(payments_raw[[#This Row],[sub_end_date]]&lt;&gt;"", payments_raw[[#This Row],[payment_date]] &gt; payments_raw[[#This Row],[sub_end_date]]), 1, 0)</f>
        <v>0</v>
      </c>
      <c r="J2723" s="2">
        <f>IF(payments_raw[[#This Row],[amount]] &lt;= 0, 1, 0)</f>
        <v>0</v>
      </c>
      <c r="K27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4" spans="1:11" x14ac:dyDescent="0.3">
      <c r="A2724">
        <v>24087799</v>
      </c>
      <c r="B2724">
        <v>2673190</v>
      </c>
      <c r="C2724" s="1">
        <v>45657</v>
      </c>
      <c r="D2724">
        <v>790</v>
      </c>
      <c r="E2724">
        <f>IF(
  ISNA(
    _xlfn.XLOOKUP(
      payments_raw[[#This Row],[subscription_id]],
      subscriptions[subscription_id],
      subscriptions[subscription_id]
    )
  ),
  0,
  1
)</f>
        <v>1</v>
      </c>
      <c r="F2724" s="1">
        <f>_xlfn.XLOOKUP(payments_raw[[#This Row],[subscription_id]], subscriptions[subscription_id], subscriptions[start_date])</f>
        <v>45335</v>
      </c>
      <c r="G27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4" s="2">
        <f>IF(payments_raw[[#This Row],[payment_date]] &lt; payments_raw[[#This Row],[sub_start_date]], 1, 0)</f>
        <v>0</v>
      </c>
      <c r="I2724" s="2">
        <f>IF(AND(payments_raw[[#This Row],[sub_end_date]]&lt;&gt;"", payments_raw[[#This Row],[payment_date]] &gt; payments_raw[[#This Row],[sub_end_date]]), 1, 0)</f>
        <v>0</v>
      </c>
      <c r="J2724" s="2">
        <f>IF(payments_raw[[#This Row],[amount]] &lt;= 0, 1, 0)</f>
        <v>0</v>
      </c>
      <c r="K27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5" spans="1:11" x14ac:dyDescent="0.3">
      <c r="A2725">
        <v>30882678</v>
      </c>
      <c r="B2725">
        <v>1675388</v>
      </c>
      <c r="C2725" s="1">
        <v>45613</v>
      </c>
      <c r="D2725">
        <v>190</v>
      </c>
      <c r="E2725">
        <f>IF(
  ISNA(
    _xlfn.XLOOKUP(
      payments_raw[[#This Row],[subscription_id]],
      subscriptions[subscription_id],
      subscriptions[subscription_id]
    )
  ),
  0,
  1
)</f>
        <v>1</v>
      </c>
      <c r="F2725" s="1">
        <f>_xlfn.XLOOKUP(payments_raw[[#This Row],[subscription_id]], subscriptions[subscription_id], subscriptions[start_date])</f>
        <v>44835</v>
      </c>
      <c r="G27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5" s="2">
        <f>IF(payments_raw[[#This Row],[payment_date]] &lt; payments_raw[[#This Row],[sub_start_date]], 1, 0)</f>
        <v>0</v>
      </c>
      <c r="I2725" s="2">
        <f>IF(AND(payments_raw[[#This Row],[sub_end_date]]&lt;&gt;"", payments_raw[[#This Row],[payment_date]] &gt; payments_raw[[#This Row],[sub_end_date]]), 1, 0)</f>
        <v>0</v>
      </c>
      <c r="J2725" s="2">
        <f>IF(payments_raw[[#This Row],[amount]] &lt;= 0, 1, 0)</f>
        <v>0</v>
      </c>
      <c r="K27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6" spans="1:11" x14ac:dyDescent="0.3">
      <c r="A2726">
        <v>57617569</v>
      </c>
      <c r="B2726">
        <v>5166404</v>
      </c>
      <c r="C2726" s="1">
        <v>45527</v>
      </c>
      <c r="D2726">
        <v>190</v>
      </c>
      <c r="E2726">
        <f>IF(
  ISNA(
    _xlfn.XLOOKUP(
      payments_raw[[#This Row],[subscription_id]],
      subscriptions[subscription_id],
      subscriptions[subscription_id]
    )
  ),
  0,
  1
)</f>
        <v>1</v>
      </c>
      <c r="F2726" s="1">
        <f>_xlfn.XLOOKUP(payments_raw[[#This Row],[subscription_id]], subscriptions[subscription_id], subscriptions[start_date])</f>
        <v>45177</v>
      </c>
      <c r="G27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6" s="2">
        <f>IF(payments_raw[[#This Row],[payment_date]] &lt; payments_raw[[#This Row],[sub_start_date]], 1, 0)</f>
        <v>0</v>
      </c>
      <c r="I2726" s="2">
        <f>IF(AND(payments_raw[[#This Row],[sub_end_date]]&lt;&gt;"", payments_raw[[#This Row],[payment_date]] &gt; payments_raw[[#This Row],[sub_end_date]]), 1, 0)</f>
        <v>0</v>
      </c>
      <c r="J2726" s="2">
        <f>IF(payments_raw[[#This Row],[amount]] &lt;= 0, 1, 0)</f>
        <v>0</v>
      </c>
      <c r="K27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7" spans="1:11" x14ac:dyDescent="0.3">
      <c r="A2727">
        <v>16835512</v>
      </c>
      <c r="B2727">
        <v>2670640</v>
      </c>
      <c r="C2727" s="1">
        <v>45559</v>
      </c>
      <c r="D2727">
        <v>790</v>
      </c>
      <c r="E2727">
        <f>IF(
  ISNA(
    _xlfn.XLOOKUP(
      payments_raw[[#This Row],[subscription_id]],
      subscriptions[subscription_id],
      subscriptions[subscription_id]
    )
  ),
  0,
  1
)</f>
        <v>1</v>
      </c>
      <c r="F2727" s="1">
        <f>_xlfn.XLOOKUP(payments_raw[[#This Row],[subscription_id]], subscriptions[subscription_id], subscriptions[start_date])</f>
        <v>44820</v>
      </c>
      <c r="G27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7" s="2">
        <f>IF(payments_raw[[#This Row],[payment_date]] &lt; payments_raw[[#This Row],[sub_start_date]], 1, 0)</f>
        <v>0</v>
      </c>
      <c r="I2727" s="2">
        <f>IF(AND(payments_raw[[#This Row],[sub_end_date]]&lt;&gt;"", payments_raw[[#This Row],[payment_date]] &gt; payments_raw[[#This Row],[sub_end_date]]), 1, 0)</f>
        <v>0</v>
      </c>
      <c r="J2727" s="2">
        <f>IF(payments_raw[[#This Row],[amount]] &lt;= 0, 1, 0)</f>
        <v>0</v>
      </c>
      <c r="K27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8" spans="1:11" x14ac:dyDescent="0.3">
      <c r="A2728">
        <v>23223422</v>
      </c>
      <c r="B2728">
        <v>9158676</v>
      </c>
      <c r="C2728" s="1">
        <v>45142</v>
      </c>
      <c r="D2728">
        <v>2990</v>
      </c>
      <c r="E2728">
        <f>IF(
  ISNA(
    _xlfn.XLOOKUP(
      payments_raw[[#This Row],[subscription_id]],
      subscriptions[subscription_id],
      subscriptions[subscription_id]
    )
  ),
  0,
  1
)</f>
        <v>1</v>
      </c>
      <c r="F2728" s="1">
        <f>_xlfn.XLOOKUP(payments_raw[[#This Row],[subscription_id]], subscriptions[subscription_id], subscriptions[start_date])</f>
        <v>44997</v>
      </c>
      <c r="G272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45270</v>
      </c>
      <c r="H2728" s="2">
        <f>IF(payments_raw[[#This Row],[payment_date]] &lt; payments_raw[[#This Row],[sub_start_date]], 1, 0)</f>
        <v>0</v>
      </c>
      <c r="I2728" s="2">
        <f>IF(AND(payments_raw[[#This Row],[sub_end_date]]&lt;&gt;"", payments_raw[[#This Row],[payment_date]] &gt; payments_raw[[#This Row],[sub_end_date]]), 1, 0)</f>
        <v>0</v>
      </c>
      <c r="J2728" s="2">
        <f>IF(payments_raw[[#This Row],[amount]] &lt;= 0, 1, 0)</f>
        <v>0</v>
      </c>
      <c r="K27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29" spans="1:11" x14ac:dyDescent="0.3">
      <c r="A2729">
        <v>95380264</v>
      </c>
      <c r="B2729">
        <v>4520289</v>
      </c>
      <c r="C2729" s="1">
        <v>45400</v>
      </c>
      <c r="D2729">
        <v>390</v>
      </c>
      <c r="E2729">
        <f>IF(
  ISNA(
    _xlfn.XLOOKUP(
      payments_raw[[#This Row],[subscription_id]],
      subscriptions[subscription_id],
      subscriptions[subscription_id]
    )
  ),
  0,
  1
)</f>
        <v>1</v>
      </c>
      <c r="F2729" s="1">
        <f>_xlfn.XLOOKUP(payments_raw[[#This Row],[subscription_id]], subscriptions[subscription_id], subscriptions[start_date])</f>
        <v>45162</v>
      </c>
      <c r="G27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29" s="2">
        <f>IF(payments_raw[[#This Row],[payment_date]] &lt; payments_raw[[#This Row],[sub_start_date]], 1, 0)</f>
        <v>0</v>
      </c>
      <c r="I2729" s="2">
        <f>IF(AND(payments_raw[[#This Row],[sub_end_date]]&lt;&gt;"", payments_raw[[#This Row],[payment_date]] &gt; payments_raw[[#This Row],[sub_end_date]]), 1, 0)</f>
        <v>0</v>
      </c>
      <c r="J2729" s="2">
        <f>IF(payments_raw[[#This Row],[amount]] &lt;= 0, 1, 0)</f>
        <v>0</v>
      </c>
      <c r="K27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0" spans="1:11" x14ac:dyDescent="0.3">
      <c r="A2730">
        <v>54111562</v>
      </c>
      <c r="B2730">
        <v>7831160</v>
      </c>
      <c r="C2730" s="1">
        <v>45489</v>
      </c>
      <c r="D2730">
        <v>2990</v>
      </c>
      <c r="E2730">
        <f>IF(
  ISNA(
    _xlfn.XLOOKUP(
      payments_raw[[#This Row],[subscription_id]],
      subscriptions[subscription_id],
      subscriptions[subscription_id]
    )
  ),
  0,
  1
)</f>
        <v>1</v>
      </c>
      <c r="F2730" s="1">
        <f>_xlfn.XLOOKUP(payments_raw[[#This Row],[subscription_id]], subscriptions[subscription_id], subscriptions[start_date])</f>
        <v>45116</v>
      </c>
      <c r="G27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30" s="2">
        <f>IF(payments_raw[[#This Row],[payment_date]] &lt; payments_raw[[#This Row],[sub_start_date]], 1, 0)</f>
        <v>0</v>
      </c>
      <c r="I2730" s="2">
        <f>IF(AND(payments_raw[[#This Row],[sub_end_date]]&lt;&gt;"", payments_raw[[#This Row],[payment_date]] &gt; payments_raw[[#This Row],[sub_end_date]]), 1, 0)</f>
        <v>0</v>
      </c>
      <c r="J2730" s="2">
        <f>IF(payments_raw[[#This Row],[amount]] &lt;= 0, 1, 0)</f>
        <v>0</v>
      </c>
      <c r="K27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1" spans="1:11" x14ac:dyDescent="0.3">
      <c r="A2731">
        <v>94380849</v>
      </c>
      <c r="B2731">
        <v>3793996</v>
      </c>
      <c r="C2731" s="1">
        <v>44999</v>
      </c>
      <c r="D2731">
        <v>2242.5</v>
      </c>
      <c r="E2731">
        <f>IF(
  ISNA(
    _xlfn.XLOOKUP(
      payments_raw[[#This Row],[subscription_id]],
      subscriptions[subscription_id],
      subscriptions[subscription_id]
    )
  ),
  0,
  1
)</f>
        <v>1</v>
      </c>
      <c r="F2731" s="1">
        <f>_xlfn.XLOOKUP(payments_raw[[#This Row],[subscription_id]], subscriptions[subscription_id], subscriptions[start_date])</f>
        <v>44984</v>
      </c>
      <c r="G27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2731" s="2">
        <f>IF(payments_raw[[#This Row],[payment_date]] &lt; payments_raw[[#This Row],[sub_start_date]], 1, 0)</f>
        <v>0</v>
      </c>
      <c r="I2731" s="2">
        <f>IF(AND(payments_raw[[#This Row],[sub_end_date]]&lt;&gt;"", payments_raw[[#This Row],[payment_date]] &gt; payments_raw[[#This Row],[sub_end_date]]), 1, 0)</f>
        <v>0</v>
      </c>
      <c r="J2731" s="2">
        <f>IF(payments_raw[[#This Row],[amount]] &lt;= 0, 1, 0)</f>
        <v>0</v>
      </c>
      <c r="K27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2" spans="1:11" x14ac:dyDescent="0.3">
      <c r="A2732">
        <v>55731485</v>
      </c>
      <c r="B2732">
        <v>8077121</v>
      </c>
      <c r="C2732" s="1">
        <v>45382</v>
      </c>
      <c r="D2732">
        <v>79</v>
      </c>
      <c r="E2732">
        <f>IF(
  ISNA(
    _xlfn.XLOOKUP(
      payments_raw[[#This Row],[subscription_id]],
      subscriptions[subscription_id],
      subscriptions[subscription_id]
    )
  ),
  0,
  1
)</f>
        <v>1</v>
      </c>
      <c r="F2732" s="1">
        <f>_xlfn.XLOOKUP(payments_raw[[#This Row],[subscription_id]], subscriptions[subscription_id], subscriptions[start_date])</f>
        <v>45368</v>
      </c>
      <c r="G27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45418</v>
      </c>
      <c r="H2732" s="2">
        <f>IF(payments_raw[[#This Row],[payment_date]] &lt; payments_raw[[#This Row],[sub_start_date]], 1, 0)</f>
        <v>0</v>
      </c>
      <c r="I2732" s="2">
        <f>IF(AND(payments_raw[[#This Row],[sub_end_date]]&lt;&gt;"", payments_raw[[#This Row],[payment_date]] &gt; payments_raw[[#This Row],[sub_end_date]]), 1, 0)</f>
        <v>0</v>
      </c>
      <c r="J2732" s="2">
        <f>IF(payments_raw[[#This Row],[amount]] &lt;= 0, 1, 0)</f>
        <v>0</v>
      </c>
      <c r="K27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3" spans="1:11" x14ac:dyDescent="0.3">
      <c r="A2733">
        <v>32232961</v>
      </c>
      <c r="B2733">
        <v>1881916</v>
      </c>
      <c r="C2733" s="1">
        <v>45108</v>
      </c>
      <c r="D2733">
        <v>19</v>
      </c>
      <c r="E2733">
        <f>IF(
  ISNA(
    _xlfn.XLOOKUP(
      payments_raw[[#This Row],[subscription_id]],
      subscriptions[subscription_id],
      subscriptions[subscription_id]
    )
  ),
  0,
  1
)</f>
        <v>1</v>
      </c>
      <c r="F2733" s="1">
        <f>_xlfn.XLOOKUP(payments_raw[[#This Row],[subscription_id]], subscriptions[subscription_id], subscriptions[start_date])</f>
        <v>44928</v>
      </c>
      <c r="G27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45158</v>
      </c>
      <c r="H2733" s="2">
        <f>IF(payments_raw[[#This Row],[payment_date]] &lt; payments_raw[[#This Row],[sub_start_date]], 1, 0)</f>
        <v>0</v>
      </c>
      <c r="I2733" s="2">
        <f>IF(AND(payments_raw[[#This Row],[sub_end_date]]&lt;&gt;"", payments_raw[[#This Row],[payment_date]] &gt; payments_raw[[#This Row],[sub_end_date]]), 1, 0)</f>
        <v>0</v>
      </c>
      <c r="J2733" s="2">
        <f>IF(payments_raw[[#This Row],[amount]] &lt;= 0, 1, 0)</f>
        <v>0</v>
      </c>
      <c r="K27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4" spans="1:11" x14ac:dyDescent="0.3">
      <c r="A2734">
        <v>73424351</v>
      </c>
      <c r="B2734">
        <v>8208583</v>
      </c>
      <c r="C2734" s="1">
        <v>44918</v>
      </c>
      <c r="D2734">
        <v>190</v>
      </c>
      <c r="E2734">
        <f>IF(
  ISNA(
    _xlfn.XLOOKUP(
      payments_raw[[#This Row],[subscription_id]],
      subscriptions[subscription_id],
      subscriptions[subscription_id]
    )
  ),
  0,
  1
)</f>
        <v>1</v>
      </c>
      <c r="F2734" s="1">
        <f>_xlfn.XLOOKUP(payments_raw[[#This Row],[subscription_id]], subscriptions[subscription_id], subscriptions[start_date])</f>
        <v>44578</v>
      </c>
      <c r="G27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34" s="2">
        <f>IF(payments_raw[[#This Row],[payment_date]] &lt; payments_raw[[#This Row],[sub_start_date]], 1, 0)</f>
        <v>0</v>
      </c>
      <c r="I2734" s="2">
        <f>IF(AND(payments_raw[[#This Row],[sub_end_date]]&lt;&gt;"", payments_raw[[#This Row],[payment_date]] &gt; payments_raw[[#This Row],[sub_end_date]]), 1, 0)</f>
        <v>0</v>
      </c>
      <c r="J2734" s="2">
        <f>IF(payments_raw[[#This Row],[amount]] &lt;= 0, 1, 0)</f>
        <v>0</v>
      </c>
      <c r="K27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5" spans="1:11" x14ac:dyDescent="0.3">
      <c r="A2735">
        <v>69544431</v>
      </c>
      <c r="B2735">
        <v>6772196</v>
      </c>
      <c r="C2735" s="1">
        <v>45416</v>
      </c>
      <c r="D2735">
        <v>390</v>
      </c>
      <c r="E2735">
        <f>IF(
  ISNA(
    _xlfn.XLOOKUP(
      payments_raw[[#This Row],[subscription_id]],
      subscriptions[subscription_id],
      subscriptions[subscription_id]
    )
  ),
  0,
  1
)</f>
        <v>1</v>
      </c>
      <c r="F2735" s="1">
        <f>_xlfn.XLOOKUP(payments_raw[[#This Row],[subscription_id]], subscriptions[subscription_id], subscriptions[start_date])</f>
        <v>45283</v>
      </c>
      <c r="G27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45440</v>
      </c>
      <c r="H2735" s="2">
        <f>IF(payments_raw[[#This Row],[payment_date]] &lt; payments_raw[[#This Row],[sub_start_date]], 1, 0)</f>
        <v>0</v>
      </c>
      <c r="I2735" s="2">
        <f>IF(AND(payments_raw[[#This Row],[sub_end_date]]&lt;&gt;"", payments_raw[[#This Row],[payment_date]] &gt; payments_raw[[#This Row],[sub_end_date]]), 1, 0)</f>
        <v>0</v>
      </c>
      <c r="J2735" s="2">
        <f>IF(payments_raw[[#This Row],[amount]] &lt;= 0, 1, 0)</f>
        <v>0</v>
      </c>
      <c r="K27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6" spans="1:11" x14ac:dyDescent="0.3">
      <c r="A2736">
        <v>73306993</v>
      </c>
      <c r="B2736">
        <v>7858398</v>
      </c>
      <c r="C2736" s="1">
        <v>45499</v>
      </c>
      <c r="D2736">
        <v>149</v>
      </c>
      <c r="E2736">
        <f>IF(
  ISNA(
    _xlfn.XLOOKUP(
      payments_raw[[#This Row],[subscription_id]],
      subscriptions[subscription_id],
      subscriptions[subscription_id]
    )
  ),
  0,
  1
)</f>
        <v>1</v>
      </c>
      <c r="F2736" s="1">
        <f>_xlfn.XLOOKUP(payments_raw[[#This Row],[subscription_id]], subscriptions[subscription_id], subscriptions[start_date])</f>
        <v>45464</v>
      </c>
      <c r="G27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2736" s="2">
        <f>IF(payments_raw[[#This Row],[payment_date]] &lt; payments_raw[[#This Row],[sub_start_date]], 1, 0)</f>
        <v>0</v>
      </c>
      <c r="I2736" s="2">
        <f>IF(AND(payments_raw[[#This Row],[sub_end_date]]&lt;&gt;"", payments_raw[[#This Row],[payment_date]] &gt; payments_raw[[#This Row],[sub_end_date]]), 1, 0)</f>
        <v>0</v>
      </c>
      <c r="J2736" s="2">
        <f>IF(payments_raw[[#This Row],[amount]] &lt;= 0, 1, 0)</f>
        <v>0</v>
      </c>
      <c r="K27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7" spans="1:11" x14ac:dyDescent="0.3">
      <c r="A2737">
        <v>90362099</v>
      </c>
      <c r="B2737">
        <v>1336020</v>
      </c>
      <c r="C2737" s="1">
        <v>45549</v>
      </c>
      <c r="D2737">
        <v>149.5</v>
      </c>
      <c r="E2737">
        <f>IF(
  ISNA(
    _xlfn.XLOOKUP(
      payments_raw[[#This Row],[subscription_id]],
      subscriptions[subscription_id],
      subscriptions[subscription_id]
    )
  ),
  0,
  1
)</f>
        <v>1</v>
      </c>
      <c r="F2737" s="1">
        <f>_xlfn.XLOOKUP(payments_raw[[#This Row],[subscription_id]], subscriptions[subscription_id], subscriptions[start_date])</f>
        <v>44771</v>
      </c>
      <c r="G27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37" s="2">
        <f>IF(payments_raw[[#This Row],[payment_date]] &lt; payments_raw[[#This Row],[sub_start_date]], 1, 0)</f>
        <v>0</v>
      </c>
      <c r="I2737" s="2">
        <f>IF(AND(payments_raw[[#This Row],[sub_end_date]]&lt;&gt;"", payments_raw[[#This Row],[payment_date]] &gt; payments_raw[[#This Row],[sub_end_date]]), 1, 0)</f>
        <v>0</v>
      </c>
      <c r="J2737" s="2">
        <f>IF(payments_raw[[#This Row],[amount]] &lt;= 0, 1, 0)</f>
        <v>0</v>
      </c>
      <c r="K27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8" spans="1:11" x14ac:dyDescent="0.3">
      <c r="A2738">
        <v>72806952</v>
      </c>
      <c r="B2738">
        <v>8165734</v>
      </c>
      <c r="C2738" s="1">
        <v>44920</v>
      </c>
      <c r="D2738">
        <v>79</v>
      </c>
      <c r="E2738">
        <f>IF(
  ISNA(
    _xlfn.XLOOKUP(
      payments_raw[[#This Row],[subscription_id]],
      subscriptions[subscription_id],
      subscriptions[subscription_id]
    )
  ),
  0,
  1
)</f>
        <v>1</v>
      </c>
      <c r="F2738" s="1">
        <f>_xlfn.XLOOKUP(payments_raw[[#This Row],[subscription_id]], subscriptions[subscription_id], subscriptions[start_date])</f>
        <v>44906</v>
      </c>
      <c r="G273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2738" s="2">
        <f>IF(payments_raw[[#This Row],[payment_date]] &lt; payments_raw[[#This Row],[sub_start_date]], 1, 0)</f>
        <v>0</v>
      </c>
      <c r="I2738" s="2">
        <f>IF(AND(payments_raw[[#This Row],[sub_end_date]]&lt;&gt;"", payments_raw[[#This Row],[payment_date]] &gt; payments_raw[[#This Row],[sub_end_date]]), 1, 0)</f>
        <v>0</v>
      </c>
      <c r="J2738" s="2">
        <f>IF(payments_raw[[#This Row],[amount]] &lt;= 0, 1, 0)</f>
        <v>0</v>
      </c>
      <c r="K27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39" spans="1:11" x14ac:dyDescent="0.3">
      <c r="A2739">
        <v>24198037</v>
      </c>
      <c r="B2739">
        <v>2831812</v>
      </c>
      <c r="C2739" s="1">
        <v>44718</v>
      </c>
      <c r="D2739">
        <v>17.100000000000001</v>
      </c>
      <c r="E2739">
        <f>IF(
  ISNA(
    _xlfn.XLOOKUP(
      payments_raw[[#This Row],[subscription_id]],
      subscriptions[subscription_id],
      subscriptions[subscription_id]
    )
  ),
  0,
  1
)</f>
        <v>1</v>
      </c>
      <c r="F2739" s="1">
        <f>_xlfn.XLOOKUP(payments_raw[[#This Row],[subscription_id]], subscriptions[subscription_id], subscriptions[start_date])</f>
        <v>44664</v>
      </c>
      <c r="G2739" s="1">
        <f>IF(_xlfn.XLOOKUP(payments_raw[[#This Row],[subscription_id]], subscriptions[subscription_id], subscriptions[end_date])=0,"",_xlfn.XLOOKUP(payments_raw[[#This Row],[subscription_id]], subscriptions[subscription_id], subscriptions[end_date]))</f>
        <v>44750</v>
      </c>
      <c r="H2739" s="2">
        <f>IF(payments_raw[[#This Row],[payment_date]] &lt; payments_raw[[#This Row],[sub_start_date]], 1, 0)</f>
        <v>0</v>
      </c>
      <c r="I2739" s="2">
        <f>IF(AND(payments_raw[[#This Row],[sub_end_date]]&lt;&gt;"", payments_raw[[#This Row],[payment_date]] &gt; payments_raw[[#This Row],[sub_end_date]]), 1, 0)</f>
        <v>0</v>
      </c>
      <c r="J2739" s="2">
        <f>IF(payments_raw[[#This Row],[amount]] &lt;= 0, 1, 0)</f>
        <v>0</v>
      </c>
      <c r="K27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0" spans="1:11" x14ac:dyDescent="0.3">
      <c r="A2740">
        <v>78717559</v>
      </c>
      <c r="B2740">
        <v>2247548</v>
      </c>
      <c r="C2740" s="1">
        <v>45197</v>
      </c>
      <c r="D2740">
        <v>390</v>
      </c>
      <c r="E2740">
        <f>IF(
  ISNA(
    _xlfn.XLOOKUP(
      payments_raw[[#This Row],[subscription_id]],
      subscriptions[subscription_id],
      subscriptions[subscription_id]
    )
  ),
  0,
  1
)</f>
        <v>1</v>
      </c>
      <c r="F2740" s="1">
        <f>_xlfn.XLOOKUP(payments_raw[[#This Row],[subscription_id]], subscriptions[subscription_id], subscriptions[start_date])</f>
        <v>45084</v>
      </c>
      <c r="G27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0" s="2">
        <f>IF(payments_raw[[#This Row],[payment_date]] &lt; payments_raw[[#This Row],[sub_start_date]], 1, 0)</f>
        <v>0</v>
      </c>
      <c r="I2740" s="2">
        <f>IF(AND(payments_raw[[#This Row],[sub_end_date]]&lt;&gt;"", payments_raw[[#This Row],[payment_date]] &gt; payments_raw[[#This Row],[sub_end_date]]), 1, 0)</f>
        <v>0</v>
      </c>
      <c r="J2740" s="2">
        <f>IF(payments_raw[[#This Row],[amount]] &lt;= 0, 1, 0)</f>
        <v>0</v>
      </c>
      <c r="K27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1" spans="1:11" x14ac:dyDescent="0.3">
      <c r="A2741">
        <v>73079869</v>
      </c>
      <c r="B2741">
        <v>2092722</v>
      </c>
      <c r="C2741" s="1">
        <v>45480</v>
      </c>
      <c r="D2741">
        <v>19</v>
      </c>
      <c r="E2741">
        <f>IF(
  ISNA(
    _xlfn.XLOOKUP(
      payments_raw[[#This Row],[subscription_id]],
      subscriptions[subscription_id],
      subscriptions[subscription_id]
    )
  ),
  0,
  1
)</f>
        <v>1</v>
      </c>
      <c r="F2741" s="1">
        <f>_xlfn.XLOOKUP(payments_raw[[#This Row],[subscription_id]], subscriptions[subscription_id], subscriptions[start_date])</f>
        <v>45401</v>
      </c>
      <c r="G27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1" s="2">
        <f>IF(payments_raw[[#This Row],[payment_date]] &lt; payments_raw[[#This Row],[sub_start_date]], 1, 0)</f>
        <v>0</v>
      </c>
      <c r="I2741" s="2">
        <f>IF(AND(payments_raw[[#This Row],[sub_end_date]]&lt;&gt;"", payments_raw[[#This Row],[payment_date]] &gt; payments_raw[[#This Row],[sub_end_date]]), 1, 0)</f>
        <v>0</v>
      </c>
      <c r="J2741" s="2">
        <f>IF(payments_raw[[#This Row],[amount]] &lt;= 0, 1, 0)</f>
        <v>0</v>
      </c>
      <c r="K27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2" spans="1:11" x14ac:dyDescent="0.3">
      <c r="A2742">
        <v>37219705</v>
      </c>
      <c r="B2742">
        <v>5818314</v>
      </c>
      <c r="C2742" s="1">
        <v>45367</v>
      </c>
      <c r="D2742">
        <v>39</v>
      </c>
      <c r="E2742">
        <f>IF(
  ISNA(
    _xlfn.XLOOKUP(
      payments_raw[[#This Row],[subscription_id]],
      subscriptions[subscription_id],
      subscriptions[subscription_id]
    )
  ),
  0,
  1
)</f>
        <v>1</v>
      </c>
      <c r="F2742" s="1">
        <f>_xlfn.XLOOKUP(payments_raw[[#This Row],[subscription_id]], subscriptions[subscription_id], subscriptions[start_date])</f>
        <v>44674</v>
      </c>
      <c r="G27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2" s="2">
        <f>IF(payments_raw[[#This Row],[payment_date]] &lt; payments_raw[[#This Row],[sub_start_date]], 1, 0)</f>
        <v>0</v>
      </c>
      <c r="I2742" s="2">
        <f>IF(AND(payments_raw[[#This Row],[sub_end_date]]&lt;&gt;"", payments_raw[[#This Row],[payment_date]] &gt; payments_raw[[#This Row],[sub_end_date]]), 1, 0)</f>
        <v>0</v>
      </c>
      <c r="J2742" s="2">
        <f>IF(payments_raw[[#This Row],[amount]] &lt;= 0, 1, 0)</f>
        <v>0</v>
      </c>
      <c r="K27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3" spans="1:11" x14ac:dyDescent="0.3">
      <c r="A2743">
        <v>88930579</v>
      </c>
      <c r="B2743">
        <v>6268490</v>
      </c>
      <c r="C2743" s="1">
        <v>45341</v>
      </c>
      <c r="D2743">
        <v>390</v>
      </c>
      <c r="E2743">
        <f>IF(
  ISNA(
    _xlfn.XLOOKUP(
      payments_raw[[#This Row],[subscription_id]],
      subscriptions[subscription_id],
      subscriptions[subscription_id]
    )
  ),
  0,
  1
)</f>
        <v>1</v>
      </c>
      <c r="F2743" s="1">
        <f>_xlfn.XLOOKUP(payments_raw[[#This Row],[subscription_id]], subscriptions[subscription_id], subscriptions[start_date])</f>
        <v>44693</v>
      </c>
      <c r="G27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3" s="2">
        <f>IF(payments_raw[[#This Row],[payment_date]] &lt; payments_raw[[#This Row],[sub_start_date]], 1, 0)</f>
        <v>0</v>
      </c>
      <c r="I2743" s="2">
        <f>IF(AND(payments_raw[[#This Row],[sub_end_date]]&lt;&gt;"", payments_raw[[#This Row],[payment_date]] &gt; payments_raw[[#This Row],[sub_end_date]]), 1, 0)</f>
        <v>0</v>
      </c>
      <c r="J2743" s="2">
        <f>IF(payments_raw[[#This Row],[amount]] &lt;= 0, 1, 0)</f>
        <v>0</v>
      </c>
      <c r="K27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4" spans="1:11" x14ac:dyDescent="0.3">
      <c r="A2744">
        <v>43730822</v>
      </c>
      <c r="B2744">
        <v>3937636</v>
      </c>
      <c r="C2744" s="1">
        <v>45303</v>
      </c>
      <c r="D2744">
        <v>79</v>
      </c>
      <c r="E2744">
        <f>IF(
  ISNA(
    _xlfn.XLOOKUP(
      payments_raw[[#This Row],[subscription_id]],
      subscriptions[subscription_id],
      subscriptions[subscription_id]
    )
  ),
  0,
  1
)</f>
        <v>1</v>
      </c>
      <c r="F2744" s="1">
        <f>_xlfn.XLOOKUP(payments_raw[[#This Row],[subscription_id]], subscriptions[subscription_id], subscriptions[start_date])</f>
        <v>44811</v>
      </c>
      <c r="G27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4" s="2">
        <f>IF(payments_raw[[#This Row],[payment_date]] &lt; payments_raw[[#This Row],[sub_start_date]], 1, 0)</f>
        <v>0</v>
      </c>
      <c r="I2744" s="2">
        <f>IF(AND(payments_raw[[#This Row],[sub_end_date]]&lt;&gt;"", payments_raw[[#This Row],[payment_date]] &gt; payments_raw[[#This Row],[sub_end_date]]), 1, 0)</f>
        <v>0</v>
      </c>
      <c r="J2744" s="2">
        <f>IF(payments_raw[[#This Row],[amount]] &lt;= 0, 1, 0)</f>
        <v>0</v>
      </c>
      <c r="K27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5" spans="1:11" x14ac:dyDescent="0.3">
      <c r="A2745">
        <v>26188599</v>
      </c>
      <c r="B2745">
        <v>5409982</v>
      </c>
      <c r="C2745" s="1">
        <v>45596</v>
      </c>
      <c r="D2745">
        <v>149</v>
      </c>
      <c r="E2745">
        <f>IF(
  ISNA(
    _xlfn.XLOOKUP(
      payments_raw[[#This Row],[subscription_id]],
      subscriptions[subscription_id],
      subscriptions[subscription_id]
    )
  ),
  0,
  1
)</f>
        <v>1</v>
      </c>
      <c r="F2745" s="1">
        <f>_xlfn.XLOOKUP(payments_raw[[#This Row],[subscription_id]], subscriptions[subscription_id], subscriptions[start_date])</f>
        <v>45528</v>
      </c>
      <c r="G27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2745" s="2">
        <f>IF(payments_raw[[#This Row],[payment_date]] &lt; payments_raw[[#This Row],[sub_start_date]], 1, 0)</f>
        <v>0</v>
      </c>
      <c r="I2745" s="2">
        <f>IF(AND(payments_raw[[#This Row],[sub_end_date]]&lt;&gt;"", payments_raw[[#This Row],[payment_date]] &gt; payments_raw[[#This Row],[sub_end_date]]), 1, 0)</f>
        <v>0</v>
      </c>
      <c r="J2745" s="2">
        <f>IF(payments_raw[[#This Row],[amount]] &lt;= 0, 1, 0)</f>
        <v>0</v>
      </c>
      <c r="K27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6" spans="1:11" x14ac:dyDescent="0.3">
      <c r="A2746">
        <v>55479408</v>
      </c>
      <c r="B2746">
        <v>8883139</v>
      </c>
      <c r="C2746" s="1">
        <v>44870</v>
      </c>
      <c r="D2746">
        <v>39</v>
      </c>
      <c r="E2746">
        <f>IF(
  ISNA(
    _xlfn.XLOOKUP(
      payments_raw[[#This Row],[subscription_id]],
      subscriptions[subscription_id],
      subscriptions[subscription_id]
    )
  ),
  0,
  1
)</f>
        <v>1</v>
      </c>
      <c r="F2746" s="1">
        <f>_xlfn.XLOOKUP(payments_raw[[#This Row],[subscription_id]], subscriptions[subscription_id], subscriptions[start_date])</f>
        <v>44656</v>
      </c>
      <c r="G2746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2746" s="2">
        <f>IF(payments_raw[[#This Row],[payment_date]] &lt; payments_raw[[#This Row],[sub_start_date]], 1, 0)</f>
        <v>0</v>
      </c>
      <c r="I2746" s="2">
        <f>IF(AND(payments_raw[[#This Row],[sub_end_date]]&lt;&gt;"", payments_raw[[#This Row],[payment_date]] &gt; payments_raw[[#This Row],[sub_end_date]]), 1, 0)</f>
        <v>0</v>
      </c>
      <c r="J2746" s="2">
        <f>IF(payments_raw[[#This Row],[amount]] &lt;= 0, 1, 0)</f>
        <v>0</v>
      </c>
      <c r="K27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7" spans="1:11" x14ac:dyDescent="0.3">
      <c r="A2747">
        <v>70050178</v>
      </c>
      <c r="B2747">
        <v>3317607</v>
      </c>
      <c r="C2747" s="1">
        <v>45202</v>
      </c>
      <c r="D2747">
        <v>19</v>
      </c>
      <c r="E2747">
        <f>IF(
  ISNA(
    _xlfn.XLOOKUP(
      payments_raw[[#This Row],[subscription_id]],
      subscriptions[subscription_id],
      subscriptions[subscription_id]
    )
  ),
  0,
  1
)</f>
        <v>1</v>
      </c>
      <c r="F2747" s="1">
        <f>_xlfn.XLOOKUP(payments_raw[[#This Row],[subscription_id]], subscriptions[subscription_id], subscriptions[start_date])</f>
        <v>45095</v>
      </c>
      <c r="G27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45299</v>
      </c>
      <c r="H2747" s="2">
        <f>IF(payments_raw[[#This Row],[payment_date]] &lt; payments_raw[[#This Row],[sub_start_date]], 1, 0)</f>
        <v>0</v>
      </c>
      <c r="I2747" s="2">
        <f>IF(AND(payments_raw[[#This Row],[sub_end_date]]&lt;&gt;"", payments_raw[[#This Row],[payment_date]] &gt; payments_raw[[#This Row],[sub_end_date]]), 1, 0)</f>
        <v>0</v>
      </c>
      <c r="J2747" s="2">
        <f>IF(payments_raw[[#This Row],[amount]] &lt;= 0, 1, 0)</f>
        <v>0</v>
      </c>
      <c r="K27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8" spans="1:11" x14ac:dyDescent="0.3">
      <c r="A2748">
        <v>24232767</v>
      </c>
      <c r="B2748">
        <v>7597584</v>
      </c>
      <c r="C2748" s="1">
        <v>45337</v>
      </c>
      <c r="D2748">
        <v>79</v>
      </c>
      <c r="E2748">
        <f>IF(
  ISNA(
    _xlfn.XLOOKUP(
      payments_raw[[#This Row],[subscription_id]],
      subscriptions[subscription_id],
      subscriptions[subscription_id]
    )
  ),
  0,
  1
)</f>
        <v>1</v>
      </c>
      <c r="F2748" s="1">
        <f>_xlfn.XLOOKUP(payments_raw[[#This Row],[subscription_id]], subscriptions[subscription_id], subscriptions[start_date])</f>
        <v>45334</v>
      </c>
      <c r="G27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2748" s="2">
        <f>IF(payments_raw[[#This Row],[payment_date]] &lt; payments_raw[[#This Row],[sub_start_date]], 1, 0)</f>
        <v>0</v>
      </c>
      <c r="I2748" s="2">
        <f>IF(AND(payments_raw[[#This Row],[sub_end_date]]&lt;&gt;"", payments_raw[[#This Row],[payment_date]] &gt; payments_raw[[#This Row],[sub_end_date]]), 1, 0)</f>
        <v>0</v>
      </c>
      <c r="J2748" s="2">
        <f>IF(payments_raw[[#This Row],[amount]] &lt;= 0, 1, 0)</f>
        <v>0</v>
      </c>
      <c r="K27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49" spans="1:11" x14ac:dyDescent="0.3">
      <c r="A2749">
        <v>48493103</v>
      </c>
      <c r="B2749">
        <v>6409052</v>
      </c>
      <c r="C2749" s="1">
        <v>45539</v>
      </c>
      <c r="D2749">
        <v>134.1</v>
      </c>
      <c r="E2749">
        <f>IF(
  ISNA(
    _xlfn.XLOOKUP(
      payments_raw[[#This Row],[subscription_id]],
      subscriptions[subscription_id],
      subscriptions[subscription_id]
    )
  ),
  0,
  1
)</f>
        <v>1</v>
      </c>
      <c r="F2749" s="1">
        <f>_xlfn.XLOOKUP(payments_raw[[#This Row],[subscription_id]], subscriptions[subscription_id], subscriptions[start_date])</f>
        <v>44979</v>
      </c>
      <c r="G27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49" s="2">
        <f>IF(payments_raw[[#This Row],[payment_date]] &lt; payments_raw[[#This Row],[sub_start_date]], 1, 0)</f>
        <v>0</v>
      </c>
      <c r="I2749" s="2">
        <f>IF(AND(payments_raw[[#This Row],[sub_end_date]]&lt;&gt;"", payments_raw[[#This Row],[payment_date]] &gt; payments_raw[[#This Row],[sub_end_date]]), 1, 0)</f>
        <v>0</v>
      </c>
      <c r="J2749" s="2">
        <f>IF(payments_raw[[#This Row],[amount]] &lt;= 0, 1, 0)</f>
        <v>0</v>
      </c>
      <c r="K27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0" spans="1:11" x14ac:dyDescent="0.3">
      <c r="A2750">
        <v>83691032</v>
      </c>
      <c r="B2750">
        <v>9371405</v>
      </c>
      <c r="C2750" s="1">
        <v>45368</v>
      </c>
      <c r="D2750">
        <v>19</v>
      </c>
      <c r="E2750">
        <f>IF(
  ISNA(
    _xlfn.XLOOKUP(
      payments_raw[[#This Row],[subscription_id]],
      subscriptions[subscription_id],
      subscriptions[subscription_id]
    )
  ),
  0,
  1
)</f>
        <v>1</v>
      </c>
      <c r="F2750" s="1">
        <f>_xlfn.XLOOKUP(payments_raw[[#This Row],[subscription_id]], subscriptions[subscription_id], subscriptions[start_date])</f>
        <v>44993</v>
      </c>
      <c r="G27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0" s="2">
        <f>IF(payments_raw[[#This Row],[payment_date]] &lt; payments_raw[[#This Row],[sub_start_date]], 1, 0)</f>
        <v>0</v>
      </c>
      <c r="I2750" s="2">
        <f>IF(AND(payments_raw[[#This Row],[sub_end_date]]&lt;&gt;"", payments_raw[[#This Row],[payment_date]] &gt; payments_raw[[#This Row],[sub_end_date]]), 1, 0)</f>
        <v>0</v>
      </c>
      <c r="J2750" s="2">
        <f>IF(payments_raw[[#This Row],[amount]] &lt;= 0, 1, 0)</f>
        <v>0</v>
      </c>
      <c r="K27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1" spans="1:11" x14ac:dyDescent="0.3">
      <c r="A2751">
        <v>72481316</v>
      </c>
      <c r="B2751">
        <v>4096967</v>
      </c>
      <c r="C2751" s="1">
        <v>45266</v>
      </c>
      <c r="D2751">
        <v>149</v>
      </c>
      <c r="E2751">
        <f>IF(
  ISNA(
    _xlfn.XLOOKUP(
      payments_raw[[#This Row],[subscription_id]],
      subscriptions[subscription_id],
      subscriptions[subscription_id]
    )
  ),
  0,
  1
)</f>
        <v>1</v>
      </c>
      <c r="F2751" s="1">
        <f>_xlfn.XLOOKUP(payments_raw[[#This Row],[subscription_id]], subscriptions[subscription_id], subscriptions[start_date])</f>
        <v>45045</v>
      </c>
      <c r="G27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2751" s="2">
        <f>IF(payments_raw[[#This Row],[payment_date]] &lt; payments_raw[[#This Row],[sub_start_date]], 1, 0)</f>
        <v>0</v>
      </c>
      <c r="I2751" s="2">
        <f>IF(AND(payments_raw[[#This Row],[sub_end_date]]&lt;&gt;"", payments_raw[[#This Row],[payment_date]] &gt; payments_raw[[#This Row],[sub_end_date]]), 1, 0)</f>
        <v>0</v>
      </c>
      <c r="J2751" s="2">
        <f>IF(payments_raw[[#This Row],[amount]] &lt;= 0, 1, 0)</f>
        <v>0</v>
      </c>
      <c r="K27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2" spans="1:11" x14ac:dyDescent="0.3">
      <c r="A2752">
        <v>14224882</v>
      </c>
      <c r="B2752">
        <v>2735086</v>
      </c>
      <c r="C2752" s="1">
        <v>44804</v>
      </c>
      <c r="D2752">
        <v>390</v>
      </c>
      <c r="E2752">
        <f>IF(
  ISNA(
    _xlfn.XLOOKUP(
      payments_raw[[#This Row],[subscription_id]],
      subscriptions[subscription_id],
      subscriptions[subscription_id]
    )
  ),
  0,
  1
)</f>
        <v>1</v>
      </c>
      <c r="F2752" s="1">
        <f>_xlfn.XLOOKUP(payments_raw[[#This Row],[subscription_id]], subscriptions[subscription_id], subscriptions[start_date])</f>
        <v>44789</v>
      </c>
      <c r="G27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2" s="2">
        <f>IF(payments_raw[[#This Row],[payment_date]] &lt; payments_raw[[#This Row],[sub_start_date]], 1, 0)</f>
        <v>0</v>
      </c>
      <c r="I2752" s="2">
        <f>IF(AND(payments_raw[[#This Row],[sub_end_date]]&lt;&gt;"", payments_raw[[#This Row],[payment_date]] &gt; payments_raw[[#This Row],[sub_end_date]]), 1, 0)</f>
        <v>0</v>
      </c>
      <c r="J2752" s="2">
        <f>IF(payments_raw[[#This Row],[amount]] &lt;= 0, 1, 0)</f>
        <v>0</v>
      </c>
      <c r="K27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3" spans="1:11" x14ac:dyDescent="0.3">
      <c r="A2753">
        <v>44479616</v>
      </c>
      <c r="B2753">
        <v>1506432</v>
      </c>
      <c r="C2753" s="1">
        <v>45547</v>
      </c>
      <c r="D2753">
        <v>1490</v>
      </c>
      <c r="E2753">
        <f>IF(
  ISNA(
    _xlfn.XLOOKUP(
      payments_raw[[#This Row],[subscription_id]],
      subscriptions[subscription_id],
      subscriptions[subscription_id]
    )
  ),
  0,
  1
)</f>
        <v>1</v>
      </c>
      <c r="F2753" s="1">
        <f>_xlfn.XLOOKUP(payments_raw[[#This Row],[subscription_id]], subscriptions[subscription_id], subscriptions[start_date])</f>
        <v>44862</v>
      </c>
      <c r="G27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3" s="2">
        <f>IF(payments_raw[[#This Row],[payment_date]] &lt; payments_raw[[#This Row],[sub_start_date]], 1, 0)</f>
        <v>0</v>
      </c>
      <c r="I2753" s="2">
        <f>IF(AND(payments_raw[[#This Row],[sub_end_date]]&lt;&gt;"", payments_raw[[#This Row],[payment_date]] &gt; payments_raw[[#This Row],[sub_end_date]]), 1, 0)</f>
        <v>0</v>
      </c>
      <c r="J2753" s="2">
        <f>IF(payments_raw[[#This Row],[amount]] &lt;= 0, 1, 0)</f>
        <v>0</v>
      </c>
      <c r="K27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4" spans="1:11" x14ac:dyDescent="0.3">
      <c r="A2754">
        <v>36058996</v>
      </c>
      <c r="B2754">
        <v>9548795</v>
      </c>
      <c r="C2754" s="1">
        <v>45559</v>
      </c>
      <c r="D2754">
        <v>790</v>
      </c>
      <c r="E2754">
        <f>IF(
  ISNA(
    _xlfn.XLOOKUP(
      payments_raw[[#This Row],[subscription_id]],
      subscriptions[subscription_id],
      subscriptions[subscription_id]
    )
  ),
  0,
  1
)</f>
        <v>1</v>
      </c>
      <c r="F2754" s="1">
        <f>_xlfn.XLOOKUP(payments_raw[[#This Row],[subscription_id]], subscriptions[subscription_id], subscriptions[start_date])</f>
        <v>45525</v>
      </c>
      <c r="G27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4" s="2">
        <f>IF(payments_raw[[#This Row],[payment_date]] &lt; payments_raw[[#This Row],[sub_start_date]], 1, 0)</f>
        <v>0</v>
      </c>
      <c r="I2754" s="2">
        <f>IF(AND(payments_raw[[#This Row],[sub_end_date]]&lt;&gt;"", payments_raw[[#This Row],[payment_date]] &gt; payments_raw[[#This Row],[sub_end_date]]), 1, 0)</f>
        <v>0</v>
      </c>
      <c r="J2754" s="2">
        <f>IF(payments_raw[[#This Row],[amount]] &lt;= 0, 1, 0)</f>
        <v>0</v>
      </c>
      <c r="K27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5" spans="1:11" x14ac:dyDescent="0.3">
      <c r="A2755">
        <v>63051082</v>
      </c>
      <c r="B2755">
        <v>3760410</v>
      </c>
      <c r="C2755" s="1">
        <v>45158</v>
      </c>
      <c r="D2755">
        <v>390</v>
      </c>
      <c r="E2755">
        <f>IF(
  ISNA(
    _xlfn.XLOOKUP(
      payments_raw[[#This Row],[subscription_id]],
      subscriptions[subscription_id],
      subscriptions[subscription_id]
    )
  ),
  0,
  1
)</f>
        <v>1</v>
      </c>
      <c r="F2755" s="1">
        <f>_xlfn.XLOOKUP(payments_raw[[#This Row],[subscription_id]], subscriptions[subscription_id], subscriptions[start_date])</f>
        <v>44968</v>
      </c>
      <c r="G27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5" s="2">
        <f>IF(payments_raw[[#This Row],[payment_date]] &lt; payments_raw[[#This Row],[sub_start_date]], 1, 0)</f>
        <v>0</v>
      </c>
      <c r="I2755" s="2">
        <f>IF(AND(payments_raw[[#This Row],[sub_end_date]]&lt;&gt;"", payments_raw[[#This Row],[payment_date]] &gt; payments_raw[[#This Row],[sub_end_date]]), 1, 0)</f>
        <v>0</v>
      </c>
      <c r="J2755" s="2">
        <f>IF(payments_raw[[#This Row],[amount]] &lt;= 0, 1, 0)</f>
        <v>0</v>
      </c>
      <c r="K27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6" spans="1:11" x14ac:dyDescent="0.3">
      <c r="A2756">
        <v>26313047</v>
      </c>
      <c r="B2756">
        <v>3455003</v>
      </c>
      <c r="C2756" s="1">
        <v>45424</v>
      </c>
      <c r="D2756">
        <v>79</v>
      </c>
      <c r="E2756">
        <f>IF(
  ISNA(
    _xlfn.XLOOKUP(
      payments_raw[[#This Row],[subscription_id]],
      subscriptions[subscription_id],
      subscriptions[subscription_id]
    )
  ),
  0,
  1
)</f>
        <v>1</v>
      </c>
      <c r="F2756" s="1">
        <f>_xlfn.XLOOKUP(payments_raw[[#This Row],[subscription_id]], subscriptions[subscription_id], subscriptions[start_date])</f>
        <v>45024</v>
      </c>
      <c r="G27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6" s="2">
        <f>IF(payments_raw[[#This Row],[payment_date]] &lt; payments_raw[[#This Row],[sub_start_date]], 1, 0)</f>
        <v>0</v>
      </c>
      <c r="I2756" s="2">
        <f>IF(AND(payments_raw[[#This Row],[sub_end_date]]&lt;&gt;"", payments_raw[[#This Row],[payment_date]] &gt; payments_raw[[#This Row],[sub_end_date]]), 1, 0)</f>
        <v>0</v>
      </c>
      <c r="J2756" s="2">
        <f>IF(payments_raw[[#This Row],[amount]] &lt;= 0, 1, 0)</f>
        <v>0</v>
      </c>
      <c r="K27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7" spans="1:11" x14ac:dyDescent="0.3">
      <c r="A2757">
        <v>61600243</v>
      </c>
      <c r="B2757">
        <v>3400426</v>
      </c>
      <c r="C2757" s="1">
        <v>45643</v>
      </c>
      <c r="D2757">
        <v>39</v>
      </c>
      <c r="E2757">
        <f>IF(
  ISNA(
    _xlfn.XLOOKUP(
      payments_raw[[#This Row],[subscription_id]],
      subscriptions[subscription_id],
      subscriptions[subscription_id]
    )
  ),
  0,
  1
)</f>
        <v>1</v>
      </c>
      <c r="F2757" s="1">
        <f>_xlfn.XLOOKUP(payments_raw[[#This Row],[subscription_id]], subscriptions[subscription_id], subscriptions[start_date])</f>
        <v>45335</v>
      </c>
      <c r="G27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2757" s="2">
        <f>IF(payments_raw[[#This Row],[payment_date]] &lt; payments_raw[[#This Row],[sub_start_date]], 1, 0)</f>
        <v>0</v>
      </c>
      <c r="I2757" s="2">
        <f>IF(AND(payments_raw[[#This Row],[sub_end_date]]&lt;&gt;"", payments_raw[[#This Row],[payment_date]] &gt; payments_raw[[#This Row],[sub_end_date]]), 1, 0)</f>
        <v>0</v>
      </c>
      <c r="J2757" s="2">
        <f>IF(payments_raw[[#This Row],[amount]] &lt;= 0, 1, 0)</f>
        <v>0</v>
      </c>
      <c r="K27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8" spans="1:11" x14ac:dyDescent="0.3">
      <c r="A2758">
        <v>61328440</v>
      </c>
      <c r="B2758">
        <v>7277502</v>
      </c>
      <c r="C2758" s="1">
        <v>45206</v>
      </c>
      <c r="D2758">
        <v>1490</v>
      </c>
      <c r="E2758">
        <f>IF(
  ISNA(
    _xlfn.XLOOKUP(
      payments_raw[[#This Row],[subscription_id]],
      subscriptions[subscription_id],
      subscriptions[subscription_id]
    )
  ),
  0,
  1
)</f>
        <v>1</v>
      </c>
      <c r="F2758" s="1">
        <f>_xlfn.XLOOKUP(payments_raw[[#This Row],[subscription_id]], subscriptions[subscription_id], subscriptions[start_date])</f>
        <v>44924</v>
      </c>
      <c r="G27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45315</v>
      </c>
      <c r="H2758" s="2">
        <f>IF(payments_raw[[#This Row],[payment_date]] &lt; payments_raw[[#This Row],[sub_start_date]], 1, 0)</f>
        <v>0</v>
      </c>
      <c r="I2758" s="2">
        <f>IF(AND(payments_raw[[#This Row],[sub_end_date]]&lt;&gt;"", payments_raw[[#This Row],[payment_date]] &gt; payments_raw[[#This Row],[sub_end_date]]), 1, 0)</f>
        <v>0</v>
      </c>
      <c r="J2758" s="2">
        <f>IF(payments_raw[[#This Row],[amount]] &lt;= 0, 1, 0)</f>
        <v>0</v>
      </c>
      <c r="K27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59" spans="1:11" x14ac:dyDescent="0.3">
      <c r="A2759">
        <v>71188911</v>
      </c>
      <c r="B2759">
        <v>4860680</v>
      </c>
      <c r="C2759" s="1">
        <v>45481</v>
      </c>
      <c r="D2759">
        <v>2990</v>
      </c>
      <c r="E2759">
        <f>IF(
  ISNA(
    _xlfn.XLOOKUP(
      payments_raw[[#This Row],[subscription_id]],
      subscriptions[subscription_id],
      subscriptions[subscription_id]
    )
  ),
  0,
  1
)</f>
        <v>1</v>
      </c>
      <c r="F2759" s="1">
        <f>_xlfn.XLOOKUP(payments_raw[[#This Row],[subscription_id]], subscriptions[subscription_id], subscriptions[start_date])</f>
        <v>45349</v>
      </c>
      <c r="G27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59" s="2">
        <f>IF(payments_raw[[#This Row],[payment_date]] &lt; payments_raw[[#This Row],[sub_start_date]], 1, 0)</f>
        <v>0</v>
      </c>
      <c r="I2759" s="2">
        <f>IF(AND(payments_raw[[#This Row],[sub_end_date]]&lt;&gt;"", payments_raw[[#This Row],[payment_date]] &gt; payments_raw[[#This Row],[sub_end_date]]), 1, 0)</f>
        <v>0</v>
      </c>
      <c r="J2759" s="2">
        <f>IF(payments_raw[[#This Row],[amount]] &lt;= 0, 1, 0)</f>
        <v>0</v>
      </c>
      <c r="K27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0" spans="1:11" x14ac:dyDescent="0.3">
      <c r="A2760">
        <v>73372216</v>
      </c>
      <c r="B2760">
        <v>1250625</v>
      </c>
      <c r="C2760" s="1">
        <v>45278</v>
      </c>
      <c r="D2760">
        <v>19</v>
      </c>
      <c r="E2760">
        <f>IF(
  ISNA(
    _xlfn.XLOOKUP(
      payments_raw[[#This Row],[subscription_id]],
      subscriptions[subscription_id],
      subscriptions[subscription_id]
    )
  ),
  0,
  1
)</f>
        <v>1</v>
      </c>
      <c r="F2760" s="1">
        <f>_xlfn.XLOOKUP(payments_raw[[#This Row],[subscription_id]], subscriptions[subscription_id], subscriptions[start_date])</f>
        <v>45276</v>
      </c>
      <c r="G27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45353</v>
      </c>
      <c r="H2760" s="2">
        <f>IF(payments_raw[[#This Row],[payment_date]] &lt; payments_raw[[#This Row],[sub_start_date]], 1, 0)</f>
        <v>0</v>
      </c>
      <c r="I2760" s="2">
        <f>IF(AND(payments_raw[[#This Row],[sub_end_date]]&lt;&gt;"", payments_raw[[#This Row],[payment_date]] &gt; payments_raw[[#This Row],[sub_end_date]]), 1, 0)</f>
        <v>0</v>
      </c>
      <c r="J2760" s="2">
        <f>IF(payments_raw[[#This Row],[amount]] &lt;= 0, 1, 0)</f>
        <v>0</v>
      </c>
      <c r="K27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1" spans="1:11" x14ac:dyDescent="0.3">
      <c r="A2761">
        <v>69389198</v>
      </c>
      <c r="B2761">
        <v>8539737</v>
      </c>
      <c r="C2761" s="1">
        <v>45086</v>
      </c>
      <c r="D2761">
        <v>269.10000000000002</v>
      </c>
      <c r="E2761">
        <f>IF(
  ISNA(
    _xlfn.XLOOKUP(
      payments_raw[[#This Row],[subscription_id]],
      subscriptions[subscription_id],
      subscriptions[subscription_id]
    )
  ),
  0,
  1
)</f>
        <v>1</v>
      </c>
      <c r="F2761" s="1">
        <f>_xlfn.XLOOKUP(payments_raw[[#This Row],[subscription_id]], subscriptions[subscription_id], subscriptions[start_date])</f>
        <v>44904</v>
      </c>
      <c r="G27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45195</v>
      </c>
      <c r="H2761" s="2">
        <f>IF(payments_raw[[#This Row],[payment_date]] &lt; payments_raw[[#This Row],[sub_start_date]], 1, 0)</f>
        <v>0</v>
      </c>
      <c r="I2761" s="2">
        <f>IF(AND(payments_raw[[#This Row],[sub_end_date]]&lt;&gt;"", payments_raw[[#This Row],[payment_date]] &gt; payments_raw[[#This Row],[sub_end_date]]), 1, 0)</f>
        <v>0</v>
      </c>
      <c r="J2761" s="2">
        <f>IF(payments_raw[[#This Row],[amount]] &lt;= 0, 1, 0)</f>
        <v>0</v>
      </c>
      <c r="K27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2" spans="1:11" x14ac:dyDescent="0.3">
      <c r="A2762">
        <v>25890596</v>
      </c>
      <c r="B2762">
        <v>7232368</v>
      </c>
      <c r="C2762" s="1">
        <v>45492</v>
      </c>
      <c r="D2762">
        <v>390</v>
      </c>
      <c r="E2762">
        <f>IF(
  ISNA(
    _xlfn.XLOOKUP(
      payments_raw[[#This Row],[subscription_id]],
      subscriptions[subscription_id],
      subscriptions[subscription_id]
    )
  ),
  0,
  1
)</f>
        <v>1</v>
      </c>
      <c r="F2762" s="1">
        <f>_xlfn.XLOOKUP(payments_raw[[#This Row],[subscription_id]], subscriptions[subscription_id], subscriptions[start_date])</f>
        <v>45430</v>
      </c>
      <c r="G27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2" s="2">
        <f>IF(payments_raw[[#This Row],[payment_date]] &lt; payments_raw[[#This Row],[sub_start_date]], 1, 0)</f>
        <v>0</v>
      </c>
      <c r="I2762" s="2">
        <f>IF(AND(payments_raw[[#This Row],[sub_end_date]]&lt;&gt;"", payments_raw[[#This Row],[payment_date]] &gt; payments_raw[[#This Row],[sub_end_date]]), 1, 0)</f>
        <v>0</v>
      </c>
      <c r="J2762" s="2">
        <f>IF(payments_raw[[#This Row],[amount]] &lt;= 0, 1, 0)</f>
        <v>0</v>
      </c>
      <c r="K27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3" spans="1:11" x14ac:dyDescent="0.3">
      <c r="A2763">
        <v>58946134</v>
      </c>
      <c r="B2763">
        <v>3886829</v>
      </c>
      <c r="C2763" s="1">
        <v>45535</v>
      </c>
      <c r="D2763">
        <v>299</v>
      </c>
      <c r="E2763">
        <f>IF(
  ISNA(
    _xlfn.XLOOKUP(
      payments_raw[[#This Row],[subscription_id]],
      subscriptions[subscription_id],
      subscriptions[subscription_id]
    )
  ),
  0,
  1
)</f>
        <v>1</v>
      </c>
      <c r="F2763" s="1">
        <f>_xlfn.XLOOKUP(payments_raw[[#This Row],[subscription_id]], subscriptions[subscription_id], subscriptions[start_date])</f>
        <v>45179</v>
      </c>
      <c r="G27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3" s="2">
        <f>IF(payments_raw[[#This Row],[payment_date]] &lt; payments_raw[[#This Row],[sub_start_date]], 1, 0)</f>
        <v>0</v>
      </c>
      <c r="I2763" s="2">
        <f>IF(AND(payments_raw[[#This Row],[sub_end_date]]&lt;&gt;"", payments_raw[[#This Row],[payment_date]] &gt; payments_raw[[#This Row],[sub_end_date]]), 1, 0)</f>
        <v>0</v>
      </c>
      <c r="J2763" s="2">
        <f>IF(payments_raw[[#This Row],[amount]] &lt;= 0, 1, 0)</f>
        <v>0</v>
      </c>
      <c r="K27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4" spans="1:11" x14ac:dyDescent="0.3">
      <c r="A2764">
        <v>29063958</v>
      </c>
      <c r="B2764">
        <v>7416570</v>
      </c>
      <c r="C2764" s="1">
        <v>45373</v>
      </c>
      <c r="D2764">
        <v>1490</v>
      </c>
      <c r="E2764">
        <f>IF(
  ISNA(
    _xlfn.XLOOKUP(
      payments_raw[[#This Row],[subscription_id]],
      subscriptions[subscription_id],
      subscriptions[subscription_id]
    )
  ),
  0,
  1
)</f>
        <v>1</v>
      </c>
      <c r="F2764" s="1">
        <f>_xlfn.XLOOKUP(payments_raw[[#This Row],[subscription_id]], subscriptions[subscription_id], subscriptions[start_date])</f>
        <v>45328</v>
      </c>
      <c r="G27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4" s="2">
        <f>IF(payments_raw[[#This Row],[payment_date]] &lt; payments_raw[[#This Row],[sub_start_date]], 1, 0)</f>
        <v>0</v>
      </c>
      <c r="I2764" s="2">
        <f>IF(AND(payments_raw[[#This Row],[sub_end_date]]&lt;&gt;"", payments_raw[[#This Row],[payment_date]] &gt; payments_raw[[#This Row],[sub_end_date]]), 1, 0)</f>
        <v>0</v>
      </c>
      <c r="J2764" s="2">
        <f>IF(payments_raw[[#This Row],[amount]] &lt;= 0, 1, 0)</f>
        <v>0</v>
      </c>
      <c r="K27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5" spans="1:11" x14ac:dyDescent="0.3">
      <c r="A2765">
        <v>25494104</v>
      </c>
      <c r="B2765">
        <v>2003047</v>
      </c>
      <c r="C2765" s="1">
        <v>45187</v>
      </c>
      <c r="D2765">
        <v>390</v>
      </c>
      <c r="E2765">
        <f>IF(
  ISNA(
    _xlfn.XLOOKUP(
      payments_raw[[#This Row],[subscription_id]],
      subscriptions[subscription_id],
      subscriptions[subscription_id]
    )
  ),
  0,
  1
)</f>
        <v>1</v>
      </c>
      <c r="F2765" s="1">
        <f>_xlfn.XLOOKUP(payments_raw[[#This Row],[subscription_id]], subscriptions[subscription_id], subscriptions[start_date])</f>
        <v>45161</v>
      </c>
      <c r="G27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45211</v>
      </c>
      <c r="H2765" s="2">
        <f>IF(payments_raw[[#This Row],[payment_date]] &lt; payments_raw[[#This Row],[sub_start_date]], 1, 0)</f>
        <v>0</v>
      </c>
      <c r="I2765" s="2">
        <f>IF(AND(payments_raw[[#This Row],[sub_end_date]]&lt;&gt;"", payments_raw[[#This Row],[payment_date]] &gt; payments_raw[[#This Row],[sub_end_date]]), 1, 0)</f>
        <v>0</v>
      </c>
      <c r="J2765" s="2">
        <f>IF(payments_raw[[#This Row],[amount]] &lt;= 0, 1, 0)</f>
        <v>0</v>
      </c>
      <c r="K27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6" spans="1:11" x14ac:dyDescent="0.3">
      <c r="A2766">
        <v>29487289</v>
      </c>
      <c r="B2766">
        <v>3377099</v>
      </c>
      <c r="C2766" s="1">
        <v>45451</v>
      </c>
      <c r="D2766">
        <v>292.5</v>
      </c>
      <c r="E2766">
        <f>IF(
  ISNA(
    _xlfn.XLOOKUP(
      payments_raw[[#This Row],[subscription_id]],
      subscriptions[subscription_id],
      subscriptions[subscription_id]
    )
  ),
  0,
  1
)</f>
        <v>1</v>
      </c>
      <c r="F2766" s="1">
        <f>_xlfn.XLOOKUP(payments_raw[[#This Row],[subscription_id]], subscriptions[subscription_id], subscriptions[start_date])</f>
        <v>45054</v>
      </c>
      <c r="G27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6" s="2">
        <f>IF(payments_raw[[#This Row],[payment_date]] &lt; payments_raw[[#This Row],[sub_start_date]], 1, 0)</f>
        <v>0</v>
      </c>
      <c r="I2766" s="2">
        <f>IF(AND(payments_raw[[#This Row],[sub_end_date]]&lt;&gt;"", payments_raw[[#This Row],[payment_date]] &gt; payments_raw[[#This Row],[sub_end_date]]), 1, 0)</f>
        <v>0</v>
      </c>
      <c r="J2766" s="2">
        <f>IF(payments_raw[[#This Row],[amount]] &lt;= 0, 1, 0)</f>
        <v>0</v>
      </c>
      <c r="K27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7" spans="1:11" x14ac:dyDescent="0.3">
      <c r="A2767">
        <v>11294689</v>
      </c>
      <c r="B2767">
        <v>9165219</v>
      </c>
      <c r="C2767" s="1">
        <v>45320</v>
      </c>
      <c r="D2767">
        <v>19</v>
      </c>
      <c r="E2767">
        <f>IF(
  ISNA(
    _xlfn.XLOOKUP(
      payments_raw[[#This Row],[subscription_id]],
      subscriptions[subscription_id],
      subscriptions[subscription_id]
    )
  ),
  0,
  1
)</f>
        <v>1</v>
      </c>
      <c r="F2767" s="1">
        <f>_xlfn.XLOOKUP(payments_raw[[#This Row],[subscription_id]], subscriptions[subscription_id], subscriptions[start_date])</f>
        <v>45209</v>
      </c>
      <c r="G276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45552</v>
      </c>
      <c r="H2767" s="2">
        <f>IF(payments_raw[[#This Row],[payment_date]] &lt; payments_raw[[#This Row],[sub_start_date]], 1, 0)</f>
        <v>0</v>
      </c>
      <c r="I2767" s="2">
        <f>IF(AND(payments_raw[[#This Row],[sub_end_date]]&lt;&gt;"", payments_raw[[#This Row],[payment_date]] &gt; payments_raw[[#This Row],[sub_end_date]]), 1, 0)</f>
        <v>0</v>
      </c>
      <c r="J2767" s="2">
        <f>IF(payments_raw[[#This Row],[amount]] &lt;= 0, 1, 0)</f>
        <v>0</v>
      </c>
      <c r="K27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8" spans="1:11" x14ac:dyDescent="0.3">
      <c r="A2768">
        <v>16230475</v>
      </c>
      <c r="B2768">
        <v>2798071</v>
      </c>
      <c r="C2768" s="1">
        <v>45619</v>
      </c>
      <c r="D2768">
        <v>2990</v>
      </c>
      <c r="E2768">
        <f>IF(
  ISNA(
    _xlfn.XLOOKUP(
      payments_raw[[#This Row],[subscription_id]],
      subscriptions[subscription_id],
      subscriptions[subscription_id]
    )
  ),
  0,
  1
)</f>
        <v>1</v>
      </c>
      <c r="F2768" s="1">
        <f>_xlfn.XLOOKUP(payments_raw[[#This Row],[subscription_id]], subscriptions[subscription_id], subscriptions[start_date])</f>
        <v>44787</v>
      </c>
      <c r="G27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8" s="2">
        <f>IF(payments_raw[[#This Row],[payment_date]] &lt; payments_raw[[#This Row],[sub_start_date]], 1, 0)</f>
        <v>0</v>
      </c>
      <c r="I2768" s="2">
        <f>IF(AND(payments_raw[[#This Row],[sub_end_date]]&lt;&gt;"", payments_raw[[#This Row],[payment_date]] &gt; payments_raw[[#This Row],[sub_end_date]]), 1, 0)</f>
        <v>0</v>
      </c>
      <c r="J2768" s="2">
        <f>IF(payments_raw[[#This Row],[amount]] &lt;= 0, 1, 0)</f>
        <v>0</v>
      </c>
      <c r="K27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69" spans="1:11" x14ac:dyDescent="0.3">
      <c r="A2769">
        <v>44631884</v>
      </c>
      <c r="B2769">
        <v>1875589</v>
      </c>
      <c r="C2769" s="1">
        <v>45642</v>
      </c>
      <c r="D2769">
        <v>790</v>
      </c>
      <c r="E2769">
        <f>IF(
  ISNA(
    _xlfn.XLOOKUP(
      payments_raw[[#This Row],[subscription_id]],
      subscriptions[subscription_id],
      subscriptions[subscription_id]
    )
  ),
  0,
  1
)</f>
        <v>1</v>
      </c>
      <c r="F2769" s="1">
        <f>_xlfn.XLOOKUP(payments_raw[[#This Row],[subscription_id]], subscriptions[subscription_id], subscriptions[start_date])</f>
        <v>44842</v>
      </c>
      <c r="G27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69" s="2">
        <f>IF(payments_raw[[#This Row],[payment_date]] &lt; payments_raw[[#This Row],[sub_start_date]], 1, 0)</f>
        <v>0</v>
      </c>
      <c r="I2769" s="2">
        <f>IF(AND(payments_raw[[#This Row],[sub_end_date]]&lt;&gt;"", payments_raw[[#This Row],[payment_date]] &gt; payments_raw[[#This Row],[sub_end_date]]), 1, 0)</f>
        <v>0</v>
      </c>
      <c r="J2769" s="2">
        <f>IF(payments_raw[[#This Row],[amount]] &lt;= 0, 1, 0)</f>
        <v>0</v>
      </c>
      <c r="K27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0" spans="1:11" x14ac:dyDescent="0.3">
      <c r="A2770">
        <v>38438227</v>
      </c>
      <c r="B2770">
        <v>5968479</v>
      </c>
      <c r="C2770" s="1">
        <v>44840</v>
      </c>
      <c r="D2770">
        <v>1490</v>
      </c>
      <c r="E2770">
        <f>IF(
  ISNA(
    _xlfn.XLOOKUP(
      payments_raw[[#This Row],[subscription_id]],
      subscriptions[subscription_id],
      subscriptions[subscription_id]
    )
  ),
  0,
  1
)</f>
        <v>1</v>
      </c>
      <c r="F2770" s="1">
        <f>_xlfn.XLOOKUP(payments_raw[[#This Row],[subscription_id]], subscriptions[subscription_id], subscriptions[start_date])</f>
        <v>44610</v>
      </c>
      <c r="G27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0" s="2">
        <f>IF(payments_raw[[#This Row],[payment_date]] &lt; payments_raw[[#This Row],[sub_start_date]], 1, 0)</f>
        <v>0</v>
      </c>
      <c r="I2770" s="2">
        <f>IF(AND(payments_raw[[#This Row],[sub_end_date]]&lt;&gt;"", payments_raw[[#This Row],[payment_date]] &gt; payments_raw[[#This Row],[sub_end_date]]), 1, 0)</f>
        <v>0</v>
      </c>
      <c r="J2770" s="2">
        <f>IF(payments_raw[[#This Row],[amount]] &lt;= 0, 1, 0)</f>
        <v>0</v>
      </c>
      <c r="K27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1" spans="1:11" x14ac:dyDescent="0.3">
      <c r="A2771">
        <v>39813970</v>
      </c>
      <c r="B2771">
        <v>3371985</v>
      </c>
      <c r="C2771" s="1">
        <v>45122</v>
      </c>
      <c r="D2771">
        <v>2990</v>
      </c>
      <c r="E2771">
        <f>IF(
  ISNA(
    _xlfn.XLOOKUP(
      payments_raw[[#This Row],[subscription_id]],
      subscriptions[subscription_id],
      subscriptions[subscription_id]
    )
  ),
  0,
  1
)</f>
        <v>1</v>
      </c>
      <c r="F2771" s="1">
        <f>_xlfn.XLOOKUP(payments_raw[[#This Row],[subscription_id]], subscriptions[subscription_id], subscriptions[start_date])</f>
        <v>45052</v>
      </c>
      <c r="G27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45333</v>
      </c>
      <c r="H2771" s="2">
        <f>IF(payments_raw[[#This Row],[payment_date]] &lt; payments_raw[[#This Row],[sub_start_date]], 1, 0)</f>
        <v>0</v>
      </c>
      <c r="I2771" s="2">
        <f>IF(AND(payments_raw[[#This Row],[sub_end_date]]&lt;&gt;"", payments_raw[[#This Row],[payment_date]] &gt; payments_raw[[#This Row],[sub_end_date]]), 1, 0)</f>
        <v>0</v>
      </c>
      <c r="J2771" s="2">
        <f>IF(payments_raw[[#This Row],[amount]] &lt;= 0, 1, 0)</f>
        <v>0</v>
      </c>
      <c r="K27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2" spans="1:11" x14ac:dyDescent="0.3">
      <c r="A2772">
        <v>49303639</v>
      </c>
      <c r="B2772">
        <v>4930952</v>
      </c>
      <c r="C2772" s="1">
        <v>45297</v>
      </c>
      <c r="D2772">
        <v>74.5</v>
      </c>
      <c r="E2772">
        <f>IF(
  ISNA(
    _xlfn.XLOOKUP(
      payments_raw[[#This Row],[subscription_id]],
      subscriptions[subscription_id],
      subscriptions[subscription_id]
    )
  ),
  0,
  1
)</f>
        <v>1</v>
      </c>
      <c r="F2772" s="1">
        <f>_xlfn.XLOOKUP(payments_raw[[#This Row],[subscription_id]], subscriptions[subscription_id], subscriptions[start_date])</f>
        <v>44782</v>
      </c>
      <c r="G27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2" s="2">
        <f>IF(payments_raw[[#This Row],[payment_date]] &lt; payments_raw[[#This Row],[sub_start_date]], 1, 0)</f>
        <v>0</v>
      </c>
      <c r="I2772" s="2">
        <f>IF(AND(payments_raw[[#This Row],[sub_end_date]]&lt;&gt;"", payments_raw[[#This Row],[payment_date]] &gt; payments_raw[[#This Row],[sub_end_date]]), 1, 0)</f>
        <v>0</v>
      </c>
      <c r="J2772" s="2">
        <f>IF(payments_raw[[#This Row],[amount]] &lt;= 0, 1, 0)</f>
        <v>0</v>
      </c>
      <c r="K27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3" spans="1:11" x14ac:dyDescent="0.3">
      <c r="A2773">
        <v>11371557</v>
      </c>
      <c r="B2773">
        <v>5832995</v>
      </c>
      <c r="C2773" s="1">
        <v>45023</v>
      </c>
      <c r="D2773">
        <v>39</v>
      </c>
      <c r="E2773">
        <f>IF(
  ISNA(
    _xlfn.XLOOKUP(
      payments_raw[[#This Row],[subscription_id]],
      subscriptions[subscription_id],
      subscriptions[subscription_id]
    )
  ),
  0,
  1
)</f>
        <v>1</v>
      </c>
      <c r="F2773" s="1">
        <f>_xlfn.XLOOKUP(payments_raw[[#This Row],[subscription_id]], subscriptions[subscription_id], subscriptions[start_date])</f>
        <v>44715</v>
      </c>
      <c r="G27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3" s="2">
        <f>IF(payments_raw[[#This Row],[payment_date]] &lt; payments_raw[[#This Row],[sub_start_date]], 1, 0)</f>
        <v>0</v>
      </c>
      <c r="I2773" s="2">
        <f>IF(AND(payments_raw[[#This Row],[sub_end_date]]&lt;&gt;"", payments_raw[[#This Row],[payment_date]] &gt; payments_raw[[#This Row],[sub_end_date]]), 1, 0)</f>
        <v>0</v>
      </c>
      <c r="J2773" s="2">
        <f>IF(payments_raw[[#This Row],[amount]] &lt;= 0, 1, 0)</f>
        <v>0</v>
      </c>
      <c r="K27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4" spans="1:11" x14ac:dyDescent="0.3">
      <c r="A2774">
        <v>67054128</v>
      </c>
      <c r="B2774">
        <v>8703978</v>
      </c>
      <c r="C2774" s="1">
        <v>45101</v>
      </c>
      <c r="D2774">
        <v>299</v>
      </c>
      <c r="E2774">
        <f>IF(
  ISNA(
    _xlfn.XLOOKUP(
      payments_raw[[#This Row],[subscription_id]],
      subscriptions[subscription_id],
      subscriptions[subscription_id]
    )
  ),
  0,
  1
)</f>
        <v>1</v>
      </c>
      <c r="F2774" s="1">
        <f>_xlfn.XLOOKUP(payments_raw[[#This Row],[subscription_id]], subscriptions[subscription_id], subscriptions[start_date])</f>
        <v>45063</v>
      </c>
      <c r="G27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45320</v>
      </c>
      <c r="H2774" s="2">
        <f>IF(payments_raw[[#This Row],[payment_date]] &lt; payments_raw[[#This Row],[sub_start_date]], 1, 0)</f>
        <v>0</v>
      </c>
      <c r="I2774" s="2">
        <f>IF(AND(payments_raw[[#This Row],[sub_end_date]]&lt;&gt;"", payments_raw[[#This Row],[payment_date]] &gt; payments_raw[[#This Row],[sub_end_date]]), 1, 0)</f>
        <v>0</v>
      </c>
      <c r="J2774" s="2">
        <f>IF(payments_raw[[#This Row],[amount]] &lt;= 0, 1, 0)</f>
        <v>0</v>
      </c>
      <c r="K27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5" spans="1:11" x14ac:dyDescent="0.3">
      <c r="A2775">
        <v>52465525</v>
      </c>
      <c r="B2775">
        <v>1660659</v>
      </c>
      <c r="C2775" s="1">
        <v>44956</v>
      </c>
      <c r="D2775">
        <v>9.5</v>
      </c>
      <c r="E2775">
        <f>IF(
  ISNA(
    _xlfn.XLOOKUP(
      payments_raw[[#This Row],[subscription_id]],
      subscriptions[subscription_id],
      subscriptions[subscription_id]
    )
  ),
  0,
  1
)</f>
        <v>1</v>
      </c>
      <c r="F2775" s="1">
        <f>_xlfn.XLOOKUP(payments_raw[[#This Row],[subscription_id]], subscriptions[subscription_id], subscriptions[start_date])</f>
        <v>44839</v>
      </c>
      <c r="G27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45111</v>
      </c>
      <c r="H2775" s="2">
        <f>IF(payments_raw[[#This Row],[payment_date]] &lt; payments_raw[[#This Row],[sub_start_date]], 1, 0)</f>
        <v>0</v>
      </c>
      <c r="I2775" s="2">
        <f>IF(AND(payments_raw[[#This Row],[sub_end_date]]&lt;&gt;"", payments_raw[[#This Row],[payment_date]] &gt; payments_raw[[#This Row],[sub_end_date]]), 1, 0)</f>
        <v>0</v>
      </c>
      <c r="J2775" s="2">
        <f>IF(payments_raw[[#This Row],[amount]] &lt;= 0, 1, 0)</f>
        <v>0</v>
      </c>
      <c r="K27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6" spans="1:11" x14ac:dyDescent="0.3">
      <c r="A2776">
        <v>59432517</v>
      </c>
      <c r="B2776">
        <v>2444438</v>
      </c>
      <c r="C2776" s="1">
        <v>45528</v>
      </c>
      <c r="D2776">
        <v>39</v>
      </c>
      <c r="E2776">
        <f>IF(
  ISNA(
    _xlfn.XLOOKUP(
      payments_raw[[#This Row],[subscription_id]],
      subscriptions[subscription_id],
      subscriptions[subscription_id]
    )
  ),
  0,
  1
)</f>
        <v>1</v>
      </c>
      <c r="F2776" s="1">
        <f>_xlfn.XLOOKUP(payments_raw[[#This Row],[subscription_id]], subscriptions[subscription_id], subscriptions[start_date])</f>
        <v>45510</v>
      </c>
      <c r="G27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6" s="2">
        <f>IF(payments_raw[[#This Row],[payment_date]] &lt; payments_raw[[#This Row],[sub_start_date]], 1, 0)</f>
        <v>0</v>
      </c>
      <c r="I2776" s="2">
        <f>IF(AND(payments_raw[[#This Row],[sub_end_date]]&lt;&gt;"", payments_raw[[#This Row],[payment_date]] &gt; payments_raw[[#This Row],[sub_end_date]]), 1, 0)</f>
        <v>0</v>
      </c>
      <c r="J2776" s="2">
        <f>IF(payments_raw[[#This Row],[amount]] &lt;= 0, 1, 0)</f>
        <v>0</v>
      </c>
      <c r="K27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7" spans="1:11" x14ac:dyDescent="0.3">
      <c r="A2777">
        <v>58953018</v>
      </c>
      <c r="B2777">
        <v>4006246</v>
      </c>
      <c r="C2777" s="1">
        <v>45645</v>
      </c>
      <c r="D2777">
        <v>19</v>
      </c>
      <c r="E2777">
        <f>IF(
  ISNA(
    _xlfn.XLOOKUP(
      payments_raw[[#This Row],[subscription_id]],
      subscriptions[subscription_id],
      subscriptions[subscription_id]
    )
  ),
  0,
  1
)</f>
        <v>1</v>
      </c>
      <c r="F2777" s="1">
        <f>_xlfn.XLOOKUP(payments_raw[[#This Row],[subscription_id]], subscriptions[subscription_id], subscriptions[start_date])</f>
        <v>45505</v>
      </c>
      <c r="G27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7" s="2">
        <f>IF(payments_raw[[#This Row],[payment_date]] &lt; payments_raw[[#This Row],[sub_start_date]], 1, 0)</f>
        <v>0</v>
      </c>
      <c r="I2777" s="2">
        <f>IF(AND(payments_raw[[#This Row],[sub_end_date]]&lt;&gt;"", payments_raw[[#This Row],[payment_date]] &gt; payments_raw[[#This Row],[sub_end_date]]), 1, 0)</f>
        <v>0</v>
      </c>
      <c r="J2777" s="2">
        <f>IF(payments_raw[[#This Row],[amount]] &lt;= 0, 1, 0)</f>
        <v>0</v>
      </c>
      <c r="K27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8" spans="1:11" x14ac:dyDescent="0.3">
      <c r="A2778">
        <v>49030736</v>
      </c>
      <c r="B2778">
        <v>2614070</v>
      </c>
      <c r="C2778" s="1">
        <v>45391</v>
      </c>
      <c r="D2778">
        <v>299</v>
      </c>
      <c r="E2778">
        <f>IF(
  ISNA(
    _xlfn.XLOOKUP(
      payments_raw[[#This Row],[subscription_id]],
      subscriptions[subscription_id],
      subscriptions[subscription_id]
    )
  ),
  0,
  1
)</f>
        <v>1</v>
      </c>
      <c r="F2778" s="1">
        <f>_xlfn.XLOOKUP(payments_raw[[#This Row],[subscription_id]], subscriptions[subscription_id], subscriptions[start_date])</f>
        <v>44978</v>
      </c>
      <c r="G27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8" s="2">
        <f>IF(payments_raw[[#This Row],[payment_date]] &lt; payments_raw[[#This Row],[sub_start_date]], 1, 0)</f>
        <v>0</v>
      </c>
      <c r="I2778" s="2">
        <f>IF(AND(payments_raw[[#This Row],[sub_end_date]]&lt;&gt;"", payments_raw[[#This Row],[payment_date]] &gt; payments_raw[[#This Row],[sub_end_date]]), 1, 0)</f>
        <v>0</v>
      </c>
      <c r="J2778" s="2">
        <f>IF(payments_raw[[#This Row],[amount]] &lt;= 0, 1, 0)</f>
        <v>0</v>
      </c>
      <c r="K27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79" spans="1:11" x14ac:dyDescent="0.3">
      <c r="A2779">
        <v>42892474</v>
      </c>
      <c r="B2779">
        <v>3939670</v>
      </c>
      <c r="C2779" s="1">
        <v>45273</v>
      </c>
      <c r="D2779">
        <v>39</v>
      </c>
      <c r="E2779">
        <f>IF(
  ISNA(
    _xlfn.XLOOKUP(
      payments_raw[[#This Row],[subscription_id]],
      subscriptions[subscription_id],
      subscriptions[subscription_id]
    )
  ),
  0,
  1
)</f>
        <v>1</v>
      </c>
      <c r="F2779" s="1">
        <f>_xlfn.XLOOKUP(payments_raw[[#This Row],[subscription_id]], subscriptions[subscription_id], subscriptions[start_date])</f>
        <v>45155</v>
      </c>
      <c r="G27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79" s="2">
        <f>IF(payments_raw[[#This Row],[payment_date]] &lt; payments_raw[[#This Row],[sub_start_date]], 1, 0)</f>
        <v>0</v>
      </c>
      <c r="I2779" s="2">
        <f>IF(AND(payments_raw[[#This Row],[sub_end_date]]&lt;&gt;"", payments_raw[[#This Row],[payment_date]] &gt; payments_raw[[#This Row],[sub_end_date]]), 1, 0)</f>
        <v>0</v>
      </c>
      <c r="J2779" s="2">
        <f>IF(payments_raw[[#This Row],[amount]] &lt;= 0, 1, 0)</f>
        <v>0</v>
      </c>
      <c r="K27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0" spans="1:11" x14ac:dyDescent="0.3">
      <c r="A2780">
        <v>92472027</v>
      </c>
      <c r="B2780">
        <v>4323637</v>
      </c>
      <c r="C2780" s="1">
        <v>44951</v>
      </c>
      <c r="D2780">
        <v>2990</v>
      </c>
      <c r="E2780">
        <f>IF(
  ISNA(
    _xlfn.XLOOKUP(
      payments_raw[[#This Row],[subscription_id]],
      subscriptions[subscription_id],
      subscriptions[subscription_id]
    )
  ),
  0,
  1
)</f>
        <v>1</v>
      </c>
      <c r="F2780" s="1">
        <f>_xlfn.XLOOKUP(payments_raw[[#This Row],[subscription_id]], subscriptions[subscription_id], subscriptions[start_date])</f>
        <v>44930</v>
      </c>
      <c r="G278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2780" s="2">
        <f>IF(payments_raw[[#This Row],[payment_date]] &lt; payments_raw[[#This Row],[sub_start_date]], 1, 0)</f>
        <v>0</v>
      </c>
      <c r="I2780" s="2">
        <f>IF(AND(payments_raw[[#This Row],[sub_end_date]]&lt;&gt;"", payments_raw[[#This Row],[payment_date]] &gt; payments_raw[[#This Row],[sub_end_date]]), 1, 0)</f>
        <v>0</v>
      </c>
      <c r="J2780" s="2">
        <f>IF(payments_raw[[#This Row],[amount]] &lt;= 0, 1, 0)</f>
        <v>0</v>
      </c>
      <c r="K27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1" spans="1:11" x14ac:dyDescent="0.3">
      <c r="A2781">
        <v>83813122</v>
      </c>
      <c r="B2781">
        <v>3017925</v>
      </c>
      <c r="C2781" s="1">
        <v>45213</v>
      </c>
      <c r="D2781">
        <v>2242.5</v>
      </c>
      <c r="E2781">
        <f>IF(
  ISNA(
    _xlfn.XLOOKUP(
      payments_raw[[#This Row],[subscription_id]],
      subscriptions[subscription_id],
      subscriptions[subscription_id]
    )
  ),
  0,
  1
)</f>
        <v>1</v>
      </c>
      <c r="F2781" s="1">
        <f>_xlfn.XLOOKUP(payments_raw[[#This Row],[subscription_id]], subscriptions[subscription_id], subscriptions[start_date])</f>
        <v>45167</v>
      </c>
      <c r="G27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1" s="2">
        <f>IF(payments_raw[[#This Row],[payment_date]] &lt; payments_raw[[#This Row],[sub_start_date]], 1, 0)</f>
        <v>0</v>
      </c>
      <c r="I2781" s="2">
        <f>IF(AND(payments_raw[[#This Row],[sub_end_date]]&lt;&gt;"", payments_raw[[#This Row],[payment_date]] &gt; payments_raw[[#This Row],[sub_end_date]]), 1, 0)</f>
        <v>0</v>
      </c>
      <c r="J2781" s="2">
        <f>IF(payments_raw[[#This Row],[amount]] &lt;= 0, 1, 0)</f>
        <v>0</v>
      </c>
      <c r="K27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2" spans="1:11" x14ac:dyDescent="0.3">
      <c r="A2782">
        <v>12291899</v>
      </c>
      <c r="B2782">
        <v>2800796</v>
      </c>
      <c r="C2782" s="1">
        <v>45542</v>
      </c>
      <c r="D2782">
        <v>190</v>
      </c>
      <c r="E2782">
        <f>IF(
  ISNA(
    _xlfn.XLOOKUP(
      payments_raw[[#This Row],[subscription_id]],
      subscriptions[subscription_id],
      subscriptions[subscription_id]
    )
  ),
  0,
  1
)</f>
        <v>1</v>
      </c>
      <c r="F2782" s="1">
        <f>_xlfn.XLOOKUP(payments_raw[[#This Row],[subscription_id]], subscriptions[subscription_id], subscriptions[start_date])</f>
        <v>45512</v>
      </c>
      <c r="G27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2" s="2">
        <f>IF(payments_raw[[#This Row],[payment_date]] &lt; payments_raw[[#This Row],[sub_start_date]], 1, 0)</f>
        <v>0</v>
      </c>
      <c r="I2782" s="2">
        <f>IF(AND(payments_raw[[#This Row],[sub_end_date]]&lt;&gt;"", payments_raw[[#This Row],[payment_date]] &gt; payments_raw[[#This Row],[sub_end_date]]), 1, 0)</f>
        <v>0</v>
      </c>
      <c r="J2782" s="2">
        <f>IF(payments_raw[[#This Row],[amount]] &lt;= 0, 1, 0)</f>
        <v>0</v>
      </c>
      <c r="K27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3" spans="1:11" x14ac:dyDescent="0.3">
      <c r="A2783">
        <v>47062518</v>
      </c>
      <c r="B2783">
        <v>7100417</v>
      </c>
      <c r="C2783" s="1">
        <v>45531</v>
      </c>
      <c r="D2783">
        <v>390</v>
      </c>
      <c r="E2783">
        <f>IF(
  ISNA(
    _xlfn.XLOOKUP(
      payments_raw[[#This Row],[subscription_id]],
      subscriptions[subscription_id],
      subscriptions[subscription_id]
    )
  ),
  0,
  1
)</f>
        <v>1</v>
      </c>
      <c r="F2783" s="1">
        <f>_xlfn.XLOOKUP(payments_raw[[#This Row],[subscription_id]], subscriptions[subscription_id], subscriptions[start_date])</f>
        <v>45276</v>
      </c>
      <c r="G27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2783" s="2">
        <f>IF(payments_raw[[#This Row],[payment_date]] &lt; payments_raw[[#This Row],[sub_start_date]], 1, 0)</f>
        <v>0</v>
      </c>
      <c r="I2783" s="2">
        <f>IF(AND(payments_raw[[#This Row],[sub_end_date]]&lt;&gt;"", payments_raw[[#This Row],[payment_date]] &gt; payments_raw[[#This Row],[sub_end_date]]), 1, 0)</f>
        <v>0</v>
      </c>
      <c r="J2783" s="2">
        <f>IF(payments_raw[[#This Row],[amount]] &lt;= 0, 1, 0)</f>
        <v>0</v>
      </c>
      <c r="K27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4" spans="1:11" x14ac:dyDescent="0.3">
      <c r="A2784">
        <v>30866574</v>
      </c>
      <c r="B2784">
        <v>6875686</v>
      </c>
      <c r="C2784" s="1">
        <v>45393</v>
      </c>
      <c r="D2784">
        <v>299</v>
      </c>
      <c r="E2784">
        <f>IF(
  ISNA(
    _xlfn.XLOOKUP(
      payments_raw[[#This Row],[subscription_id]],
      subscriptions[subscription_id],
      subscriptions[subscription_id]
    )
  ),
  0,
  1
)</f>
        <v>1</v>
      </c>
      <c r="F2784" s="1">
        <f>_xlfn.XLOOKUP(payments_raw[[#This Row],[subscription_id]], subscriptions[subscription_id], subscriptions[start_date])</f>
        <v>45142</v>
      </c>
      <c r="G27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2784" s="2">
        <f>IF(payments_raw[[#This Row],[payment_date]] &lt; payments_raw[[#This Row],[sub_start_date]], 1, 0)</f>
        <v>0</v>
      </c>
      <c r="I2784" s="2">
        <f>IF(AND(payments_raw[[#This Row],[sub_end_date]]&lt;&gt;"", payments_raw[[#This Row],[payment_date]] &gt; payments_raw[[#This Row],[sub_end_date]]), 1, 0)</f>
        <v>0</v>
      </c>
      <c r="J2784" s="2">
        <f>IF(payments_raw[[#This Row],[amount]] &lt;= 0, 1, 0)</f>
        <v>0</v>
      </c>
      <c r="K27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5" spans="1:11" x14ac:dyDescent="0.3">
      <c r="A2785">
        <v>88545261</v>
      </c>
      <c r="B2785">
        <v>1733836</v>
      </c>
      <c r="C2785" s="1">
        <v>45638</v>
      </c>
      <c r="D2785">
        <v>19</v>
      </c>
      <c r="E2785">
        <f>IF(
  ISNA(
    _xlfn.XLOOKUP(
      payments_raw[[#This Row],[subscription_id]],
      subscriptions[subscription_id],
      subscriptions[subscription_id]
    )
  ),
  0,
  1
)</f>
        <v>1</v>
      </c>
      <c r="F2785" s="1">
        <f>_xlfn.XLOOKUP(payments_raw[[#This Row],[subscription_id]], subscriptions[subscription_id], subscriptions[start_date])</f>
        <v>44832</v>
      </c>
      <c r="G27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5" s="2">
        <f>IF(payments_raw[[#This Row],[payment_date]] &lt; payments_raw[[#This Row],[sub_start_date]], 1, 0)</f>
        <v>0</v>
      </c>
      <c r="I2785" s="2">
        <f>IF(AND(payments_raw[[#This Row],[sub_end_date]]&lt;&gt;"", payments_raw[[#This Row],[payment_date]] &gt; payments_raw[[#This Row],[sub_end_date]]), 1, 0)</f>
        <v>0</v>
      </c>
      <c r="J2785" s="2">
        <f>IF(payments_raw[[#This Row],[amount]] &lt;= 0, 1, 0)</f>
        <v>0</v>
      </c>
      <c r="K27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6" spans="1:11" x14ac:dyDescent="0.3">
      <c r="A2786">
        <v>26412074</v>
      </c>
      <c r="B2786">
        <v>7635829</v>
      </c>
      <c r="C2786" s="1">
        <v>45358</v>
      </c>
      <c r="D2786">
        <v>190</v>
      </c>
      <c r="E2786">
        <f>IF(
  ISNA(
    _xlfn.XLOOKUP(
      payments_raw[[#This Row],[subscription_id]],
      subscriptions[subscription_id],
      subscriptions[subscription_id]
    )
  ),
  0,
  1
)</f>
        <v>1</v>
      </c>
      <c r="F2786" s="1">
        <f>_xlfn.XLOOKUP(payments_raw[[#This Row],[subscription_id]], subscriptions[subscription_id], subscriptions[start_date])</f>
        <v>45031</v>
      </c>
      <c r="G27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6" s="2">
        <f>IF(payments_raw[[#This Row],[payment_date]] &lt; payments_raw[[#This Row],[sub_start_date]], 1, 0)</f>
        <v>0</v>
      </c>
      <c r="I2786" s="2">
        <f>IF(AND(payments_raw[[#This Row],[sub_end_date]]&lt;&gt;"", payments_raw[[#This Row],[payment_date]] &gt; payments_raw[[#This Row],[sub_end_date]]), 1, 0)</f>
        <v>0</v>
      </c>
      <c r="J2786" s="2">
        <f>IF(payments_raw[[#This Row],[amount]] &lt;= 0, 1, 0)</f>
        <v>0</v>
      </c>
      <c r="K27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7" spans="1:11" x14ac:dyDescent="0.3">
      <c r="A2787">
        <v>84062621</v>
      </c>
      <c r="B2787">
        <v>8379665</v>
      </c>
      <c r="C2787" s="1">
        <v>45337</v>
      </c>
      <c r="D2787">
        <v>299</v>
      </c>
      <c r="E2787">
        <f>IF(
  ISNA(
    _xlfn.XLOOKUP(
      payments_raw[[#This Row],[subscription_id]],
      subscriptions[subscription_id],
      subscriptions[subscription_id]
    )
  ),
  0,
  1
)</f>
        <v>1</v>
      </c>
      <c r="F2787" s="1">
        <f>_xlfn.XLOOKUP(payments_raw[[#This Row],[subscription_id]], subscriptions[subscription_id], subscriptions[start_date])</f>
        <v>45165</v>
      </c>
      <c r="G27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7" s="2">
        <f>IF(payments_raw[[#This Row],[payment_date]] &lt; payments_raw[[#This Row],[sub_start_date]], 1, 0)</f>
        <v>0</v>
      </c>
      <c r="I2787" s="2">
        <f>IF(AND(payments_raw[[#This Row],[sub_end_date]]&lt;&gt;"", payments_raw[[#This Row],[payment_date]] &gt; payments_raw[[#This Row],[sub_end_date]]), 1, 0)</f>
        <v>0</v>
      </c>
      <c r="J2787" s="2">
        <f>IF(payments_raw[[#This Row],[amount]] &lt;= 0, 1, 0)</f>
        <v>0</v>
      </c>
      <c r="K27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8" spans="1:11" x14ac:dyDescent="0.3">
      <c r="A2788">
        <v>24920594</v>
      </c>
      <c r="B2788">
        <v>2574505</v>
      </c>
      <c r="C2788" s="1">
        <v>45536</v>
      </c>
      <c r="D2788">
        <v>790</v>
      </c>
      <c r="E2788">
        <f>IF(
  ISNA(
    _xlfn.XLOOKUP(
      payments_raw[[#This Row],[subscription_id]],
      subscriptions[subscription_id],
      subscriptions[subscription_id]
    )
  ),
  0,
  1
)</f>
        <v>1</v>
      </c>
      <c r="F2788" s="1">
        <f>_xlfn.XLOOKUP(payments_raw[[#This Row],[subscription_id]], subscriptions[subscription_id], subscriptions[start_date])</f>
        <v>45501</v>
      </c>
      <c r="G27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8" s="2">
        <f>IF(payments_raw[[#This Row],[payment_date]] &lt; payments_raw[[#This Row],[sub_start_date]], 1, 0)</f>
        <v>0</v>
      </c>
      <c r="I2788" s="2">
        <f>IF(AND(payments_raw[[#This Row],[sub_end_date]]&lt;&gt;"", payments_raw[[#This Row],[payment_date]] &gt; payments_raw[[#This Row],[sub_end_date]]), 1, 0)</f>
        <v>0</v>
      </c>
      <c r="J2788" s="2">
        <f>IF(payments_raw[[#This Row],[amount]] &lt;= 0, 1, 0)</f>
        <v>0</v>
      </c>
      <c r="K27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89" spans="1:11" x14ac:dyDescent="0.3">
      <c r="A2789">
        <v>20248868</v>
      </c>
      <c r="B2789">
        <v>7905652</v>
      </c>
      <c r="C2789" s="1">
        <v>45203</v>
      </c>
      <c r="D2789">
        <v>149</v>
      </c>
      <c r="E2789">
        <f>IF(
  ISNA(
    _xlfn.XLOOKUP(
      payments_raw[[#This Row],[subscription_id]],
      subscriptions[subscription_id],
      subscriptions[subscription_id]
    )
  ),
  0,
  1
)</f>
        <v>1</v>
      </c>
      <c r="F2789" s="1">
        <f>_xlfn.XLOOKUP(payments_raw[[#This Row],[subscription_id]], subscriptions[subscription_id], subscriptions[start_date])</f>
        <v>44744</v>
      </c>
      <c r="G27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89" s="2">
        <f>IF(payments_raw[[#This Row],[payment_date]] &lt; payments_raw[[#This Row],[sub_start_date]], 1, 0)</f>
        <v>0</v>
      </c>
      <c r="I2789" s="2">
        <f>IF(AND(payments_raw[[#This Row],[sub_end_date]]&lt;&gt;"", payments_raw[[#This Row],[payment_date]] &gt; payments_raw[[#This Row],[sub_end_date]]), 1, 0)</f>
        <v>0</v>
      </c>
      <c r="J2789" s="2">
        <f>IF(payments_raw[[#This Row],[amount]] &lt;= 0, 1, 0)</f>
        <v>0</v>
      </c>
      <c r="K27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0" spans="1:11" x14ac:dyDescent="0.3">
      <c r="A2790">
        <v>54226861</v>
      </c>
      <c r="B2790">
        <v>3070908</v>
      </c>
      <c r="C2790" s="1">
        <v>45496</v>
      </c>
      <c r="D2790">
        <v>9.5</v>
      </c>
      <c r="E2790">
        <f>IF(
  ISNA(
    _xlfn.XLOOKUP(
      payments_raw[[#This Row],[subscription_id]],
      subscriptions[subscription_id],
      subscriptions[subscription_id]
    )
  ),
  0,
  1
)</f>
        <v>1</v>
      </c>
      <c r="F2790" s="1">
        <f>_xlfn.XLOOKUP(payments_raw[[#This Row],[subscription_id]], subscriptions[subscription_id], subscriptions[start_date])</f>
        <v>44670</v>
      </c>
      <c r="G27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0" s="2">
        <f>IF(payments_raw[[#This Row],[payment_date]] &lt; payments_raw[[#This Row],[sub_start_date]], 1, 0)</f>
        <v>0</v>
      </c>
      <c r="I2790" s="2">
        <f>IF(AND(payments_raw[[#This Row],[sub_end_date]]&lt;&gt;"", payments_raw[[#This Row],[payment_date]] &gt; payments_raw[[#This Row],[sub_end_date]]), 1, 0)</f>
        <v>0</v>
      </c>
      <c r="J2790" s="2">
        <f>IF(payments_raw[[#This Row],[amount]] &lt;= 0, 1, 0)</f>
        <v>0</v>
      </c>
      <c r="K27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1" spans="1:11" x14ac:dyDescent="0.3">
      <c r="A2791">
        <v>89493849</v>
      </c>
      <c r="B2791">
        <v>3017289</v>
      </c>
      <c r="C2791" s="1">
        <v>45500</v>
      </c>
      <c r="D2791">
        <v>299</v>
      </c>
      <c r="E2791">
        <f>IF(
  ISNA(
    _xlfn.XLOOKUP(
      payments_raw[[#This Row],[subscription_id]],
      subscriptions[subscription_id],
      subscriptions[subscription_id]
    )
  ),
  0,
  1
)</f>
        <v>1</v>
      </c>
      <c r="F2791" s="1">
        <f>_xlfn.XLOOKUP(payments_raw[[#This Row],[subscription_id]], subscriptions[subscription_id], subscriptions[start_date])</f>
        <v>45453</v>
      </c>
      <c r="G27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2791" s="2">
        <f>IF(payments_raw[[#This Row],[payment_date]] &lt; payments_raw[[#This Row],[sub_start_date]], 1, 0)</f>
        <v>0</v>
      </c>
      <c r="I2791" s="2">
        <f>IF(AND(payments_raw[[#This Row],[sub_end_date]]&lt;&gt;"", payments_raw[[#This Row],[payment_date]] &gt; payments_raw[[#This Row],[sub_end_date]]), 1, 0)</f>
        <v>0</v>
      </c>
      <c r="J2791" s="2">
        <f>IF(payments_raw[[#This Row],[amount]] &lt;= 0, 1, 0)</f>
        <v>0</v>
      </c>
      <c r="K27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2" spans="1:11" x14ac:dyDescent="0.3">
      <c r="A2792">
        <v>76806946</v>
      </c>
      <c r="B2792">
        <v>4937710</v>
      </c>
      <c r="C2792" s="1">
        <v>45476</v>
      </c>
      <c r="D2792">
        <v>224.25</v>
      </c>
      <c r="E2792">
        <f>IF(
  ISNA(
    _xlfn.XLOOKUP(
      payments_raw[[#This Row],[subscription_id]],
      subscriptions[subscription_id],
      subscriptions[subscription_id]
    )
  ),
  0,
  1
)</f>
        <v>1</v>
      </c>
      <c r="F2792" s="1">
        <f>_xlfn.XLOOKUP(payments_raw[[#This Row],[subscription_id]], subscriptions[subscription_id], subscriptions[start_date])</f>
        <v>45217</v>
      </c>
      <c r="G27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2" s="2">
        <f>IF(payments_raw[[#This Row],[payment_date]] &lt; payments_raw[[#This Row],[sub_start_date]], 1, 0)</f>
        <v>0</v>
      </c>
      <c r="I2792" s="2">
        <f>IF(AND(payments_raw[[#This Row],[sub_end_date]]&lt;&gt;"", payments_raw[[#This Row],[payment_date]] &gt; payments_raw[[#This Row],[sub_end_date]]), 1, 0)</f>
        <v>0</v>
      </c>
      <c r="J2792" s="2">
        <f>IF(payments_raw[[#This Row],[amount]] &lt;= 0, 1, 0)</f>
        <v>0</v>
      </c>
      <c r="K27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3" spans="1:11" x14ac:dyDescent="0.3">
      <c r="A2793">
        <v>44842564</v>
      </c>
      <c r="B2793">
        <v>4056507</v>
      </c>
      <c r="C2793" s="1">
        <v>45271</v>
      </c>
      <c r="D2793">
        <v>190</v>
      </c>
      <c r="E2793">
        <f>IF(
  ISNA(
    _xlfn.XLOOKUP(
      payments_raw[[#This Row],[subscription_id]],
      subscriptions[subscription_id],
      subscriptions[subscription_id]
    )
  ),
  0,
  1
)</f>
        <v>1</v>
      </c>
      <c r="F2793" s="1">
        <f>_xlfn.XLOOKUP(payments_raw[[#This Row],[subscription_id]], subscriptions[subscription_id], subscriptions[start_date])</f>
        <v>45113</v>
      </c>
      <c r="G27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3" s="2">
        <f>IF(payments_raw[[#This Row],[payment_date]] &lt; payments_raw[[#This Row],[sub_start_date]], 1, 0)</f>
        <v>0</v>
      </c>
      <c r="I2793" s="2">
        <f>IF(AND(payments_raw[[#This Row],[sub_end_date]]&lt;&gt;"", payments_raw[[#This Row],[payment_date]] &gt; payments_raw[[#This Row],[sub_end_date]]), 1, 0)</f>
        <v>0</v>
      </c>
      <c r="J2793" s="2">
        <f>IF(payments_raw[[#This Row],[amount]] &lt;= 0, 1, 0)</f>
        <v>0</v>
      </c>
      <c r="K27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4" spans="1:11" x14ac:dyDescent="0.3">
      <c r="A2794">
        <v>95831138</v>
      </c>
      <c r="B2794">
        <v>5599450</v>
      </c>
      <c r="C2794" s="1">
        <v>44872</v>
      </c>
      <c r="D2794">
        <v>390</v>
      </c>
      <c r="E2794">
        <f>IF(
  ISNA(
    _xlfn.XLOOKUP(
      payments_raw[[#This Row],[subscription_id]],
      subscriptions[subscription_id],
      subscriptions[subscription_id]
    )
  ),
  0,
  1
)</f>
        <v>1</v>
      </c>
      <c r="F2794" s="1">
        <f>_xlfn.XLOOKUP(payments_raw[[#This Row],[subscription_id]], subscriptions[subscription_id], subscriptions[start_date])</f>
        <v>44826</v>
      </c>
      <c r="G27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4" s="2">
        <f>IF(payments_raw[[#This Row],[payment_date]] &lt; payments_raw[[#This Row],[sub_start_date]], 1, 0)</f>
        <v>0</v>
      </c>
      <c r="I2794" s="2">
        <f>IF(AND(payments_raw[[#This Row],[sub_end_date]]&lt;&gt;"", payments_raw[[#This Row],[payment_date]] &gt; payments_raw[[#This Row],[sub_end_date]]), 1, 0)</f>
        <v>0</v>
      </c>
      <c r="J2794" s="2">
        <f>IF(payments_raw[[#This Row],[amount]] &lt;= 0, 1, 0)</f>
        <v>0</v>
      </c>
      <c r="K27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5" spans="1:11" x14ac:dyDescent="0.3">
      <c r="A2795">
        <v>90337084</v>
      </c>
      <c r="B2795">
        <v>7503423</v>
      </c>
      <c r="C2795" s="1">
        <v>45523</v>
      </c>
      <c r="D2795">
        <v>790</v>
      </c>
      <c r="E2795">
        <f>IF(
  ISNA(
    _xlfn.XLOOKUP(
      payments_raw[[#This Row],[subscription_id]],
      subscriptions[subscription_id],
      subscriptions[subscription_id]
    )
  ),
  0,
  1
)</f>
        <v>1</v>
      </c>
      <c r="F2795" s="1">
        <f>_xlfn.XLOOKUP(payments_raw[[#This Row],[subscription_id]], subscriptions[subscription_id], subscriptions[start_date])</f>
        <v>45051</v>
      </c>
      <c r="G27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5" s="2">
        <f>IF(payments_raw[[#This Row],[payment_date]] &lt; payments_raw[[#This Row],[sub_start_date]], 1, 0)</f>
        <v>0</v>
      </c>
      <c r="I2795" s="2">
        <f>IF(AND(payments_raw[[#This Row],[sub_end_date]]&lt;&gt;"", payments_raw[[#This Row],[payment_date]] &gt; payments_raw[[#This Row],[sub_end_date]]), 1, 0)</f>
        <v>0</v>
      </c>
      <c r="J2795" s="2">
        <f>IF(payments_raw[[#This Row],[amount]] &lt;= 0, 1, 0)</f>
        <v>0</v>
      </c>
      <c r="K27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6" spans="1:11" x14ac:dyDescent="0.3">
      <c r="A2796">
        <v>61452687</v>
      </c>
      <c r="B2796">
        <v>2410072</v>
      </c>
      <c r="C2796" s="1">
        <v>44774</v>
      </c>
      <c r="D2796">
        <v>19</v>
      </c>
      <c r="E2796">
        <f>IF(
  ISNA(
    _xlfn.XLOOKUP(
      payments_raw[[#This Row],[subscription_id]],
      subscriptions[subscription_id],
      subscriptions[subscription_id]
    )
  ),
  0,
  1
)</f>
        <v>1</v>
      </c>
      <c r="F2796" s="1">
        <f>_xlfn.XLOOKUP(payments_raw[[#This Row],[subscription_id]], subscriptions[subscription_id], subscriptions[start_date])</f>
        <v>44755</v>
      </c>
      <c r="G27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6" s="2">
        <f>IF(payments_raw[[#This Row],[payment_date]] &lt; payments_raw[[#This Row],[sub_start_date]], 1, 0)</f>
        <v>0</v>
      </c>
      <c r="I2796" s="2">
        <f>IF(AND(payments_raw[[#This Row],[sub_end_date]]&lt;&gt;"", payments_raw[[#This Row],[payment_date]] &gt; payments_raw[[#This Row],[sub_end_date]]), 1, 0)</f>
        <v>0</v>
      </c>
      <c r="J2796" s="2">
        <f>IF(payments_raw[[#This Row],[amount]] &lt;= 0, 1, 0)</f>
        <v>0</v>
      </c>
      <c r="K27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7" spans="1:11" x14ac:dyDescent="0.3">
      <c r="A2797">
        <v>49288049</v>
      </c>
      <c r="B2797">
        <v>7100417</v>
      </c>
      <c r="C2797" s="1">
        <v>45498</v>
      </c>
      <c r="D2797">
        <v>390</v>
      </c>
      <c r="E2797">
        <f>IF(
  ISNA(
    _xlfn.XLOOKUP(
      payments_raw[[#This Row],[subscription_id]],
      subscriptions[subscription_id],
      subscriptions[subscription_id]
    )
  ),
  0,
  1
)</f>
        <v>1</v>
      </c>
      <c r="F2797" s="1">
        <f>_xlfn.XLOOKUP(payments_raw[[#This Row],[subscription_id]], subscriptions[subscription_id], subscriptions[start_date])</f>
        <v>45276</v>
      </c>
      <c r="G27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45573</v>
      </c>
      <c r="H2797" s="2">
        <f>IF(payments_raw[[#This Row],[payment_date]] &lt; payments_raw[[#This Row],[sub_start_date]], 1, 0)</f>
        <v>0</v>
      </c>
      <c r="I2797" s="2">
        <f>IF(AND(payments_raw[[#This Row],[sub_end_date]]&lt;&gt;"", payments_raw[[#This Row],[payment_date]] &gt; payments_raw[[#This Row],[sub_end_date]]), 1, 0)</f>
        <v>0</v>
      </c>
      <c r="J2797" s="2">
        <f>IF(payments_raw[[#This Row],[amount]] &lt;= 0, 1, 0)</f>
        <v>0</v>
      </c>
      <c r="K27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8" spans="1:11" x14ac:dyDescent="0.3">
      <c r="A2798">
        <v>59635288</v>
      </c>
      <c r="B2798">
        <v>2834486</v>
      </c>
      <c r="C2798" s="1">
        <v>45580</v>
      </c>
      <c r="D2798">
        <v>790</v>
      </c>
      <c r="E2798">
        <f>IF(
  ISNA(
    _xlfn.XLOOKUP(
      payments_raw[[#This Row],[subscription_id]],
      subscriptions[subscription_id],
      subscriptions[subscription_id]
    )
  ),
  0,
  1
)</f>
        <v>1</v>
      </c>
      <c r="F2798" s="1">
        <f>_xlfn.XLOOKUP(payments_raw[[#This Row],[subscription_id]], subscriptions[subscription_id], subscriptions[start_date])</f>
        <v>44790</v>
      </c>
      <c r="G27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798" s="2">
        <f>IF(payments_raw[[#This Row],[payment_date]] &lt; payments_raw[[#This Row],[sub_start_date]], 1, 0)</f>
        <v>0</v>
      </c>
      <c r="I2798" s="2">
        <f>IF(AND(payments_raw[[#This Row],[sub_end_date]]&lt;&gt;"", payments_raw[[#This Row],[payment_date]] &gt; payments_raw[[#This Row],[sub_end_date]]), 1, 0)</f>
        <v>0</v>
      </c>
      <c r="J2798" s="2">
        <f>IF(payments_raw[[#This Row],[amount]] &lt;= 0, 1, 0)</f>
        <v>0</v>
      </c>
      <c r="K27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799" spans="1:11" x14ac:dyDescent="0.3">
      <c r="A2799">
        <v>72085897</v>
      </c>
      <c r="B2799">
        <v>3561918</v>
      </c>
      <c r="C2799" s="1">
        <v>45112</v>
      </c>
      <c r="D2799">
        <v>79</v>
      </c>
      <c r="E2799">
        <f>IF(
  ISNA(
    _xlfn.XLOOKUP(
      payments_raw[[#This Row],[subscription_id]],
      subscriptions[subscription_id],
      subscriptions[subscription_id]
    )
  ),
  0,
  1
)</f>
        <v>1</v>
      </c>
      <c r="F2799" s="1">
        <f>_xlfn.XLOOKUP(payments_raw[[#This Row],[subscription_id]], subscriptions[subscription_id], subscriptions[start_date])</f>
        <v>44993</v>
      </c>
      <c r="G27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2799" s="2">
        <f>IF(payments_raw[[#This Row],[payment_date]] &lt; payments_raw[[#This Row],[sub_start_date]], 1, 0)</f>
        <v>0</v>
      </c>
      <c r="I2799" s="2">
        <f>IF(AND(payments_raw[[#This Row],[sub_end_date]]&lt;&gt;"", payments_raw[[#This Row],[payment_date]] &gt; payments_raw[[#This Row],[sub_end_date]]), 1, 0)</f>
        <v>0</v>
      </c>
      <c r="J2799" s="2">
        <f>IF(payments_raw[[#This Row],[amount]] &lt;= 0, 1, 0)</f>
        <v>0</v>
      </c>
      <c r="K27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0" spans="1:11" x14ac:dyDescent="0.3">
      <c r="A2800">
        <v>58063777</v>
      </c>
      <c r="B2800">
        <v>6756692</v>
      </c>
      <c r="C2800" s="1">
        <v>45472</v>
      </c>
      <c r="D2800">
        <v>1490</v>
      </c>
      <c r="E2800">
        <f>IF(
  ISNA(
    _xlfn.XLOOKUP(
      payments_raw[[#This Row],[subscription_id]],
      subscriptions[subscription_id],
      subscriptions[subscription_id]
    )
  ),
  0,
  1
)</f>
        <v>1</v>
      </c>
      <c r="F2800" s="1">
        <f>_xlfn.XLOOKUP(payments_raw[[#This Row],[subscription_id]], subscriptions[subscription_id], subscriptions[start_date])</f>
        <v>45456</v>
      </c>
      <c r="G28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2800" s="2">
        <f>IF(payments_raw[[#This Row],[payment_date]] &lt; payments_raw[[#This Row],[sub_start_date]], 1, 0)</f>
        <v>0</v>
      </c>
      <c r="I2800" s="2">
        <f>IF(AND(payments_raw[[#This Row],[sub_end_date]]&lt;&gt;"", payments_raw[[#This Row],[payment_date]] &gt; payments_raw[[#This Row],[sub_end_date]]), 1, 0)</f>
        <v>0</v>
      </c>
      <c r="J2800" s="2">
        <f>IF(payments_raw[[#This Row],[amount]] &lt;= 0, 1, 0)</f>
        <v>0</v>
      </c>
      <c r="K28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1" spans="1:11" x14ac:dyDescent="0.3">
      <c r="A2801">
        <v>13666354</v>
      </c>
      <c r="B2801">
        <v>8317957</v>
      </c>
      <c r="C2801" s="1">
        <v>44752</v>
      </c>
      <c r="D2801">
        <v>2990</v>
      </c>
      <c r="E2801">
        <f>IF(
  ISNA(
    _xlfn.XLOOKUP(
      payments_raw[[#This Row],[subscription_id]],
      subscriptions[subscription_id],
      subscriptions[subscription_id]
    )
  ),
  0,
  1
)</f>
        <v>1</v>
      </c>
      <c r="F2801" s="1">
        <f>_xlfn.XLOOKUP(payments_raw[[#This Row],[subscription_id]], subscriptions[subscription_id], subscriptions[start_date])</f>
        <v>44694</v>
      </c>
      <c r="G280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44811</v>
      </c>
      <c r="H2801" s="2">
        <f>IF(payments_raw[[#This Row],[payment_date]] &lt; payments_raw[[#This Row],[sub_start_date]], 1, 0)</f>
        <v>0</v>
      </c>
      <c r="I2801" s="2">
        <f>IF(AND(payments_raw[[#This Row],[sub_end_date]]&lt;&gt;"", payments_raw[[#This Row],[payment_date]] &gt; payments_raw[[#This Row],[sub_end_date]]), 1, 0)</f>
        <v>0</v>
      </c>
      <c r="J2801" s="2">
        <f>IF(payments_raw[[#This Row],[amount]] &lt;= 0, 1, 0)</f>
        <v>0</v>
      </c>
      <c r="K28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2" spans="1:11" x14ac:dyDescent="0.3">
      <c r="A2802">
        <v>77114266</v>
      </c>
      <c r="B2802">
        <v>7697098</v>
      </c>
      <c r="C2802" s="1">
        <v>45442</v>
      </c>
      <c r="D2802">
        <v>190</v>
      </c>
      <c r="E2802">
        <f>IF(
  ISNA(
    _xlfn.XLOOKUP(
      payments_raw[[#This Row],[subscription_id]],
      subscriptions[subscription_id],
      subscriptions[subscription_id]
    )
  ),
  0,
  1
)</f>
        <v>1</v>
      </c>
      <c r="F2802" s="1">
        <f>_xlfn.XLOOKUP(payments_raw[[#This Row],[subscription_id]], subscriptions[subscription_id], subscriptions[start_date])</f>
        <v>44968</v>
      </c>
      <c r="G28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2" s="2">
        <f>IF(payments_raw[[#This Row],[payment_date]] &lt; payments_raw[[#This Row],[sub_start_date]], 1, 0)</f>
        <v>0</v>
      </c>
      <c r="I2802" s="2">
        <f>IF(AND(payments_raw[[#This Row],[sub_end_date]]&lt;&gt;"", payments_raw[[#This Row],[payment_date]] &gt; payments_raw[[#This Row],[sub_end_date]]), 1, 0)</f>
        <v>0</v>
      </c>
      <c r="J2802" s="2">
        <f>IF(payments_raw[[#This Row],[amount]] &lt;= 0, 1, 0)</f>
        <v>0</v>
      </c>
      <c r="K28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3" spans="1:11" x14ac:dyDescent="0.3">
      <c r="A2803">
        <v>61576393</v>
      </c>
      <c r="B2803">
        <v>5095330</v>
      </c>
      <c r="C2803" s="1">
        <v>45567</v>
      </c>
      <c r="D2803">
        <v>790</v>
      </c>
      <c r="E2803">
        <f>IF(
  ISNA(
    _xlfn.XLOOKUP(
      payments_raw[[#This Row],[subscription_id]],
      subscriptions[subscription_id],
      subscriptions[subscription_id]
    )
  ),
  0,
  1
)</f>
        <v>1</v>
      </c>
      <c r="F2803" s="1">
        <f>_xlfn.XLOOKUP(payments_raw[[#This Row],[subscription_id]], subscriptions[subscription_id], subscriptions[start_date])</f>
        <v>45500</v>
      </c>
      <c r="G28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3" s="2">
        <f>IF(payments_raw[[#This Row],[payment_date]] &lt; payments_raw[[#This Row],[sub_start_date]], 1, 0)</f>
        <v>0</v>
      </c>
      <c r="I2803" s="2">
        <f>IF(AND(payments_raw[[#This Row],[sub_end_date]]&lt;&gt;"", payments_raw[[#This Row],[payment_date]] &gt; payments_raw[[#This Row],[sub_end_date]]), 1, 0)</f>
        <v>0</v>
      </c>
      <c r="J2803" s="2">
        <f>IF(payments_raw[[#This Row],[amount]] &lt;= 0, 1, 0)</f>
        <v>0</v>
      </c>
      <c r="K28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4" spans="1:11" x14ac:dyDescent="0.3">
      <c r="A2804">
        <v>74516360</v>
      </c>
      <c r="B2804">
        <v>7305241</v>
      </c>
      <c r="C2804" s="1">
        <v>45430</v>
      </c>
      <c r="D2804">
        <v>1490</v>
      </c>
      <c r="E2804">
        <f>IF(
  ISNA(
    _xlfn.XLOOKUP(
      payments_raw[[#This Row],[subscription_id]],
      subscriptions[subscription_id],
      subscriptions[subscription_id]
    )
  ),
  0,
  1
)</f>
        <v>1</v>
      </c>
      <c r="F2804" s="1">
        <f>_xlfn.XLOOKUP(payments_raw[[#This Row],[subscription_id]], subscriptions[subscription_id], subscriptions[start_date])</f>
        <v>44886</v>
      </c>
      <c r="G28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4" s="2">
        <f>IF(payments_raw[[#This Row],[payment_date]] &lt; payments_raw[[#This Row],[sub_start_date]], 1, 0)</f>
        <v>0</v>
      </c>
      <c r="I2804" s="2">
        <f>IF(AND(payments_raw[[#This Row],[sub_end_date]]&lt;&gt;"", payments_raw[[#This Row],[payment_date]] &gt; payments_raw[[#This Row],[sub_end_date]]), 1, 0)</f>
        <v>0</v>
      </c>
      <c r="J2804" s="2">
        <f>IF(payments_raw[[#This Row],[amount]] &lt;= 0, 1, 0)</f>
        <v>0</v>
      </c>
      <c r="K28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5" spans="1:11" x14ac:dyDescent="0.3">
      <c r="A2805">
        <v>40853990</v>
      </c>
      <c r="B2805">
        <v>9783147</v>
      </c>
      <c r="C2805" s="1">
        <v>45514</v>
      </c>
      <c r="D2805">
        <v>149</v>
      </c>
      <c r="E2805">
        <f>IF(
  ISNA(
    _xlfn.XLOOKUP(
      payments_raw[[#This Row],[subscription_id]],
      subscriptions[subscription_id],
      subscriptions[subscription_id]
    )
  ),
  0,
  1
)</f>
        <v>1</v>
      </c>
      <c r="F2805" s="1">
        <f>_xlfn.XLOOKUP(payments_raw[[#This Row],[subscription_id]], subscriptions[subscription_id], subscriptions[start_date])</f>
        <v>45022</v>
      </c>
      <c r="G28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5" s="2">
        <f>IF(payments_raw[[#This Row],[payment_date]] &lt; payments_raw[[#This Row],[sub_start_date]], 1, 0)</f>
        <v>0</v>
      </c>
      <c r="I2805" s="2">
        <f>IF(AND(payments_raw[[#This Row],[sub_end_date]]&lt;&gt;"", payments_raw[[#This Row],[payment_date]] &gt; payments_raw[[#This Row],[sub_end_date]]), 1, 0)</f>
        <v>0</v>
      </c>
      <c r="J2805" s="2">
        <f>IF(payments_raw[[#This Row],[amount]] &lt;= 0, 1, 0)</f>
        <v>0</v>
      </c>
      <c r="K28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6" spans="1:11" x14ac:dyDescent="0.3">
      <c r="A2806">
        <v>18214317</v>
      </c>
      <c r="B2806">
        <v>6883514</v>
      </c>
      <c r="C2806" s="1">
        <v>45024</v>
      </c>
      <c r="D2806">
        <v>59.25</v>
      </c>
      <c r="E2806">
        <f>IF(
  ISNA(
    _xlfn.XLOOKUP(
      payments_raw[[#This Row],[subscription_id]],
      subscriptions[subscription_id],
      subscriptions[subscription_id]
    )
  ),
  0,
  1
)</f>
        <v>1</v>
      </c>
      <c r="F2806" s="1">
        <f>_xlfn.XLOOKUP(payments_raw[[#This Row],[subscription_id]], subscriptions[subscription_id], subscriptions[start_date])</f>
        <v>44803</v>
      </c>
      <c r="G28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6" s="2">
        <f>IF(payments_raw[[#This Row],[payment_date]] &lt; payments_raw[[#This Row],[sub_start_date]], 1, 0)</f>
        <v>0</v>
      </c>
      <c r="I2806" s="2">
        <f>IF(AND(payments_raw[[#This Row],[sub_end_date]]&lt;&gt;"", payments_raw[[#This Row],[payment_date]] &gt; payments_raw[[#This Row],[sub_end_date]]), 1, 0)</f>
        <v>0</v>
      </c>
      <c r="J2806" s="2">
        <f>IF(payments_raw[[#This Row],[amount]] &lt;= 0, 1, 0)</f>
        <v>0</v>
      </c>
      <c r="K28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7" spans="1:11" x14ac:dyDescent="0.3">
      <c r="A2807">
        <v>51190832</v>
      </c>
      <c r="B2807">
        <v>7111760</v>
      </c>
      <c r="C2807" s="1">
        <v>45559</v>
      </c>
      <c r="D2807">
        <v>149</v>
      </c>
      <c r="E2807">
        <f>IF(
  ISNA(
    _xlfn.XLOOKUP(
      payments_raw[[#This Row],[subscription_id]],
      subscriptions[subscription_id],
      subscriptions[subscription_id]
    )
  ),
  0,
  1
)</f>
        <v>1</v>
      </c>
      <c r="F2807" s="1">
        <f>_xlfn.XLOOKUP(payments_raw[[#This Row],[subscription_id]], subscriptions[subscription_id], subscriptions[start_date])</f>
        <v>45501</v>
      </c>
      <c r="G28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7" s="2">
        <f>IF(payments_raw[[#This Row],[payment_date]] &lt; payments_raw[[#This Row],[sub_start_date]], 1, 0)</f>
        <v>0</v>
      </c>
      <c r="I2807" s="2">
        <f>IF(AND(payments_raw[[#This Row],[sub_end_date]]&lt;&gt;"", payments_raw[[#This Row],[payment_date]] &gt; payments_raw[[#This Row],[sub_end_date]]), 1, 0)</f>
        <v>0</v>
      </c>
      <c r="J2807" s="2">
        <f>IF(payments_raw[[#This Row],[amount]] &lt;= 0, 1, 0)</f>
        <v>0</v>
      </c>
      <c r="K28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8" spans="1:11" x14ac:dyDescent="0.3">
      <c r="A2808">
        <v>34925895</v>
      </c>
      <c r="B2808">
        <v>6594616</v>
      </c>
      <c r="C2808" s="1">
        <v>45071</v>
      </c>
      <c r="D2808">
        <v>190</v>
      </c>
      <c r="E2808">
        <f>IF(
  ISNA(
    _xlfn.XLOOKUP(
      payments_raw[[#This Row],[subscription_id]],
      subscriptions[subscription_id],
      subscriptions[subscription_id]
    )
  ),
  0,
  1
)</f>
        <v>1</v>
      </c>
      <c r="F2808" s="1">
        <f>_xlfn.XLOOKUP(payments_raw[[#This Row],[subscription_id]], subscriptions[subscription_id], subscriptions[start_date])</f>
        <v>44845</v>
      </c>
      <c r="G28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45209</v>
      </c>
      <c r="H2808" s="2">
        <f>IF(payments_raw[[#This Row],[payment_date]] &lt; payments_raw[[#This Row],[sub_start_date]], 1, 0)</f>
        <v>0</v>
      </c>
      <c r="I2808" s="2">
        <f>IF(AND(payments_raw[[#This Row],[sub_end_date]]&lt;&gt;"", payments_raw[[#This Row],[payment_date]] &gt; payments_raw[[#This Row],[sub_end_date]]), 1, 0)</f>
        <v>0</v>
      </c>
      <c r="J2808" s="2">
        <f>IF(payments_raw[[#This Row],[amount]] &lt;= 0, 1, 0)</f>
        <v>0</v>
      </c>
      <c r="K28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09" spans="1:11" x14ac:dyDescent="0.3">
      <c r="A2809">
        <v>19783931</v>
      </c>
      <c r="B2809">
        <v>1865385</v>
      </c>
      <c r="C2809" s="1">
        <v>45655</v>
      </c>
      <c r="D2809">
        <v>299</v>
      </c>
      <c r="E2809">
        <f>IF(
  ISNA(
    _xlfn.XLOOKUP(
      payments_raw[[#This Row],[subscription_id]],
      subscriptions[subscription_id],
      subscriptions[subscription_id]
    )
  ),
  0,
  1
)</f>
        <v>1</v>
      </c>
      <c r="F2809" s="1">
        <f>_xlfn.XLOOKUP(payments_raw[[#This Row],[subscription_id]], subscriptions[subscription_id], subscriptions[start_date])</f>
        <v>45440</v>
      </c>
      <c r="G28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09" s="2">
        <f>IF(payments_raw[[#This Row],[payment_date]] &lt; payments_raw[[#This Row],[sub_start_date]], 1, 0)</f>
        <v>0</v>
      </c>
      <c r="I2809" s="2">
        <f>IF(AND(payments_raw[[#This Row],[sub_end_date]]&lt;&gt;"", payments_raw[[#This Row],[payment_date]] &gt; payments_raw[[#This Row],[sub_end_date]]), 1, 0)</f>
        <v>0</v>
      </c>
      <c r="J2809" s="2">
        <f>IF(payments_raw[[#This Row],[amount]] &lt;= 0, 1, 0)</f>
        <v>0</v>
      </c>
      <c r="K28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0" spans="1:11" x14ac:dyDescent="0.3">
      <c r="A2810">
        <v>53529174</v>
      </c>
      <c r="B2810">
        <v>9103333</v>
      </c>
      <c r="C2810" s="1">
        <v>44908</v>
      </c>
      <c r="D2810">
        <v>149</v>
      </c>
      <c r="E2810">
        <f>IF(
  ISNA(
    _xlfn.XLOOKUP(
      payments_raw[[#This Row],[subscription_id]],
      subscriptions[subscription_id],
      subscriptions[subscription_id]
    )
  ),
  0,
  1
)</f>
        <v>1</v>
      </c>
      <c r="F2810" s="1">
        <f>_xlfn.XLOOKUP(payments_raw[[#This Row],[subscription_id]], subscriptions[subscription_id], subscriptions[start_date])</f>
        <v>44728</v>
      </c>
      <c r="G281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44975</v>
      </c>
      <c r="H2810" s="2">
        <f>IF(payments_raw[[#This Row],[payment_date]] &lt; payments_raw[[#This Row],[sub_start_date]], 1, 0)</f>
        <v>0</v>
      </c>
      <c r="I2810" s="2">
        <f>IF(AND(payments_raw[[#This Row],[sub_end_date]]&lt;&gt;"", payments_raw[[#This Row],[payment_date]] &gt; payments_raw[[#This Row],[sub_end_date]]), 1, 0)</f>
        <v>0</v>
      </c>
      <c r="J2810" s="2">
        <f>IF(payments_raw[[#This Row],[amount]] &lt;= 0, 1, 0)</f>
        <v>0</v>
      </c>
      <c r="K28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1" spans="1:11" x14ac:dyDescent="0.3">
      <c r="A2811">
        <v>34302521</v>
      </c>
      <c r="B2811">
        <v>8375951</v>
      </c>
      <c r="C2811" s="1">
        <v>44912</v>
      </c>
      <c r="D2811">
        <v>1341</v>
      </c>
      <c r="E2811">
        <f>IF(
  ISNA(
    _xlfn.XLOOKUP(
      payments_raw[[#This Row],[subscription_id]],
      subscriptions[subscription_id],
      subscriptions[subscription_id]
    )
  ),
  0,
  1
)</f>
        <v>1</v>
      </c>
      <c r="F2811" s="1">
        <f>_xlfn.XLOOKUP(payments_raw[[#This Row],[subscription_id]], subscriptions[subscription_id], subscriptions[start_date])</f>
        <v>44814</v>
      </c>
      <c r="G28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2811" s="2">
        <f>IF(payments_raw[[#This Row],[payment_date]] &lt; payments_raw[[#This Row],[sub_start_date]], 1, 0)</f>
        <v>0</v>
      </c>
      <c r="I2811" s="2">
        <f>IF(AND(payments_raw[[#This Row],[sub_end_date]]&lt;&gt;"", payments_raw[[#This Row],[payment_date]] &gt; payments_raw[[#This Row],[sub_end_date]]), 1, 0)</f>
        <v>0</v>
      </c>
      <c r="J2811" s="2">
        <f>IF(payments_raw[[#This Row],[amount]] &lt;= 0, 1, 0)</f>
        <v>0</v>
      </c>
      <c r="K28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2" spans="1:11" x14ac:dyDescent="0.3">
      <c r="A2812">
        <v>33187229</v>
      </c>
      <c r="B2812">
        <v>8272245</v>
      </c>
      <c r="C2812" s="1">
        <v>45578</v>
      </c>
      <c r="D2812">
        <v>149</v>
      </c>
      <c r="E2812">
        <f>IF(
  ISNA(
    _xlfn.XLOOKUP(
      payments_raw[[#This Row],[subscription_id]],
      subscriptions[subscription_id],
      subscriptions[subscription_id]
    )
  ),
  0,
  1
)</f>
        <v>1</v>
      </c>
      <c r="F2812" s="1">
        <f>_xlfn.XLOOKUP(payments_raw[[#This Row],[subscription_id]], subscriptions[subscription_id], subscriptions[start_date])</f>
        <v>45493</v>
      </c>
      <c r="G28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2" s="2">
        <f>IF(payments_raw[[#This Row],[payment_date]] &lt; payments_raw[[#This Row],[sub_start_date]], 1, 0)</f>
        <v>0</v>
      </c>
      <c r="I2812" s="2">
        <f>IF(AND(payments_raw[[#This Row],[sub_end_date]]&lt;&gt;"", payments_raw[[#This Row],[payment_date]] &gt; payments_raw[[#This Row],[sub_end_date]]), 1, 0)</f>
        <v>0</v>
      </c>
      <c r="J2812" s="2">
        <f>IF(payments_raw[[#This Row],[amount]] &lt;= 0, 1, 0)</f>
        <v>0</v>
      </c>
      <c r="K28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3" spans="1:11" x14ac:dyDescent="0.3">
      <c r="A2813">
        <v>62939127</v>
      </c>
      <c r="B2813">
        <v>3371985</v>
      </c>
      <c r="C2813" s="1">
        <v>45322</v>
      </c>
      <c r="D2813">
        <v>2990</v>
      </c>
      <c r="E2813">
        <f>IF(
  ISNA(
    _xlfn.XLOOKUP(
      payments_raw[[#This Row],[subscription_id]],
      subscriptions[subscription_id],
      subscriptions[subscription_id]
    )
  ),
  0,
  1
)</f>
        <v>1</v>
      </c>
      <c r="F2813" s="1">
        <f>_xlfn.XLOOKUP(payments_raw[[#This Row],[subscription_id]], subscriptions[subscription_id], subscriptions[start_date])</f>
        <v>45052</v>
      </c>
      <c r="G281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45333</v>
      </c>
      <c r="H2813" s="2">
        <f>IF(payments_raw[[#This Row],[payment_date]] &lt; payments_raw[[#This Row],[sub_start_date]], 1, 0)</f>
        <v>0</v>
      </c>
      <c r="I2813" s="2">
        <f>IF(AND(payments_raw[[#This Row],[sub_end_date]]&lt;&gt;"", payments_raw[[#This Row],[payment_date]] &gt; payments_raw[[#This Row],[sub_end_date]]), 1, 0)</f>
        <v>0</v>
      </c>
      <c r="J2813" s="2">
        <f>IF(payments_raw[[#This Row],[amount]] &lt;= 0, 1, 0)</f>
        <v>0</v>
      </c>
      <c r="K28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4" spans="1:11" x14ac:dyDescent="0.3">
      <c r="A2814">
        <v>29797191</v>
      </c>
      <c r="B2814">
        <v>8628047</v>
      </c>
      <c r="C2814" s="1">
        <v>45415</v>
      </c>
      <c r="D2814">
        <v>790</v>
      </c>
      <c r="E2814">
        <f>IF(
  ISNA(
    _xlfn.XLOOKUP(
      payments_raw[[#This Row],[subscription_id]],
      subscriptions[subscription_id],
      subscriptions[subscription_id]
    )
  ),
  0,
  1
)</f>
        <v>1</v>
      </c>
      <c r="F2814" s="1">
        <f>_xlfn.XLOOKUP(payments_raw[[#This Row],[subscription_id]], subscriptions[subscription_id], subscriptions[start_date])</f>
        <v>45358</v>
      </c>
      <c r="G28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45447</v>
      </c>
      <c r="H2814" s="2">
        <f>IF(payments_raw[[#This Row],[payment_date]] &lt; payments_raw[[#This Row],[sub_start_date]], 1, 0)</f>
        <v>0</v>
      </c>
      <c r="I2814" s="2">
        <f>IF(AND(payments_raw[[#This Row],[sub_end_date]]&lt;&gt;"", payments_raw[[#This Row],[payment_date]] &gt; payments_raw[[#This Row],[sub_end_date]]), 1, 0)</f>
        <v>0</v>
      </c>
      <c r="J2814" s="2">
        <f>IF(payments_raw[[#This Row],[amount]] &lt;= 0, 1, 0)</f>
        <v>0</v>
      </c>
      <c r="K28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5" spans="1:11" x14ac:dyDescent="0.3">
      <c r="A2815">
        <v>79282441</v>
      </c>
      <c r="B2815">
        <v>3074382</v>
      </c>
      <c r="C2815" s="1">
        <v>45373</v>
      </c>
      <c r="D2815">
        <v>39</v>
      </c>
      <c r="E2815">
        <f>IF(
  ISNA(
    _xlfn.XLOOKUP(
      payments_raw[[#This Row],[subscription_id]],
      subscriptions[subscription_id],
      subscriptions[subscription_id]
    )
  ),
  0,
  1
)</f>
        <v>1</v>
      </c>
      <c r="F2815" s="1">
        <f>_xlfn.XLOOKUP(payments_raw[[#This Row],[subscription_id]], subscriptions[subscription_id], subscriptions[start_date])</f>
        <v>45335</v>
      </c>
      <c r="G28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2815" s="2">
        <f>IF(payments_raw[[#This Row],[payment_date]] &lt; payments_raw[[#This Row],[sub_start_date]], 1, 0)</f>
        <v>0</v>
      </c>
      <c r="I2815" s="2">
        <f>IF(AND(payments_raw[[#This Row],[sub_end_date]]&lt;&gt;"", payments_raw[[#This Row],[payment_date]] &gt; payments_raw[[#This Row],[sub_end_date]]), 1, 0)</f>
        <v>0</v>
      </c>
      <c r="J2815" s="2">
        <f>IF(payments_raw[[#This Row],[amount]] &lt;= 0, 1, 0)</f>
        <v>0</v>
      </c>
      <c r="K28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6" spans="1:11" x14ac:dyDescent="0.3">
      <c r="A2816">
        <v>70222807</v>
      </c>
      <c r="B2816">
        <v>3784106</v>
      </c>
      <c r="C2816" s="1">
        <v>45277</v>
      </c>
      <c r="D2816">
        <v>2990</v>
      </c>
      <c r="E2816">
        <f>IF(
  ISNA(
    _xlfn.XLOOKUP(
      payments_raw[[#This Row],[subscription_id]],
      subscriptions[subscription_id],
      subscriptions[subscription_id]
    )
  ),
  0,
  1
)</f>
        <v>1</v>
      </c>
      <c r="F2816" s="1">
        <f>_xlfn.XLOOKUP(payments_raw[[#This Row],[subscription_id]], subscriptions[subscription_id], subscriptions[start_date])</f>
        <v>44851</v>
      </c>
      <c r="G28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6" s="2">
        <f>IF(payments_raw[[#This Row],[payment_date]] &lt; payments_raw[[#This Row],[sub_start_date]], 1, 0)</f>
        <v>0</v>
      </c>
      <c r="I2816" s="2">
        <f>IF(AND(payments_raw[[#This Row],[sub_end_date]]&lt;&gt;"", payments_raw[[#This Row],[payment_date]] &gt; payments_raw[[#This Row],[sub_end_date]]), 1, 0)</f>
        <v>0</v>
      </c>
      <c r="J2816" s="2">
        <f>IF(payments_raw[[#This Row],[amount]] &lt;= 0, 1, 0)</f>
        <v>0</v>
      </c>
      <c r="K28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7" spans="1:11" x14ac:dyDescent="0.3">
      <c r="A2817">
        <v>28267938</v>
      </c>
      <c r="B2817">
        <v>7400536</v>
      </c>
      <c r="C2817" s="1">
        <v>45095</v>
      </c>
      <c r="D2817">
        <v>190</v>
      </c>
      <c r="E2817">
        <f>IF(
  ISNA(
    _xlfn.XLOOKUP(
      payments_raw[[#This Row],[subscription_id]],
      subscriptions[subscription_id],
      subscriptions[subscription_id]
    )
  ),
  0,
  1
)</f>
        <v>1</v>
      </c>
      <c r="F2817" s="1">
        <f>_xlfn.XLOOKUP(payments_raw[[#This Row],[subscription_id]], subscriptions[subscription_id], subscriptions[start_date])</f>
        <v>45085</v>
      </c>
      <c r="G28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7" s="2">
        <f>IF(payments_raw[[#This Row],[payment_date]] &lt; payments_raw[[#This Row],[sub_start_date]], 1, 0)</f>
        <v>0</v>
      </c>
      <c r="I2817" s="2">
        <f>IF(AND(payments_raw[[#This Row],[sub_end_date]]&lt;&gt;"", payments_raw[[#This Row],[payment_date]] &gt; payments_raw[[#This Row],[sub_end_date]]), 1, 0)</f>
        <v>0</v>
      </c>
      <c r="J2817" s="2">
        <f>IF(payments_raw[[#This Row],[amount]] &lt;= 0, 1, 0)</f>
        <v>0</v>
      </c>
      <c r="K28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8" spans="1:11" x14ac:dyDescent="0.3">
      <c r="A2818">
        <v>60633228</v>
      </c>
      <c r="B2818">
        <v>4317199</v>
      </c>
      <c r="C2818" s="1">
        <v>45312</v>
      </c>
      <c r="D2818">
        <v>149</v>
      </c>
      <c r="E2818">
        <f>IF(
  ISNA(
    _xlfn.XLOOKUP(
      payments_raw[[#This Row],[subscription_id]],
      subscriptions[subscription_id],
      subscriptions[subscription_id]
    )
  ),
  0,
  1
)</f>
        <v>1</v>
      </c>
      <c r="F2818" s="1">
        <f>_xlfn.XLOOKUP(payments_raw[[#This Row],[subscription_id]], subscriptions[subscription_id], subscriptions[start_date])</f>
        <v>45101</v>
      </c>
      <c r="G28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8" s="2">
        <f>IF(payments_raw[[#This Row],[payment_date]] &lt; payments_raw[[#This Row],[sub_start_date]], 1, 0)</f>
        <v>0</v>
      </c>
      <c r="I2818" s="2">
        <f>IF(AND(payments_raw[[#This Row],[sub_end_date]]&lt;&gt;"", payments_raw[[#This Row],[payment_date]] &gt; payments_raw[[#This Row],[sub_end_date]]), 1, 0)</f>
        <v>0</v>
      </c>
      <c r="J2818" s="2">
        <f>IF(payments_raw[[#This Row],[amount]] &lt;= 0, 1, 0)</f>
        <v>0</v>
      </c>
      <c r="K28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19" spans="1:11" x14ac:dyDescent="0.3">
      <c r="A2819">
        <v>19072822</v>
      </c>
      <c r="B2819">
        <v>5922299</v>
      </c>
      <c r="C2819" s="1">
        <v>45528</v>
      </c>
      <c r="D2819">
        <v>19</v>
      </c>
      <c r="E2819">
        <f>IF(
  ISNA(
    _xlfn.XLOOKUP(
      payments_raw[[#This Row],[subscription_id]],
      subscriptions[subscription_id],
      subscriptions[subscription_id]
    )
  ),
  0,
  1
)</f>
        <v>1</v>
      </c>
      <c r="F2819" s="1">
        <f>_xlfn.XLOOKUP(payments_raw[[#This Row],[subscription_id]], subscriptions[subscription_id], subscriptions[start_date])</f>
        <v>44805</v>
      </c>
      <c r="G28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19" s="2">
        <f>IF(payments_raw[[#This Row],[payment_date]] &lt; payments_raw[[#This Row],[sub_start_date]], 1, 0)</f>
        <v>0</v>
      </c>
      <c r="I2819" s="2">
        <f>IF(AND(payments_raw[[#This Row],[sub_end_date]]&lt;&gt;"", payments_raw[[#This Row],[payment_date]] &gt; payments_raw[[#This Row],[sub_end_date]]), 1, 0)</f>
        <v>0</v>
      </c>
      <c r="J2819" s="2">
        <f>IF(payments_raw[[#This Row],[amount]] &lt;= 0, 1, 0)</f>
        <v>0</v>
      </c>
      <c r="K28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0" spans="1:11" x14ac:dyDescent="0.3">
      <c r="A2820">
        <v>55400127</v>
      </c>
      <c r="B2820">
        <v>6337250</v>
      </c>
      <c r="C2820" s="1">
        <v>45099</v>
      </c>
      <c r="D2820">
        <v>19</v>
      </c>
      <c r="E2820">
        <f>IF(
  ISNA(
    _xlfn.XLOOKUP(
      payments_raw[[#This Row],[subscription_id]],
      subscriptions[subscription_id],
      subscriptions[subscription_id]
    )
  ),
  0,
  1
)</f>
        <v>1</v>
      </c>
      <c r="F2820" s="1">
        <f>_xlfn.XLOOKUP(payments_raw[[#This Row],[subscription_id]], subscriptions[subscription_id], subscriptions[start_date])</f>
        <v>44886</v>
      </c>
      <c r="G28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0" s="2">
        <f>IF(payments_raw[[#This Row],[payment_date]] &lt; payments_raw[[#This Row],[sub_start_date]], 1, 0)</f>
        <v>0</v>
      </c>
      <c r="I2820" s="2">
        <f>IF(AND(payments_raw[[#This Row],[sub_end_date]]&lt;&gt;"", payments_raw[[#This Row],[payment_date]] &gt; payments_raw[[#This Row],[sub_end_date]]), 1, 0)</f>
        <v>0</v>
      </c>
      <c r="J2820" s="2">
        <f>IF(payments_raw[[#This Row],[amount]] &lt;= 0, 1, 0)</f>
        <v>0</v>
      </c>
      <c r="K28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1" spans="1:11" x14ac:dyDescent="0.3">
      <c r="A2821">
        <v>63806106</v>
      </c>
      <c r="B2821">
        <v>7566239</v>
      </c>
      <c r="C2821" s="1">
        <v>45588</v>
      </c>
      <c r="D2821">
        <v>149</v>
      </c>
      <c r="E2821">
        <f>IF(
  ISNA(
    _xlfn.XLOOKUP(
      payments_raw[[#This Row],[subscription_id]],
      subscriptions[subscription_id],
      subscriptions[subscription_id]
    )
  ),
  0,
  1
)</f>
        <v>1</v>
      </c>
      <c r="F2821" s="1">
        <f>_xlfn.XLOOKUP(payments_raw[[#This Row],[subscription_id]], subscriptions[subscription_id], subscriptions[start_date])</f>
        <v>45467</v>
      </c>
      <c r="G28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1" s="2">
        <f>IF(payments_raw[[#This Row],[payment_date]] &lt; payments_raw[[#This Row],[sub_start_date]], 1, 0)</f>
        <v>0</v>
      </c>
      <c r="I2821" s="2">
        <f>IF(AND(payments_raw[[#This Row],[sub_end_date]]&lt;&gt;"", payments_raw[[#This Row],[payment_date]] &gt; payments_raw[[#This Row],[sub_end_date]]), 1, 0)</f>
        <v>0</v>
      </c>
      <c r="J2821" s="2">
        <f>IF(payments_raw[[#This Row],[amount]] &lt;= 0, 1, 0)</f>
        <v>0</v>
      </c>
      <c r="K28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2" spans="1:11" x14ac:dyDescent="0.3">
      <c r="A2822">
        <v>28570788</v>
      </c>
      <c r="B2822">
        <v>3786969</v>
      </c>
      <c r="C2822" s="1">
        <v>45221</v>
      </c>
      <c r="D2822">
        <v>190</v>
      </c>
      <c r="E2822">
        <f>IF(
  ISNA(
    _xlfn.XLOOKUP(
      payments_raw[[#This Row],[subscription_id]],
      subscriptions[subscription_id],
      subscriptions[subscription_id]
    )
  ),
  0,
  1
)</f>
        <v>1</v>
      </c>
      <c r="F2822" s="1">
        <f>_xlfn.XLOOKUP(payments_raw[[#This Row],[subscription_id]], subscriptions[subscription_id], subscriptions[start_date])</f>
        <v>45130</v>
      </c>
      <c r="G28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45383</v>
      </c>
      <c r="H2822" s="2">
        <f>IF(payments_raw[[#This Row],[payment_date]] &lt; payments_raw[[#This Row],[sub_start_date]], 1, 0)</f>
        <v>0</v>
      </c>
      <c r="I2822" s="2">
        <f>IF(AND(payments_raw[[#This Row],[sub_end_date]]&lt;&gt;"", payments_raw[[#This Row],[payment_date]] &gt; payments_raw[[#This Row],[sub_end_date]]), 1, 0)</f>
        <v>0</v>
      </c>
      <c r="J2822" s="2">
        <f>IF(payments_raw[[#This Row],[amount]] &lt;= 0, 1, 0)</f>
        <v>0</v>
      </c>
      <c r="K28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3" spans="1:11" x14ac:dyDescent="0.3">
      <c r="A2823">
        <v>39244446</v>
      </c>
      <c r="B2823">
        <v>6980829</v>
      </c>
      <c r="C2823" s="1">
        <v>45072</v>
      </c>
      <c r="D2823">
        <v>390</v>
      </c>
      <c r="E2823">
        <f>IF(
  ISNA(
    _xlfn.XLOOKUP(
      payments_raw[[#This Row],[subscription_id]],
      subscriptions[subscription_id],
      subscriptions[subscription_id]
    )
  ),
  0,
  1
)</f>
        <v>1</v>
      </c>
      <c r="F2823" s="1">
        <f>_xlfn.XLOOKUP(payments_raw[[#This Row],[subscription_id]], subscriptions[subscription_id], subscriptions[start_date])</f>
        <v>44844</v>
      </c>
      <c r="G28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45098</v>
      </c>
      <c r="H2823" s="2">
        <f>IF(payments_raw[[#This Row],[payment_date]] &lt; payments_raw[[#This Row],[sub_start_date]], 1, 0)</f>
        <v>0</v>
      </c>
      <c r="I2823" s="2">
        <f>IF(AND(payments_raw[[#This Row],[sub_end_date]]&lt;&gt;"", payments_raw[[#This Row],[payment_date]] &gt; payments_raw[[#This Row],[sub_end_date]]), 1, 0)</f>
        <v>0</v>
      </c>
      <c r="J2823" s="2">
        <f>IF(payments_raw[[#This Row],[amount]] &lt;= 0, 1, 0)</f>
        <v>0</v>
      </c>
      <c r="K28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4" spans="1:11" x14ac:dyDescent="0.3">
      <c r="A2824">
        <v>77638983</v>
      </c>
      <c r="B2824">
        <v>2280314</v>
      </c>
      <c r="C2824" s="1">
        <v>45205</v>
      </c>
      <c r="D2824">
        <v>19</v>
      </c>
      <c r="E2824">
        <f>IF(
  ISNA(
    _xlfn.XLOOKUP(
      payments_raw[[#This Row],[subscription_id]],
      subscriptions[subscription_id],
      subscriptions[subscription_id]
    )
  ),
  0,
  1
)</f>
        <v>1</v>
      </c>
      <c r="F2824" s="1">
        <f>_xlfn.XLOOKUP(payments_raw[[#This Row],[subscription_id]], subscriptions[subscription_id], subscriptions[start_date])</f>
        <v>44992</v>
      </c>
      <c r="G28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2824" s="2">
        <f>IF(payments_raw[[#This Row],[payment_date]] &lt; payments_raw[[#This Row],[sub_start_date]], 1, 0)</f>
        <v>0</v>
      </c>
      <c r="I2824" s="2">
        <f>IF(AND(payments_raw[[#This Row],[sub_end_date]]&lt;&gt;"", payments_raw[[#This Row],[payment_date]] &gt; payments_raw[[#This Row],[sub_end_date]]), 1, 0)</f>
        <v>0</v>
      </c>
      <c r="J2824" s="2">
        <f>IF(payments_raw[[#This Row],[amount]] &lt;= 0, 1, 0)</f>
        <v>0</v>
      </c>
      <c r="K28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5" spans="1:11" x14ac:dyDescent="0.3">
      <c r="A2825">
        <v>16995189</v>
      </c>
      <c r="B2825">
        <v>7818036</v>
      </c>
      <c r="C2825" s="1">
        <v>45516</v>
      </c>
      <c r="D2825">
        <v>190</v>
      </c>
      <c r="E2825">
        <f>IF(
  ISNA(
    _xlfn.XLOOKUP(
      payments_raw[[#This Row],[subscription_id]],
      subscriptions[subscription_id],
      subscriptions[subscription_id]
    )
  ),
  0,
  1
)</f>
        <v>1</v>
      </c>
      <c r="F2825" s="1">
        <f>_xlfn.XLOOKUP(payments_raw[[#This Row],[subscription_id]], subscriptions[subscription_id], subscriptions[start_date])</f>
        <v>45100</v>
      </c>
      <c r="G28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5" s="2">
        <f>IF(payments_raw[[#This Row],[payment_date]] &lt; payments_raw[[#This Row],[sub_start_date]], 1, 0)</f>
        <v>0</v>
      </c>
      <c r="I2825" s="2">
        <f>IF(AND(payments_raw[[#This Row],[sub_end_date]]&lt;&gt;"", payments_raw[[#This Row],[payment_date]] &gt; payments_raw[[#This Row],[sub_end_date]]), 1, 0)</f>
        <v>0</v>
      </c>
      <c r="J2825" s="2">
        <f>IF(payments_raw[[#This Row],[amount]] &lt;= 0, 1, 0)</f>
        <v>0</v>
      </c>
      <c r="K28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6" spans="1:11" x14ac:dyDescent="0.3">
      <c r="A2826">
        <v>14054656</v>
      </c>
      <c r="B2826">
        <v>8731726</v>
      </c>
      <c r="C2826" s="1">
        <v>45214</v>
      </c>
      <c r="D2826">
        <v>39</v>
      </c>
      <c r="E2826">
        <f>IF(
  ISNA(
    _xlfn.XLOOKUP(
      payments_raw[[#This Row],[subscription_id]],
      subscriptions[subscription_id],
      subscriptions[subscription_id]
    )
  ),
  0,
  1
)</f>
        <v>1</v>
      </c>
      <c r="F2826" s="1">
        <f>_xlfn.XLOOKUP(payments_raw[[#This Row],[subscription_id]], subscriptions[subscription_id], subscriptions[start_date])</f>
        <v>44945</v>
      </c>
      <c r="G28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6" s="2">
        <f>IF(payments_raw[[#This Row],[payment_date]] &lt; payments_raw[[#This Row],[sub_start_date]], 1, 0)</f>
        <v>0</v>
      </c>
      <c r="I2826" s="2">
        <f>IF(AND(payments_raw[[#This Row],[sub_end_date]]&lt;&gt;"", payments_raw[[#This Row],[payment_date]] &gt; payments_raw[[#This Row],[sub_end_date]]), 1, 0)</f>
        <v>0</v>
      </c>
      <c r="J2826" s="2">
        <f>IF(payments_raw[[#This Row],[amount]] &lt;= 0, 1, 0)</f>
        <v>0</v>
      </c>
      <c r="K28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7" spans="1:11" x14ac:dyDescent="0.3">
      <c r="A2827">
        <v>80238223</v>
      </c>
      <c r="B2827">
        <v>3481086</v>
      </c>
      <c r="C2827" s="1">
        <v>45298</v>
      </c>
      <c r="D2827">
        <v>79</v>
      </c>
      <c r="E2827">
        <f>IF(
  ISNA(
    _xlfn.XLOOKUP(
      payments_raw[[#This Row],[subscription_id]],
      subscriptions[subscription_id],
      subscriptions[subscription_id]
    )
  ),
  0,
  1
)</f>
        <v>1</v>
      </c>
      <c r="F2827" s="1">
        <f>_xlfn.XLOOKUP(payments_raw[[#This Row],[subscription_id]], subscriptions[subscription_id], subscriptions[start_date])</f>
        <v>45097</v>
      </c>
      <c r="G28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45475</v>
      </c>
      <c r="H2827" s="2">
        <f>IF(payments_raw[[#This Row],[payment_date]] &lt; payments_raw[[#This Row],[sub_start_date]], 1, 0)</f>
        <v>0</v>
      </c>
      <c r="I2827" s="2">
        <f>IF(AND(payments_raw[[#This Row],[sub_end_date]]&lt;&gt;"", payments_raw[[#This Row],[payment_date]] &gt; payments_raw[[#This Row],[sub_end_date]]), 1, 0)</f>
        <v>0</v>
      </c>
      <c r="J2827" s="2">
        <f>IF(payments_raw[[#This Row],[amount]] &lt;= 0, 1, 0)</f>
        <v>0</v>
      </c>
      <c r="K28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8" spans="1:11" x14ac:dyDescent="0.3">
      <c r="A2828">
        <v>41374192</v>
      </c>
      <c r="B2828">
        <v>8457126</v>
      </c>
      <c r="C2828" s="1">
        <v>44694</v>
      </c>
      <c r="D2828">
        <v>142.5</v>
      </c>
      <c r="E2828">
        <f>IF(
  ISNA(
    _xlfn.XLOOKUP(
      payments_raw[[#This Row],[subscription_id]],
      subscriptions[subscription_id],
      subscriptions[subscription_id]
    )
  ),
  0,
  1
)</f>
        <v>1</v>
      </c>
      <c r="F2828" s="1">
        <f>_xlfn.XLOOKUP(payments_raw[[#This Row],[subscription_id]], subscriptions[subscription_id], subscriptions[start_date])</f>
        <v>44649</v>
      </c>
      <c r="G28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44860</v>
      </c>
      <c r="H2828" s="2">
        <f>IF(payments_raw[[#This Row],[payment_date]] &lt; payments_raw[[#This Row],[sub_start_date]], 1, 0)</f>
        <v>0</v>
      </c>
      <c r="I2828" s="2">
        <f>IF(AND(payments_raw[[#This Row],[sub_end_date]]&lt;&gt;"", payments_raw[[#This Row],[payment_date]] &gt; payments_raw[[#This Row],[sub_end_date]]), 1, 0)</f>
        <v>0</v>
      </c>
      <c r="J2828" s="2">
        <f>IF(payments_raw[[#This Row],[amount]] &lt;= 0, 1, 0)</f>
        <v>0</v>
      </c>
      <c r="K28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29" spans="1:11" x14ac:dyDescent="0.3">
      <c r="A2829">
        <v>59729857</v>
      </c>
      <c r="B2829">
        <v>3715983</v>
      </c>
      <c r="C2829" s="1">
        <v>45494</v>
      </c>
      <c r="D2829">
        <v>299</v>
      </c>
      <c r="E2829">
        <f>IF(
  ISNA(
    _xlfn.XLOOKUP(
      payments_raw[[#This Row],[subscription_id]],
      subscriptions[subscription_id],
      subscriptions[subscription_id]
    )
  ),
  0,
  1
)</f>
        <v>1</v>
      </c>
      <c r="F2829" s="1">
        <f>_xlfn.XLOOKUP(payments_raw[[#This Row],[subscription_id]], subscriptions[subscription_id], subscriptions[start_date])</f>
        <v>45374</v>
      </c>
      <c r="G28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29" s="2">
        <f>IF(payments_raw[[#This Row],[payment_date]] &lt; payments_raw[[#This Row],[sub_start_date]], 1, 0)</f>
        <v>0</v>
      </c>
      <c r="I2829" s="2">
        <f>IF(AND(payments_raw[[#This Row],[sub_end_date]]&lt;&gt;"", payments_raw[[#This Row],[payment_date]] &gt; payments_raw[[#This Row],[sub_end_date]]), 1, 0)</f>
        <v>0</v>
      </c>
      <c r="J2829" s="2">
        <f>IF(payments_raw[[#This Row],[amount]] &lt;= 0, 1, 0)</f>
        <v>0</v>
      </c>
      <c r="K28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0" spans="1:11" x14ac:dyDescent="0.3">
      <c r="A2830">
        <v>56553839</v>
      </c>
      <c r="B2830">
        <v>4648430</v>
      </c>
      <c r="C2830" s="1">
        <v>45579</v>
      </c>
      <c r="D2830">
        <v>351</v>
      </c>
      <c r="E2830">
        <f>IF(
  ISNA(
    _xlfn.XLOOKUP(
      payments_raw[[#This Row],[subscription_id]],
      subscriptions[subscription_id],
      subscriptions[subscription_id]
    )
  ),
  0,
  1
)</f>
        <v>1</v>
      </c>
      <c r="F2830" s="1">
        <f>_xlfn.XLOOKUP(payments_raw[[#This Row],[subscription_id]], subscriptions[subscription_id], subscriptions[start_date])</f>
        <v>44772</v>
      </c>
      <c r="G28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0" s="2">
        <f>IF(payments_raw[[#This Row],[payment_date]] &lt; payments_raw[[#This Row],[sub_start_date]], 1, 0)</f>
        <v>0</v>
      </c>
      <c r="I2830" s="2">
        <f>IF(AND(payments_raw[[#This Row],[sub_end_date]]&lt;&gt;"", payments_raw[[#This Row],[payment_date]] &gt; payments_raw[[#This Row],[sub_end_date]]), 1, 0)</f>
        <v>0</v>
      </c>
      <c r="J2830" s="2">
        <f>IF(payments_raw[[#This Row],[amount]] &lt;= 0, 1, 0)</f>
        <v>0</v>
      </c>
      <c r="K28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1" spans="1:11" x14ac:dyDescent="0.3">
      <c r="A2831">
        <v>91065376</v>
      </c>
      <c r="B2831">
        <v>9105487</v>
      </c>
      <c r="C2831" s="1">
        <v>45558</v>
      </c>
      <c r="D2831">
        <v>39</v>
      </c>
      <c r="E2831">
        <f>IF(
  ISNA(
    _xlfn.XLOOKUP(
      payments_raw[[#This Row],[subscription_id]],
      subscriptions[subscription_id],
      subscriptions[subscription_id]
    )
  ),
  0,
  1
)</f>
        <v>1</v>
      </c>
      <c r="F2831" s="1">
        <f>_xlfn.XLOOKUP(payments_raw[[#This Row],[subscription_id]], subscriptions[subscription_id], subscriptions[start_date])</f>
        <v>45163</v>
      </c>
      <c r="G28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1" s="2">
        <f>IF(payments_raw[[#This Row],[payment_date]] &lt; payments_raw[[#This Row],[sub_start_date]], 1, 0)</f>
        <v>0</v>
      </c>
      <c r="I2831" s="2">
        <f>IF(AND(payments_raw[[#This Row],[sub_end_date]]&lt;&gt;"", payments_raw[[#This Row],[payment_date]] &gt; payments_raw[[#This Row],[sub_end_date]]), 1, 0)</f>
        <v>0</v>
      </c>
      <c r="J2831" s="2">
        <f>IF(payments_raw[[#This Row],[amount]] &lt;= 0, 1, 0)</f>
        <v>0</v>
      </c>
      <c r="K28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2" spans="1:11" x14ac:dyDescent="0.3">
      <c r="A2832">
        <v>36845531</v>
      </c>
      <c r="B2832">
        <v>7916943</v>
      </c>
      <c r="C2832" s="1">
        <v>45574</v>
      </c>
      <c r="D2832">
        <v>19</v>
      </c>
      <c r="E2832">
        <f>IF(
  ISNA(
    _xlfn.XLOOKUP(
      payments_raw[[#This Row],[subscription_id]],
      subscriptions[subscription_id],
      subscriptions[subscription_id]
    )
  ),
  0,
  1
)</f>
        <v>1</v>
      </c>
      <c r="F2832" s="1">
        <f>_xlfn.XLOOKUP(payments_raw[[#This Row],[subscription_id]], subscriptions[subscription_id], subscriptions[start_date])</f>
        <v>45146</v>
      </c>
      <c r="G28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2" s="2">
        <f>IF(payments_raw[[#This Row],[payment_date]] &lt; payments_raw[[#This Row],[sub_start_date]], 1, 0)</f>
        <v>0</v>
      </c>
      <c r="I2832" s="2">
        <f>IF(AND(payments_raw[[#This Row],[sub_end_date]]&lt;&gt;"", payments_raw[[#This Row],[payment_date]] &gt; payments_raw[[#This Row],[sub_end_date]]), 1, 0)</f>
        <v>0</v>
      </c>
      <c r="J2832" s="2">
        <f>IF(payments_raw[[#This Row],[amount]] &lt;= 0, 1, 0)</f>
        <v>0</v>
      </c>
      <c r="K28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3" spans="1:11" x14ac:dyDescent="0.3">
      <c r="A2833">
        <v>53939110</v>
      </c>
      <c r="B2833">
        <v>8172232</v>
      </c>
      <c r="C2833" s="1">
        <v>45650</v>
      </c>
      <c r="D2833">
        <v>19</v>
      </c>
      <c r="E2833">
        <f>IF(
  ISNA(
    _xlfn.XLOOKUP(
      payments_raw[[#This Row],[subscription_id]],
      subscriptions[subscription_id],
      subscriptions[subscription_id]
    )
  ),
  0,
  1
)</f>
        <v>1</v>
      </c>
      <c r="F2833" s="1">
        <f>_xlfn.XLOOKUP(payments_raw[[#This Row],[subscription_id]], subscriptions[subscription_id], subscriptions[start_date])</f>
        <v>45345</v>
      </c>
      <c r="G28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3" s="2">
        <f>IF(payments_raw[[#This Row],[payment_date]] &lt; payments_raw[[#This Row],[sub_start_date]], 1, 0)</f>
        <v>0</v>
      </c>
      <c r="I2833" s="2">
        <f>IF(AND(payments_raw[[#This Row],[sub_end_date]]&lt;&gt;"", payments_raw[[#This Row],[payment_date]] &gt; payments_raw[[#This Row],[sub_end_date]]), 1, 0)</f>
        <v>0</v>
      </c>
      <c r="J2833" s="2">
        <f>IF(payments_raw[[#This Row],[amount]] &lt;= 0, 1, 0)</f>
        <v>0</v>
      </c>
      <c r="K28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4" spans="1:11" x14ac:dyDescent="0.3">
      <c r="A2834">
        <v>67588035</v>
      </c>
      <c r="B2834">
        <v>5837546</v>
      </c>
      <c r="C2834" s="1">
        <v>45509</v>
      </c>
      <c r="D2834">
        <v>39</v>
      </c>
      <c r="E2834">
        <f>IF(
  ISNA(
    _xlfn.XLOOKUP(
      payments_raw[[#This Row],[subscription_id]],
      subscriptions[subscription_id],
      subscriptions[subscription_id]
    )
  ),
  0,
  1
)</f>
        <v>1</v>
      </c>
      <c r="F2834" s="1">
        <f>_xlfn.XLOOKUP(payments_raw[[#This Row],[subscription_id]], subscriptions[subscription_id], subscriptions[start_date])</f>
        <v>45444</v>
      </c>
      <c r="G28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4" s="2">
        <f>IF(payments_raw[[#This Row],[payment_date]] &lt; payments_raw[[#This Row],[sub_start_date]], 1, 0)</f>
        <v>0</v>
      </c>
      <c r="I2834" s="2">
        <f>IF(AND(payments_raw[[#This Row],[sub_end_date]]&lt;&gt;"", payments_raw[[#This Row],[payment_date]] &gt; payments_raw[[#This Row],[sub_end_date]]), 1, 0)</f>
        <v>0</v>
      </c>
      <c r="J2834" s="2">
        <f>IF(payments_raw[[#This Row],[amount]] &lt;= 0, 1, 0)</f>
        <v>0</v>
      </c>
      <c r="K28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5" spans="1:11" x14ac:dyDescent="0.3">
      <c r="A2835">
        <v>52180686</v>
      </c>
      <c r="B2835">
        <v>9971807</v>
      </c>
      <c r="C2835" s="1">
        <v>45560</v>
      </c>
      <c r="D2835">
        <v>790</v>
      </c>
      <c r="E2835">
        <f>IF(
  ISNA(
    _xlfn.XLOOKUP(
      payments_raw[[#This Row],[subscription_id]],
      subscriptions[subscription_id],
      subscriptions[subscription_id]
    )
  ),
  0,
  1
)</f>
        <v>1</v>
      </c>
      <c r="F2835" s="1">
        <f>_xlfn.XLOOKUP(payments_raw[[#This Row],[subscription_id]], subscriptions[subscription_id], subscriptions[start_date])</f>
        <v>45511</v>
      </c>
      <c r="G28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5" s="2">
        <f>IF(payments_raw[[#This Row],[payment_date]] &lt; payments_raw[[#This Row],[sub_start_date]], 1, 0)</f>
        <v>0</v>
      </c>
      <c r="I2835" s="2">
        <f>IF(AND(payments_raw[[#This Row],[sub_end_date]]&lt;&gt;"", payments_raw[[#This Row],[payment_date]] &gt; payments_raw[[#This Row],[sub_end_date]]), 1, 0)</f>
        <v>0</v>
      </c>
      <c r="J2835" s="2">
        <f>IF(payments_raw[[#This Row],[amount]] &lt;= 0, 1, 0)</f>
        <v>0</v>
      </c>
      <c r="K28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6" spans="1:11" x14ac:dyDescent="0.3">
      <c r="A2836">
        <v>53173686</v>
      </c>
      <c r="B2836">
        <v>2542997</v>
      </c>
      <c r="C2836" s="1">
        <v>45485</v>
      </c>
      <c r="D2836">
        <v>39</v>
      </c>
      <c r="E2836">
        <f>IF(
  ISNA(
    _xlfn.XLOOKUP(
      payments_raw[[#This Row],[subscription_id]],
      subscriptions[subscription_id],
      subscriptions[subscription_id]
    )
  ),
  0,
  1
)</f>
        <v>1</v>
      </c>
      <c r="F2836" s="1">
        <f>_xlfn.XLOOKUP(payments_raw[[#This Row],[subscription_id]], subscriptions[subscription_id], subscriptions[start_date])</f>
        <v>45275</v>
      </c>
      <c r="G283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2836" s="2">
        <f>IF(payments_raw[[#This Row],[payment_date]] &lt; payments_raw[[#This Row],[sub_start_date]], 1, 0)</f>
        <v>0</v>
      </c>
      <c r="I2836" s="2">
        <f>IF(AND(payments_raw[[#This Row],[sub_end_date]]&lt;&gt;"", payments_raw[[#This Row],[payment_date]] &gt; payments_raw[[#This Row],[sub_end_date]]), 1, 0)</f>
        <v>0</v>
      </c>
      <c r="J2836" s="2">
        <f>IF(payments_raw[[#This Row],[amount]] &lt;= 0, 1, 0)</f>
        <v>0</v>
      </c>
      <c r="K28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7" spans="1:11" x14ac:dyDescent="0.3">
      <c r="A2837">
        <v>73577592</v>
      </c>
      <c r="B2837">
        <v>4349443</v>
      </c>
      <c r="C2837" s="1">
        <v>45652</v>
      </c>
      <c r="D2837">
        <v>39</v>
      </c>
      <c r="E2837">
        <f>IF(
  ISNA(
    _xlfn.XLOOKUP(
      payments_raw[[#This Row],[subscription_id]],
      subscriptions[subscription_id],
      subscriptions[subscription_id]
    )
  ),
  0,
  1
)</f>
        <v>1</v>
      </c>
      <c r="F2837" s="1">
        <f>_xlfn.XLOOKUP(payments_raw[[#This Row],[subscription_id]], subscriptions[subscription_id], subscriptions[start_date])</f>
        <v>45524</v>
      </c>
      <c r="G28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37" s="2">
        <f>IF(payments_raw[[#This Row],[payment_date]] &lt; payments_raw[[#This Row],[sub_start_date]], 1, 0)</f>
        <v>0</v>
      </c>
      <c r="I2837" s="2">
        <f>IF(AND(payments_raw[[#This Row],[sub_end_date]]&lt;&gt;"", payments_raw[[#This Row],[payment_date]] &gt; payments_raw[[#This Row],[sub_end_date]]), 1, 0)</f>
        <v>0</v>
      </c>
      <c r="J2837" s="2">
        <f>IF(payments_raw[[#This Row],[amount]] &lt;= 0, 1, 0)</f>
        <v>0</v>
      </c>
      <c r="K28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8" spans="1:11" x14ac:dyDescent="0.3">
      <c r="A2838">
        <v>72192924</v>
      </c>
      <c r="B2838">
        <v>1880336</v>
      </c>
      <c r="C2838" s="1">
        <v>45057</v>
      </c>
      <c r="D2838">
        <v>149</v>
      </c>
      <c r="E2838">
        <f>IF(
  ISNA(
    _xlfn.XLOOKUP(
      payments_raw[[#This Row],[subscription_id]],
      subscriptions[subscription_id],
      subscriptions[subscription_id]
    )
  ),
  0,
  1
)</f>
        <v>1</v>
      </c>
      <c r="F2838" s="1">
        <f>_xlfn.XLOOKUP(payments_raw[[#This Row],[subscription_id]], subscriptions[subscription_id], subscriptions[start_date])</f>
        <v>44802</v>
      </c>
      <c r="G28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45164</v>
      </c>
      <c r="H2838" s="2">
        <f>IF(payments_raw[[#This Row],[payment_date]] &lt; payments_raw[[#This Row],[sub_start_date]], 1, 0)</f>
        <v>0</v>
      </c>
      <c r="I2838" s="2">
        <f>IF(AND(payments_raw[[#This Row],[sub_end_date]]&lt;&gt;"", payments_raw[[#This Row],[payment_date]] &gt; payments_raw[[#This Row],[sub_end_date]]), 1, 0)</f>
        <v>0</v>
      </c>
      <c r="J2838" s="2">
        <f>IF(payments_raw[[#This Row],[amount]] &lt;= 0, 1, 0)</f>
        <v>0</v>
      </c>
      <c r="K28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39" spans="1:11" x14ac:dyDescent="0.3">
      <c r="A2839">
        <v>56206051</v>
      </c>
      <c r="B2839">
        <v>6692359</v>
      </c>
      <c r="C2839" s="1">
        <v>45535</v>
      </c>
      <c r="D2839">
        <v>2990</v>
      </c>
      <c r="E2839">
        <f>IF(
  ISNA(
    _xlfn.XLOOKUP(
      payments_raw[[#This Row],[subscription_id]],
      subscriptions[subscription_id],
      subscriptions[subscription_id]
    )
  ),
  0,
  1
)</f>
        <v>1</v>
      </c>
      <c r="F2839" s="1">
        <f>_xlfn.XLOOKUP(payments_raw[[#This Row],[subscription_id]], subscriptions[subscription_id], subscriptions[start_date])</f>
        <v>45503</v>
      </c>
      <c r="G28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45604</v>
      </c>
      <c r="H2839" s="2">
        <f>IF(payments_raw[[#This Row],[payment_date]] &lt; payments_raw[[#This Row],[sub_start_date]], 1, 0)</f>
        <v>0</v>
      </c>
      <c r="I2839" s="2">
        <f>IF(AND(payments_raw[[#This Row],[sub_end_date]]&lt;&gt;"", payments_raw[[#This Row],[payment_date]] &gt; payments_raw[[#This Row],[sub_end_date]]), 1, 0)</f>
        <v>0</v>
      </c>
      <c r="J2839" s="2">
        <f>IF(payments_raw[[#This Row],[amount]] &lt;= 0, 1, 0)</f>
        <v>0</v>
      </c>
      <c r="K28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0" spans="1:11" x14ac:dyDescent="0.3">
      <c r="A2840">
        <v>20331334</v>
      </c>
      <c r="B2840">
        <v>8358018</v>
      </c>
      <c r="C2840" s="1">
        <v>45611</v>
      </c>
      <c r="D2840">
        <v>390</v>
      </c>
      <c r="E2840">
        <f>IF(
  ISNA(
    _xlfn.XLOOKUP(
      payments_raw[[#This Row],[subscription_id]],
      subscriptions[subscription_id],
      subscriptions[subscription_id]
    )
  ),
  0,
  1
)</f>
        <v>1</v>
      </c>
      <c r="F2840" s="1">
        <f>_xlfn.XLOOKUP(payments_raw[[#This Row],[subscription_id]], subscriptions[subscription_id], subscriptions[start_date])</f>
        <v>45461</v>
      </c>
      <c r="G28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0" s="2">
        <f>IF(payments_raw[[#This Row],[payment_date]] &lt; payments_raw[[#This Row],[sub_start_date]], 1, 0)</f>
        <v>0</v>
      </c>
      <c r="I2840" s="2">
        <f>IF(AND(payments_raw[[#This Row],[sub_end_date]]&lt;&gt;"", payments_raw[[#This Row],[payment_date]] &gt; payments_raw[[#This Row],[sub_end_date]]), 1, 0)</f>
        <v>0</v>
      </c>
      <c r="J2840" s="2">
        <f>IF(payments_raw[[#This Row],[amount]] &lt;= 0, 1, 0)</f>
        <v>0</v>
      </c>
      <c r="K28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1" spans="1:11" x14ac:dyDescent="0.3">
      <c r="A2841">
        <v>13707261</v>
      </c>
      <c r="B2841">
        <v>7556539</v>
      </c>
      <c r="C2841" s="1">
        <v>45015</v>
      </c>
      <c r="D2841">
        <v>790</v>
      </c>
      <c r="E2841">
        <f>IF(
  ISNA(
    _xlfn.XLOOKUP(
      payments_raw[[#This Row],[subscription_id]],
      subscriptions[subscription_id],
      subscriptions[subscription_id]
    )
  ),
  0,
  1
)</f>
        <v>1</v>
      </c>
      <c r="F2841" s="1">
        <f>_xlfn.XLOOKUP(payments_raw[[#This Row],[subscription_id]], subscriptions[subscription_id], subscriptions[start_date])</f>
        <v>44768</v>
      </c>
      <c r="G28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1" s="2">
        <f>IF(payments_raw[[#This Row],[payment_date]] &lt; payments_raw[[#This Row],[sub_start_date]], 1, 0)</f>
        <v>0</v>
      </c>
      <c r="I2841" s="2">
        <f>IF(AND(payments_raw[[#This Row],[sub_end_date]]&lt;&gt;"", payments_raw[[#This Row],[payment_date]] &gt; payments_raw[[#This Row],[sub_end_date]]), 1, 0)</f>
        <v>0</v>
      </c>
      <c r="J2841" s="2">
        <f>IF(payments_raw[[#This Row],[amount]] &lt;= 0, 1, 0)</f>
        <v>0</v>
      </c>
      <c r="K28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2" spans="1:11" x14ac:dyDescent="0.3">
      <c r="A2842">
        <v>80728547</v>
      </c>
      <c r="B2842">
        <v>2402500</v>
      </c>
      <c r="C2842" s="1">
        <v>45375</v>
      </c>
      <c r="D2842">
        <v>1490</v>
      </c>
      <c r="E2842">
        <f>IF(
  ISNA(
    _xlfn.XLOOKUP(
      payments_raw[[#This Row],[subscription_id]],
      subscriptions[subscription_id],
      subscriptions[subscription_id]
    )
  ),
  0,
  1
)</f>
        <v>1</v>
      </c>
      <c r="F2842" s="1">
        <f>_xlfn.XLOOKUP(payments_raw[[#This Row],[subscription_id]], subscriptions[subscription_id], subscriptions[start_date])</f>
        <v>45110</v>
      </c>
      <c r="G28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2" s="2">
        <f>IF(payments_raw[[#This Row],[payment_date]] &lt; payments_raw[[#This Row],[sub_start_date]], 1, 0)</f>
        <v>0</v>
      </c>
      <c r="I2842" s="2">
        <f>IF(AND(payments_raw[[#This Row],[sub_end_date]]&lt;&gt;"", payments_raw[[#This Row],[payment_date]] &gt; payments_raw[[#This Row],[sub_end_date]]), 1, 0)</f>
        <v>0</v>
      </c>
      <c r="J2842" s="2">
        <f>IF(payments_raw[[#This Row],[amount]] &lt;= 0, 1, 0)</f>
        <v>0</v>
      </c>
      <c r="K28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3" spans="1:11" x14ac:dyDescent="0.3">
      <c r="A2843">
        <v>34283701</v>
      </c>
      <c r="B2843">
        <v>3341247</v>
      </c>
      <c r="C2843" s="1">
        <v>44858</v>
      </c>
      <c r="D2843">
        <v>1490</v>
      </c>
      <c r="E2843">
        <f>IF(
  ISNA(
    _xlfn.XLOOKUP(
      payments_raw[[#This Row],[subscription_id]],
      subscriptions[subscription_id],
      subscriptions[subscription_id]
    )
  ),
  0,
  1
)</f>
        <v>1</v>
      </c>
      <c r="F2843" s="1">
        <f>_xlfn.XLOOKUP(payments_raw[[#This Row],[subscription_id]], subscriptions[subscription_id], subscriptions[start_date])</f>
        <v>44828</v>
      </c>
      <c r="G284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2843" s="2">
        <f>IF(payments_raw[[#This Row],[payment_date]] &lt; payments_raw[[#This Row],[sub_start_date]], 1, 0)</f>
        <v>0</v>
      </c>
      <c r="I2843" s="2">
        <f>IF(AND(payments_raw[[#This Row],[sub_end_date]]&lt;&gt;"", payments_raw[[#This Row],[payment_date]] &gt; payments_raw[[#This Row],[sub_end_date]]), 1, 0)</f>
        <v>0</v>
      </c>
      <c r="J2843" s="2">
        <f>IF(payments_raw[[#This Row],[amount]] &lt;= 0, 1, 0)</f>
        <v>0</v>
      </c>
      <c r="K28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4" spans="1:11" x14ac:dyDescent="0.3">
      <c r="A2844">
        <v>64014743</v>
      </c>
      <c r="B2844">
        <v>3553581</v>
      </c>
      <c r="C2844" s="1">
        <v>45621</v>
      </c>
      <c r="D2844">
        <v>149</v>
      </c>
      <c r="E2844">
        <f>IF(
  ISNA(
    _xlfn.XLOOKUP(
      payments_raw[[#This Row],[subscription_id]],
      subscriptions[subscription_id],
      subscriptions[subscription_id]
    )
  ),
  0,
  1
)</f>
        <v>1</v>
      </c>
      <c r="F2844" s="1">
        <f>_xlfn.XLOOKUP(payments_raw[[#This Row],[subscription_id]], subscriptions[subscription_id], subscriptions[start_date])</f>
        <v>45238</v>
      </c>
      <c r="G28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4" s="2">
        <f>IF(payments_raw[[#This Row],[payment_date]] &lt; payments_raw[[#This Row],[sub_start_date]], 1, 0)</f>
        <v>0</v>
      </c>
      <c r="I2844" s="2">
        <f>IF(AND(payments_raw[[#This Row],[sub_end_date]]&lt;&gt;"", payments_raw[[#This Row],[payment_date]] &gt; payments_raw[[#This Row],[sub_end_date]]), 1, 0)</f>
        <v>0</v>
      </c>
      <c r="J2844" s="2">
        <f>IF(payments_raw[[#This Row],[amount]] &lt;= 0, 1, 0)</f>
        <v>0</v>
      </c>
      <c r="K28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5" spans="1:11" x14ac:dyDescent="0.3">
      <c r="A2845">
        <v>71128345</v>
      </c>
      <c r="B2845">
        <v>2657259</v>
      </c>
      <c r="C2845" s="1">
        <v>44934</v>
      </c>
      <c r="D2845">
        <v>79</v>
      </c>
      <c r="E2845">
        <f>IF(
  ISNA(
    _xlfn.XLOOKUP(
      payments_raw[[#This Row],[subscription_id]],
      subscriptions[subscription_id],
      subscriptions[subscription_id]
    )
  ),
  0,
  1
)</f>
        <v>1</v>
      </c>
      <c r="F2845" s="1">
        <f>_xlfn.XLOOKUP(payments_raw[[#This Row],[subscription_id]], subscriptions[subscription_id], subscriptions[start_date])</f>
        <v>44748</v>
      </c>
      <c r="G284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44942</v>
      </c>
      <c r="H2845" s="2">
        <f>IF(payments_raw[[#This Row],[payment_date]] &lt; payments_raw[[#This Row],[sub_start_date]], 1, 0)</f>
        <v>0</v>
      </c>
      <c r="I2845" s="2">
        <f>IF(AND(payments_raw[[#This Row],[sub_end_date]]&lt;&gt;"", payments_raw[[#This Row],[payment_date]] &gt; payments_raw[[#This Row],[sub_end_date]]), 1, 0)</f>
        <v>0</v>
      </c>
      <c r="J2845" s="2">
        <f>IF(payments_raw[[#This Row],[amount]] &lt;= 0, 1, 0)</f>
        <v>0</v>
      </c>
      <c r="K28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6" spans="1:11" x14ac:dyDescent="0.3">
      <c r="A2846">
        <v>18004248</v>
      </c>
      <c r="B2846">
        <v>3017289</v>
      </c>
      <c r="C2846" s="1">
        <v>45543</v>
      </c>
      <c r="D2846">
        <v>299</v>
      </c>
      <c r="E2846">
        <f>IF(
  ISNA(
    _xlfn.XLOOKUP(
      payments_raw[[#This Row],[subscription_id]],
      subscriptions[subscription_id],
      subscriptions[subscription_id]
    )
  ),
  0,
  1
)</f>
        <v>1</v>
      </c>
      <c r="F2846" s="1">
        <f>_xlfn.XLOOKUP(payments_raw[[#This Row],[subscription_id]], subscriptions[subscription_id], subscriptions[start_date])</f>
        <v>45453</v>
      </c>
      <c r="G28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45574</v>
      </c>
      <c r="H2846" s="2">
        <f>IF(payments_raw[[#This Row],[payment_date]] &lt; payments_raw[[#This Row],[sub_start_date]], 1, 0)</f>
        <v>0</v>
      </c>
      <c r="I2846" s="2">
        <f>IF(AND(payments_raw[[#This Row],[sub_end_date]]&lt;&gt;"", payments_raw[[#This Row],[payment_date]] &gt; payments_raw[[#This Row],[sub_end_date]]), 1, 0)</f>
        <v>0</v>
      </c>
      <c r="J2846" s="2">
        <f>IF(payments_raw[[#This Row],[amount]] &lt;= 0, 1, 0)</f>
        <v>0</v>
      </c>
      <c r="K28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7" spans="1:11" x14ac:dyDescent="0.3">
      <c r="A2847">
        <v>96364402</v>
      </c>
      <c r="B2847">
        <v>6086875</v>
      </c>
      <c r="C2847" s="1">
        <v>45070</v>
      </c>
      <c r="D2847">
        <v>190</v>
      </c>
      <c r="E2847">
        <f>IF(
  ISNA(
    _xlfn.XLOOKUP(
      payments_raw[[#This Row],[subscription_id]],
      subscriptions[subscription_id],
      subscriptions[subscription_id]
    )
  ),
  0,
  1
)</f>
        <v>1</v>
      </c>
      <c r="F2847" s="1">
        <f>_xlfn.XLOOKUP(payments_raw[[#This Row],[subscription_id]], subscriptions[subscription_id], subscriptions[start_date])</f>
        <v>45061</v>
      </c>
      <c r="G28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45116</v>
      </c>
      <c r="H2847" s="2">
        <f>IF(payments_raw[[#This Row],[payment_date]] &lt; payments_raw[[#This Row],[sub_start_date]], 1, 0)</f>
        <v>0</v>
      </c>
      <c r="I2847" s="2">
        <f>IF(AND(payments_raw[[#This Row],[sub_end_date]]&lt;&gt;"", payments_raw[[#This Row],[payment_date]] &gt; payments_raw[[#This Row],[sub_end_date]]), 1, 0)</f>
        <v>0</v>
      </c>
      <c r="J2847" s="2">
        <f>IF(payments_raw[[#This Row],[amount]] &lt;= 0, 1, 0)</f>
        <v>0</v>
      </c>
      <c r="K28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8" spans="1:11" x14ac:dyDescent="0.3">
      <c r="A2848">
        <v>24283027</v>
      </c>
      <c r="B2848">
        <v>5595368</v>
      </c>
      <c r="C2848" s="1">
        <v>45429</v>
      </c>
      <c r="D2848">
        <v>790</v>
      </c>
      <c r="E2848">
        <f>IF(
  ISNA(
    _xlfn.XLOOKUP(
      payments_raw[[#This Row],[subscription_id]],
      subscriptions[subscription_id],
      subscriptions[subscription_id]
    )
  ),
  0,
  1
)</f>
        <v>1</v>
      </c>
      <c r="F2848" s="1">
        <f>_xlfn.XLOOKUP(payments_raw[[#This Row],[subscription_id]], subscriptions[subscription_id], subscriptions[start_date])</f>
        <v>45391</v>
      </c>
      <c r="G28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8" s="2">
        <f>IF(payments_raw[[#This Row],[payment_date]] &lt; payments_raw[[#This Row],[sub_start_date]], 1, 0)</f>
        <v>0</v>
      </c>
      <c r="I2848" s="2">
        <f>IF(AND(payments_raw[[#This Row],[sub_end_date]]&lt;&gt;"", payments_raw[[#This Row],[payment_date]] &gt; payments_raw[[#This Row],[sub_end_date]]), 1, 0)</f>
        <v>0</v>
      </c>
      <c r="J2848" s="2">
        <f>IF(payments_raw[[#This Row],[amount]] &lt;= 0, 1, 0)</f>
        <v>0</v>
      </c>
      <c r="K28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49" spans="1:11" x14ac:dyDescent="0.3">
      <c r="A2849">
        <v>59793666</v>
      </c>
      <c r="B2849">
        <v>2700165</v>
      </c>
      <c r="C2849" s="1">
        <v>45610</v>
      </c>
      <c r="D2849">
        <v>299</v>
      </c>
      <c r="E2849">
        <f>IF(
  ISNA(
    _xlfn.XLOOKUP(
      payments_raw[[#This Row],[subscription_id]],
      subscriptions[subscription_id],
      subscriptions[subscription_id]
    )
  ),
  0,
  1
)</f>
        <v>1</v>
      </c>
      <c r="F2849" s="1">
        <f>_xlfn.XLOOKUP(payments_raw[[#This Row],[subscription_id]], subscriptions[subscription_id], subscriptions[start_date])</f>
        <v>45444</v>
      </c>
      <c r="G28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49" s="2">
        <f>IF(payments_raw[[#This Row],[payment_date]] &lt; payments_raw[[#This Row],[sub_start_date]], 1, 0)</f>
        <v>0</v>
      </c>
      <c r="I2849" s="2">
        <f>IF(AND(payments_raw[[#This Row],[sub_end_date]]&lt;&gt;"", payments_raw[[#This Row],[payment_date]] &gt; payments_raw[[#This Row],[sub_end_date]]), 1, 0)</f>
        <v>0</v>
      </c>
      <c r="J2849" s="2">
        <f>IF(payments_raw[[#This Row],[amount]] &lt;= 0, 1, 0)</f>
        <v>0</v>
      </c>
      <c r="K28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0" spans="1:11" x14ac:dyDescent="0.3">
      <c r="A2850">
        <v>67166869</v>
      </c>
      <c r="B2850">
        <v>6034195</v>
      </c>
      <c r="C2850" s="1">
        <v>45613</v>
      </c>
      <c r="D2850">
        <v>790</v>
      </c>
      <c r="E2850">
        <f>IF(
  ISNA(
    _xlfn.XLOOKUP(
      payments_raw[[#This Row],[subscription_id]],
      subscriptions[subscription_id],
      subscriptions[subscription_id]
    )
  ),
  0,
  1
)</f>
        <v>1</v>
      </c>
      <c r="F2850" s="1">
        <f>_xlfn.XLOOKUP(payments_raw[[#This Row],[subscription_id]], subscriptions[subscription_id], subscriptions[start_date])</f>
        <v>44992</v>
      </c>
      <c r="G28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0" s="2">
        <f>IF(payments_raw[[#This Row],[payment_date]] &lt; payments_raw[[#This Row],[sub_start_date]], 1, 0)</f>
        <v>0</v>
      </c>
      <c r="I2850" s="2">
        <f>IF(AND(payments_raw[[#This Row],[sub_end_date]]&lt;&gt;"", payments_raw[[#This Row],[payment_date]] &gt; payments_raw[[#This Row],[sub_end_date]]), 1, 0)</f>
        <v>0</v>
      </c>
      <c r="J2850" s="2">
        <f>IF(payments_raw[[#This Row],[amount]] &lt;= 0, 1, 0)</f>
        <v>0</v>
      </c>
      <c r="K28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1" spans="1:11" x14ac:dyDescent="0.3">
      <c r="A2851">
        <v>76010936</v>
      </c>
      <c r="B2851">
        <v>4551099</v>
      </c>
      <c r="C2851" s="1">
        <v>45236</v>
      </c>
      <c r="D2851">
        <v>19</v>
      </c>
      <c r="E2851">
        <f>IF(
  ISNA(
    _xlfn.XLOOKUP(
      payments_raw[[#This Row],[subscription_id]],
      subscriptions[subscription_id],
      subscriptions[subscription_id]
    )
  ),
  0,
  1
)</f>
        <v>1</v>
      </c>
      <c r="F2851" s="1">
        <f>_xlfn.XLOOKUP(payments_raw[[#This Row],[subscription_id]], subscriptions[subscription_id], subscriptions[start_date])</f>
        <v>45182</v>
      </c>
      <c r="G285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1" s="2">
        <f>IF(payments_raw[[#This Row],[payment_date]] &lt; payments_raw[[#This Row],[sub_start_date]], 1, 0)</f>
        <v>0</v>
      </c>
      <c r="I2851" s="2">
        <f>IF(AND(payments_raw[[#This Row],[sub_end_date]]&lt;&gt;"", payments_raw[[#This Row],[payment_date]] &gt; payments_raw[[#This Row],[sub_end_date]]), 1, 0)</f>
        <v>0</v>
      </c>
      <c r="J2851" s="2">
        <f>IF(payments_raw[[#This Row],[amount]] &lt;= 0, 1, 0)</f>
        <v>0</v>
      </c>
      <c r="K28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2" spans="1:11" x14ac:dyDescent="0.3">
      <c r="A2852">
        <v>17678081</v>
      </c>
      <c r="B2852">
        <v>8503322</v>
      </c>
      <c r="C2852" s="1">
        <v>45604</v>
      </c>
      <c r="D2852">
        <v>19</v>
      </c>
      <c r="E2852">
        <f>IF(
  ISNA(
    _xlfn.XLOOKUP(
      payments_raw[[#This Row],[subscription_id]],
      subscriptions[subscription_id],
      subscriptions[subscription_id]
    )
  ),
  0,
  1
)</f>
        <v>1</v>
      </c>
      <c r="F2852" s="1">
        <f>_xlfn.XLOOKUP(payments_raw[[#This Row],[subscription_id]], subscriptions[subscription_id], subscriptions[start_date])</f>
        <v>45205</v>
      </c>
      <c r="G28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2" s="2">
        <f>IF(payments_raw[[#This Row],[payment_date]] &lt; payments_raw[[#This Row],[sub_start_date]], 1, 0)</f>
        <v>0</v>
      </c>
      <c r="I2852" s="2">
        <f>IF(AND(payments_raw[[#This Row],[sub_end_date]]&lt;&gt;"", payments_raw[[#This Row],[payment_date]] &gt; payments_raw[[#This Row],[sub_end_date]]), 1, 0)</f>
        <v>0</v>
      </c>
      <c r="J2852" s="2">
        <f>IF(payments_raw[[#This Row],[amount]] &lt;= 0, 1, 0)</f>
        <v>0</v>
      </c>
      <c r="K28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3" spans="1:11" x14ac:dyDescent="0.3">
      <c r="A2853">
        <v>92783895</v>
      </c>
      <c r="B2853">
        <v>9004511</v>
      </c>
      <c r="C2853" s="1">
        <v>45115</v>
      </c>
      <c r="D2853">
        <v>190</v>
      </c>
      <c r="E2853">
        <f>IF(
  ISNA(
    _xlfn.XLOOKUP(
      payments_raw[[#This Row],[subscription_id]],
      subscriptions[subscription_id],
      subscriptions[subscription_id]
    )
  ),
  0,
  1
)</f>
        <v>1</v>
      </c>
      <c r="F2853" s="1">
        <f>_xlfn.XLOOKUP(payments_raw[[#This Row],[subscription_id]], subscriptions[subscription_id], subscriptions[start_date])</f>
        <v>44837</v>
      </c>
      <c r="G28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2853" s="2">
        <f>IF(payments_raw[[#This Row],[payment_date]] &lt; payments_raw[[#This Row],[sub_start_date]], 1, 0)</f>
        <v>0</v>
      </c>
      <c r="I2853" s="2">
        <f>IF(AND(payments_raw[[#This Row],[sub_end_date]]&lt;&gt;"", payments_raw[[#This Row],[payment_date]] &gt; payments_raw[[#This Row],[sub_end_date]]), 1, 0)</f>
        <v>0</v>
      </c>
      <c r="J2853" s="2">
        <f>IF(payments_raw[[#This Row],[amount]] &lt;= 0, 1, 0)</f>
        <v>0</v>
      </c>
      <c r="K28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4" spans="1:11" x14ac:dyDescent="0.3">
      <c r="A2854">
        <v>48782228</v>
      </c>
      <c r="B2854">
        <v>2806251</v>
      </c>
      <c r="C2854" s="1">
        <v>45550</v>
      </c>
      <c r="D2854">
        <v>1490</v>
      </c>
      <c r="E2854">
        <f>IF(
  ISNA(
    _xlfn.XLOOKUP(
      payments_raw[[#This Row],[subscription_id]],
      subscriptions[subscription_id],
      subscriptions[subscription_id]
    )
  ),
  0,
  1
)</f>
        <v>1</v>
      </c>
      <c r="F2854" s="1">
        <f>_xlfn.XLOOKUP(payments_raw[[#This Row],[subscription_id]], subscriptions[subscription_id], subscriptions[start_date])</f>
        <v>45482</v>
      </c>
      <c r="G28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4" s="2">
        <f>IF(payments_raw[[#This Row],[payment_date]] &lt; payments_raw[[#This Row],[sub_start_date]], 1, 0)</f>
        <v>0</v>
      </c>
      <c r="I2854" s="2">
        <f>IF(AND(payments_raw[[#This Row],[sub_end_date]]&lt;&gt;"", payments_raw[[#This Row],[payment_date]] &gt; payments_raw[[#This Row],[sub_end_date]]), 1, 0)</f>
        <v>0</v>
      </c>
      <c r="J2854" s="2">
        <f>IF(payments_raw[[#This Row],[amount]] &lt;= 0, 1, 0)</f>
        <v>0</v>
      </c>
      <c r="K28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5" spans="1:11" x14ac:dyDescent="0.3">
      <c r="A2855">
        <v>64243868</v>
      </c>
      <c r="B2855">
        <v>4127701</v>
      </c>
      <c r="C2855" s="1">
        <v>45608</v>
      </c>
      <c r="D2855">
        <v>2990</v>
      </c>
      <c r="E2855">
        <f>IF(
  ISNA(
    _xlfn.XLOOKUP(
      payments_raw[[#This Row],[subscription_id]],
      subscriptions[subscription_id],
      subscriptions[subscription_id]
    )
  ),
  0,
  1
)</f>
        <v>1</v>
      </c>
      <c r="F2855" s="1">
        <f>_xlfn.XLOOKUP(payments_raw[[#This Row],[subscription_id]], subscriptions[subscription_id], subscriptions[start_date])</f>
        <v>45535</v>
      </c>
      <c r="G28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5" s="2">
        <f>IF(payments_raw[[#This Row],[payment_date]] &lt; payments_raw[[#This Row],[sub_start_date]], 1, 0)</f>
        <v>0</v>
      </c>
      <c r="I2855" s="2">
        <f>IF(AND(payments_raw[[#This Row],[sub_end_date]]&lt;&gt;"", payments_raw[[#This Row],[payment_date]] &gt; payments_raw[[#This Row],[sub_end_date]]), 1, 0)</f>
        <v>0</v>
      </c>
      <c r="J2855" s="2">
        <f>IF(payments_raw[[#This Row],[amount]] &lt;= 0, 1, 0)</f>
        <v>0</v>
      </c>
      <c r="K28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6" spans="1:11" x14ac:dyDescent="0.3">
      <c r="A2856">
        <v>14346230</v>
      </c>
      <c r="B2856">
        <v>8216043</v>
      </c>
      <c r="C2856" s="1">
        <v>45626</v>
      </c>
      <c r="D2856">
        <v>2990</v>
      </c>
      <c r="E2856">
        <f>IF(
  ISNA(
    _xlfn.XLOOKUP(
      payments_raw[[#This Row],[subscription_id]],
      subscriptions[subscription_id],
      subscriptions[subscription_id]
    )
  ),
  0,
  1
)</f>
        <v>1</v>
      </c>
      <c r="F2856" s="1">
        <f>_xlfn.XLOOKUP(payments_raw[[#This Row],[subscription_id]], subscriptions[subscription_id], subscriptions[start_date])</f>
        <v>45531</v>
      </c>
      <c r="G28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6" s="2">
        <f>IF(payments_raw[[#This Row],[payment_date]] &lt; payments_raw[[#This Row],[sub_start_date]], 1, 0)</f>
        <v>0</v>
      </c>
      <c r="I2856" s="2">
        <f>IF(AND(payments_raw[[#This Row],[sub_end_date]]&lt;&gt;"", payments_raw[[#This Row],[payment_date]] &gt; payments_raw[[#This Row],[sub_end_date]]), 1, 0)</f>
        <v>0</v>
      </c>
      <c r="J2856" s="2">
        <f>IF(payments_raw[[#This Row],[amount]] &lt;= 0, 1, 0)</f>
        <v>0</v>
      </c>
      <c r="K28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7" spans="1:11" x14ac:dyDescent="0.3">
      <c r="A2857">
        <v>23900306</v>
      </c>
      <c r="B2857">
        <v>2333367</v>
      </c>
      <c r="C2857" s="1">
        <v>44773</v>
      </c>
      <c r="D2857">
        <v>19</v>
      </c>
      <c r="E2857">
        <f>IF(
  ISNA(
    _xlfn.XLOOKUP(
      payments_raw[[#This Row],[subscription_id]],
      subscriptions[subscription_id],
      subscriptions[subscription_id]
    )
  ),
  0,
  1
)</f>
        <v>1</v>
      </c>
      <c r="F2857" s="1">
        <f>_xlfn.XLOOKUP(payments_raw[[#This Row],[subscription_id]], subscriptions[subscription_id], subscriptions[start_date])</f>
        <v>44719</v>
      </c>
      <c r="G2857" s="1">
        <f>IF(_xlfn.XLOOKUP(payments_raw[[#This Row],[subscription_id]], subscriptions[subscription_id], subscriptions[end_date])=0,"",_xlfn.XLOOKUP(payments_raw[[#This Row],[subscription_id]], subscriptions[subscription_id], subscriptions[end_date]))</f>
        <v>44796</v>
      </c>
      <c r="H2857" s="2">
        <f>IF(payments_raw[[#This Row],[payment_date]] &lt; payments_raw[[#This Row],[sub_start_date]], 1, 0)</f>
        <v>0</v>
      </c>
      <c r="I2857" s="2">
        <f>IF(AND(payments_raw[[#This Row],[sub_end_date]]&lt;&gt;"", payments_raw[[#This Row],[payment_date]] &gt; payments_raw[[#This Row],[sub_end_date]]), 1, 0)</f>
        <v>0</v>
      </c>
      <c r="J2857" s="2">
        <f>IF(payments_raw[[#This Row],[amount]] &lt;= 0, 1, 0)</f>
        <v>0</v>
      </c>
      <c r="K28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8" spans="1:11" x14ac:dyDescent="0.3">
      <c r="A2858">
        <v>11055438</v>
      </c>
      <c r="B2858">
        <v>4291258</v>
      </c>
      <c r="C2858" s="1">
        <v>45351</v>
      </c>
      <c r="D2858">
        <v>299</v>
      </c>
      <c r="E2858">
        <f>IF(
  ISNA(
    _xlfn.XLOOKUP(
      payments_raw[[#This Row],[subscription_id]],
      subscriptions[subscription_id],
      subscriptions[subscription_id]
    )
  ),
  0,
  1
)</f>
        <v>1</v>
      </c>
      <c r="F2858" s="1">
        <f>_xlfn.XLOOKUP(payments_raw[[#This Row],[subscription_id]], subscriptions[subscription_id], subscriptions[start_date])</f>
        <v>45338</v>
      </c>
      <c r="G28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45377</v>
      </c>
      <c r="H2858" s="2">
        <f>IF(payments_raw[[#This Row],[payment_date]] &lt; payments_raw[[#This Row],[sub_start_date]], 1, 0)</f>
        <v>0</v>
      </c>
      <c r="I2858" s="2">
        <f>IF(AND(payments_raw[[#This Row],[sub_end_date]]&lt;&gt;"", payments_raw[[#This Row],[payment_date]] &gt; payments_raw[[#This Row],[sub_end_date]]), 1, 0)</f>
        <v>0</v>
      </c>
      <c r="J2858" s="2">
        <f>IF(payments_raw[[#This Row],[amount]] &lt;= 0, 1, 0)</f>
        <v>0</v>
      </c>
      <c r="K28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59" spans="1:11" x14ac:dyDescent="0.3">
      <c r="A2859">
        <v>34047950</v>
      </c>
      <c r="B2859">
        <v>2987101</v>
      </c>
      <c r="C2859" s="1">
        <v>45496</v>
      </c>
      <c r="D2859">
        <v>9.5</v>
      </c>
      <c r="E2859">
        <f>IF(
  ISNA(
    _xlfn.XLOOKUP(
      payments_raw[[#This Row],[subscription_id]],
      subscriptions[subscription_id],
      subscriptions[subscription_id]
    )
  ),
  0,
  1
)</f>
        <v>1</v>
      </c>
      <c r="F2859" s="1">
        <f>_xlfn.XLOOKUP(payments_raw[[#This Row],[subscription_id]], subscriptions[subscription_id], subscriptions[start_date])</f>
        <v>45401</v>
      </c>
      <c r="G28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59" s="2">
        <f>IF(payments_raw[[#This Row],[payment_date]] &lt; payments_raw[[#This Row],[sub_start_date]], 1, 0)</f>
        <v>0</v>
      </c>
      <c r="I2859" s="2">
        <f>IF(AND(payments_raw[[#This Row],[sub_end_date]]&lt;&gt;"", payments_raw[[#This Row],[payment_date]] &gt; payments_raw[[#This Row],[sub_end_date]]), 1, 0)</f>
        <v>0</v>
      </c>
      <c r="J2859" s="2">
        <f>IF(payments_raw[[#This Row],[amount]] &lt;= 0, 1, 0)</f>
        <v>0</v>
      </c>
      <c r="K28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0" spans="1:11" x14ac:dyDescent="0.3">
      <c r="A2860">
        <v>65459928</v>
      </c>
      <c r="B2860">
        <v>3013272</v>
      </c>
      <c r="C2860" s="1">
        <v>45382</v>
      </c>
      <c r="D2860">
        <v>190</v>
      </c>
      <c r="E2860">
        <f>IF(
  ISNA(
    _xlfn.XLOOKUP(
      payments_raw[[#This Row],[subscription_id]],
      subscriptions[subscription_id],
      subscriptions[subscription_id]
    )
  ),
  0,
  1
)</f>
        <v>1</v>
      </c>
      <c r="F2860" s="1">
        <f>_xlfn.XLOOKUP(payments_raw[[#This Row],[subscription_id]], subscriptions[subscription_id], subscriptions[start_date])</f>
        <v>44800</v>
      </c>
      <c r="G286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0" s="2">
        <f>IF(payments_raw[[#This Row],[payment_date]] &lt; payments_raw[[#This Row],[sub_start_date]], 1, 0)</f>
        <v>0</v>
      </c>
      <c r="I2860" s="2">
        <f>IF(AND(payments_raw[[#This Row],[sub_end_date]]&lt;&gt;"", payments_raw[[#This Row],[payment_date]] &gt; payments_raw[[#This Row],[sub_end_date]]), 1, 0)</f>
        <v>0</v>
      </c>
      <c r="J2860" s="2">
        <f>IF(payments_raw[[#This Row],[amount]] &lt;= 0, 1, 0)</f>
        <v>0</v>
      </c>
      <c r="K28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1" spans="1:11" x14ac:dyDescent="0.3">
      <c r="A2861">
        <v>11867528</v>
      </c>
      <c r="B2861">
        <v>4148361</v>
      </c>
      <c r="C2861" s="1">
        <v>45434</v>
      </c>
      <c r="D2861">
        <v>2990</v>
      </c>
      <c r="E2861">
        <f>IF(
  ISNA(
    _xlfn.XLOOKUP(
      payments_raw[[#This Row],[subscription_id]],
      subscriptions[subscription_id],
      subscriptions[subscription_id]
    )
  ),
  0,
  1
)</f>
        <v>1</v>
      </c>
      <c r="F2861" s="1">
        <f>_xlfn.XLOOKUP(payments_raw[[#This Row],[subscription_id]], subscriptions[subscription_id], subscriptions[start_date])</f>
        <v>45422</v>
      </c>
      <c r="G28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45537</v>
      </c>
      <c r="H2861" s="2">
        <f>IF(payments_raw[[#This Row],[payment_date]] &lt; payments_raw[[#This Row],[sub_start_date]], 1, 0)</f>
        <v>0</v>
      </c>
      <c r="I2861" s="2">
        <f>IF(AND(payments_raw[[#This Row],[sub_end_date]]&lt;&gt;"", payments_raw[[#This Row],[payment_date]] &gt; payments_raw[[#This Row],[sub_end_date]]), 1, 0)</f>
        <v>0</v>
      </c>
      <c r="J2861" s="2">
        <f>IF(payments_raw[[#This Row],[amount]] &lt;= 0, 1, 0)</f>
        <v>0</v>
      </c>
      <c r="K28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2" spans="1:11" x14ac:dyDescent="0.3">
      <c r="A2862">
        <v>45720850</v>
      </c>
      <c r="B2862">
        <v>5910412</v>
      </c>
      <c r="C2862" s="1">
        <v>45250</v>
      </c>
      <c r="D2862">
        <v>19</v>
      </c>
      <c r="E2862">
        <f>IF(
  ISNA(
    _xlfn.XLOOKUP(
      payments_raw[[#This Row],[subscription_id]],
      subscriptions[subscription_id],
      subscriptions[subscription_id]
    )
  ),
  0,
  1
)</f>
        <v>1</v>
      </c>
      <c r="F2862" s="1">
        <f>_xlfn.XLOOKUP(payments_raw[[#This Row],[subscription_id]], subscriptions[subscription_id], subscriptions[start_date])</f>
        <v>45062</v>
      </c>
      <c r="G28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2" s="2">
        <f>IF(payments_raw[[#This Row],[payment_date]] &lt; payments_raw[[#This Row],[sub_start_date]], 1, 0)</f>
        <v>0</v>
      </c>
      <c r="I2862" s="2">
        <f>IF(AND(payments_raw[[#This Row],[sub_end_date]]&lt;&gt;"", payments_raw[[#This Row],[payment_date]] &gt; payments_raw[[#This Row],[sub_end_date]]), 1, 0)</f>
        <v>0</v>
      </c>
      <c r="J2862" s="2">
        <f>IF(payments_raw[[#This Row],[amount]] &lt;= 0, 1, 0)</f>
        <v>0</v>
      </c>
      <c r="K28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3" spans="1:11" x14ac:dyDescent="0.3">
      <c r="A2863">
        <v>46055931</v>
      </c>
      <c r="B2863">
        <v>1864361</v>
      </c>
      <c r="C2863" s="1">
        <v>45197</v>
      </c>
      <c r="D2863">
        <v>149</v>
      </c>
      <c r="E2863">
        <f>IF(
  ISNA(
    _xlfn.XLOOKUP(
      payments_raw[[#This Row],[subscription_id]],
      subscriptions[subscription_id],
      subscriptions[subscription_id]
    )
  ),
  0,
  1
)</f>
        <v>1</v>
      </c>
      <c r="F2863" s="1">
        <f>_xlfn.XLOOKUP(payments_raw[[#This Row],[subscription_id]], subscriptions[subscription_id], subscriptions[start_date])</f>
        <v>45071</v>
      </c>
      <c r="G28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45208</v>
      </c>
      <c r="H2863" s="2">
        <f>IF(payments_raw[[#This Row],[payment_date]] &lt; payments_raw[[#This Row],[sub_start_date]], 1, 0)</f>
        <v>0</v>
      </c>
      <c r="I2863" s="2">
        <f>IF(AND(payments_raw[[#This Row],[sub_end_date]]&lt;&gt;"", payments_raw[[#This Row],[payment_date]] &gt; payments_raw[[#This Row],[sub_end_date]]), 1, 0)</f>
        <v>0</v>
      </c>
      <c r="J2863" s="2">
        <f>IF(payments_raw[[#This Row],[amount]] &lt;= 0, 1, 0)</f>
        <v>0</v>
      </c>
      <c r="K28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4" spans="1:11" x14ac:dyDescent="0.3">
      <c r="A2864">
        <v>18126886</v>
      </c>
      <c r="B2864">
        <v>4528709</v>
      </c>
      <c r="C2864" s="1">
        <v>44855</v>
      </c>
      <c r="D2864">
        <v>19</v>
      </c>
      <c r="E2864">
        <f>IF(
  ISNA(
    _xlfn.XLOOKUP(
      payments_raw[[#This Row],[subscription_id]],
      subscriptions[subscription_id],
      subscriptions[subscription_id]
    )
  ),
  0,
  1
)</f>
        <v>1</v>
      </c>
      <c r="F2864" s="1">
        <f>_xlfn.XLOOKUP(payments_raw[[#This Row],[subscription_id]], subscriptions[subscription_id], subscriptions[start_date])</f>
        <v>44747</v>
      </c>
      <c r="G286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2864" s="2">
        <f>IF(payments_raw[[#This Row],[payment_date]] &lt; payments_raw[[#This Row],[sub_start_date]], 1, 0)</f>
        <v>0</v>
      </c>
      <c r="I2864" s="2">
        <f>IF(AND(payments_raw[[#This Row],[sub_end_date]]&lt;&gt;"", payments_raw[[#This Row],[payment_date]] &gt; payments_raw[[#This Row],[sub_end_date]]), 1, 0)</f>
        <v>0</v>
      </c>
      <c r="J2864" s="2">
        <f>IF(payments_raw[[#This Row],[amount]] &lt;= 0, 1, 0)</f>
        <v>0</v>
      </c>
      <c r="K28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5" spans="1:11" x14ac:dyDescent="0.3">
      <c r="A2865">
        <v>19590240</v>
      </c>
      <c r="B2865">
        <v>5239867</v>
      </c>
      <c r="C2865" s="1">
        <v>45416</v>
      </c>
      <c r="D2865">
        <v>149</v>
      </c>
      <c r="E2865">
        <f>IF(
  ISNA(
    _xlfn.XLOOKUP(
      payments_raw[[#This Row],[subscription_id]],
      subscriptions[subscription_id],
      subscriptions[subscription_id]
    )
  ),
  0,
  1
)</f>
        <v>1</v>
      </c>
      <c r="F2865" s="1">
        <f>_xlfn.XLOOKUP(payments_raw[[#This Row],[subscription_id]], subscriptions[subscription_id], subscriptions[start_date])</f>
        <v>44955</v>
      </c>
      <c r="G28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5" s="2">
        <f>IF(payments_raw[[#This Row],[payment_date]] &lt; payments_raw[[#This Row],[sub_start_date]], 1, 0)</f>
        <v>0</v>
      </c>
      <c r="I2865" s="2">
        <f>IF(AND(payments_raw[[#This Row],[sub_end_date]]&lt;&gt;"", payments_raw[[#This Row],[payment_date]] &gt; payments_raw[[#This Row],[sub_end_date]]), 1, 0)</f>
        <v>0</v>
      </c>
      <c r="J2865" s="2">
        <f>IF(payments_raw[[#This Row],[amount]] &lt;= 0, 1, 0)</f>
        <v>0</v>
      </c>
      <c r="K28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6" spans="1:11" x14ac:dyDescent="0.3">
      <c r="A2866">
        <v>12593999</v>
      </c>
      <c r="B2866">
        <v>9593404</v>
      </c>
      <c r="C2866" s="1">
        <v>45436</v>
      </c>
      <c r="D2866">
        <v>790</v>
      </c>
      <c r="E2866">
        <f>IF(
  ISNA(
    _xlfn.XLOOKUP(
      payments_raw[[#This Row],[subscription_id]],
      subscriptions[subscription_id],
      subscriptions[subscription_id]
    )
  ),
  0,
  1
)</f>
        <v>1</v>
      </c>
      <c r="F2866" s="1">
        <f>_xlfn.XLOOKUP(payments_raw[[#This Row],[subscription_id]], subscriptions[subscription_id], subscriptions[start_date])</f>
        <v>45326</v>
      </c>
      <c r="G28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6" s="2">
        <f>IF(payments_raw[[#This Row],[payment_date]] &lt; payments_raw[[#This Row],[sub_start_date]], 1, 0)</f>
        <v>0</v>
      </c>
      <c r="I2866" s="2">
        <f>IF(AND(payments_raw[[#This Row],[sub_end_date]]&lt;&gt;"", payments_raw[[#This Row],[payment_date]] &gt; payments_raw[[#This Row],[sub_end_date]]), 1, 0)</f>
        <v>0</v>
      </c>
      <c r="J2866" s="2">
        <f>IF(payments_raw[[#This Row],[amount]] &lt;= 0, 1, 0)</f>
        <v>0</v>
      </c>
      <c r="K28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7" spans="1:11" x14ac:dyDescent="0.3">
      <c r="A2867">
        <v>20789101</v>
      </c>
      <c r="B2867">
        <v>4610191</v>
      </c>
      <c r="C2867" s="1">
        <v>45527</v>
      </c>
      <c r="D2867">
        <v>1490</v>
      </c>
      <c r="E2867">
        <f>IF(
  ISNA(
    _xlfn.XLOOKUP(
      payments_raw[[#This Row],[subscription_id]],
      subscriptions[subscription_id],
      subscriptions[subscription_id]
    )
  ),
  0,
  1
)</f>
        <v>1</v>
      </c>
      <c r="F2867" s="1">
        <f>_xlfn.XLOOKUP(payments_raw[[#This Row],[subscription_id]], subscriptions[subscription_id], subscriptions[start_date])</f>
        <v>45323</v>
      </c>
      <c r="G28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67" s="2">
        <f>IF(payments_raw[[#This Row],[payment_date]] &lt; payments_raw[[#This Row],[sub_start_date]], 1, 0)</f>
        <v>0</v>
      </c>
      <c r="I2867" s="2">
        <f>IF(AND(payments_raw[[#This Row],[sub_end_date]]&lt;&gt;"", payments_raw[[#This Row],[payment_date]] &gt; payments_raw[[#This Row],[sub_end_date]]), 1, 0)</f>
        <v>0</v>
      </c>
      <c r="J2867" s="2">
        <f>IF(payments_raw[[#This Row],[amount]] &lt;= 0, 1, 0)</f>
        <v>0</v>
      </c>
      <c r="K28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8" spans="1:11" x14ac:dyDescent="0.3">
      <c r="A2868">
        <v>69813891</v>
      </c>
      <c r="B2868">
        <v>8706139</v>
      </c>
      <c r="C2868" s="1">
        <v>44606</v>
      </c>
      <c r="D2868">
        <v>1490</v>
      </c>
      <c r="E2868">
        <f>IF(
  ISNA(
    _xlfn.XLOOKUP(
      payments_raw[[#This Row],[subscription_id]],
      subscriptions[subscription_id],
      subscriptions[subscription_id]
    )
  ),
  0,
  1
)</f>
        <v>1</v>
      </c>
      <c r="F2868" s="1">
        <f>_xlfn.XLOOKUP(payments_raw[[#This Row],[subscription_id]], subscriptions[subscription_id], subscriptions[start_date])</f>
        <v>44586</v>
      </c>
      <c r="G286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44884</v>
      </c>
      <c r="H2868" s="2">
        <f>IF(payments_raw[[#This Row],[payment_date]] &lt; payments_raw[[#This Row],[sub_start_date]], 1, 0)</f>
        <v>0</v>
      </c>
      <c r="I2868" s="2">
        <f>IF(AND(payments_raw[[#This Row],[sub_end_date]]&lt;&gt;"", payments_raw[[#This Row],[payment_date]] &gt; payments_raw[[#This Row],[sub_end_date]]), 1, 0)</f>
        <v>0</v>
      </c>
      <c r="J2868" s="2">
        <f>IF(payments_raw[[#This Row],[amount]] &lt;= 0, 1, 0)</f>
        <v>0</v>
      </c>
      <c r="K28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69" spans="1:11" x14ac:dyDescent="0.3">
      <c r="A2869">
        <v>11446908</v>
      </c>
      <c r="B2869">
        <v>8707287</v>
      </c>
      <c r="C2869" s="1">
        <v>45060</v>
      </c>
      <c r="D2869">
        <v>17.100000000000001</v>
      </c>
      <c r="E2869">
        <f>IF(
  ISNA(
    _xlfn.XLOOKUP(
      payments_raw[[#This Row],[subscription_id]],
      subscriptions[subscription_id],
      subscriptions[subscription_id]
    )
  ),
  0,
  1
)</f>
        <v>1</v>
      </c>
      <c r="F2869" s="1">
        <f>_xlfn.XLOOKUP(payments_raw[[#This Row],[subscription_id]], subscriptions[subscription_id], subscriptions[start_date])</f>
        <v>44940</v>
      </c>
      <c r="G286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45060</v>
      </c>
      <c r="H2869" s="2">
        <f>IF(payments_raw[[#This Row],[payment_date]] &lt; payments_raw[[#This Row],[sub_start_date]], 1, 0)</f>
        <v>0</v>
      </c>
      <c r="I2869" s="2">
        <f>IF(AND(payments_raw[[#This Row],[sub_end_date]]&lt;&gt;"", payments_raw[[#This Row],[payment_date]] &gt; payments_raw[[#This Row],[sub_end_date]]), 1, 0)</f>
        <v>0</v>
      </c>
      <c r="J2869" s="2">
        <f>IF(payments_raw[[#This Row],[amount]] &lt;= 0, 1, 0)</f>
        <v>0</v>
      </c>
      <c r="K28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0" spans="1:11" x14ac:dyDescent="0.3">
      <c r="A2870">
        <v>36613296</v>
      </c>
      <c r="B2870">
        <v>9626848</v>
      </c>
      <c r="C2870" s="1">
        <v>45196</v>
      </c>
      <c r="D2870">
        <v>390</v>
      </c>
      <c r="E2870">
        <f>IF(
  ISNA(
    _xlfn.XLOOKUP(
      payments_raw[[#This Row],[subscription_id]],
      subscriptions[subscription_id],
      subscriptions[subscription_id]
    )
  ),
  0,
  1
)</f>
        <v>1</v>
      </c>
      <c r="F2870" s="1">
        <f>_xlfn.XLOOKUP(payments_raw[[#This Row],[subscription_id]], subscriptions[subscription_id], subscriptions[start_date])</f>
        <v>45143</v>
      </c>
      <c r="G287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45326</v>
      </c>
      <c r="H2870" s="2">
        <f>IF(payments_raw[[#This Row],[payment_date]] &lt; payments_raw[[#This Row],[sub_start_date]], 1, 0)</f>
        <v>0</v>
      </c>
      <c r="I2870" s="2">
        <f>IF(AND(payments_raw[[#This Row],[sub_end_date]]&lt;&gt;"", payments_raw[[#This Row],[payment_date]] &gt; payments_raw[[#This Row],[sub_end_date]]), 1, 0)</f>
        <v>0</v>
      </c>
      <c r="J2870" s="2">
        <f>IF(payments_raw[[#This Row],[amount]] &lt;= 0, 1, 0)</f>
        <v>0</v>
      </c>
      <c r="K28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1" spans="1:11" x14ac:dyDescent="0.3">
      <c r="A2871">
        <v>71584195</v>
      </c>
      <c r="B2871">
        <v>7133460</v>
      </c>
      <c r="C2871" s="1">
        <v>44946</v>
      </c>
      <c r="D2871">
        <v>19</v>
      </c>
      <c r="E2871">
        <f>IF(
  ISNA(
    _xlfn.XLOOKUP(
      payments_raw[[#This Row],[subscription_id]],
      subscriptions[subscription_id],
      subscriptions[subscription_id]
    )
  ),
  0,
  1
)</f>
        <v>1</v>
      </c>
      <c r="F2871" s="1">
        <f>_xlfn.XLOOKUP(payments_raw[[#This Row],[subscription_id]], subscriptions[subscription_id], subscriptions[start_date])</f>
        <v>44759</v>
      </c>
      <c r="G28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1" s="2">
        <f>IF(payments_raw[[#This Row],[payment_date]] &lt; payments_raw[[#This Row],[sub_start_date]], 1, 0)</f>
        <v>0</v>
      </c>
      <c r="I2871" s="2">
        <f>IF(AND(payments_raw[[#This Row],[sub_end_date]]&lt;&gt;"", payments_raw[[#This Row],[payment_date]] &gt; payments_raw[[#This Row],[sub_end_date]]), 1, 0)</f>
        <v>0</v>
      </c>
      <c r="J2871" s="2">
        <f>IF(payments_raw[[#This Row],[amount]] &lt;= 0, 1, 0)</f>
        <v>0</v>
      </c>
      <c r="K28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2" spans="1:11" x14ac:dyDescent="0.3">
      <c r="A2872">
        <v>47535728</v>
      </c>
      <c r="B2872">
        <v>7273103</v>
      </c>
      <c r="C2872" s="1">
        <v>45157</v>
      </c>
      <c r="D2872">
        <v>79</v>
      </c>
      <c r="E2872">
        <f>IF(
  ISNA(
    _xlfn.XLOOKUP(
      payments_raw[[#This Row],[subscription_id]],
      subscriptions[subscription_id],
      subscriptions[subscription_id]
    )
  ),
  0,
  1
)</f>
        <v>1</v>
      </c>
      <c r="F2872" s="1">
        <f>_xlfn.XLOOKUP(payments_raw[[#This Row],[subscription_id]], subscriptions[subscription_id], subscriptions[start_date])</f>
        <v>44772</v>
      </c>
      <c r="G28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2" s="2">
        <f>IF(payments_raw[[#This Row],[payment_date]] &lt; payments_raw[[#This Row],[sub_start_date]], 1, 0)</f>
        <v>0</v>
      </c>
      <c r="I2872" s="2">
        <f>IF(AND(payments_raw[[#This Row],[sub_end_date]]&lt;&gt;"", payments_raw[[#This Row],[payment_date]] &gt; payments_raw[[#This Row],[sub_end_date]]), 1, 0)</f>
        <v>0</v>
      </c>
      <c r="J2872" s="2">
        <f>IF(payments_raw[[#This Row],[amount]] &lt;= 0, 1, 0)</f>
        <v>0</v>
      </c>
      <c r="K28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3" spans="1:11" x14ac:dyDescent="0.3">
      <c r="A2873">
        <v>25184381</v>
      </c>
      <c r="B2873">
        <v>9640458</v>
      </c>
      <c r="C2873" s="1">
        <v>45644</v>
      </c>
      <c r="D2873">
        <v>390</v>
      </c>
      <c r="E2873">
        <f>IF(
  ISNA(
    _xlfn.XLOOKUP(
      payments_raw[[#This Row],[subscription_id]],
      subscriptions[subscription_id],
      subscriptions[subscription_id]
    )
  ),
  0,
  1
)</f>
        <v>1</v>
      </c>
      <c r="F2873" s="1">
        <f>_xlfn.XLOOKUP(payments_raw[[#This Row],[subscription_id]], subscriptions[subscription_id], subscriptions[start_date])</f>
        <v>44817</v>
      </c>
      <c r="G28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3" s="2">
        <f>IF(payments_raw[[#This Row],[payment_date]] &lt; payments_raw[[#This Row],[sub_start_date]], 1, 0)</f>
        <v>0</v>
      </c>
      <c r="I2873" s="2">
        <f>IF(AND(payments_raw[[#This Row],[sub_end_date]]&lt;&gt;"", payments_raw[[#This Row],[payment_date]] &gt; payments_raw[[#This Row],[sub_end_date]]), 1, 0)</f>
        <v>0</v>
      </c>
      <c r="J2873" s="2">
        <f>IF(payments_raw[[#This Row],[amount]] &lt;= 0, 1, 0)</f>
        <v>0</v>
      </c>
      <c r="K28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4" spans="1:11" x14ac:dyDescent="0.3">
      <c r="A2874">
        <v>85591614</v>
      </c>
      <c r="B2874">
        <v>2171745</v>
      </c>
      <c r="C2874" s="1">
        <v>45488</v>
      </c>
      <c r="D2874">
        <v>2990</v>
      </c>
      <c r="E2874">
        <f>IF(
  ISNA(
    _xlfn.XLOOKUP(
      payments_raw[[#This Row],[subscription_id]],
      subscriptions[subscription_id],
      subscriptions[subscription_id]
    )
  ),
  0,
  1
)</f>
        <v>1</v>
      </c>
      <c r="F2874" s="1">
        <f>_xlfn.XLOOKUP(payments_raw[[#This Row],[subscription_id]], subscriptions[subscription_id], subscriptions[start_date])</f>
        <v>45417</v>
      </c>
      <c r="G28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4" s="2">
        <f>IF(payments_raw[[#This Row],[payment_date]] &lt; payments_raw[[#This Row],[sub_start_date]], 1, 0)</f>
        <v>0</v>
      </c>
      <c r="I2874" s="2">
        <f>IF(AND(payments_raw[[#This Row],[sub_end_date]]&lt;&gt;"", payments_raw[[#This Row],[payment_date]] &gt; payments_raw[[#This Row],[sub_end_date]]), 1, 0)</f>
        <v>0</v>
      </c>
      <c r="J2874" s="2">
        <f>IF(payments_raw[[#This Row],[amount]] &lt;= 0, 1, 0)</f>
        <v>0</v>
      </c>
      <c r="K28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5" spans="1:11" x14ac:dyDescent="0.3">
      <c r="A2875">
        <v>68147312</v>
      </c>
      <c r="B2875">
        <v>5880999</v>
      </c>
      <c r="C2875" s="1">
        <v>45357</v>
      </c>
      <c r="D2875">
        <v>299</v>
      </c>
      <c r="E2875">
        <f>IF(
  ISNA(
    _xlfn.XLOOKUP(
      payments_raw[[#This Row],[subscription_id]],
      subscriptions[subscription_id],
      subscriptions[subscription_id]
    )
  ),
  0,
  1
)</f>
        <v>1</v>
      </c>
      <c r="F2875" s="1">
        <f>_xlfn.XLOOKUP(payments_raw[[#This Row],[subscription_id]], subscriptions[subscription_id], subscriptions[start_date])</f>
        <v>45110</v>
      </c>
      <c r="G28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5" s="2">
        <f>IF(payments_raw[[#This Row],[payment_date]] &lt; payments_raw[[#This Row],[sub_start_date]], 1, 0)</f>
        <v>0</v>
      </c>
      <c r="I2875" s="2">
        <f>IF(AND(payments_raw[[#This Row],[sub_end_date]]&lt;&gt;"", payments_raw[[#This Row],[payment_date]] &gt; payments_raw[[#This Row],[sub_end_date]]), 1, 0)</f>
        <v>0</v>
      </c>
      <c r="J2875" s="2">
        <f>IF(payments_raw[[#This Row],[amount]] &lt;= 0, 1, 0)</f>
        <v>0</v>
      </c>
      <c r="K28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6" spans="1:11" x14ac:dyDescent="0.3">
      <c r="A2876">
        <v>10715296</v>
      </c>
      <c r="B2876">
        <v>6938019</v>
      </c>
      <c r="C2876" s="1">
        <v>45483</v>
      </c>
      <c r="D2876">
        <v>1490</v>
      </c>
      <c r="E2876">
        <f>IF(
  ISNA(
    _xlfn.XLOOKUP(
      payments_raw[[#This Row],[subscription_id]],
      subscriptions[subscription_id],
      subscriptions[subscription_id]
    )
  ),
  0,
  1
)</f>
        <v>1</v>
      </c>
      <c r="F2876" s="1">
        <f>_xlfn.XLOOKUP(payments_raw[[#This Row],[subscription_id]], subscriptions[subscription_id], subscriptions[start_date])</f>
        <v>45207</v>
      </c>
      <c r="G28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6" s="2">
        <f>IF(payments_raw[[#This Row],[payment_date]] &lt; payments_raw[[#This Row],[sub_start_date]], 1, 0)</f>
        <v>0</v>
      </c>
      <c r="I2876" s="2">
        <f>IF(AND(payments_raw[[#This Row],[sub_end_date]]&lt;&gt;"", payments_raw[[#This Row],[payment_date]] &gt; payments_raw[[#This Row],[sub_end_date]]), 1, 0)</f>
        <v>0</v>
      </c>
      <c r="J2876" s="2">
        <f>IF(payments_raw[[#This Row],[amount]] &lt;= 0, 1, 0)</f>
        <v>0</v>
      </c>
      <c r="K28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7" spans="1:11" x14ac:dyDescent="0.3">
      <c r="A2877">
        <v>85540642</v>
      </c>
      <c r="B2877">
        <v>4802391</v>
      </c>
      <c r="C2877" s="1">
        <v>45297</v>
      </c>
      <c r="D2877">
        <v>1490</v>
      </c>
      <c r="E2877">
        <f>IF(
  ISNA(
    _xlfn.XLOOKUP(
      payments_raw[[#This Row],[subscription_id]],
      subscriptions[subscription_id],
      subscriptions[subscription_id]
    )
  ),
  0,
  1
)</f>
        <v>1</v>
      </c>
      <c r="F2877" s="1">
        <f>_xlfn.XLOOKUP(payments_raw[[#This Row],[subscription_id]], subscriptions[subscription_id], subscriptions[start_date])</f>
        <v>45281</v>
      </c>
      <c r="G28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2877" s="2">
        <f>IF(payments_raw[[#This Row],[payment_date]] &lt; payments_raw[[#This Row],[sub_start_date]], 1, 0)</f>
        <v>0</v>
      </c>
      <c r="I2877" s="2">
        <f>IF(AND(payments_raw[[#This Row],[sub_end_date]]&lt;&gt;"", payments_raw[[#This Row],[payment_date]] &gt; payments_raw[[#This Row],[sub_end_date]]), 1, 0)</f>
        <v>0</v>
      </c>
      <c r="J2877" s="2">
        <f>IF(payments_raw[[#This Row],[amount]] &lt;= 0, 1, 0)</f>
        <v>0</v>
      </c>
      <c r="K28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8" spans="1:11" x14ac:dyDescent="0.3">
      <c r="A2878">
        <v>53633699</v>
      </c>
      <c r="B2878">
        <v>4088120</v>
      </c>
      <c r="C2878" s="1">
        <v>45101</v>
      </c>
      <c r="D2878">
        <v>1117.5</v>
      </c>
      <c r="E2878">
        <f>IF(
  ISNA(
    _xlfn.XLOOKUP(
      payments_raw[[#This Row],[subscription_id]],
      subscriptions[subscription_id],
      subscriptions[subscription_id]
    )
  ),
  0,
  1
)</f>
        <v>1</v>
      </c>
      <c r="F2878" s="1">
        <f>_xlfn.XLOOKUP(payments_raw[[#This Row],[subscription_id]], subscriptions[subscription_id], subscriptions[start_date])</f>
        <v>44569</v>
      </c>
      <c r="G28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78" s="2">
        <f>IF(payments_raw[[#This Row],[payment_date]] &lt; payments_raw[[#This Row],[sub_start_date]], 1, 0)</f>
        <v>0</v>
      </c>
      <c r="I2878" s="2">
        <f>IF(AND(payments_raw[[#This Row],[sub_end_date]]&lt;&gt;"", payments_raw[[#This Row],[payment_date]] &gt; payments_raw[[#This Row],[sub_end_date]]), 1, 0)</f>
        <v>0</v>
      </c>
      <c r="J2878" s="2">
        <f>IF(payments_raw[[#This Row],[amount]] &lt;= 0, 1, 0)</f>
        <v>0</v>
      </c>
      <c r="K28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79" spans="1:11" x14ac:dyDescent="0.3">
      <c r="A2879">
        <v>92648891</v>
      </c>
      <c r="B2879">
        <v>9347047</v>
      </c>
      <c r="C2879" s="1">
        <v>44854</v>
      </c>
      <c r="D2879">
        <v>390</v>
      </c>
      <c r="E2879">
        <f>IF(
  ISNA(
    _xlfn.XLOOKUP(
      payments_raw[[#This Row],[subscription_id]],
      subscriptions[subscription_id],
      subscriptions[subscription_id]
    )
  ),
  0,
  1
)</f>
        <v>1</v>
      </c>
      <c r="F2879" s="1">
        <f>_xlfn.XLOOKUP(payments_raw[[#This Row],[subscription_id]], subscriptions[subscription_id], subscriptions[start_date])</f>
        <v>44761</v>
      </c>
      <c r="G2879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2879" s="2">
        <f>IF(payments_raw[[#This Row],[payment_date]] &lt; payments_raw[[#This Row],[sub_start_date]], 1, 0)</f>
        <v>0</v>
      </c>
      <c r="I2879" s="2">
        <f>IF(AND(payments_raw[[#This Row],[sub_end_date]]&lt;&gt;"", payments_raw[[#This Row],[payment_date]] &gt; payments_raw[[#This Row],[sub_end_date]]), 1, 0)</f>
        <v>0</v>
      </c>
      <c r="J2879" s="2">
        <f>IF(payments_raw[[#This Row],[amount]] &lt;= 0, 1, 0)</f>
        <v>0</v>
      </c>
      <c r="K28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0" spans="1:11" x14ac:dyDescent="0.3">
      <c r="A2880">
        <v>83825346</v>
      </c>
      <c r="B2880">
        <v>9089445</v>
      </c>
      <c r="C2880" s="1">
        <v>45387</v>
      </c>
      <c r="D2880">
        <v>1490</v>
      </c>
      <c r="E2880">
        <f>IF(
  ISNA(
    _xlfn.XLOOKUP(
      payments_raw[[#This Row],[subscription_id]],
      subscriptions[subscription_id],
      subscriptions[subscription_id]
    )
  ),
  0,
  1
)</f>
        <v>1</v>
      </c>
      <c r="F2880" s="1">
        <f>_xlfn.XLOOKUP(payments_raw[[#This Row],[subscription_id]], subscriptions[subscription_id], subscriptions[start_date])</f>
        <v>45055</v>
      </c>
      <c r="G28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0" s="2">
        <f>IF(payments_raw[[#This Row],[payment_date]] &lt; payments_raw[[#This Row],[sub_start_date]], 1, 0)</f>
        <v>0</v>
      </c>
      <c r="I2880" s="2">
        <f>IF(AND(payments_raw[[#This Row],[sub_end_date]]&lt;&gt;"", payments_raw[[#This Row],[payment_date]] &gt; payments_raw[[#This Row],[sub_end_date]]), 1, 0)</f>
        <v>0</v>
      </c>
      <c r="J2880" s="2">
        <f>IF(payments_raw[[#This Row],[amount]] &lt;= 0, 1, 0)</f>
        <v>0</v>
      </c>
      <c r="K28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1" spans="1:11" x14ac:dyDescent="0.3">
      <c r="A2881">
        <v>91016927</v>
      </c>
      <c r="B2881">
        <v>8375951</v>
      </c>
      <c r="C2881" s="1">
        <v>44870</v>
      </c>
      <c r="D2881">
        <v>1490</v>
      </c>
      <c r="E2881">
        <f>IF(
  ISNA(
    _xlfn.XLOOKUP(
      payments_raw[[#This Row],[subscription_id]],
      subscriptions[subscription_id],
      subscriptions[subscription_id]
    )
  ),
  0,
  1
)</f>
        <v>1</v>
      </c>
      <c r="F2881" s="1">
        <f>_xlfn.XLOOKUP(payments_raw[[#This Row],[subscription_id]], subscriptions[subscription_id], subscriptions[start_date])</f>
        <v>44814</v>
      </c>
      <c r="G288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2881" s="2">
        <f>IF(payments_raw[[#This Row],[payment_date]] &lt; payments_raw[[#This Row],[sub_start_date]], 1, 0)</f>
        <v>0</v>
      </c>
      <c r="I2881" s="2">
        <f>IF(AND(payments_raw[[#This Row],[sub_end_date]]&lt;&gt;"", payments_raw[[#This Row],[payment_date]] &gt; payments_raw[[#This Row],[sub_end_date]]), 1, 0)</f>
        <v>0</v>
      </c>
      <c r="J2881" s="2">
        <f>IF(payments_raw[[#This Row],[amount]] &lt;= 0, 1, 0)</f>
        <v>0</v>
      </c>
      <c r="K28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2" spans="1:11" x14ac:dyDescent="0.3">
      <c r="A2882">
        <v>40181048</v>
      </c>
      <c r="B2882">
        <v>3827180</v>
      </c>
      <c r="C2882" s="1">
        <v>44630</v>
      </c>
      <c r="D2882">
        <v>1490</v>
      </c>
      <c r="E2882">
        <f>IF(
  ISNA(
    _xlfn.XLOOKUP(
      payments_raw[[#This Row],[subscription_id]],
      subscriptions[subscription_id],
      subscriptions[subscription_id]
    )
  ),
  0,
  1
)</f>
        <v>1</v>
      </c>
      <c r="F2882" s="1">
        <f>_xlfn.XLOOKUP(payments_raw[[#This Row],[subscription_id]], subscriptions[subscription_id], subscriptions[start_date])</f>
        <v>44565</v>
      </c>
      <c r="G28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44865</v>
      </c>
      <c r="H2882" s="2">
        <f>IF(payments_raw[[#This Row],[payment_date]] &lt; payments_raw[[#This Row],[sub_start_date]], 1, 0)</f>
        <v>0</v>
      </c>
      <c r="I2882" s="2">
        <f>IF(AND(payments_raw[[#This Row],[sub_end_date]]&lt;&gt;"", payments_raw[[#This Row],[payment_date]] &gt; payments_raw[[#This Row],[sub_end_date]]), 1, 0)</f>
        <v>0</v>
      </c>
      <c r="J2882" s="2">
        <f>IF(payments_raw[[#This Row],[amount]] &lt;= 0, 1, 0)</f>
        <v>0</v>
      </c>
      <c r="K28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3" spans="1:11" x14ac:dyDescent="0.3">
      <c r="A2883">
        <v>31206894</v>
      </c>
      <c r="B2883">
        <v>9712557</v>
      </c>
      <c r="C2883" s="1">
        <v>45614</v>
      </c>
      <c r="D2883">
        <v>190</v>
      </c>
      <c r="E2883">
        <f>IF(
  ISNA(
    _xlfn.XLOOKUP(
      payments_raw[[#This Row],[subscription_id]],
      subscriptions[subscription_id],
      subscriptions[subscription_id]
    )
  ),
  0,
  1
)</f>
        <v>1</v>
      </c>
      <c r="F2883" s="1">
        <f>_xlfn.XLOOKUP(payments_raw[[#This Row],[subscription_id]], subscriptions[subscription_id], subscriptions[start_date])</f>
        <v>44604</v>
      </c>
      <c r="G28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3" s="2">
        <f>IF(payments_raw[[#This Row],[payment_date]] &lt; payments_raw[[#This Row],[sub_start_date]], 1, 0)</f>
        <v>0</v>
      </c>
      <c r="I2883" s="2">
        <f>IF(AND(payments_raw[[#This Row],[sub_end_date]]&lt;&gt;"", payments_raw[[#This Row],[payment_date]] &gt; payments_raw[[#This Row],[sub_end_date]]), 1, 0)</f>
        <v>0</v>
      </c>
      <c r="J2883" s="2">
        <f>IF(payments_raw[[#This Row],[amount]] &lt;= 0, 1, 0)</f>
        <v>0</v>
      </c>
      <c r="K28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4" spans="1:11" x14ac:dyDescent="0.3">
      <c r="A2884">
        <v>21677833</v>
      </c>
      <c r="B2884">
        <v>2130790</v>
      </c>
      <c r="C2884" s="1">
        <v>45220</v>
      </c>
      <c r="D2884">
        <v>79</v>
      </c>
      <c r="E2884">
        <f>IF(
  ISNA(
    _xlfn.XLOOKUP(
      payments_raw[[#This Row],[subscription_id]],
      subscriptions[subscription_id],
      subscriptions[subscription_id]
    )
  ),
  0,
  1
)</f>
        <v>1</v>
      </c>
      <c r="F2884" s="1">
        <f>_xlfn.XLOOKUP(payments_raw[[#This Row],[subscription_id]], subscriptions[subscription_id], subscriptions[start_date])</f>
        <v>45057</v>
      </c>
      <c r="G28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4" s="2">
        <f>IF(payments_raw[[#This Row],[payment_date]] &lt; payments_raw[[#This Row],[sub_start_date]], 1, 0)</f>
        <v>0</v>
      </c>
      <c r="I2884" s="2">
        <f>IF(AND(payments_raw[[#This Row],[sub_end_date]]&lt;&gt;"", payments_raw[[#This Row],[payment_date]] &gt; payments_raw[[#This Row],[sub_end_date]]), 1, 0)</f>
        <v>0</v>
      </c>
      <c r="J2884" s="2">
        <f>IF(payments_raw[[#This Row],[amount]] &lt;= 0, 1, 0)</f>
        <v>0</v>
      </c>
      <c r="K28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5" spans="1:11" x14ac:dyDescent="0.3">
      <c r="A2885">
        <v>25820638</v>
      </c>
      <c r="B2885">
        <v>8015348</v>
      </c>
      <c r="C2885" s="1">
        <v>45577</v>
      </c>
      <c r="D2885">
        <v>2990</v>
      </c>
      <c r="E2885">
        <f>IF(
  ISNA(
    _xlfn.XLOOKUP(
      payments_raw[[#This Row],[subscription_id]],
      subscriptions[subscription_id],
      subscriptions[subscription_id]
    )
  ),
  0,
  1
)</f>
        <v>1</v>
      </c>
      <c r="F2885" s="1">
        <f>_xlfn.XLOOKUP(payments_raw[[#This Row],[subscription_id]], subscriptions[subscription_id], subscriptions[start_date])</f>
        <v>45379</v>
      </c>
      <c r="G28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5" s="2">
        <f>IF(payments_raw[[#This Row],[payment_date]] &lt; payments_raw[[#This Row],[sub_start_date]], 1, 0)</f>
        <v>0</v>
      </c>
      <c r="I2885" s="2">
        <f>IF(AND(payments_raw[[#This Row],[sub_end_date]]&lt;&gt;"", payments_raw[[#This Row],[payment_date]] &gt; payments_raw[[#This Row],[sub_end_date]]), 1, 0)</f>
        <v>0</v>
      </c>
      <c r="J2885" s="2">
        <f>IF(payments_raw[[#This Row],[amount]] &lt;= 0, 1, 0)</f>
        <v>0</v>
      </c>
      <c r="K28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6" spans="1:11" x14ac:dyDescent="0.3">
      <c r="A2886">
        <v>97539138</v>
      </c>
      <c r="B2886">
        <v>8917395</v>
      </c>
      <c r="C2886" s="1">
        <v>44751</v>
      </c>
      <c r="D2886">
        <v>299</v>
      </c>
      <c r="E2886">
        <f>IF(
  ISNA(
    _xlfn.XLOOKUP(
      payments_raw[[#This Row],[subscription_id]],
      subscriptions[subscription_id],
      subscriptions[subscription_id]
    )
  ),
  0,
  1
)</f>
        <v>1</v>
      </c>
      <c r="F2886" s="1">
        <f>_xlfn.XLOOKUP(payments_raw[[#This Row],[subscription_id]], subscriptions[subscription_id], subscriptions[start_date])</f>
        <v>44748</v>
      </c>
      <c r="G28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2886" s="2">
        <f>IF(payments_raw[[#This Row],[payment_date]] &lt; payments_raw[[#This Row],[sub_start_date]], 1, 0)</f>
        <v>0</v>
      </c>
      <c r="I2886" s="2">
        <f>IF(AND(payments_raw[[#This Row],[sub_end_date]]&lt;&gt;"", payments_raw[[#This Row],[payment_date]] &gt; payments_raw[[#This Row],[sub_end_date]]), 1, 0)</f>
        <v>0</v>
      </c>
      <c r="J2886" s="2">
        <f>IF(payments_raw[[#This Row],[amount]] &lt;= 0, 1, 0)</f>
        <v>0</v>
      </c>
      <c r="K28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7" spans="1:11" x14ac:dyDescent="0.3">
      <c r="A2887">
        <v>85593067</v>
      </c>
      <c r="B2887">
        <v>5910412</v>
      </c>
      <c r="C2887" s="1">
        <v>45501</v>
      </c>
      <c r="D2887">
        <v>14.25</v>
      </c>
      <c r="E2887">
        <f>IF(
  ISNA(
    _xlfn.XLOOKUP(
      payments_raw[[#This Row],[subscription_id]],
      subscriptions[subscription_id],
      subscriptions[subscription_id]
    )
  ),
  0,
  1
)</f>
        <v>1</v>
      </c>
      <c r="F2887" s="1">
        <f>_xlfn.XLOOKUP(payments_raw[[#This Row],[subscription_id]], subscriptions[subscription_id], subscriptions[start_date])</f>
        <v>45062</v>
      </c>
      <c r="G28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87" s="2">
        <f>IF(payments_raw[[#This Row],[payment_date]] &lt; payments_raw[[#This Row],[sub_start_date]], 1, 0)</f>
        <v>0</v>
      </c>
      <c r="I2887" s="2">
        <f>IF(AND(payments_raw[[#This Row],[sub_end_date]]&lt;&gt;"", payments_raw[[#This Row],[payment_date]] &gt; payments_raw[[#This Row],[sub_end_date]]), 1, 0)</f>
        <v>0</v>
      </c>
      <c r="J2887" s="2">
        <f>IF(payments_raw[[#This Row],[amount]] &lt;= 0, 1, 0)</f>
        <v>0</v>
      </c>
      <c r="K28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8" spans="1:11" x14ac:dyDescent="0.3">
      <c r="A2888">
        <v>66342092</v>
      </c>
      <c r="B2888">
        <v>6819465</v>
      </c>
      <c r="C2888" s="1">
        <v>45619</v>
      </c>
      <c r="D2888">
        <v>299</v>
      </c>
      <c r="E2888">
        <f>IF(
  ISNA(
    _xlfn.XLOOKUP(
      payments_raw[[#This Row],[subscription_id]],
      subscriptions[subscription_id],
      subscriptions[subscription_id]
    )
  ),
  0,
  1
)</f>
        <v>1</v>
      </c>
      <c r="F2888" s="1">
        <f>_xlfn.XLOOKUP(payments_raw[[#This Row],[subscription_id]], subscriptions[subscription_id], subscriptions[start_date])</f>
        <v>45562</v>
      </c>
      <c r="G28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2888" s="2">
        <f>IF(payments_raw[[#This Row],[payment_date]] &lt; payments_raw[[#This Row],[sub_start_date]], 1, 0)</f>
        <v>0</v>
      </c>
      <c r="I2888" s="2">
        <f>IF(AND(payments_raw[[#This Row],[sub_end_date]]&lt;&gt;"", payments_raw[[#This Row],[payment_date]] &gt; payments_raw[[#This Row],[sub_end_date]]), 1, 0)</f>
        <v>0</v>
      </c>
      <c r="J2888" s="2">
        <f>IF(payments_raw[[#This Row],[amount]] &lt;= 0, 1, 0)</f>
        <v>0</v>
      </c>
      <c r="K28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89" spans="1:11" x14ac:dyDescent="0.3">
      <c r="A2889">
        <v>54443205</v>
      </c>
      <c r="B2889">
        <v>6980829</v>
      </c>
      <c r="C2889" s="1">
        <v>45054</v>
      </c>
      <c r="D2889">
        <v>390</v>
      </c>
      <c r="E2889">
        <f>IF(
  ISNA(
    _xlfn.XLOOKUP(
      payments_raw[[#This Row],[subscription_id]],
      subscriptions[subscription_id],
      subscriptions[subscription_id]
    )
  ),
  0,
  1
)</f>
        <v>1</v>
      </c>
      <c r="F2889" s="1">
        <f>_xlfn.XLOOKUP(payments_raw[[#This Row],[subscription_id]], subscriptions[subscription_id], subscriptions[start_date])</f>
        <v>44844</v>
      </c>
      <c r="G28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45098</v>
      </c>
      <c r="H2889" s="2">
        <f>IF(payments_raw[[#This Row],[payment_date]] &lt; payments_raw[[#This Row],[sub_start_date]], 1, 0)</f>
        <v>0</v>
      </c>
      <c r="I2889" s="2">
        <f>IF(AND(payments_raw[[#This Row],[sub_end_date]]&lt;&gt;"", payments_raw[[#This Row],[payment_date]] &gt; payments_raw[[#This Row],[sub_end_date]]), 1, 0)</f>
        <v>0</v>
      </c>
      <c r="J2889" s="2">
        <f>IF(payments_raw[[#This Row],[amount]] &lt;= 0, 1, 0)</f>
        <v>0</v>
      </c>
      <c r="K28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0" spans="1:11" x14ac:dyDescent="0.3">
      <c r="A2890">
        <v>32307582</v>
      </c>
      <c r="B2890">
        <v>7278644</v>
      </c>
      <c r="C2890" s="1">
        <v>45607</v>
      </c>
      <c r="D2890">
        <v>19</v>
      </c>
      <c r="E2890">
        <f>IF(
  ISNA(
    _xlfn.XLOOKUP(
      payments_raw[[#This Row],[subscription_id]],
      subscriptions[subscription_id],
      subscriptions[subscription_id]
    )
  ),
  0,
  1
)</f>
        <v>1</v>
      </c>
      <c r="F2890" s="1">
        <f>_xlfn.XLOOKUP(payments_raw[[#This Row],[subscription_id]], subscriptions[subscription_id], subscriptions[start_date])</f>
        <v>45530</v>
      </c>
      <c r="G28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90" s="2">
        <f>IF(payments_raw[[#This Row],[payment_date]] &lt; payments_raw[[#This Row],[sub_start_date]], 1, 0)</f>
        <v>0</v>
      </c>
      <c r="I2890" s="2">
        <f>IF(AND(payments_raw[[#This Row],[sub_end_date]]&lt;&gt;"", payments_raw[[#This Row],[payment_date]] &gt; payments_raw[[#This Row],[sub_end_date]]), 1, 0)</f>
        <v>0</v>
      </c>
      <c r="J2890" s="2">
        <f>IF(payments_raw[[#This Row],[amount]] &lt;= 0, 1, 0)</f>
        <v>0</v>
      </c>
      <c r="K28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1" spans="1:11" x14ac:dyDescent="0.3">
      <c r="A2891">
        <v>37569527</v>
      </c>
      <c r="B2891">
        <v>3074382</v>
      </c>
      <c r="C2891" s="1">
        <v>45410</v>
      </c>
      <c r="D2891">
        <v>39</v>
      </c>
      <c r="E2891">
        <f>IF(
  ISNA(
    _xlfn.XLOOKUP(
      payments_raw[[#This Row],[subscription_id]],
      subscriptions[subscription_id],
      subscriptions[subscription_id]
    )
  ),
  0,
  1
)</f>
        <v>1</v>
      </c>
      <c r="F2891" s="1">
        <f>_xlfn.XLOOKUP(payments_raw[[#This Row],[subscription_id]], subscriptions[subscription_id], subscriptions[start_date])</f>
        <v>45335</v>
      </c>
      <c r="G28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45432</v>
      </c>
      <c r="H2891" s="2">
        <f>IF(payments_raw[[#This Row],[payment_date]] &lt; payments_raw[[#This Row],[sub_start_date]], 1, 0)</f>
        <v>0</v>
      </c>
      <c r="I2891" s="2">
        <f>IF(AND(payments_raw[[#This Row],[sub_end_date]]&lt;&gt;"", payments_raw[[#This Row],[payment_date]] &gt; payments_raw[[#This Row],[sub_end_date]]), 1, 0)</f>
        <v>0</v>
      </c>
      <c r="J2891" s="2">
        <f>IF(payments_raw[[#This Row],[amount]] &lt;= 0, 1, 0)</f>
        <v>0</v>
      </c>
      <c r="K28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2" spans="1:11" x14ac:dyDescent="0.3">
      <c r="A2892">
        <v>93675181</v>
      </c>
      <c r="B2892">
        <v>8944257</v>
      </c>
      <c r="C2892" s="1">
        <v>45638</v>
      </c>
      <c r="D2892">
        <v>39</v>
      </c>
      <c r="E2892">
        <f>IF(
  ISNA(
    _xlfn.XLOOKUP(
      payments_raw[[#This Row],[subscription_id]],
      subscriptions[subscription_id],
      subscriptions[subscription_id]
    )
  ),
  0,
  1
)</f>
        <v>1</v>
      </c>
      <c r="F2892" s="1">
        <f>_xlfn.XLOOKUP(payments_raw[[#This Row],[subscription_id]], subscriptions[subscription_id], subscriptions[start_date])</f>
        <v>45038</v>
      </c>
      <c r="G28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92" s="2">
        <f>IF(payments_raw[[#This Row],[payment_date]] &lt; payments_raw[[#This Row],[sub_start_date]], 1, 0)</f>
        <v>0</v>
      </c>
      <c r="I2892" s="2">
        <f>IF(AND(payments_raw[[#This Row],[sub_end_date]]&lt;&gt;"", payments_raw[[#This Row],[payment_date]] &gt; payments_raw[[#This Row],[sub_end_date]]), 1, 0)</f>
        <v>0</v>
      </c>
      <c r="J2892" s="2">
        <f>IF(payments_raw[[#This Row],[amount]] &lt;= 0, 1, 0)</f>
        <v>0</v>
      </c>
      <c r="K28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3" spans="1:11" x14ac:dyDescent="0.3">
      <c r="A2893">
        <v>70752790</v>
      </c>
      <c r="B2893">
        <v>8014552</v>
      </c>
      <c r="C2893" s="1">
        <v>45603</v>
      </c>
      <c r="D2893">
        <v>711</v>
      </c>
      <c r="E2893">
        <f>IF(
  ISNA(
    _xlfn.XLOOKUP(
      payments_raw[[#This Row],[subscription_id]],
      subscriptions[subscription_id],
      subscriptions[subscription_id]
    )
  ),
  0,
  1
)</f>
        <v>1</v>
      </c>
      <c r="F2893" s="1">
        <f>_xlfn.XLOOKUP(payments_raw[[#This Row],[subscription_id]], subscriptions[subscription_id], subscriptions[start_date])</f>
        <v>45418</v>
      </c>
      <c r="G28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93" s="2">
        <f>IF(payments_raw[[#This Row],[payment_date]] &lt; payments_raw[[#This Row],[sub_start_date]], 1, 0)</f>
        <v>0</v>
      </c>
      <c r="I2893" s="2">
        <f>IF(AND(payments_raw[[#This Row],[sub_end_date]]&lt;&gt;"", payments_raw[[#This Row],[payment_date]] &gt; payments_raw[[#This Row],[sub_end_date]]), 1, 0)</f>
        <v>0</v>
      </c>
      <c r="J2893" s="2">
        <f>IF(payments_raw[[#This Row],[amount]] &lt;= 0, 1, 0)</f>
        <v>0</v>
      </c>
      <c r="K28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4" spans="1:11" x14ac:dyDescent="0.3">
      <c r="A2894">
        <v>68364452</v>
      </c>
      <c r="B2894">
        <v>7307661</v>
      </c>
      <c r="C2894" s="1">
        <v>45533</v>
      </c>
      <c r="D2894">
        <v>390</v>
      </c>
      <c r="E2894">
        <f>IF(
  ISNA(
    _xlfn.XLOOKUP(
      payments_raw[[#This Row],[subscription_id]],
      subscriptions[subscription_id],
      subscriptions[subscription_id]
    )
  ),
  0,
  1
)</f>
        <v>1</v>
      </c>
      <c r="F2894" s="1">
        <f>_xlfn.XLOOKUP(payments_raw[[#This Row],[subscription_id]], subscriptions[subscription_id], subscriptions[start_date])</f>
        <v>45456</v>
      </c>
      <c r="G28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94" s="2">
        <f>IF(payments_raw[[#This Row],[payment_date]] &lt; payments_raw[[#This Row],[sub_start_date]], 1, 0)</f>
        <v>0</v>
      </c>
      <c r="I2894" s="2">
        <f>IF(AND(payments_raw[[#This Row],[sub_end_date]]&lt;&gt;"", payments_raw[[#This Row],[payment_date]] &gt; payments_raw[[#This Row],[sub_end_date]]), 1, 0)</f>
        <v>0</v>
      </c>
      <c r="J2894" s="2">
        <f>IF(payments_raw[[#This Row],[amount]] &lt;= 0, 1, 0)</f>
        <v>0</v>
      </c>
      <c r="K28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5" spans="1:11" x14ac:dyDescent="0.3">
      <c r="A2895">
        <v>66196405</v>
      </c>
      <c r="B2895">
        <v>4720771</v>
      </c>
      <c r="C2895" s="1">
        <v>45633</v>
      </c>
      <c r="D2895">
        <v>790</v>
      </c>
      <c r="E2895">
        <f>IF(
  ISNA(
    _xlfn.XLOOKUP(
      payments_raw[[#This Row],[subscription_id]],
      subscriptions[subscription_id],
      subscriptions[subscription_id]
    )
  ),
  0,
  1
)</f>
        <v>1</v>
      </c>
      <c r="F2895" s="1">
        <f>_xlfn.XLOOKUP(payments_raw[[#This Row],[subscription_id]], subscriptions[subscription_id], subscriptions[start_date])</f>
        <v>45250</v>
      </c>
      <c r="G28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895" s="2">
        <f>IF(payments_raw[[#This Row],[payment_date]] &lt; payments_raw[[#This Row],[sub_start_date]], 1, 0)</f>
        <v>0</v>
      </c>
      <c r="I2895" s="2">
        <f>IF(AND(payments_raw[[#This Row],[sub_end_date]]&lt;&gt;"", payments_raw[[#This Row],[payment_date]] &gt; payments_raw[[#This Row],[sub_end_date]]), 1, 0)</f>
        <v>0</v>
      </c>
      <c r="J2895" s="2">
        <f>IF(payments_raw[[#This Row],[amount]] &lt;= 0, 1, 0)</f>
        <v>0</v>
      </c>
      <c r="K28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6" spans="1:11" x14ac:dyDescent="0.3">
      <c r="A2896">
        <v>58773102</v>
      </c>
      <c r="B2896">
        <v>1254735</v>
      </c>
      <c r="C2896" s="1">
        <v>45241</v>
      </c>
      <c r="D2896">
        <v>1490</v>
      </c>
      <c r="E2896">
        <f>IF(
  ISNA(
    _xlfn.XLOOKUP(
      payments_raw[[#This Row],[subscription_id]],
      subscriptions[subscription_id],
      subscriptions[subscription_id]
    )
  ),
  0,
  1
)</f>
        <v>1</v>
      </c>
      <c r="F2896" s="1">
        <f>_xlfn.XLOOKUP(payments_raw[[#This Row],[subscription_id]], subscriptions[subscription_id], subscriptions[start_date])</f>
        <v>45136</v>
      </c>
      <c r="G28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45306</v>
      </c>
      <c r="H2896" s="2">
        <f>IF(payments_raw[[#This Row],[payment_date]] &lt; payments_raw[[#This Row],[sub_start_date]], 1, 0)</f>
        <v>0</v>
      </c>
      <c r="I2896" s="2">
        <f>IF(AND(payments_raw[[#This Row],[sub_end_date]]&lt;&gt;"", payments_raw[[#This Row],[payment_date]] &gt; payments_raw[[#This Row],[sub_end_date]]), 1, 0)</f>
        <v>0</v>
      </c>
      <c r="J2896" s="2">
        <f>IF(payments_raw[[#This Row],[amount]] &lt;= 0, 1, 0)</f>
        <v>0</v>
      </c>
      <c r="K28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7" spans="1:11" x14ac:dyDescent="0.3">
      <c r="A2897">
        <v>12912578</v>
      </c>
      <c r="B2897">
        <v>8494305</v>
      </c>
      <c r="C2897" s="1">
        <v>45562</v>
      </c>
      <c r="D2897">
        <v>19.5</v>
      </c>
      <c r="E2897">
        <f>IF(
  ISNA(
    _xlfn.XLOOKUP(
      payments_raw[[#This Row],[subscription_id]],
      subscriptions[subscription_id],
      subscriptions[subscription_id]
    )
  ),
  0,
  1
)</f>
        <v>1</v>
      </c>
      <c r="F2897" s="1">
        <f>_xlfn.XLOOKUP(payments_raw[[#This Row],[subscription_id]], subscriptions[subscription_id], subscriptions[start_date])</f>
        <v>45541</v>
      </c>
      <c r="G28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2897" s="2">
        <f>IF(payments_raw[[#This Row],[payment_date]] &lt; payments_raw[[#This Row],[sub_start_date]], 1, 0)</f>
        <v>0</v>
      </c>
      <c r="I2897" s="2">
        <f>IF(AND(payments_raw[[#This Row],[sub_end_date]]&lt;&gt;"", payments_raw[[#This Row],[payment_date]] &gt; payments_raw[[#This Row],[sub_end_date]]), 1, 0)</f>
        <v>0</v>
      </c>
      <c r="J2897" s="2">
        <f>IF(payments_raw[[#This Row],[amount]] &lt;= 0, 1, 0)</f>
        <v>0</v>
      </c>
      <c r="K28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8" spans="1:11" x14ac:dyDescent="0.3">
      <c r="A2898">
        <v>99269195</v>
      </c>
      <c r="B2898">
        <v>4322585</v>
      </c>
      <c r="C2898" s="1">
        <v>45344</v>
      </c>
      <c r="D2898">
        <v>790</v>
      </c>
      <c r="E2898">
        <f>IF(
  ISNA(
    _xlfn.XLOOKUP(
      payments_raw[[#This Row],[subscription_id]],
      subscriptions[subscription_id],
      subscriptions[subscription_id]
    )
  ),
  0,
  1
)</f>
        <v>1</v>
      </c>
      <c r="F2898" s="1">
        <f>_xlfn.XLOOKUP(payments_raw[[#This Row],[subscription_id]], subscriptions[subscription_id], subscriptions[start_date])</f>
        <v>45161</v>
      </c>
      <c r="G28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45409</v>
      </c>
      <c r="H2898" s="2">
        <f>IF(payments_raw[[#This Row],[payment_date]] &lt; payments_raw[[#This Row],[sub_start_date]], 1, 0)</f>
        <v>0</v>
      </c>
      <c r="I2898" s="2">
        <f>IF(AND(payments_raw[[#This Row],[sub_end_date]]&lt;&gt;"", payments_raw[[#This Row],[payment_date]] &gt; payments_raw[[#This Row],[sub_end_date]]), 1, 0)</f>
        <v>0</v>
      </c>
      <c r="J2898" s="2">
        <f>IF(payments_raw[[#This Row],[amount]] &lt;= 0, 1, 0)</f>
        <v>0</v>
      </c>
      <c r="K28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899" spans="1:11" x14ac:dyDescent="0.3">
      <c r="A2899">
        <v>85839021</v>
      </c>
      <c r="B2899">
        <v>3927545</v>
      </c>
      <c r="C2899" s="1">
        <v>44949</v>
      </c>
      <c r="D2899">
        <v>79</v>
      </c>
      <c r="E2899">
        <f>IF(
  ISNA(
    _xlfn.XLOOKUP(
      payments_raw[[#This Row],[subscription_id]],
      subscriptions[subscription_id],
      subscriptions[subscription_id]
    )
  ),
  0,
  1
)</f>
        <v>1</v>
      </c>
      <c r="F2899" s="1">
        <f>_xlfn.XLOOKUP(payments_raw[[#This Row],[subscription_id]], subscriptions[subscription_id], subscriptions[start_date])</f>
        <v>44862</v>
      </c>
      <c r="G28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45227</v>
      </c>
      <c r="H2899" s="2">
        <f>IF(payments_raw[[#This Row],[payment_date]] &lt; payments_raw[[#This Row],[sub_start_date]], 1, 0)</f>
        <v>0</v>
      </c>
      <c r="I2899" s="2">
        <f>IF(AND(payments_raw[[#This Row],[sub_end_date]]&lt;&gt;"", payments_raw[[#This Row],[payment_date]] &gt; payments_raw[[#This Row],[sub_end_date]]), 1, 0)</f>
        <v>0</v>
      </c>
      <c r="J2899" s="2">
        <f>IF(payments_raw[[#This Row],[amount]] &lt;= 0, 1, 0)</f>
        <v>0</v>
      </c>
      <c r="K28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0" spans="1:11" x14ac:dyDescent="0.3">
      <c r="A2900">
        <v>32267251</v>
      </c>
      <c r="B2900">
        <v>5123439</v>
      </c>
      <c r="C2900" s="1">
        <v>45246</v>
      </c>
      <c r="D2900">
        <v>2990</v>
      </c>
      <c r="E2900">
        <f>IF(
  ISNA(
    _xlfn.XLOOKUP(
      payments_raw[[#This Row],[subscription_id]],
      subscriptions[subscription_id],
      subscriptions[subscription_id]
    )
  ),
  0,
  1
)</f>
        <v>1</v>
      </c>
      <c r="F2900" s="1">
        <f>_xlfn.XLOOKUP(payments_raw[[#This Row],[subscription_id]], subscriptions[subscription_id], subscriptions[start_date])</f>
        <v>45151</v>
      </c>
      <c r="G29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0" s="2">
        <f>IF(payments_raw[[#This Row],[payment_date]] &lt; payments_raw[[#This Row],[sub_start_date]], 1, 0)</f>
        <v>0</v>
      </c>
      <c r="I2900" s="2">
        <f>IF(AND(payments_raw[[#This Row],[sub_end_date]]&lt;&gt;"", payments_raw[[#This Row],[payment_date]] &gt; payments_raw[[#This Row],[sub_end_date]]), 1, 0)</f>
        <v>0</v>
      </c>
      <c r="J2900" s="2">
        <f>IF(payments_raw[[#This Row],[amount]] &lt;= 0, 1, 0)</f>
        <v>0</v>
      </c>
      <c r="K29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1" spans="1:11" x14ac:dyDescent="0.3">
      <c r="A2901">
        <v>59848952</v>
      </c>
      <c r="B2901">
        <v>7383812</v>
      </c>
      <c r="C2901" s="1">
        <v>45612</v>
      </c>
      <c r="D2901">
        <v>299</v>
      </c>
      <c r="E2901">
        <f>IF(
  ISNA(
    _xlfn.XLOOKUP(
      payments_raw[[#This Row],[subscription_id]],
      subscriptions[subscription_id],
      subscriptions[subscription_id]
    )
  ),
  0,
  1
)</f>
        <v>1</v>
      </c>
      <c r="F2901" s="1">
        <f>_xlfn.XLOOKUP(payments_raw[[#This Row],[subscription_id]], subscriptions[subscription_id], subscriptions[start_date])</f>
        <v>44817</v>
      </c>
      <c r="G29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1" s="2">
        <f>IF(payments_raw[[#This Row],[payment_date]] &lt; payments_raw[[#This Row],[sub_start_date]], 1, 0)</f>
        <v>0</v>
      </c>
      <c r="I2901" s="2">
        <f>IF(AND(payments_raw[[#This Row],[sub_end_date]]&lt;&gt;"", payments_raw[[#This Row],[payment_date]] &gt; payments_raw[[#This Row],[sub_end_date]]), 1, 0)</f>
        <v>0</v>
      </c>
      <c r="J2901" s="2">
        <f>IF(payments_raw[[#This Row],[amount]] &lt;= 0, 1, 0)</f>
        <v>0</v>
      </c>
      <c r="K29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2" spans="1:11" x14ac:dyDescent="0.3">
      <c r="A2902">
        <v>50170436</v>
      </c>
      <c r="B2902">
        <v>5127314</v>
      </c>
      <c r="C2902" s="1">
        <v>45127</v>
      </c>
      <c r="D2902">
        <v>39</v>
      </c>
      <c r="E2902">
        <f>IF(
  ISNA(
    _xlfn.XLOOKUP(
      payments_raw[[#This Row],[subscription_id]],
      subscriptions[subscription_id],
      subscriptions[subscription_id]
    )
  ),
  0,
  1
)</f>
        <v>1</v>
      </c>
      <c r="F2902" s="1">
        <f>_xlfn.XLOOKUP(payments_raw[[#This Row],[subscription_id]], subscriptions[subscription_id], subscriptions[start_date])</f>
        <v>45006</v>
      </c>
      <c r="G290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45327</v>
      </c>
      <c r="H2902" s="2">
        <f>IF(payments_raw[[#This Row],[payment_date]] &lt; payments_raw[[#This Row],[sub_start_date]], 1, 0)</f>
        <v>0</v>
      </c>
      <c r="I2902" s="2">
        <f>IF(AND(payments_raw[[#This Row],[sub_end_date]]&lt;&gt;"", payments_raw[[#This Row],[payment_date]] &gt; payments_raw[[#This Row],[sub_end_date]]), 1, 0)</f>
        <v>0</v>
      </c>
      <c r="J2902" s="2">
        <f>IF(payments_raw[[#This Row],[amount]] &lt;= 0, 1, 0)</f>
        <v>0</v>
      </c>
      <c r="K29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3" spans="1:11" x14ac:dyDescent="0.3">
      <c r="A2903">
        <v>47512892</v>
      </c>
      <c r="B2903">
        <v>2742939</v>
      </c>
      <c r="C2903" s="1">
        <v>44905</v>
      </c>
      <c r="D2903">
        <v>149</v>
      </c>
      <c r="E2903">
        <f>IF(
  ISNA(
    _xlfn.XLOOKUP(
      payments_raw[[#This Row],[subscription_id]],
      subscriptions[subscription_id],
      subscriptions[subscription_id]
    )
  ),
  0,
  1
)</f>
        <v>1</v>
      </c>
      <c r="F2903" s="1">
        <f>_xlfn.XLOOKUP(payments_raw[[#This Row],[subscription_id]], subscriptions[subscription_id], subscriptions[start_date])</f>
        <v>44640</v>
      </c>
      <c r="G29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3" s="2">
        <f>IF(payments_raw[[#This Row],[payment_date]] &lt; payments_raw[[#This Row],[sub_start_date]], 1, 0)</f>
        <v>0</v>
      </c>
      <c r="I2903" s="2">
        <f>IF(AND(payments_raw[[#This Row],[sub_end_date]]&lt;&gt;"", payments_raw[[#This Row],[payment_date]] &gt; payments_raw[[#This Row],[sub_end_date]]), 1, 0)</f>
        <v>0</v>
      </c>
      <c r="J2903" s="2">
        <f>IF(payments_raw[[#This Row],[amount]] &lt;= 0, 1, 0)</f>
        <v>0</v>
      </c>
      <c r="K29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4" spans="1:11" x14ac:dyDescent="0.3">
      <c r="A2904">
        <v>14643233</v>
      </c>
      <c r="B2904">
        <v>9834402</v>
      </c>
      <c r="C2904" s="1">
        <v>45616</v>
      </c>
      <c r="D2904">
        <v>190</v>
      </c>
      <c r="E2904">
        <f>IF(
  ISNA(
    _xlfn.XLOOKUP(
      payments_raw[[#This Row],[subscription_id]],
      subscriptions[subscription_id],
      subscriptions[subscription_id]
    )
  ),
  0,
  1
)</f>
        <v>1</v>
      </c>
      <c r="F2904" s="1">
        <f>_xlfn.XLOOKUP(payments_raw[[#This Row],[subscription_id]], subscriptions[subscription_id], subscriptions[start_date])</f>
        <v>45467</v>
      </c>
      <c r="G290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2904" s="2">
        <f>IF(payments_raw[[#This Row],[payment_date]] &lt; payments_raw[[#This Row],[sub_start_date]], 1, 0)</f>
        <v>0</v>
      </c>
      <c r="I2904" s="2">
        <f>IF(AND(payments_raw[[#This Row],[sub_end_date]]&lt;&gt;"", payments_raw[[#This Row],[payment_date]] &gt; payments_raw[[#This Row],[sub_end_date]]), 1, 0)</f>
        <v>0</v>
      </c>
      <c r="J2904" s="2">
        <f>IF(payments_raw[[#This Row],[amount]] &lt;= 0, 1, 0)</f>
        <v>0</v>
      </c>
      <c r="K29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5" spans="1:11" x14ac:dyDescent="0.3">
      <c r="A2905">
        <v>31055735</v>
      </c>
      <c r="B2905">
        <v>8457126</v>
      </c>
      <c r="C2905" s="1">
        <v>44738</v>
      </c>
      <c r="D2905">
        <v>190</v>
      </c>
      <c r="E2905">
        <f>IF(
  ISNA(
    _xlfn.XLOOKUP(
      payments_raw[[#This Row],[subscription_id]],
      subscriptions[subscription_id],
      subscriptions[subscription_id]
    )
  ),
  0,
  1
)</f>
        <v>1</v>
      </c>
      <c r="F2905" s="1">
        <f>_xlfn.XLOOKUP(payments_raw[[#This Row],[subscription_id]], subscriptions[subscription_id], subscriptions[start_date])</f>
        <v>44649</v>
      </c>
      <c r="G290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44860</v>
      </c>
      <c r="H2905" s="2">
        <f>IF(payments_raw[[#This Row],[payment_date]] &lt; payments_raw[[#This Row],[sub_start_date]], 1, 0)</f>
        <v>0</v>
      </c>
      <c r="I2905" s="2">
        <f>IF(AND(payments_raw[[#This Row],[sub_end_date]]&lt;&gt;"", payments_raw[[#This Row],[payment_date]] &gt; payments_raw[[#This Row],[sub_end_date]]), 1, 0)</f>
        <v>0</v>
      </c>
      <c r="J2905" s="2">
        <f>IF(payments_raw[[#This Row],[amount]] &lt;= 0, 1, 0)</f>
        <v>0</v>
      </c>
      <c r="K29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6" spans="1:11" x14ac:dyDescent="0.3">
      <c r="A2906">
        <v>43187506</v>
      </c>
      <c r="B2906">
        <v>4860680</v>
      </c>
      <c r="C2906" s="1">
        <v>45454</v>
      </c>
      <c r="D2906">
        <v>2990</v>
      </c>
      <c r="E2906">
        <f>IF(
  ISNA(
    _xlfn.XLOOKUP(
      payments_raw[[#This Row],[subscription_id]],
      subscriptions[subscription_id],
      subscriptions[subscription_id]
    )
  ),
  0,
  1
)</f>
        <v>1</v>
      </c>
      <c r="F2906" s="1">
        <f>_xlfn.XLOOKUP(payments_raw[[#This Row],[subscription_id]], subscriptions[subscription_id], subscriptions[start_date])</f>
        <v>45349</v>
      </c>
      <c r="G29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6" s="2">
        <f>IF(payments_raw[[#This Row],[payment_date]] &lt; payments_raw[[#This Row],[sub_start_date]], 1, 0)</f>
        <v>0</v>
      </c>
      <c r="I2906" s="2">
        <f>IF(AND(payments_raw[[#This Row],[sub_end_date]]&lt;&gt;"", payments_raw[[#This Row],[payment_date]] &gt; payments_raw[[#This Row],[sub_end_date]]), 1, 0)</f>
        <v>0</v>
      </c>
      <c r="J2906" s="2">
        <f>IF(payments_raw[[#This Row],[amount]] &lt;= 0, 1, 0)</f>
        <v>0</v>
      </c>
      <c r="K29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7" spans="1:11" x14ac:dyDescent="0.3">
      <c r="A2907">
        <v>32518072</v>
      </c>
      <c r="B2907">
        <v>5910412</v>
      </c>
      <c r="C2907" s="1">
        <v>45312</v>
      </c>
      <c r="D2907">
        <v>19</v>
      </c>
      <c r="E2907">
        <f>IF(
  ISNA(
    _xlfn.XLOOKUP(
      payments_raw[[#This Row],[subscription_id]],
      subscriptions[subscription_id],
      subscriptions[subscription_id]
    )
  ),
  0,
  1
)</f>
        <v>1</v>
      </c>
      <c r="F2907" s="1">
        <f>_xlfn.XLOOKUP(payments_raw[[#This Row],[subscription_id]], subscriptions[subscription_id], subscriptions[start_date])</f>
        <v>45062</v>
      </c>
      <c r="G29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07" s="2">
        <f>IF(payments_raw[[#This Row],[payment_date]] &lt; payments_raw[[#This Row],[sub_start_date]], 1, 0)</f>
        <v>0</v>
      </c>
      <c r="I2907" s="2">
        <f>IF(AND(payments_raw[[#This Row],[sub_end_date]]&lt;&gt;"", payments_raw[[#This Row],[payment_date]] &gt; payments_raw[[#This Row],[sub_end_date]]), 1, 0)</f>
        <v>0</v>
      </c>
      <c r="J2907" s="2">
        <f>IF(payments_raw[[#This Row],[amount]] &lt;= 0, 1, 0)</f>
        <v>0</v>
      </c>
      <c r="K29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8" spans="1:11" x14ac:dyDescent="0.3">
      <c r="A2908">
        <v>15467628</v>
      </c>
      <c r="B2908">
        <v>2280314</v>
      </c>
      <c r="C2908" s="1">
        <v>45031</v>
      </c>
      <c r="D2908">
        <v>19</v>
      </c>
      <c r="E2908">
        <f>IF(
  ISNA(
    _xlfn.XLOOKUP(
      payments_raw[[#This Row],[subscription_id]],
      subscriptions[subscription_id],
      subscriptions[subscription_id]
    )
  ),
  0,
  1
)</f>
        <v>1</v>
      </c>
      <c r="F2908" s="1">
        <f>_xlfn.XLOOKUP(payments_raw[[#This Row],[subscription_id]], subscriptions[subscription_id], subscriptions[start_date])</f>
        <v>44992</v>
      </c>
      <c r="G29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45214</v>
      </c>
      <c r="H2908" s="2">
        <f>IF(payments_raw[[#This Row],[payment_date]] &lt; payments_raw[[#This Row],[sub_start_date]], 1, 0)</f>
        <v>0</v>
      </c>
      <c r="I2908" s="2">
        <f>IF(AND(payments_raw[[#This Row],[sub_end_date]]&lt;&gt;"", payments_raw[[#This Row],[payment_date]] &gt; payments_raw[[#This Row],[sub_end_date]]), 1, 0)</f>
        <v>0</v>
      </c>
      <c r="J2908" s="2">
        <f>IF(payments_raw[[#This Row],[amount]] &lt;= 0, 1, 0)</f>
        <v>0</v>
      </c>
      <c r="K29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09" spans="1:11" x14ac:dyDescent="0.3">
      <c r="A2909">
        <v>97506740</v>
      </c>
      <c r="B2909">
        <v>2901872</v>
      </c>
      <c r="C2909" s="1">
        <v>44904</v>
      </c>
      <c r="D2909">
        <v>19</v>
      </c>
      <c r="E2909">
        <f>IF(
  ISNA(
    _xlfn.XLOOKUP(
      payments_raw[[#This Row],[subscription_id]],
      subscriptions[subscription_id],
      subscriptions[subscription_id]
    )
  ),
  0,
  1
)</f>
        <v>1</v>
      </c>
      <c r="F2909" s="1">
        <f>_xlfn.XLOOKUP(payments_raw[[#This Row],[subscription_id]], subscriptions[subscription_id], subscriptions[start_date])</f>
        <v>44862</v>
      </c>
      <c r="G290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44941</v>
      </c>
      <c r="H2909" s="2">
        <f>IF(payments_raw[[#This Row],[payment_date]] &lt; payments_raw[[#This Row],[sub_start_date]], 1, 0)</f>
        <v>0</v>
      </c>
      <c r="I2909" s="2">
        <f>IF(AND(payments_raw[[#This Row],[sub_end_date]]&lt;&gt;"", payments_raw[[#This Row],[payment_date]] &gt; payments_raw[[#This Row],[sub_end_date]]), 1, 0)</f>
        <v>0</v>
      </c>
      <c r="J2909" s="2">
        <f>IF(payments_raw[[#This Row],[amount]] &lt;= 0, 1, 0)</f>
        <v>0</v>
      </c>
      <c r="K29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0" spans="1:11" x14ac:dyDescent="0.3">
      <c r="A2910">
        <v>17969791</v>
      </c>
      <c r="B2910">
        <v>7355220</v>
      </c>
      <c r="C2910" s="1">
        <v>45225</v>
      </c>
      <c r="D2910">
        <v>149</v>
      </c>
      <c r="E2910">
        <f>IF(
  ISNA(
    _xlfn.XLOOKUP(
      payments_raw[[#This Row],[subscription_id]],
      subscriptions[subscription_id],
      subscriptions[subscription_id]
    )
  ),
  0,
  1
)</f>
        <v>1</v>
      </c>
      <c r="F2910" s="1">
        <f>_xlfn.XLOOKUP(payments_raw[[#This Row],[subscription_id]], subscriptions[subscription_id], subscriptions[start_date])</f>
        <v>45109</v>
      </c>
      <c r="G29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0" s="2">
        <f>IF(payments_raw[[#This Row],[payment_date]] &lt; payments_raw[[#This Row],[sub_start_date]], 1, 0)</f>
        <v>0</v>
      </c>
      <c r="I2910" s="2">
        <f>IF(AND(payments_raw[[#This Row],[sub_end_date]]&lt;&gt;"", payments_raw[[#This Row],[payment_date]] &gt; payments_raw[[#This Row],[sub_end_date]]), 1, 0)</f>
        <v>0</v>
      </c>
      <c r="J2910" s="2">
        <f>IF(payments_raw[[#This Row],[amount]] &lt;= 0, 1, 0)</f>
        <v>0</v>
      </c>
      <c r="K29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1" spans="1:11" x14ac:dyDescent="0.3">
      <c r="A2911">
        <v>40365698</v>
      </c>
      <c r="B2911">
        <v>7884009</v>
      </c>
      <c r="C2911" s="1">
        <v>45056</v>
      </c>
      <c r="D2911">
        <v>390</v>
      </c>
      <c r="E2911">
        <f>IF(
  ISNA(
    _xlfn.XLOOKUP(
      payments_raw[[#This Row],[subscription_id]],
      subscriptions[subscription_id],
      subscriptions[subscription_id]
    )
  ),
  0,
  1
)</f>
        <v>1</v>
      </c>
      <c r="F2911" s="1">
        <f>_xlfn.XLOOKUP(payments_raw[[#This Row],[subscription_id]], subscriptions[subscription_id], subscriptions[start_date])</f>
        <v>45013</v>
      </c>
      <c r="G291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45115</v>
      </c>
      <c r="H2911" s="2">
        <f>IF(payments_raw[[#This Row],[payment_date]] &lt; payments_raw[[#This Row],[sub_start_date]], 1, 0)</f>
        <v>0</v>
      </c>
      <c r="I2911" s="2">
        <f>IF(AND(payments_raw[[#This Row],[sub_end_date]]&lt;&gt;"", payments_raw[[#This Row],[payment_date]] &gt; payments_raw[[#This Row],[sub_end_date]]), 1, 0)</f>
        <v>0</v>
      </c>
      <c r="J2911" s="2">
        <f>IF(payments_raw[[#This Row],[amount]] &lt;= 0, 1, 0)</f>
        <v>0</v>
      </c>
      <c r="K29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2" spans="1:11" x14ac:dyDescent="0.3">
      <c r="A2912">
        <v>14481563</v>
      </c>
      <c r="B2912">
        <v>9662089</v>
      </c>
      <c r="C2912" s="1">
        <v>45376</v>
      </c>
      <c r="D2912">
        <v>1490</v>
      </c>
      <c r="E2912">
        <f>IF(
  ISNA(
    _xlfn.XLOOKUP(
      payments_raw[[#This Row],[subscription_id]],
      subscriptions[subscription_id],
      subscriptions[subscription_id]
    )
  ),
  0,
  1
)</f>
        <v>1</v>
      </c>
      <c r="F2912" s="1">
        <f>_xlfn.XLOOKUP(payments_raw[[#This Row],[subscription_id]], subscriptions[subscription_id], subscriptions[start_date])</f>
        <v>45261</v>
      </c>
      <c r="G29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2" s="2">
        <f>IF(payments_raw[[#This Row],[payment_date]] &lt; payments_raw[[#This Row],[sub_start_date]], 1, 0)</f>
        <v>0</v>
      </c>
      <c r="I2912" s="2">
        <f>IF(AND(payments_raw[[#This Row],[sub_end_date]]&lt;&gt;"", payments_raw[[#This Row],[payment_date]] &gt; payments_raw[[#This Row],[sub_end_date]]), 1, 0)</f>
        <v>0</v>
      </c>
      <c r="J2912" s="2">
        <f>IF(payments_raw[[#This Row],[amount]] &lt;= 0, 1, 0)</f>
        <v>0</v>
      </c>
      <c r="K29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3" spans="1:11" x14ac:dyDescent="0.3">
      <c r="A2913">
        <v>87966442</v>
      </c>
      <c r="B2913">
        <v>5596336</v>
      </c>
      <c r="C2913" s="1">
        <v>45296</v>
      </c>
      <c r="D2913">
        <v>390</v>
      </c>
      <c r="E2913">
        <f>IF(
  ISNA(
    _xlfn.XLOOKUP(
      payments_raw[[#This Row],[subscription_id]],
      subscriptions[subscription_id],
      subscriptions[subscription_id]
    )
  ),
  0,
  1
)</f>
        <v>1</v>
      </c>
      <c r="F2913" s="1">
        <f>_xlfn.XLOOKUP(payments_raw[[#This Row],[subscription_id]], subscriptions[subscription_id], subscriptions[start_date])</f>
        <v>44780</v>
      </c>
      <c r="G29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3" s="2">
        <f>IF(payments_raw[[#This Row],[payment_date]] &lt; payments_raw[[#This Row],[sub_start_date]], 1, 0)</f>
        <v>0</v>
      </c>
      <c r="I2913" s="2">
        <f>IF(AND(payments_raw[[#This Row],[sub_end_date]]&lt;&gt;"", payments_raw[[#This Row],[payment_date]] &gt; payments_raw[[#This Row],[sub_end_date]]), 1, 0)</f>
        <v>0</v>
      </c>
      <c r="J2913" s="2">
        <f>IF(payments_raw[[#This Row],[amount]] &lt;= 0, 1, 0)</f>
        <v>0</v>
      </c>
      <c r="K29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4" spans="1:11" x14ac:dyDescent="0.3">
      <c r="A2914">
        <v>85197111</v>
      </c>
      <c r="B2914">
        <v>8344546</v>
      </c>
      <c r="C2914" s="1">
        <v>45338</v>
      </c>
      <c r="D2914">
        <v>299</v>
      </c>
      <c r="E2914">
        <f>IF(
  ISNA(
    _xlfn.XLOOKUP(
      payments_raw[[#This Row],[subscription_id]],
      subscriptions[subscription_id],
      subscriptions[subscription_id]
    )
  ),
  0,
  1
)</f>
        <v>1</v>
      </c>
      <c r="F2914" s="1">
        <f>_xlfn.XLOOKUP(payments_raw[[#This Row],[subscription_id]], subscriptions[subscription_id], subscriptions[start_date])</f>
        <v>45302</v>
      </c>
      <c r="G29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45418</v>
      </c>
      <c r="H2914" s="2">
        <f>IF(payments_raw[[#This Row],[payment_date]] &lt; payments_raw[[#This Row],[sub_start_date]], 1, 0)</f>
        <v>0</v>
      </c>
      <c r="I2914" s="2">
        <f>IF(AND(payments_raw[[#This Row],[sub_end_date]]&lt;&gt;"", payments_raw[[#This Row],[payment_date]] &gt; payments_raw[[#This Row],[sub_end_date]]), 1, 0)</f>
        <v>0</v>
      </c>
      <c r="J2914" s="2">
        <f>IF(payments_raw[[#This Row],[amount]] &lt;= 0, 1, 0)</f>
        <v>0</v>
      </c>
      <c r="K29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5" spans="1:11" x14ac:dyDescent="0.3">
      <c r="A2915">
        <v>37937587</v>
      </c>
      <c r="B2915">
        <v>1424388</v>
      </c>
      <c r="C2915" s="1">
        <v>45629</v>
      </c>
      <c r="D2915">
        <v>190</v>
      </c>
      <c r="E2915">
        <f>IF(
  ISNA(
    _xlfn.XLOOKUP(
      payments_raw[[#This Row],[subscription_id]],
      subscriptions[subscription_id],
      subscriptions[subscription_id]
    )
  ),
  0,
  1
)</f>
        <v>1</v>
      </c>
      <c r="F2915" s="1">
        <f>_xlfn.XLOOKUP(payments_raw[[#This Row],[subscription_id]], subscriptions[subscription_id], subscriptions[start_date])</f>
        <v>45310</v>
      </c>
      <c r="G29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2915" s="2">
        <f>IF(payments_raw[[#This Row],[payment_date]] &lt; payments_raw[[#This Row],[sub_start_date]], 1, 0)</f>
        <v>0</v>
      </c>
      <c r="I2915" s="2">
        <f>IF(AND(payments_raw[[#This Row],[sub_end_date]]&lt;&gt;"", payments_raw[[#This Row],[payment_date]] &gt; payments_raw[[#This Row],[sub_end_date]]), 1, 0)</f>
        <v>0</v>
      </c>
      <c r="J2915" s="2">
        <f>IF(payments_raw[[#This Row],[amount]] &lt;= 0, 1, 0)</f>
        <v>0</v>
      </c>
      <c r="K29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6" spans="1:11" x14ac:dyDescent="0.3">
      <c r="A2916">
        <v>42964310</v>
      </c>
      <c r="B2916">
        <v>6251539</v>
      </c>
      <c r="C2916" s="1">
        <v>45241</v>
      </c>
      <c r="D2916">
        <v>390</v>
      </c>
      <c r="E2916">
        <f>IF(
  ISNA(
    _xlfn.XLOOKUP(
      payments_raw[[#This Row],[subscription_id]],
      subscriptions[subscription_id],
      subscriptions[subscription_id]
    )
  ),
  0,
  1
)</f>
        <v>1</v>
      </c>
      <c r="F2916" s="1">
        <f>_xlfn.XLOOKUP(payments_raw[[#This Row],[subscription_id]], subscriptions[subscription_id], subscriptions[start_date])</f>
        <v>45044</v>
      </c>
      <c r="G29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6" s="2">
        <f>IF(payments_raw[[#This Row],[payment_date]] &lt; payments_raw[[#This Row],[sub_start_date]], 1, 0)</f>
        <v>0</v>
      </c>
      <c r="I2916" s="2">
        <f>IF(AND(payments_raw[[#This Row],[sub_end_date]]&lt;&gt;"", payments_raw[[#This Row],[payment_date]] &gt; payments_raw[[#This Row],[sub_end_date]]), 1, 0)</f>
        <v>0</v>
      </c>
      <c r="J2916" s="2">
        <f>IF(payments_raw[[#This Row],[amount]] &lt;= 0, 1, 0)</f>
        <v>0</v>
      </c>
      <c r="K29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7" spans="1:11" x14ac:dyDescent="0.3">
      <c r="A2917">
        <v>49532925</v>
      </c>
      <c r="B2917">
        <v>6086875</v>
      </c>
      <c r="C2917" s="1">
        <v>45115</v>
      </c>
      <c r="D2917">
        <v>190</v>
      </c>
      <c r="E2917">
        <f>IF(
  ISNA(
    _xlfn.XLOOKUP(
      payments_raw[[#This Row],[subscription_id]],
      subscriptions[subscription_id],
      subscriptions[subscription_id]
    )
  ),
  0,
  1
)</f>
        <v>1</v>
      </c>
      <c r="F2917" s="1">
        <f>_xlfn.XLOOKUP(payments_raw[[#This Row],[subscription_id]], subscriptions[subscription_id], subscriptions[start_date])</f>
        <v>45061</v>
      </c>
      <c r="G29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45116</v>
      </c>
      <c r="H2917" s="2">
        <f>IF(payments_raw[[#This Row],[payment_date]] &lt; payments_raw[[#This Row],[sub_start_date]], 1, 0)</f>
        <v>0</v>
      </c>
      <c r="I2917" s="2">
        <f>IF(AND(payments_raw[[#This Row],[sub_end_date]]&lt;&gt;"", payments_raw[[#This Row],[payment_date]] &gt; payments_raw[[#This Row],[sub_end_date]]), 1, 0)</f>
        <v>0</v>
      </c>
      <c r="J2917" s="2">
        <f>IF(payments_raw[[#This Row],[amount]] &lt;= 0, 1, 0)</f>
        <v>0</v>
      </c>
      <c r="K29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8" spans="1:11" x14ac:dyDescent="0.3">
      <c r="A2918">
        <v>31905860</v>
      </c>
      <c r="B2918">
        <v>1371031</v>
      </c>
      <c r="C2918" s="1">
        <v>45631</v>
      </c>
      <c r="D2918">
        <v>299</v>
      </c>
      <c r="E2918">
        <f>IF(
  ISNA(
    _xlfn.XLOOKUP(
      payments_raw[[#This Row],[subscription_id]],
      subscriptions[subscription_id],
      subscriptions[subscription_id]
    )
  ),
  0,
  1
)</f>
        <v>1</v>
      </c>
      <c r="F2918" s="1">
        <f>_xlfn.XLOOKUP(payments_raw[[#This Row],[subscription_id]], subscriptions[subscription_id], subscriptions[start_date])</f>
        <v>45480</v>
      </c>
      <c r="G29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8" s="2">
        <f>IF(payments_raw[[#This Row],[payment_date]] &lt; payments_raw[[#This Row],[sub_start_date]], 1, 0)</f>
        <v>0</v>
      </c>
      <c r="I2918" s="2">
        <f>IF(AND(payments_raw[[#This Row],[sub_end_date]]&lt;&gt;"", payments_raw[[#This Row],[payment_date]] &gt; payments_raw[[#This Row],[sub_end_date]]), 1, 0)</f>
        <v>0</v>
      </c>
      <c r="J2918" s="2">
        <f>IF(payments_raw[[#This Row],[amount]] &lt;= 0, 1, 0)</f>
        <v>0</v>
      </c>
      <c r="K29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19" spans="1:11" x14ac:dyDescent="0.3">
      <c r="A2919">
        <v>10972066</v>
      </c>
      <c r="B2919">
        <v>3695916</v>
      </c>
      <c r="C2919" s="1">
        <v>45593</v>
      </c>
      <c r="D2919">
        <v>351</v>
      </c>
      <c r="E2919">
        <f>IF(
  ISNA(
    _xlfn.XLOOKUP(
      payments_raw[[#This Row],[subscription_id]],
      subscriptions[subscription_id],
      subscriptions[subscription_id]
    )
  ),
  0,
  1
)</f>
        <v>1</v>
      </c>
      <c r="F2919" s="1">
        <f>_xlfn.XLOOKUP(payments_raw[[#This Row],[subscription_id]], subscriptions[subscription_id], subscriptions[start_date])</f>
        <v>45456</v>
      </c>
      <c r="G29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19" s="2">
        <f>IF(payments_raw[[#This Row],[payment_date]] &lt; payments_raw[[#This Row],[sub_start_date]], 1, 0)</f>
        <v>0</v>
      </c>
      <c r="I2919" s="2">
        <f>IF(AND(payments_raw[[#This Row],[sub_end_date]]&lt;&gt;"", payments_raw[[#This Row],[payment_date]] &gt; payments_raw[[#This Row],[sub_end_date]]), 1, 0)</f>
        <v>0</v>
      </c>
      <c r="J2919" s="2">
        <f>IF(payments_raw[[#This Row],[amount]] &lt;= 0, 1, 0)</f>
        <v>0</v>
      </c>
      <c r="K29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0" spans="1:11" x14ac:dyDescent="0.3">
      <c r="A2920">
        <v>82258236</v>
      </c>
      <c r="B2920">
        <v>5837546</v>
      </c>
      <c r="C2920" s="1">
        <v>45609</v>
      </c>
      <c r="D2920">
        <v>39</v>
      </c>
      <c r="E2920">
        <f>IF(
  ISNA(
    _xlfn.XLOOKUP(
      payments_raw[[#This Row],[subscription_id]],
      subscriptions[subscription_id],
      subscriptions[subscription_id]
    )
  ),
  0,
  1
)</f>
        <v>1</v>
      </c>
      <c r="F2920" s="1">
        <f>_xlfn.XLOOKUP(payments_raw[[#This Row],[subscription_id]], subscriptions[subscription_id], subscriptions[start_date])</f>
        <v>45444</v>
      </c>
      <c r="G29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0" s="2">
        <f>IF(payments_raw[[#This Row],[payment_date]] &lt; payments_raw[[#This Row],[sub_start_date]], 1, 0)</f>
        <v>0</v>
      </c>
      <c r="I2920" s="2">
        <f>IF(AND(payments_raw[[#This Row],[sub_end_date]]&lt;&gt;"", payments_raw[[#This Row],[payment_date]] &gt; payments_raw[[#This Row],[sub_end_date]]), 1, 0)</f>
        <v>0</v>
      </c>
      <c r="J2920" s="2">
        <f>IF(payments_raw[[#This Row],[amount]] &lt;= 0, 1, 0)</f>
        <v>0</v>
      </c>
      <c r="K29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1" spans="1:11" x14ac:dyDescent="0.3">
      <c r="A2921">
        <v>26955135</v>
      </c>
      <c r="B2921">
        <v>1627774</v>
      </c>
      <c r="C2921" s="1">
        <v>45562</v>
      </c>
      <c r="D2921">
        <v>299</v>
      </c>
      <c r="E2921">
        <f>IF(
  ISNA(
    _xlfn.XLOOKUP(
      payments_raw[[#This Row],[subscription_id]],
      subscriptions[subscription_id],
      subscriptions[subscription_id]
    )
  ),
  0,
  1
)</f>
        <v>1</v>
      </c>
      <c r="F2921" s="1">
        <f>_xlfn.XLOOKUP(payments_raw[[#This Row],[subscription_id]], subscriptions[subscription_id], subscriptions[start_date])</f>
        <v>44711</v>
      </c>
      <c r="G29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1" s="2">
        <f>IF(payments_raw[[#This Row],[payment_date]] &lt; payments_raw[[#This Row],[sub_start_date]], 1, 0)</f>
        <v>0</v>
      </c>
      <c r="I2921" s="2">
        <f>IF(AND(payments_raw[[#This Row],[sub_end_date]]&lt;&gt;"", payments_raw[[#This Row],[payment_date]] &gt; payments_raw[[#This Row],[sub_end_date]]), 1, 0)</f>
        <v>0</v>
      </c>
      <c r="J2921" s="2">
        <f>IF(payments_raw[[#This Row],[amount]] &lt;= 0, 1, 0)</f>
        <v>0</v>
      </c>
      <c r="K29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2" spans="1:11" x14ac:dyDescent="0.3">
      <c r="A2922">
        <v>46167085</v>
      </c>
      <c r="B2922">
        <v>8882149</v>
      </c>
      <c r="C2922" s="1">
        <v>45411</v>
      </c>
      <c r="D2922">
        <v>190</v>
      </c>
      <c r="E2922">
        <f>IF(
  ISNA(
    _xlfn.XLOOKUP(
      payments_raw[[#This Row],[subscription_id]],
      subscriptions[subscription_id],
      subscriptions[subscription_id]
    )
  ),
  0,
  1
)</f>
        <v>1</v>
      </c>
      <c r="F2922" s="1">
        <f>_xlfn.XLOOKUP(payments_raw[[#This Row],[subscription_id]], subscriptions[subscription_id], subscriptions[start_date])</f>
        <v>44641</v>
      </c>
      <c r="G29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2" s="2">
        <f>IF(payments_raw[[#This Row],[payment_date]] &lt; payments_raw[[#This Row],[sub_start_date]], 1, 0)</f>
        <v>0</v>
      </c>
      <c r="I2922" s="2">
        <f>IF(AND(payments_raw[[#This Row],[sub_end_date]]&lt;&gt;"", payments_raw[[#This Row],[payment_date]] &gt; payments_raw[[#This Row],[sub_end_date]]), 1, 0)</f>
        <v>0</v>
      </c>
      <c r="J2922" s="2">
        <f>IF(payments_raw[[#This Row],[amount]] &lt;= 0, 1, 0)</f>
        <v>0</v>
      </c>
      <c r="K29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3" spans="1:11" x14ac:dyDescent="0.3">
      <c r="A2923">
        <v>31701972</v>
      </c>
      <c r="B2923">
        <v>3948283</v>
      </c>
      <c r="C2923" s="1">
        <v>45639</v>
      </c>
      <c r="D2923">
        <v>299</v>
      </c>
      <c r="E2923">
        <f>IF(
  ISNA(
    _xlfn.XLOOKUP(
      payments_raw[[#This Row],[subscription_id]],
      subscriptions[subscription_id],
      subscriptions[subscription_id]
    )
  ),
  0,
  1
)</f>
        <v>1</v>
      </c>
      <c r="F2923" s="1">
        <f>_xlfn.XLOOKUP(payments_raw[[#This Row],[subscription_id]], subscriptions[subscription_id], subscriptions[start_date])</f>
        <v>45189</v>
      </c>
      <c r="G29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3" s="2">
        <f>IF(payments_raw[[#This Row],[payment_date]] &lt; payments_raw[[#This Row],[sub_start_date]], 1, 0)</f>
        <v>0</v>
      </c>
      <c r="I2923" s="2">
        <f>IF(AND(payments_raw[[#This Row],[sub_end_date]]&lt;&gt;"", payments_raw[[#This Row],[payment_date]] &gt; payments_raw[[#This Row],[sub_end_date]]), 1, 0)</f>
        <v>0</v>
      </c>
      <c r="J2923" s="2">
        <f>IF(payments_raw[[#This Row],[amount]] &lt;= 0, 1, 0)</f>
        <v>0</v>
      </c>
      <c r="K29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4" spans="1:11" x14ac:dyDescent="0.3">
      <c r="A2924">
        <v>69637099</v>
      </c>
      <c r="B2924">
        <v>1643521</v>
      </c>
      <c r="C2924" s="1">
        <v>45648</v>
      </c>
      <c r="D2924">
        <v>390</v>
      </c>
      <c r="E2924">
        <f>IF(
  ISNA(
    _xlfn.XLOOKUP(
      payments_raw[[#This Row],[subscription_id]],
      subscriptions[subscription_id],
      subscriptions[subscription_id]
    )
  ),
  0,
  1
)</f>
        <v>1</v>
      </c>
      <c r="F2924" s="1">
        <f>_xlfn.XLOOKUP(payments_raw[[#This Row],[subscription_id]], subscriptions[subscription_id], subscriptions[start_date])</f>
        <v>45449</v>
      </c>
      <c r="G29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4" s="2">
        <f>IF(payments_raw[[#This Row],[payment_date]] &lt; payments_raw[[#This Row],[sub_start_date]], 1, 0)</f>
        <v>0</v>
      </c>
      <c r="I2924" s="2">
        <f>IF(AND(payments_raw[[#This Row],[sub_end_date]]&lt;&gt;"", payments_raw[[#This Row],[payment_date]] &gt; payments_raw[[#This Row],[sub_end_date]]), 1, 0)</f>
        <v>0</v>
      </c>
      <c r="J2924" s="2">
        <f>IF(payments_raw[[#This Row],[amount]] &lt;= 0, 1, 0)</f>
        <v>0</v>
      </c>
      <c r="K29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5" spans="1:11" x14ac:dyDescent="0.3">
      <c r="A2925">
        <v>90321827</v>
      </c>
      <c r="B2925">
        <v>1054096</v>
      </c>
      <c r="C2925" s="1">
        <v>45400</v>
      </c>
      <c r="D2925">
        <v>299</v>
      </c>
      <c r="E2925">
        <f>IF(
  ISNA(
    _xlfn.XLOOKUP(
      payments_raw[[#This Row],[subscription_id]],
      subscriptions[subscription_id],
      subscriptions[subscription_id]
    )
  ),
  0,
  1
)</f>
        <v>1</v>
      </c>
      <c r="F2925" s="1">
        <f>_xlfn.XLOOKUP(payments_raw[[#This Row],[subscription_id]], subscriptions[subscription_id], subscriptions[start_date])</f>
        <v>45199</v>
      </c>
      <c r="G29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5" s="2">
        <f>IF(payments_raw[[#This Row],[payment_date]] &lt; payments_raw[[#This Row],[sub_start_date]], 1, 0)</f>
        <v>0</v>
      </c>
      <c r="I2925" s="2">
        <f>IF(AND(payments_raw[[#This Row],[sub_end_date]]&lt;&gt;"", payments_raw[[#This Row],[payment_date]] &gt; payments_raw[[#This Row],[sub_end_date]]), 1, 0)</f>
        <v>0</v>
      </c>
      <c r="J2925" s="2">
        <f>IF(payments_raw[[#This Row],[amount]] &lt;= 0, 1, 0)</f>
        <v>0</v>
      </c>
      <c r="K29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6" spans="1:11" x14ac:dyDescent="0.3">
      <c r="A2926">
        <v>92104813</v>
      </c>
      <c r="B2926">
        <v>4838024</v>
      </c>
      <c r="C2926" s="1">
        <v>45204</v>
      </c>
      <c r="D2926">
        <v>790</v>
      </c>
      <c r="E2926">
        <f>IF(
  ISNA(
    _xlfn.XLOOKUP(
      payments_raw[[#This Row],[subscription_id]],
      subscriptions[subscription_id],
      subscriptions[subscription_id]
    )
  ),
  0,
  1
)</f>
        <v>1</v>
      </c>
      <c r="F2926" s="1">
        <f>_xlfn.XLOOKUP(payments_raw[[#This Row],[subscription_id]], subscriptions[subscription_id], subscriptions[start_date])</f>
        <v>45187</v>
      </c>
      <c r="G292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45261</v>
      </c>
      <c r="H2926" s="2">
        <f>IF(payments_raw[[#This Row],[payment_date]] &lt; payments_raw[[#This Row],[sub_start_date]], 1, 0)</f>
        <v>0</v>
      </c>
      <c r="I2926" s="2">
        <f>IF(AND(payments_raw[[#This Row],[sub_end_date]]&lt;&gt;"", payments_raw[[#This Row],[payment_date]] &gt; payments_raw[[#This Row],[sub_end_date]]), 1, 0)</f>
        <v>0</v>
      </c>
      <c r="J2926" s="2">
        <f>IF(payments_raw[[#This Row],[amount]] &lt;= 0, 1, 0)</f>
        <v>0</v>
      </c>
      <c r="K29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7" spans="1:11" x14ac:dyDescent="0.3">
      <c r="A2927">
        <v>25824860</v>
      </c>
      <c r="B2927">
        <v>5352802</v>
      </c>
      <c r="C2927" s="1">
        <v>44956</v>
      </c>
      <c r="D2927">
        <v>39</v>
      </c>
      <c r="E2927">
        <f>IF(
  ISNA(
    _xlfn.XLOOKUP(
      payments_raw[[#This Row],[subscription_id]],
      subscriptions[subscription_id],
      subscriptions[subscription_id]
    )
  ),
  0,
  1
)</f>
        <v>1</v>
      </c>
      <c r="F2927" s="1">
        <f>_xlfn.XLOOKUP(payments_raw[[#This Row],[subscription_id]], subscriptions[subscription_id], subscriptions[start_date])</f>
        <v>44938</v>
      </c>
      <c r="G2927" s="1">
        <f>IF(_xlfn.XLOOKUP(payments_raw[[#This Row],[subscription_id]], subscriptions[subscription_id], subscriptions[end_date])=0,"",_xlfn.XLOOKUP(payments_raw[[#This Row],[subscription_id]], subscriptions[subscription_id], subscriptions[end_date]))</f>
        <v>45015</v>
      </c>
      <c r="H2927" s="2">
        <f>IF(payments_raw[[#This Row],[payment_date]] &lt; payments_raw[[#This Row],[sub_start_date]], 1, 0)</f>
        <v>0</v>
      </c>
      <c r="I2927" s="2">
        <f>IF(AND(payments_raw[[#This Row],[sub_end_date]]&lt;&gt;"", payments_raw[[#This Row],[payment_date]] &gt; payments_raw[[#This Row],[sub_end_date]]), 1, 0)</f>
        <v>0</v>
      </c>
      <c r="J2927" s="2">
        <f>IF(payments_raw[[#This Row],[amount]] &lt;= 0, 1, 0)</f>
        <v>0</v>
      </c>
      <c r="K29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8" spans="1:11" x14ac:dyDescent="0.3">
      <c r="A2928">
        <v>76627421</v>
      </c>
      <c r="B2928">
        <v>9347047</v>
      </c>
      <c r="C2928" s="1">
        <v>44812</v>
      </c>
      <c r="D2928">
        <v>390</v>
      </c>
      <c r="E2928">
        <f>IF(
  ISNA(
    _xlfn.XLOOKUP(
      payments_raw[[#This Row],[subscription_id]],
      subscriptions[subscription_id],
      subscriptions[subscription_id]
    )
  ),
  0,
  1
)</f>
        <v>1</v>
      </c>
      <c r="F2928" s="1">
        <f>_xlfn.XLOOKUP(payments_raw[[#This Row],[subscription_id]], subscriptions[subscription_id], subscriptions[start_date])</f>
        <v>44761</v>
      </c>
      <c r="G2928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2928" s="2">
        <f>IF(payments_raw[[#This Row],[payment_date]] &lt; payments_raw[[#This Row],[sub_start_date]], 1, 0)</f>
        <v>0</v>
      </c>
      <c r="I2928" s="2">
        <f>IF(AND(payments_raw[[#This Row],[sub_end_date]]&lt;&gt;"", payments_raw[[#This Row],[payment_date]] &gt; payments_raw[[#This Row],[sub_end_date]]), 1, 0)</f>
        <v>0</v>
      </c>
      <c r="J2928" s="2">
        <f>IF(payments_raw[[#This Row],[amount]] &lt;= 0, 1, 0)</f>
        <v>0</v>
      </c>
      <c r="K29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29" spans="1:11" x14ac:dyDescent="0.3">
      <c r="A2929">
        <v>74575117</v>
      </c>
      <c r="B2929">
        <v>9304303</v>
      </c>
      <c r="C2929" s="1">
        <v>45276</v>
      </c>
      <c r="D2929">
        <v>790</v>
      </c>
      <c r="E2929">
        <f>IF(
  ISNA(
    _xlfn.XLOOKUP(
      payments_raw[[#This Row],[subscription_id]],
      subscriptions[subscription_id],
      subscriptions[subscription_id]
    )
  ),
  0,
  1
)</f>
        <v>1</v>
      </c>
      <c r="F2929" s="1">
        <f>_xlfn.XLOOKUP(payments_raw[[#This Row],[subscription_id]], subscriptions[subscription_id], subscriptions[start_date])</f>
        <v>44806</v>
      </c>
      <c r="G29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29" s="2">
        <f>IF(payments_raw[[#This Row],[payment_date]] &lt; payments_raw[[#This Row],[sub_start_date]], 1, 0)</f>
        <v>0</v>
      </c>
      <c r="I2929" s="2">
        <f>IF(AND(payments_raw[[#This Row],[sub_end_date]]&lt;&gt;"", payments_raw[[#This Row],[payment_date]] &gt; payments_raw[[#This Row],[sub_end_date]]), 1, 0)</f>
        <v>0</v>
      </c>
      <c r="J2929" s="2">
        <f>IF(payments_raw[[#This Row],[amount]] &lt;= 0, 1, 0)</f>
        <v>0</v>
      </c>
      <c r="K29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0" spans="1:11" x14ac:dyDescent="0.3">
      <c r="A2930">
        <v>59888093</v>
      </c>
      <c r="B2930">
        <v>5876441</v>
      </c>
      <c r="C2930" s="1">
        <v>45313</v>
      </c>
      <c r="D2930">
        <v>19</v>
      </c>
      <c r="E2930">
        <f>IF(
  ISNA(
    _xlfn.XLOOKUP(
      payments_raw[[#This Row],[subscription_id]],
      subscriptions[subscription_id],
      subscriptions[subscription_id]
    )
  ),
  0,
  1
)</f>
        <v>1</v>
      </c>
      <c r="F2930" s="1">
        <f>_xlfn.XLOOKUP(payments_raw[[#This Row],[subscription_id]], subscriptions[subscription_id], subscriptions[start_date])</f>
        <v>45029</v>
      </c>
      <c r="G29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30" s="2">
        <f>IF(payments_raw[[#This Row],[payment_date]] &lt; payments_raw[[#This Row],[sub_start_date]], 1, 0)</f>
        <v>0</v>
      </c>
      <c r="I2930" s="2">
        <f>IF(AND(payments_raw[[#This Row],[sub_end_date]]&lt;&gt;"", payments_raw[[#This Row],[payment_date]] &gt; payments_raw[[#This Row],[sub_end_date]]), 1, 0)</f>
        <v>0</v>
      </c>
      <c r="J2930" s="2">
        <f>IF(payments_raw[[#This Row],[amount]] &lt;= 0, 1, 0)</f>
        <v>0</v>
      </c>
      <c r="K29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1" spans="1:11" x14ac:dyDescent="0.3">
      <c r="A2931">
        <v>11998162</v>
      </c>
      <c r="B2931">
        <v>1509048</v>
      </c>
      <c r="C2931" s="1">
        <v>44690</v>
      </c>
      <c r="D2931">
        <v>790</v>
      </c>
      <c r="E2931">
        <f>IF(
  ISNA(
    _xlfn.XLOOKUP(
      payments_raw[[#This Row],[subscription_id]],
      subscriptions[subscription_id],
      subscriptions[subscription_id]
    )
  ),
  0,
  1
)</f>
        <v>1</v>
      </c>
      <c r="F2931" s="1">
        <f>_xlfn.XLOOKUP(payments_raw[[#This Row],[subscription_id]], subscriptions[subscription_id], subscriptions[start_date])</f>
        <v>44641</v>
      </c>
      <c r="G2931" s="1">
        <f>IF(_xlfn.XLOOKUP(payments_raw[[#This Row],[subscription_id]], subscriptions[subscription_id], subscriptions[end_date])=0,"",_xlfn.XLOOKUP(payments_raw[[#This Row],[subscription_id]], subscriptions[subscription_id], subscriptions[end_date]))</f>
        <v>44732</v>
      </c>
      <c r="H2931" s="2">
        <f>IF(payments_raw[[#This Row],[payment_date]] &lt; payments_raw[[#This Row],[sub_start_date]], 1, 0)</f>
        <v>0</v>
      </c>
      <c r="I2931" s="2">
        <f>IF(AND(payments_raw[[#This Row],[sub_end_date]]&lt;&gt;"", payments_raw[[#This Row],[payment_date]] &gt; payments_raw[[#This Row],[sub_end_date]]), 1, 0)</f>
        <v>0</v>
      </c>
      <c r="J2931" s="2">
        <f>IF(payments_raw[[#This Row],[amount]] &lt;= 0, 1, 0)</f>
        <v>0</v>
      </c>
      <c r="K29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2" spans="1:11" x14ac:dyDescent="0.3">
      <c r="A2932">
        <v>45997422</v>
      </c>
      <c r="B2932">
        <v>3003211</v>
      </c>
      <c r="C2932" s="1">
        <v>45393</v>
      </c>
      <c r="D2932">
        <v>790</v>
      </c>
      <c r="E2932">
        <f>IF(
  ISNA(
    _xlfn.XLOOKUP(
      payments_raw[[#This Row],[subscription_id]],
      subscriptions[subscription_id],
      subscriptions[subscription_id]
    )
  ),
  0,
  1
)</f>
        <v>1</v>
      </c>
      <c r="F2932" s="1">
        <f>_xlfn.XLOOKUP(payments_raw[[#This Row],[subscription_id]], subscriptions[subscription_id], subscriptions[start_date])</f>
        <v>45370</v>
      </c>
      <c r="G29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45503</v>
      </c>
      <c r="H2932" s="2">
        <f>IF(payments_raw[[#This Row],[payment_date]] &lt; payments_raw[[#This Row],[sub_start_date]], 1, 0)</f>
        <v>0</v>
      </c>
      <c r="I2932" s="2">
        <f>IF(AND(payments_raw[[#This Row],[sub_end_date]]&lt;&gt;"", payments_raw[[#This Row],[payment_date]] &gt; payments_raw[[#This Row],[sub_end_date]]), 1, 0)</f>
        <v>0</v>
      </c>
      <c r="J2932" s="2">
        <f>IF(payments_raw[[#This Row],[amount]] &lt;= 0, 1, 0)</f>
        <v>0</v>
      </c>
      <c r="K29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3" spans="1:11" x14ac:dyDescent="0.3">
      <c r="A2933">
        <v>70147892</v>
      </c>
      <c r="B2933">
        <v>3138306</v>
      </c>
      <c r="C2933" s="1">
        <v>45472</v>
      </c>
      <c r="D2933">
        <v>149</v>
      </c>
      <c r="E2933">
        <f>IF(
  ISNA(
    _xlfn.XLOOKUP(
      payments_raw[[#This Row],[subscription_id]],
      subscriptions[subscription_id],
      subscriptions[subscription_id]
    )
  ),
  0,
  1
)</f>
        <v>1</v>
      </c>
      <c r="F2933" s="1">
        <f>_xlfn.XLOOKUP(payments_raw[[#This Row],[subscription_id]], subscriptions[subscription_id], subscriptions[start_date])</f>
        <v>45385</v>
      </c>
      <c r="G29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45538</v>
      </c>
      <c r="H2933" s="2">
        <f>IF(payments_raw[[#This Row],[payment_date]] &lt; payments_raw[[#This Row],[sub_start_date]], 1, 0)</f>
        <v>0</v>
      </c>
      <c r="I2933" s="2">
        <f>IF(AND(payments_raw[[#This Row],[sub_end_date]]&lt;&gt;"", payments_raw[[#This Row],[payment_date]] &gt; payments_raw[[#This Row],[sub_end_date]]), 1, 0)</f>
        <v>0</v>
      </c>
      <c r="J2933" s="2">
        <f>IF(payments_raw[[#This Row],[amount]] &lt;= 0, 1, 0)</f>
        <v>0</v>
      </c>
      <c r="K29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4" spans="1:11" x14ac:dyDescent="0.3">
      <c r="A2934">
        <v>23125005</v>
      </c>
      <c r="B2934">
        <v>3007261</v>
      </c>
      <c r="C2934" s="1">
        <v>45058</v>
      </c>
      <c r="D2934">
        <v>299</v>
      </c>
      <c r="E2934">
        <f>IF(
  ISNA(
    _xlfn.XLOOKUP(
      payments_raw[[#This Row],[subscription_id]],
      subscriptions[subscription_id],
      subscriptions[subscription_id]
    )
  ),
  0,
  1
)</f>
        <v>1</v>
      </c>
      <c r="F2934" s="1">
        <f>_xlfn.XLOOKUP(payments_raw[[#This Row],[subscription_id]], subscriptions[subscription_id], subscriptions[start_date])</f>
        <v>45021</v>
      </c>
      <c r="G29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2934" s="2">
        <f>IF(payments_raw[[#This Row],[payment_date]] &lt; payments_raw[[#This Row],[sub_start_date]], 1, 0)</f>
        <v>0</v>
      </c>
      <c r="I2934" s="2">
        <f>IF(AND(payments_raw[[#This Row],[sub_end_date]]&lt;&gt;"", payments_raw[[#This Row],[payment_date]] &gt; payments_raw[[#This Row],[sub_end_date]]), 1, 0)</f>
        <v>0</v>
      </c>
      <c r="J2934" s="2">
        <f>IF(payments_raw[[#This Row],[amount]] &lt;= 0, 1, 0)</f>
        <v>0</v>
      </c>
      <c r="K29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5" spans="1:11" x14ac:dyDescent="0.3">
      <c r="A2935">
        <v>63086227</v>
      </c>
      <c r="B2935">
        <v>3182053</v>
      </c>
      <c r="C2935" s="1">
        <v>45124</v>
      </c>
      <c r="D2935">
        <v>74.5</v>
      </c>
      <c r="E2935">
        <f>IF(
  ISNA(
    _xlfn.XLOOKUP(
      payments_raw[[#This Row],[subscription_id]],
      subscriptions[subscription_id],
      subscriptions[subscription_id]
    )
  ),
  0,
  1
)</f>
        <v>1</v>
      </c>
      <c r="F2935" s="1">
        <f>_xlfn.XLOOKUP(payments_raw[[#This Row],[subscription_id]], subscriptions[subscription_id], subscriptions[start_date])</f>
        <v>45010</v>
      </c>
      <c r="G29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2935" s="2">
        <f>IF(payments_raw[[#This Row],[payment_date]] &lt; payments_raw[[#This Row],[sub_start_date]], 1, 0)</f>
        <v>0</v>
      </c>
      <c r="I2935" s="2">
        <f>IF(AND(payments_raw[[#This Row],[sub_end_date]]&lt;&gt;"", payments_raw[[#This Row],[payment_date]] &gt; payments_raw[[#This Row],[sub_end_date]]), 1, 0)</f>
        <v>0</v>
      </c>
      <c r="J2935" s="2">
        <f>IF(payments_raw[[#This Row],[amount]] &lt;= 0, 1, 0)</f>
        <v>0</v>
      </c>
      <c r="K29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6" spans="1:11" x14ac:dyDescent="0.3">
      <c r="A2936">
        <v>23404936</v>
      </c>
      <c r="B2936">
        <v>9949336</v>
      </c>
      <c r="C2936" s="1">
        <v>44888</v>
      </c>
      <c r="D2936">
        <v>2990</v>
      </c>
      <c r="E2936">
        <f>IF(
  ISNA(
    _xlfn.XLOOKUP(
      payments_raw[[#This Row],[subscription_id]],
      subscriptions[subscription_id],
      subscriptions[subscription_id]
    )
  ),
  0,
  1
)</f>
        <v>1</v>
      </c>
      <c r="F2936" s="1">
        <f>_xlfn.XLOOKUP(payments_raw[[#This Row],[subscription_id]], subscriptions[subscription_id], subscriptions[start_date])</f>
        <v>44642</v>
      </c>
      <c r="G293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2936" s="2">
        <f>IF(payments_raw[[#This Row],[payment_date]] &lt; payments_raw[[#This Row],[sub_start_date]], 1, 0)</f>
        <v>0</v>
      </c>
      <c r="I2936" s="2">
        <f>IF(AND(payments_raw[[#This Row],[sub_end_date]]&lt;&gt;"", payments_raw[[#This Row],[payment_date]] &gt; payments_raw[[#This Row],[sub_end_date]]), 1, 0)</f>
        <v>0</v>
      </c>
      <c r="J2936" s="2">
        <f>IF(payments_raw[[#This Row],[amount]] &lt;= 0, 1, 0)</f>
        <v>0</v>
      </c>
      <c r="K29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7" spans="1:11" x14ac:dyDescent="0.3">
      <c r="A2937">
        <v>63792086</v>
      </c>
      <c r="B2937">
        <v>2673190</v>
      </c>
      <c r="C2937" s="1">
        <v>45400</v>
      </c>
      <c r="D2937">
        <v>790</v>
      </c>
      <c r="E2937">
        <f>IF(
  ISNA(
    _xlfn.XLOOKUP(
      payments_raw[[#This Row],[subscription_id]],
      subscriptions[subscription_id],
      subscriptions[subscription_id]
    )
  ),
  0,
  1
)</f>
        <v>1</v>
      </c>
      <c r="F2937" s="1">
        <f>_xlfn.XLOOKUP(payments_raw[[#This Row],[subscription_id]], subscriptions[subscription_id], subscriptions[start_date])</f>
        <v>45335</v>
      </c>
      <c r="G29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37" s="2">
        <f>IF(payments_raw[[#This Row],[payment_date]] &lt; payments_raw[[#This Row],[sub_start_date]], 1, 0)</f>
        <v>0</v>
      </c>
      <c r="I2937" s="2">
        <f>IF(AND(payments_raw[[#This Row],[sub_end_date]]&lt;&gt;"", payments_raw[[#This Row],[payment_date]] &gt; payments_raw[[#This Row],[sub_end_date]]), 1, 0)</f>
        <v>0</v>
      </c>
      <c r="J2937" s="2">
        <f>IF(payments_raw[[#This Row],[amount]] &lt;= 0, 1, 0)</f>
        <v>0</v>
      </c>
      <c r="K29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8" spans="1:11" x14ac:dyDescent="0.3">
      <c r="A2938">
        <v>46784982</v>
      </c>
      <c r="B2938">
        <v>4517141</v>
      </c>
      <c r="C2938" s="1">
        <v>45050</v>
      </c>
      <c r="D2938">
        <v>299</v>
      </c>
      <c r="E2938">
        <f>IF(
  ISNA(
    _xlfn.XLOOKUP(
      payments_raw[[#This Row],[subscription_id]],
      subscriptions[subscription_id],
      subscriptions[subscription_id]
    )
  ),
  0,
  1
)</f>
        <v>1</v>
      </c>
      <c r="F2938" s="1">
        <f>_xlfn.XLOOKUP(payments_raw[[#This Row],[subscription_id]], subscriptions[subscription_id], subscriptions[start_date])</f>
        <v>44808</v>
      </c>
      <c r="G29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45147</v>
      </c>
      <c r="H2938" s="2">
        <f>IF(payments_raw[[#This Row],[payment_date]] &lt; payments_raw[[#This Row],[sub_start_date]], 1, 0)</f>
        <v>0</v>
      </c>
      <c r="I2938" s="2">
        <f>IF(AND(payments_raw[[#This Row],[sub_end_date]]&lt;&gt;"", payments_raw[[#This Row],[payment_date]] &gt; payments_raw[[#This Row],[sub_end_date]]), 1, 0)</f>
        <v>0</v>
      </c>
      <c r="J2938" s="2">
        <f>IF(payments_raw[[#This Row],[amount]] &lt;= 0, 1, 0)</f>
        <v>0</v>
      </c>
      <c r="K29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39" spans="1:11" x14ac:dyDescent="0.3">
      <c r="A2939">
        <v>99627886</v>
      </c>
      <c r="B2939">
        <v>5921482</v>
      </c>
      <c r="C2939" s="1">
        <v>44889</v>
      </c>
      <c r="D2939">
        <v>299</v>
      </c>
      <c r="E2939">
        <f>IF(
  ISNA(
    _xlfn.XLOOKUP(
      payments_raw[[#This Row],[subscription_id]],
      subscriptions[subscription_id],
      subscriptions[subscription_id]
    )
  ),
  0,
  1
)</f>
        <v>1</v>
      </c>
      <c r="F2939" s="1">
        <f>_xlfn.XLOOKUP(payments_raw[[#This Row],[subscription_id]], subscriptions[subscription_id], subscriptions[start_date])</f>
        <v>44671</v>
      </c>
      <c r="G293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44902</v>
      </c>
      <c r="H2939" s="2">
        <f>IF(payments_raw[[#This Row],[payment_date]] &lt; payments_raw[[#This Row],[sub_start_date]], 1, 0)</f>
        <v>0</v>
      </c>
      <c r="I2939" s="2">
        <f>IF(AND(payments_raw[[#This Row],[sub_end_date]]&lt;&gt;"", payments_raw[[#This Row],[payment_date]] &gt; payments_raw[[#This Row],[sub_end_date]]), 1, 0)</f>
        <v>0</v>
      </c>
      <c r="J2939" s="2">
        <f>IF(payments_raw[[#This Row],[amount]] &lt;= 0, 1, 0)</f>
        <v>0</v>
      </c>
      <c r="K29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0" spans="1:11" x14ac:dyDescent="0.3">
      <c r="A2940">
        <v>63504799</v>
      </c>
      <c r="B2940">
        <v>5066398</v>
      </c>
      <c r="C2940" s="1">
        <v>45015</v>
      </c>
      <c r="D2940">
        <v>79</v>
      </c>
      <c r="E2940">
        <f>IF(
  ISNA(
    _xlfn.XLOOKUP(
      payments_raw[[#This Row],[subscription_id]],
      subscriptions[subscription_id],
      subscriptions[subscription_id]
    )
  ),
  0,
  1
)</f>
        <v>1</v>
      </c>
      <c r="F2940" s="1">
        <f>_xlfn.XLOOKUP(payments_raw[[#This Row],[subscription_id]], subscriptions[subscription_id], subscriptions[start_date])</f>
        <v>44983</v>
      </c>
      <c r="G29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45051</v>
      </c>
      <c r="H2940" s="2">
        <f>IF(payments_raw[[#This Row],[payment_date]] &lt; payments_raw[[#This Row],[sub_start_date]], 1, 0)</f>
        <v>0</v>
      </c>
      <c r="I2940" s="2">
        <f>IF(AND(payments_raw[[#This Row],[sub_end_date]]&lt;&gt;"", payments_raw[[#This Row],[payment_date]] &gt; payments_raw[[#This Row],[sub_end_date]]), 1, 0)</f>
        <v>0</v>
      </c>
      <c r="J2940" s="2">
        <f>IF(payments_raw[[#This Row],[amount]] &lt;= 0, 1, 0)</f>
        <v>0</v>
      </c>
      <c r="K29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1" spans="1:11" x14ac:dyDescent="0.3">
      <c r="A2941">
        <v>29041068</v>
      </c>
      <c r="B2941">
        <v>8876684</v>
      </c>
      <c r="C2941" s="1">
        <v>45114</v>
      </c>
      <c r="D2941">
        <v>299</v>
      </c>
      <c r="E2941">
        <f>IF(
  ISNA(
    _xlfn.XLOOKUP(
      payments_raw[[#This Row],[subscription_id]],
      subscriptions[subscription_id],
      subscriptions[subscription_id]
    )
  ),
  0,
  1
)</f>
        <v>1</v>
      </c>
      <c r="F2941" s="1">
        <f>_xlfn.XLOOKUP(payments_raw[[#This Row],[subscription_id]], subscriptions[subscription_id], subscriptions[start_date])</f>
        <v>45088</v>
      </c>
      <c r="G29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1" s="2">
        <f>IF(payments_raw[[#This Row],[payment_date]] &lt; payments_raw[[#This Row],[sub_start_date]], 1, 0)</f>
        <v>0</v>
      </c>
      <c r="I2941" s="2">
        <f>IF(AND(payments_raw[[#This Row],[sub_end_date]]&lt;&gt;"", payments_raw[[#This Row],[payment_date]] &gt; payments_raw[[#This Row],[sub_end_date]]), 1, 0)</f>
        <v>0</v>
      </c>
      <c r="J2941" s="2">
        <f>IF(payments_raw[[#This Row],[amount]] &lt;= 0, 1, 0)</f>
        <v>0</v>
      </c>
      <c r="K29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2" spans="1:11" x14ac:dyDescent="0.3">
      <c r="A2942">
        <v>67139633</v>
      </c>
      <c r="B2942">
        <v>5944200</v>
      </c>
      <c r="C2942" s="1">
        <v>45534</v>
      </c>
      <c r="D2942">
        <v>1490</v>
      </c>
      <c r="E2942">
        <f>IF(
  ISNA(
    _xlfn.XLOOKUP(
      payments_raw[[#This Row],[subscription_id]],
      subscriptions[subscription_id],
      subscriptions[subscription_id]
    )
  ),
  0,
  1
)</f>
        <v>1</v>
      </c>
      <c r="F2942" s="1">
        <f>_xlfn.XLOOKUP(payments_raw[[#This Row],[subscription_id]], subscriptions[subscription_id], subscriptions[start_date])</f>
        <v>45504</v>
      </c>
      <c r="G29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2" s="2">
        <f>IF(payments_raw[[#This Row],[payment_date]] &lt; payments_raw[[#This Row],[sub_start_date]], 1, 0)</f>
        <v>0</v>
      </c>
      <c r="I2942" s="2">
        <f>IF(AND(payments_raw[[#This Row],[sub_end_date]]&lt;&gt;"", payments_raw[[#This Row],[payment_date]] &gt; payments_raw[[#This Row],[sub_end_date]]), 1, 0)</f>
        <v>0</v>
      </c>
      <c r="J2942" s="2">
        <f>IF(payments_raw[[#This Row],[amount]] &lt;= 0, 1, 0)</f>
        <v>0</v>
      </c>
      <c r="K29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3" spans="1:11" x14ac:dyDescent="0.3">
      <c r="A2943">
        <v>40677962</v>
      </c>
      <c r="B2943">
        <v>6211168</v>
      </c>
      <c r="C2943" s="1">
        <v>45255</v>
      </c>
      <c r="D2943">
        <v>71.099999999999994</v>
      </c>
      <c r="E2943">
        <f>IF(
  ISNA(
    _xlfn.XLOOKUP(
      payments_raw[[#This Row],[subscription_id]],
      subscriptions[subscription_id],
      subscriptions[subscription_id]
    )
  ),
  0,
  1
)</f>
        <v>1</v>
      </c>
      <c r="F2943" s="1">
        <f>_xlfn.XLOOKUP(payments_raw[[#This Row],[subscription_id]], subscriptions[subscription_id], subscriptions[start_date])</f>
        <v>45242</v>
      </c>
      <c r="G29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3" s="2">
        <f>IF(payments_raw[[#This Row],[payment_date]] &lt; payments_raw[[#This Row],[sub_start_date]], 1, 0)</f>
        <v>0</v>
      </c>
      <c r="I2943" s="2">
        <f>IF(AND(payments_raw[[#This Row],[sub_end_date]]&lt;&gt;"", payments_raw[[#This Row],[payment_date]] &gt; payments_raw[[#This Row],[sub_end_date]]), 1, 0)</f>
        <v>0</v>
      </c>
      <c r="J2943" s="2">
        <f>IF(payments_raw[[#This Row],[amount]] &lt;= 0, 1, 0)</f>
        <v>0</v>
      </c>
      <c r="K29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4" spans="1:11" x14ac:dyDescent="0.3">
      <c r="A2944">
        <v>31251926</v>
      </c>
      <c r="B2944">
        <v>7725530</v>
      </c>
      <c r="C2944" s="1">
        <v>45506</v>
      </c>
      <c r="D2944">
        <v>2990</v>
      </c>
      <c r="E2944">
        <f>IF(
  ISNA(
    _xlfn.XLOOKUP(
      payments_raw[[#This Row],[subscription_id]],
      subscriptions[subscription_id],
      subscriptions[subscription_id]
    )
  ),
  0,
  1
)</f>
        <v>1</v>
      </c>
      <c r="F2944" s="1">
        <f>_xlfn.XLOOKUP(payments_raw[[#This Row],[subscription_id]], subscriptions[subscription_id], subscriptions[start_date])</f>
        <v>45169</v>
      </c>
      <c r="G29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4" s="2">
        <f>IF(payments_raw[[#This Row],[payment_date]] &lt; payments_raw[[#This Row],[sub_start_date]], 1, 0)</f>
        <v>0</v>
      </c>
      <c r="I2944" s="2">
        <f>IF(AND(payments_raw[[#This Row],[sub_end_date]]&lt;&gt;"", payments_raw[[#This Row],[payment_date]] &gt; payments_raw[[#This Row],[sub_end_date]]), 1, 0)</f>
        <v>0</v>
      </c>
      <c r="J2944" s="2">
        <f>IF(payments_raw[[#This Row],[amount]] &lt;= 0, 1, 0)</f>
        <v>0</v>
      </c>
      <c r="K29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5" spans="1:11" x14ac:dyDescent="0.3">
      <c r="A2945">
        <v>81544236</v>
      </c>
      <c r="B2945">
        <v>1182888</v>
      </c>
      <c r="C2945" s="1">
        <v>45372</v>
      </c>
      <c r="D2945">
        <v>790</v>
      </c>
      <c r="E2945">
        <f>IF(
  ISNA(
    _xlfn.XLOOKUP(
      payments_raw[[#This Row],[subscription_id]],
      subscriptions[subscription_id],
      subscriptions[subscription_id]
    )
  ),
  0,
  1
)</f>
        <v>1</v>
      </c>
      <c r="F2945" s="1">
        <f>_xlfn.XLOOKUP(payments_raw[[#This Row],[subscription_id]], subscriptions[subscription_id], subscriptions[start_date])</f>
        <v>45235</v>
      </c>
      <c r="G29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5" s="2">
        <f>IF(payments_raw[[#This Row],[payment_date]] &lt; payments_raw[[#This Row],[sub_start_date]], 1, 0)</f>
        <v>0</v>
      </c>
      <c r="I2945" s="2">
        <f>IF(AND(payments_raw[[#This Row],[sub_end_date]]&lt;&gt;"", payments_raw[[#This Row],[payment_date]] &gt; payments_raw[[#This Row],[sub_end_date]]), 1, 0)</f>
        <v>0</v>
      </c>
      <c r="J2945" s="2">
        <f>IF(payments_raw[[#This Row],[amount]] &lt;= 0, 1, 0)</f>
        <v>0</v>
      </c>
      <c r="K29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6" spans="1:11" x14ac:dyDescent="0.3">
      <c r="A2946">
        <v>28445351</v>
      </c>
      <c r="B2946">
        <v>1940329</v>
      </c>
      <c r="C2946" s="1">
        <v>45487</v>
      </c>
      <c r="D2946">
        <v>74.5</v>
      </c>
      <c r="E2946">
        <f>IF(
  ISNA(
    _xlfn.XLOOKUP(
      payments_raw[[#This Row],[subscription_id]],
      subscriptions[subscription_id],
      subscriptions[subscription_id]
    )
  ),
  0,
  1
)</f>
        <v>1</v>
      </c>
      <c r="F2946" s="1">
        <f>_xlfn.XLOOKUP(payments_raw[[#This Row],[subscription_id]], subscriptions[subscription_id], subscriptions[start_date])</f>
        <v>45470</v>
      </c>
      <c r="G294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946" s="2">
        <f>IF(payments_raw[[#This Row],[payment_date]] &lt; payments_raw[[#This Row],[sub_start_date]], 1, 0)</f>
        <v>0</v>
      </c>
      <c r="I2946" s="2">
        <f>IF(AND(payments_raw[[#This Row],[sub_end_date]]&lt;&gt;"", payments_raw[[#This Row],[payment_date]] &gt; payments_raw[[#This Row],[sub_end_date]]), 1, 0)</f>
        <v>0</v>
      </c>
      <c r="J2946" s="2">
        <f>IF(payments_raw[[#This Row],[amount]] &lt;= 0, 1, 0)</f>
        <v>0</v>
      </c>
      <c r="K29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7" spans="1:11" x14ac:dyDescent="0.3">
      <c r="A2947">
        <v>24212949</v>
      </c>
      <c r="B2947">
        <v>5374141</v>
      </c>
      <c r="C2947" s="1">
        <v>45166</v>
      </c>
      <c r="D2947">
        <v>790</v>
      </c>
      <c r="E2947">
        <f>IF(
  ISNA(
    _xlfn.XLOOKUP(
      payments_raw[[#This Row],[subscription_id]],
      subscriptions[subscription_id],
      subscriptions[subscription_id]
    )
  ),
  0,
  1
)</f>
        <v>1</v>
      </c>
      <c r="F2947" s="1">
        <f>_xlfn.XLOOKUP(payments_raw[[#This Row],[subscription_id]], subscriptions[subscription_id], subscriptions[start_date])</f>
        <v>45158</v>
      </c>
      <c r="G294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45259</v>
      </c>
      <c r="H2947" s="2">
        <f>IF(payments_raw[[#This Row],[payment_date]] &lt; payments_raw[[#This Row],[sub_start_date]], 1, 0)</f>
        <v>0</v>
      </c>
      <c r="I2947" s="2">
        <f>IF(AND(payments_raw[[#This Row],[sub_end_date]]&lt;&gt;"", payments_raw[[#This Row],[payment_date]] &gt; payments_raw[[#This Row],[sub_end_date]]), 1, 0)</f>
        <v>0</v>
      </c>
      <c r="J2947" s="2">
        <f>IF(payments_raw[[#This Row],[amount]] &lt;= 0, 1, 0)</f>
        <v>0</v>
      </c>
      <c r="K29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8" spans="1:11" x14ac:dyDescent="0.3">
      <c r="A2948">
        <v>40906544</v>
      </c>
      <c r="B2948">
        <v>4317199</v>
      </c>
      <c r="C2948" s="1">
        <v>45440</v>
      </c>
      <c r="D2948">
        <v>149</v>
      </c>
      <c r="E2948">
        <f>IF(
  ISNA(
    _xlfn.XLOOKUP(
      payments_raw[[#This Row],[subscription_id]],
      subscriptions[subscription_id],
      subscriptions[subscription_id]
    )
  ),
  0,
  1
)</f>
        <v>1</v>
      </c>
      <c r="F2948" s="1">
        <f>_xlfn.XLOOKUP(payments_raw[[#This Row],[subscription_id]], subscriptions[subscription_id], subscriptions[start_date])</f>
        <v>45101</v>
      </c>
      <c r="G29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48" s="2">
        <f>IF(payments_raw[[#This Row],[payment_date]] &lt; payments_raw[[#This Row],[sub_start_date]], 1, 0)</f>
        <v>0</v>
      </c>
      <c r="I2948" s="2">
        <f>IF(AND(payments_raw[[#This Row],[sub_end_date]]&lt;&gt;"", payments_raw[[#This Row],[payment_date]] &gt; payments_raw[[#This Row],[sub_end_date]]), 1, 0)</f>
        <v>0</v>
      </c>
      <c r="J2948" s="2">
        <f>IF(payments_raw[[#This Row],[amount]] &lt;= 0, 1, 0)</f>
        <v>0</v>
      </c>
      <c r="K29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49" spans="1:11" x14ac:dyDescent="0.3">
      <c r="A2949">
        <v>52653730</v>
      </c>
      <c r="B2949">
        <v>6134915</v>
      </c>
      <c r="C2949" s="1">
        <v>45412</v>
      </c>
      <c r="D2949">
        <v>299</v>
      </c>
      <c r="E2949">
        <f>IF(
  ISNA(
    _xlfn.XLOOKUP(
      payments_raw[[#This Row],[subscription_id]],
      subscriptions[subscription_id],
      subscriptions[subscription_id]
    )
  ),
  0,
  1
)</f>
        <v>1</v>
      </c>
      <c r="F2949" s="1">
        <f>_xlfn.XLOOKUP(payments_raw[[#This Row],[subscription_id]], subscriptions[subscription_id], subscriptions[start_date])</f>
        <v>45388</v>
      </c>
      <c r="G29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45553</v>
      </c>
      <c r="H2949" s="2">
        <f>IF(payments_raw[[#This Row],[payment_date]] &lt; payments_raw[[#This Row],[sub_start_date]], 1, 0)</f>
        <v>0</v>
      </c>
      <c r="I2949" s="2">
        <f>IF(AND(payments_raw[[#This Row],[sub_end_date]]&lt;&gt;"", payments_raw[[#This Row],[payment_date]] &gt; payments_raw[[#This Row],[sub_end_date]]), 1, 0)</f>
        <v>0</v>
      </c>
      <c r="J2949" s="2">
        <f>IF(payments_raw[[#This Row],[amount]] &lt;= 0, 1, 0)</f>
        <v>0</v>
      </c>
      <c r="K29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0" spans="1:11" x14ac:dyDescent="0.3">
      <c r="A2950">
        <v>28733307</v>
      </c>
      <c r="B2950">
        <v>8044465</v>
      </c>
      <c r="C2950" s="1">
        <v>44799</v>
      </c>
      <c r="D2950">
        <v>790</v>
      </c>
      <c r="E2950">
        <f>IF(
  ISNA(
    _xlfn.XLOOKUP(
      payments_raw[[#This Row],[subscription_id]],
      subscriptions[subscription_id],
      subscriptions[subscription_id]
    )
  ),
  0,
  1
)</f>
        <v>1</v>
      </c>
      <c r="F2950" s="1">
        <f>_xlfn.XLOOKUP(payments_raw[[#This Row],[subscription_id]], subscriptions[subscription_id], subscriptions[start_date])</f>
        <v>44697</v>
      </c>
      <c r="G29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0" s="2">
        <f>IF(payments_raw[[#This Row],[payment_date]] &lt; payments_raw[[#This Row],[sub_start_date]], 1, 0)</f>
        <v>0</v>
      </c>
      <c r="I2950" s="2">
        <f>IF(AND(payments_raw[[#This Row],[sub_end_date]]&lt;&gt;"", payments_raw[[#This Row],[payment_date]] &gt; payments_raw[[#This Row],[sub_end_date]]), 1, 0)</f>
        <v>0</v>
      </c>
      <c r="J2950" s="2">
        <f>IF(payments_raw[[#This Row],[amount]] &lt;= 0, 1, 0)</f>
        <v>0</v>
      </c>
      <c r="K29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1" spans="1:11" x14ac:dyDescent="0.3">
      <c r="A2951">
        <v>24101916</v>
      </c>
      <c r="B2951">
        <v>7181227</v>
      </c>
      <c r="C2951" s="1">
        <v>45563</v>
      </c>
      <c r="D2951">
        <v>1490</v>
      </c>
      <c r="E2951">
        <f>IF(
  ISNA(
    _xlfn.XLOOKUP(
      payments_raw[[#This Row],[subscription_id]],
      subscriptions[subscription_id],
      subscriptions[subscription_id]
    )
  ),
  0,
  1
)</f>
        <v>1</v>
      </c>
      <c r="F2951" s="1">
        <f>_xlfn.XLOOKUP(payments_raw[[#This Row],[subscription_id]], subscriptions[subscription_id], subscriptions[start_date])</f>
        <v>45487</v>
      </c>
      <c r="G29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2951" s="2">
        <f>IF(payments_raw[[#This Row],[payment_date]] &lt; payments_raw[[#This Row],[sub_start_date]], 1, 0)</f>
        <v>0</v>
      </c>
      <c r="I2951" s="2">
        <f>IF(AND(payments_raw[[#This Row],[sub_end_date]]&lt;&gt;"", payments_raw[[#This Row],[payment_date]] &gt; payments_raw[[#This Row],[sub_end_date]]), 1, 0)</f>
        <v>0</v>
      </c>
      <c r="J2951" s="2">
        <f>IF(payments_raw[[#This Row],[amount]] &lt;= 0, 1, 0)</f>
        <v>0</v>
      </c>
      <c r="K29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2" spans="1:11" x14ac:dyDescent="0.3">
      <c r="A2952">
        <v>16626244</v>
      </c>
      <c r="B2952">
        <v>9847254</v>
      </c>
      <c r="C2952" s="1">
        <v>45633</v>
      </c>
      <c r="D2952">
        <v>390</v>
      </c>
      <c r="E2952">
        <f>IF(
  ISNA(
    _xlfn.XLOOKUP(
      payments_raw[[#This Row],[subscription_id]],
      subscriptions[subscription_id],
      subscriptions[subscription_id]
    )
  ),
  0,
  1
)</f>
        <v>1</v>
      </c>
      <c r="F2952" s="1">
        <f>_xlfn.XLOOKUP(payments_raw[[#This Row],[subscription_id]], subscriptions[subscription_id], subscriptions[start_date])</f>
        <v>45369</v>
      </c>
      <c r="G29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45651</v>
      </c>
      <c r="H2952" s="2">
        <f>IF(payments_raw[[#This Row],[payment_date]] &lt; payments_raw[[#This Row],[sub_start_date]], 1, 0)</f>
        <v>0</v>
      </c>
      <c r="I2952" s="2">
        <f>IF(AND(payments_raw[[#This Row],[sub_end_date]]&lt;&gt;"", payments_raw[[#This Row],[payment_date]] &gt; payments_raw[[#This Row],[sub_end_date]]), 1, 0)</f>
        <v>0</v>
      </c>
      <c r="J2952" s="2">
        <f>IF(payments_raw[[#This Row],[amount]] &lt;= 0, 1, 0)</f>
        <v>0</v>
      </c>
      <c r="K29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3" spans="1:11" x14ac:dyDescent="0.3">
      <c r="A2953">
        <v>75110960</v>
      </c>
      <c r="B2953">
        <v>3316596</v>
      </c>
      <c r="C2953" s="1">
        <v>45644</v>
      </c>
      <c r="D2953">
        <v>19</v>
      </c>
      <c r="E2953">
        <f>IF(
  ISNA(
    _xlfn.XLOOKUP(
      payments_raw[[#This Row],[subscription_id]],
      subscriptions[subscription_id],
      subscriptions[subscription_id]
    )
  ),
  0,
  1
)</f>
        <v>1</v>
      </c>
      <c r="F2953" s="1">
        <f>_xlfn.XLOOKUP(payments_raw[[#This Row],[subscription_id]], subscriptions[subscription_id], subscriptions[start_date])</f>
        <v>45585</v>
      </c>
      <c r="G29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3" s="2">
        <f>IF(payments_raw[[#This Row],[payment_date]] &lt; payments_raw[[#This Row],[sub_start_date]], 1, 0)</f>
        <v>0</v>
      </c>
      <c r="I2953" s="2">
        <f>IF(AND(payments_raw[[#This Row],[sub_end_date]]&lt;&gt;"", payments_raw[[#This Row],[payment_date]] &gt; payments_raw[[#This Row],[sub_end_date]]), 1, 0)</f>
        <v>0</v>
      </c>
      <c r="J2953" s="2">
        <f>IF(payments_raw[[#This Row],[amount]] &lt;= 0, 1, 0)</f>
        <v>0</v>
      </c>
      <c r="K29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4" spans="1:11" x14ac:dyDescent="0.3">
      <c r="A2954">
        <v>45021207</v>
      </c>
      <c r="B2954">
        <v>6362719</v>
      </c>
      <c r="C2954" s="1">
        <v>45368</v>
      </c>
      <c r="D2954">
        <v>1490</v>
      </c>
      <c r="E2954">
        <f>IF(
  ISNA(
    _xlfn.XLOOKUP(
      payments_raw[[#This Row],[subscription_id]],
      subscriptions[subscription_id],
      subscriptions[subscription_id]
    )
  ),
  0,
  1
)</f>
        <v>1</v>
      </c>
      <c r="F2954" s="1">
        <f>_xlfn.XLOOKUP(payments_raw[[#This Row],[subscription_id]], subscriptions[subscription_id], subscriptions[start_date])</f>
        <v>45309</v>
      </c>
      <c r="G29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2954" s="2">
        <f>IF(payments_raw[[#This Row],[payment_date]] &lt; payments_raw[[#This Row],[sub_start_date]], 1, 0)</f>
        <v>0</v>
      </c>
      <c r="I2954" s="2">
        <f>IF(AND(payments_raw[[#This Row],[sub_end_date]]&lt;&gt;"", payments_raw[[#This Row],[payment_date]] &gt; payments_raw[[#This Row],[sub_end_date]]), 1, 0)</f>
        <v>0</v>
      </c>
      <c r="J2954" s="2">
        <f>IF(payments_raw[[#This Row],[amount]] &lt;= 0, 1, 0)</f>
        <v>0</v>
      </c>
      <c r="K29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5" spans="1:11" x14ac:dyDescent="0.3">
      <c r="A2955">
        <v>27025492</v>
      </c>
      <c r="B2955">
        <v>7711798</v>
      </c>
      <c r="C2955" s="1">
        <v>45343</v>
      </c>
      <c r="D2955">
        <v>299</v>
      </c>
      <c r="E2955">
        <f>IF(
  ISNA(
    _xlfn.XLOOKUP(
      payments_raw[[#This Row],[subscription_id]],
      subscriptions[subscription_id],
      subscriptions[subscription_id]
    )
  ),
  0,
  1
)</f>
        <v>1</v>
      </c>
      <c r="F2955" s="1">
        <f>_xlfn.XLOOKUP(payments_raw[[#This Row],[subscription_id]], subscriptions[subscription_id], subscriptions[start_date])</f>
        <v>45152</v>
      </c>
      <c r="G29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5" s="2">
        <f>IF(payments_raw[[#This Row],[payment_date]] &lt; payments_raw[[#This Row],[sub_start_date]], 1, 0)</f>
        <v>0</v>
      </c>
      <c r="I2955" s="2">
        <f>IF(AND(payments_raw[[#This Row],[sub_end_date]]&lt;&gt;"", payments_raw[[#This Row],[payment_date]] &gt; payments_raw[[#This Row],[sub_end_date]]), 1, 0)</f>
        <v>0</v>
      </c>
      <c r="J2955" s="2">
        <f>IF(payments_raw[[#This Row],[amount]] &lt;= 0, 1, 0)</f>
        <v>0</v>
      </c>
      <c r="K29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6" spans="1:11" x14ac:dyDescent="0.3">
      <c r="A2956">
        <v>43732173</v>
      </c>
      <c r="B2956">
        <v>6410314</v>
      </c>
      <c r="C2956" s="1">
        <v>44880</v>
      </c>
      <c r="D2956">
        <v>2990</v>
      </c>
      <c r="E2956">
        <f>IF(
  ISNA(
    _xlfn.XLOOKUP(
      payments_raw[[#This Row],[subscription_id]],
      subscriptions[subscription_id],
      subscriptions[subscription_id]
    )
  ),
  0,
  1
)</f>
        <v>1</v>
      </c>
      <c r="F2956" s="1">
        <f>_xlfn.XLOOKUP(payments_raw[[#This Row],[subscription_id]], subscriptions[subscription_id], subscriptions[start_date])</f>
        <v>44847</v>
      </c>
      <c r="G295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44979</v>
      </c>
      <c r="H2956" s="2">
        <f>IF(payments_raw[[#This Row],[payment_date]] &lt; payments_raw[[#This Row],[sub_start_date]], 1, 0)</f>
        <v>0</v>
      </c>
      <c r="I2956" s="2">
        <f>IF(AND(payments_raw[[#This Row],[sub_end_date]]&lt;&gt;"", payments_raw[[#This Row],[payment_date]] &gt; payments_raw[[#This Row],[sub_end_date]]), 1, 0)</f>
        <v>0</v>
      </c>
      <c r="J2956" s="2">
        <f>IF(payments_raw[[#This Row],[amount]] &lt;= 0, 1, 0)</f>
        <v>0</v>
      </c>
      <c r="K29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7" spans="1:11" x14ac:dyDescent="0.3">
      <c r="A2957">
        <v>22539199</v>
      </c>
      <c r="B2957">
        <v>3254948</v>
      </c>
      <c r="C2957" s="1">
        <v>45590</v>
      </c>
      <c r="D2957">
        <v>79</v>
      </c>
      <c r="E2957">
        <f>IF(
  ISNA(
    _xlfn.XLOOKUP(
      payments_raw[[#This Row],[subscription_id]],
      subscriptions[subscription_id],
      subscriptions[subscription_id]
    )
  ),
  0,
  1
)</f>
        <v>1</v>
      </c>
      <c r="F2957" s="1">
        <f>_xlfn.XLOOKUP(payments_raw[[#This Row],[subscription_id]], subscriptions[subscription_id], subscriptions[start_date])</f>
        <v>44563</v>
      </c>
      <c r="G29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7" s="2">
        <f>IF(payments_raw[[#This Row],[payment_date]] &lt; payments_raw[[#This Row],[sub_start_date]], 1, 0)</f>
        <v>0</v>
      </c>
      <c r="I2957" s="2">
        <f>IF(AND(payments_raw[[#This Row],[sub_end_date]]&lt;&gt;"", payments_raw[[#This Row],[payment_date]] &gt; payments_raw[[#This Row],[sub_end_date]]), 1, 0)</f>
        <v>0</v>
      </c>
      <c r="J2957" s="2">
        <f>IF(payments_raw[[#This Row],[amount]] &lt;= 0, 1, 0)</f>
        <v>0</v>
      </c>
      <c r="K29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8" spans="1:11" x14ac:dyDescent="0.3">
      <c r="A2958">
        <v>44141277</v>
      </c>
      <c r="B2958">
        <v>7291774</v>
      </c>
      <c r="C2958" s="1">
        <v>45326</v>
      </c>
      <c r="D2958">
        <v>149</v>
      </c>
      <c r="E2958">
        <f>IF(
  ISNA(
    _xlfn.XLOOKUP(
      payments_raw[[#This Row],[subscription_id]],
      subscriptions[subscription_id],
      subscriptions[subscription_id]
    )
  ),
  0,
  1
)</f>
        <v>1</v>
      </c>
      <c r="F2958" s="1">
        <f>_xlfn.XLOOKUP(payments_raw[[#This Row],[subscription_id]], subscriptions[subscription_id], subscriptions[start_date])</f>
        <v>44683</v>
      </c>
      <c r="G29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8" s="2">
        <f>IF(payments_raw[[#This Row],[payment_date]] &lt; payments_raw[[#This Row],[sub_start_date]], 1, 0)</f>
        <v>0</v>
      </c>
      <c r="I2958" s="2">
        <f>IF(AND(payments_raw[[#This Row],[sub_end_date]]&lt;&gt;"", payments_raw[[#This Row],[payment_date]] &gt; payments_raw[[#This Row],[sub_end_date]]), 1, 0)</f>
        <v>0</v>
      </c>
      <c r="J2958" s="2">
        <f>IF(payments_raw[[#This Row],[amount]] &lt;= 0, 1, 0)</f>
        <v>0</v>
      </c>
      <c r="K29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59" spans="1:11" x14ac:dyDescent="0.3">
      <c r="A2959">
        <v>53128998</v>
      </c>
      <c r="B2959">
        <v>6082313</v>
      </c>
      <c r="C2959" s="1">
        <v>45613</v>
      </c>
      <c r="D2959">
        <v>79</v>
      </c>
      <c r="E2959">
        <f>IF(
  ISNA(
    _xlfn.XLOOKUP(
      payments_raw[[#This Row],[subscription_id]],
      subscriptions[subscription_id],
      subscriptions[subscription_id]
    )
  ),
  0,
  1
)</f>
        <v>1</v>
      </c>
      <c r="F2959" s="1">
        <f>_xlfn.XLOOKUP(payments_raw[[#This Row],[subscription_id]], subscriptions[subscription_id], subscriptions[start_date])</f>
        <v>44896</v>
      </c>
      <c r="G29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59" s="2">
        <f>IF(payments_raw[[#This Row],[payment_date]] &lt; payments_raw[[#This Row],[sub_start_date]], 1, 0)</f>
        <v>0</v>
      </c>
      <c r="I2959" s="2">
        <f>IF(AND(payments_raw[[#This Row],[sub_end_date]]&lt;&gt;"", payments_raw[[#This Row],[payment_date]] &gt; payments_raw[[#This Row],[sub_end_date]]), 1, 0)</f>
        <v>0</v>
      </c>
      <c r="J2959" s="2">
        <f>IF(payments_raw[[#This Row],[amount]] &lt;= 0, 1, 0)</f>
        <v>0</v>
      </c>
      <c r="K29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0" spans="1:11" x14ac:dyDescent="0.3">
      <c r="A2960">
        <v>24691650</v>
      </c>
      <c r="B2960">
        <v>4824407</v>
      </c>
      <c r="C2960" s="1">
        <v>44837</v>
      </c>
      <c r="D2960">
        <v>1490</v>
      </c>
      <c r="E2960">
        <f>IF(
  ISNA(
    _xlfn.XLOOKUP(
      payments_raw[[#This Row],[subscription_id]],
      subscriptions[subscription_id],
      subscriptions[subscription_id]
    )
  ),
  0,
  1
)</f>
        <v>1</v>
      </c>
      <c r="F2960" s="1">
        <f>_xlfn.XLOOKUP(payments_raw[[#This Row],[subscription_id]], subscriptions[subscription_id], subscriptions[start_date])</f>
        <v>44686</v>
      </c>
      <c r="G296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44848</v>
      </c>
      <c r="H2960" s="2">
        <f>IF(payments_raw[[#This Row],[payment_date]] &lt; payments_raw[[#This Row],[sub_start_date]], 1, 0)</f>
        <v>0</v>
      </c>
      <c r="I2960" s="2">
        <f>IF(AND(payments_raw[[#This Row],[sub_end_date]]&lt;&gt;"", payments_raw[[#This Row],[payment_date]] &gt; payments_raw[[#This Row],[sub_end_date]]), 1, 0)</f>
        <v>0</v>
      </c>
      <c r="J2960" s="2">
        <f>IF(payments_raw[[#This Row],[amount]] &lt;= 0, 1, 0)</f>
        <v>0</v>
      </c>
      <c r="K29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1" spans="1:11" x14ac:dyDescent="0.3">
      <c r="A2961">
        <v>10996386</v>
      </c>
      <c r="B2961">
        <v>9135271</v>
      </c>
      <c r="C2961" s="1">
        <v>44957</v>
      </c>
      <c r="D2961">
        <v>39</v>
      </c>
      <c r="E2961">
        <f>IF(
  ISNA(
    _xlfn.XLOOKUP(
      payments_raw[[#This Row],[subscription_id]],
      subscriptions[subscription_id],
      subscriptions[subscription_id]
    )
  ),
  0,
  1
)</f>
        <v>1</v>
      </c>
      <c r="F2961" s="1">
        <f>_xlfn.XLOOKUP(payments_raw[[#This Row],[subscription_id]], subscriptions[subscription_id], subscriptions[start_date])</f>
        <v>44648</v>
      </c>
      <c r="G296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61" s="2">
        <f>IF(payments_raw[[#This Row],[payment_date]] &lt; payments_raw[[#This Row],[sub_start_date]], 1, 0)</f>
        <v>0</v>
      </c>
      <c r="I2961" s="2">
        <f>IF(AND(payments_raw[[#This Row],[sub_end_date]]&lt;&gt;"", payments_raw[[#This Row],[payment_date]] &gt; payments_raw[[#This Row],[sub_end_date]]), 1, 0)</f>
        <v>0</v>
      </c>
      <c r="J2961" s="2">
        <f>IF(payments_raw[[#This Row],[amount]] &lt;= 0, 1, 0)</f>
        <v>0</v>
      </c>
      <c r="K29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2" spans="1:11" x14ac:dyDescent="0.3">
      <c r="A2962">
        <v>74840922</v>
      </c>
      <c r="B2962">
        <v>5937884</v>
      </c>
      <c r="C2962" s="1">
        <v>45581</v>
      </c>
      <c r="D2962">
        <v>1117.5</v>
      </c>
      <c r="E2962">
        <f>IF(
  ISNA(
    _xlfn.XLOOKUP(
      payments_raw[[#This Row],[subscription_id]],
      subscriptions[subscription_id],
      subscriptions[subscription_id]
    )
  ),
  0,
  1
)</f>
        <v>1</v>
      </c>
      <c r="F2962" s="1">
        <f>_xlfn.XLOOKUP(payments_raw[[#This Row],[subscription_id]], subscriptions[subscription_id], subscriptions[start_date])</f>
        <v>45518</v>
      </c>
      <c r="G29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2962" s="2">
        <f>IF(payments_raw[[#This Row],[payment_date]] &lt; payments_raw[[#This Row],[sub_start_date]], 1, 0)</f>
        <v>0</v>
      </c>
      <c r="I2962" s="2">
        <f>IF(AND(payments_raw[[#This Row],[sub_end_date]]&lt;&gt;"", payments_raw[[#This Row],[payment_date]] &gt; payments_raw[[#This Row],[sub_end_date]]), 1, 0)</f>
        <v>0</v>
      </c>
      <c r="J2962" s="2">
        <f>IF(payments_raw[[#This Row],[amount]] &lt;= 0, 1, 0)</f>
        <v>0</v>
      </c>
      <c r="K29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3" spans="1:11" x14ac:dyDescent="0.3">
      <c r="A2963">
        <v>95100395</v>
      </c>
      <c r="B2963">
        <v>9770547</v>
      </c>
      <c r="C2963" s="1">
        <v>44833</v>
      </c>
      <c r="D2963">
        <v>39</v>
      </c>
      <c r="E2963">
        <f>IF(
  ISNA(
    _xlfn.XLOOKUP(
      payments_raw[[#This Row],[subscription_id]],
      subscriptions[subscription_id],
      subscriptions[subscription_id]
    )
  ),
  0,
  1
)</f>
        <v>1</v>
      </c>
      <c r="F2963" s="1">
        <f>_xlfn.XLOOKUP(payments_raw[[#This Row],[subscription_id]], subscriptions[subscription_id], subscriptions[start_date])</f>
        <v>44638</v>
      </c>
      <c r="G296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44989</v>
      </c>
      <c r="H2963" s="2">
        <f>IF(payments_raw[[#This Row],[payment_date]] &lt; payments_raw[[#This Row],[sub_start_date]], 1, 0)</f>
        <v>0</v>
      </c>
      <c r="I2963" s="2">
        <f>IF(AND(payments_raw[[#This Row],[sub_end_date]]&lt;&gt;"", payments_raw[[#This Row],[payment_date]] &gt; payments_raw[[#This Row],[sub_end_date]]), 1, 0)</f>
        <v>0</v>
      </c>
      <c r="J2963" s="2">
        <f>IF(payments_raw[[#This Row],[amount]] &lt;= 0, 1, 0)</f>
        <v>0</v>
      </c>
      <c r="K29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4" spans="1:11" x14ac:dyDescent="0.3">
      <c r="A2964">
        <v>36611921</v>
      </c>
      <c r="B2964">
        <v>5529825</v>
      </c>
      <c r="C2964" s="1">
        <v>44948</v>
      </c>
      <c r="D2964">
        <v>149</v>
      </c>
      <c r="E2964">
        <f>IF(
  ISNA(
    _xlfn.XLOOKUP(
      payments_raw[[#This Row],[subscription_id]],
      subscriptions[subscription_id],
      subscriptions[subscription_id]
    )
  ),
  0,
  1
)</f>
        <v>1</v>
      </c>
      <c r="F2964" s="1">
        <f>_xlfn.XLOOKUP(payments_raw[[#This Row],[subscription_id]], subscriptions[subscription_id], subscriptions[start_date])</f>
        <v>44735</v>
      </c>
      <c r="G29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64" s="2">
        <f>IF(payments_raw[[#This Row],[payment_date]] &lt; payments_raw[[#This Row],[sub_start_date]], 1, 0)</f>
        <v>0</v>
      </c>
      <c r="I2964" s="2">
        <f>IF(AND(payments_raw[[#This Row],[sub_end_date]]&lt;&gt;"", payments_raw[[#This Row],[payment_date]] &gt; payments_raw[[#This Row],[sub_end_date]]), 1, 0)</f>
        <v>0</v>
      </c>
      <c r="J2964" s="2">
        <f>IF(payments_raw[[#This Row],[amount]] &lt;= 0, 1, 0)</f>
        <v>0</v>
      </c>
      <c r="K29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5" spans="1:11" x14ac:dyDescent="0.3">
      <c r="A2965">
        <v>32837888</v>
      </c>
      <c r="B2965">
        <v>9982810</v>
      </c>
      <c r="C2965" s="1">
        <v>45214</v>
      </c>
      <c r="D2965">
        <v>299</v>
      </c>
      <c r="E2965">
        <f>IF(
  ISNA(
    _xlfn.XLOOKUP(
      payments_raw[[#This Row],[subscription_id]],
      subscriptions[subscription_id],
      subscriptions[subscription_id]
    )
  ),
  0,
  1
)</f>
        <v>1</v>
      </c>
      <c r="F2965" s="1">
        <f>_xlfn.XLOOKUP(payments_raw[[#This Row],[subscription_id]], subscriptions[subscription_id], subscriptions[start_date])</f>
        <v>45064</v>
      </c>
      <c r="G2965" s="1">
        <f>IF(_xlfn.XLOOKUP(payments_raw[[#This Row],[subscription_id]], subscriptions[subscription_id], subscriptions[end_date])=0,"",_xlfn.XLOOKUP(payments_raw[[#This Row],[subscription_id]], subscriptions[subscription_id], subscriptions[end_date]))</f>
        <v>45287</v>
      </c>
      <c r="H2965" s="2">
        <f>IF(payments_raw[[#This Row],[payment_date]] &lt; payments_raw[[#This Row],[sub_start_date]], 1, 0)</f>
        <v>0</v>
      </c>
      <c r="I2965" s="2">
        <f>IF(AND(payments_raw[[#This Row],[sub_end_date]]&lt;&gt;"", payments_raw[[#This Row],[payment_date]] &gt; payments_raw[[#This Row],[sub_end_date]]), 1, 0)</f>
        <v>0</v>
      </c>
      <c r="J2965" s="2">
        <f>IF(payments_raw[[#This Row],[amount]] &lt;= 0, 1, 0)</f>
        <v>0</v>
      </c>
      <c r="K29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6" spans="1:11" x14ac:dyDescent="0.3">
      <c r="A2966">
        <v>84918996</v>
      </c>
      <c r="B2966">
        <v>7833312</v>
      </c>
      <c r="C2966" s="1">
        <v>45299</v>
      </c>
      <c r="D2966">
        <v>39</v>
      </c>
      <c r="E2966">
        <f>IF(
  ISNA(
    _xlfn.XLOOKUP(
      payments_raw[[#This Row],[subscription_id]],
      subscriptions[subscription_id],
      subscriptions[subscription_id]
    )
  ),
  0,
  1
)</f>
        <v>1</v>
      </c>
      <c r="F2966" s="1">
        <f>_xlfn.XLOOKUP(payments_raw[[#This Row],[subscription_id]], subscriptions[subscription_id], subscriptions[start_date])</f>
        <v>45189</v>
      </c>
      <c r="G29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2966" s="2">
        <f>IF(payments_raw[[#This Row],[payment_date]] &lt; payments_raw[[#This Row],[sub_start_date]], 1, 0)</f>
        <v>0</v>
      </c>
      <c r="I2966" s="2">
        <f>IF(AND(payments_raw[[#This Row],[sub_end_date]]&lt;&gt;"", payments_raw[[#This Row],[payment_date]] &gt; payments_raw[[#This Row],[sub_end_date]]), 1, 0)</f>
        <v>0</v>
      </c>
      <c r="J2966" s="2">
        <f>IF(payments_raw[[#This Row],[amount]] &lt;= 0, 1, 0)</f>
        <v>0</v>
      </c>
      <c r="K29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7" spans="1:11" x14ac:dyDescent="0.3">
      <c r="A2967">
        <v>58045710</v>
      </c>
      <c r="B2967">
        <v>5489424</v>
      </c>
      <c r="C2967" s="1">
        <v>45180</v>
      </c>
      <c r="D2967">
        <v>79</v>
      </c>
      <c r="E2967">
        <f>IF(
  ISNA(
    _xlfn.XLOOKUP(
      payments_raw[[#This Row],[subscription_id]],
      subscriptions[subscription_id],
      subscriptions[subscription_id]
    )
  ),
  0,
  1
)</f>
        <v>1</v>
      </c>
      <c r="F2967" s="1">
        <f>_xlfn.XLOOKUP(payments_raw[[#This Row],[subscription_id]], subscriptions[subscription_id], subscriptions[start_date])</f>
        <v>45122</v>
      </c>
      <c r="G29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67" s="2">
        <f>IF(payments_raw[[#This Row],[payment_date]] &lt; payments_raw[[#This Row],[sub_start_date]], 1, 0)</f>
        <v>0</v>
      </c>
      <c r="I2967" s="2">
        <f>IF(AND(payments_raw[[#This Row],[sub_end_date]]&lt;&gt;"", payments_raw[[#This Row],[payment_date]] &gt; payments_raw[[#This Row],[sub_end_date]]), 1, 0)</f>
        <v>0</v>
      </c>
      <c r="J2967" s="2">
        <f>IF(payments_raw[[#This Row],[amount]] &lt;= 0, 1, 0)</f>
        <v>0</v>
      </c>
      <c r="K29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8" spans="1:11" x14ac:dyDescent="0.3">
      <c r="A2968">
        <v>72715910</v>
      </c>
      <c r="B2968">
        <v>6628280</v>
      </c>
      <c r="C2968" s="1">
        <v>45212</v>
      </c>
      <c r="D2968">
        <v>39</v>
      </c>
      <c r="E2968">
        <f>IF(
  ISNA(
    _xlfn.XLOOKUP(
      payments_raw[[#This Row],[subscription_id]],
      subscriptions[subscription_id],
      subscriptions[subscription_id]
    )
  ),
  0,
  1
)</f>
        <v>1</v>
      </c>
      <c r="F2968" s="1">
        <f>_xlfn.XLOOKUP(payments_raw[[#This Row],[subscription_id]], subscriptions[subscription_id], subscriptions[start_date])</f>
        <v>44619</v>
      </c>
      <c r="G29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68" s="2">
        <f>IF(payments_raw[[#This Row],[payment_date]] &lt; payments_raw[[#This Row],[sub_start_date]], 1, 0)</f>
        <v>0</v>
      </c>
      <c r="I2968" s="2">
        <f>IF(AND(payments_raw[[#This Row],[sub_end_date]]&lt;&gt;"", payments_raw[[#This Row],[payment_date]] &gt; payments_raw[[#This Row],[sub_end_date]]), 1, 0)</f>
        <v>0</v>
      </c>
      <c r="J2968" s="2">
        <f>IF(payments_raw[[#This Row],[amount]] &lt;= 0, 1, 0)</f>
        <v>0</v>
      </c>
      <c r="K29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69" spans="1:11" x14ac:dyDescent="0.3">
      <c r="A2969">
        <v>46901435</v>
      </c>
      <c r="B2969">
        <v>4480849</v>
      </c>
      <c r="C2969" s="1">
        <v>45539</v>
      </c>
      <c r="D2969">
        <v>299</v>
      </c>
      <c r="E2969">
        <f>IF(
  ISNA(
    _xlfn.XLOOKUP(
      payments_raw[[#This Row],[subscription_id]],
      subscriptions[subscription_id],
      subscriptions[subscription_id]
    )
  ),
  0,
  1
)</f>
        <v>1</v>
      </c>
      <c r="F2969" s="1">
        <f>_xlfn.XLOOKUP(payments_raw[[#This Row],[subscription_id]], subscriptions[subscription_id], subscriptions[start_date])</f>
        <v>45532</v>
      </c>
      <c r="G29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69" s="2">
        <f>IF(payments_raw[[#This Row],[payment_date]] &lt; payments_raw[[#This Row],[sub_start_date]], 1, 0)</f>
        <v>0</v>
      </c>
      <c r="I2969" s="2">
        <f>IF(AND(payments_raw[[#This Row],[sub_end_date]]&lt;&gt;"", payments_raw[[#This Row],[payment_date]] &gt; payments_raw[[#This Row],[sub_end_date]]), 1, 0)</f>
        <v>0</v>
      </c>
      <c r="J2969" s="2">
        <f>IF(payments_raw[[#This Row],[amount]] &lt;= 0, 1, 0)</f>
        <v>0</v>
      </c>
      <c r="K29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0" spans="1:11" x14ac:dyDescent="0.3">
      <c r="A2970">
        <v>54767455</v>
      </c>
      <c r="B2970">
        <v>2421764</v>
      </c>
      <c r="C2970" s="1">
        <v>45527</v>
      </c>
      <c r="D2970">
        <v>790</v>
      </c>
      <c r="E2970">
        <f>IF(
  ISNA(
    _xlfn.XLOOKUP(
      payments_raw[[#This Row],[subscription_id]],
      subscriptions[subscription_id],
      subscriptions[subscription_id]
    )
  ),
  0,
  1
)</f>
        <v>1</v>
      </c>
      <c r="F2970" s="1">
        <f>_xlfn.XLOOKUP(payments_raw[[#This Row],[subscription_id]], subscriptions[subscription_id], subscriptions[start_date])</f>
        <v>44876</v>
      </c>
      <c r="G29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0" s="2">
        <f>IF(payments_raw[[#This Row],[payment_date]] &lt; payments_raw[[#This Row],[sub_start_date]], 1, 0)</f>
        <v>0</v>
      </c>
      <c r="I2970" s="2">
        <f>IF(AND(payments_raw[[#This Row],[sub_end_date]]&lt;&gt;"", payments_raw[[#This Row],[payment_date]] &gt; payments_raw[[#This Row],[sub_end_date]]), 1, 0)</f>
        <v>0</v>
      </c>
      <c r="J2970" s="2">
        <f>IF(payments_raw[[#This Row],[amount]] &lt;= 0, 1, 0)</f>
        <v>0</v>
      </c>
      <c r="K29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1" spans="1:11" x14ac:dyDescent="0.3">
      <c r="A2971">
        <v>58221378</v>
      </c>
      <c r="B2971">
        <v>6749416</v>
      </c>
      <c r="C2971" s="1">
        <v>45323</v>
      </c>
      <c r="D2971">
        <v>299</v>
      </c>
      <c r="E2971">
        <f>IF(
  ISNA(
    _xlfn.XLOOKUP(
      payments_raw[[#This Row],[subscription_id]],
      subscriptions[subscription_id],
      subscriptions[subscription_id]
    )
  ),
  0,
  1
)</f>
        <v>1</v>
      </c>
      <c r="F2971" s="1">
        <f>_xlfn.XLOOKUP(payments_raw[[#This Row],[subscription_id]], subscriptions[subscription_id], subscriptions[start_date])</f>
        <v>45127</v>
      </c>
      <c r="G29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1" s="2">
        <f>IF(payments_raw[[#This Row],[payment_date]] &lt; payments_raw[[#This Row],[sub_start_date]], 1, 0)</f>
        <v>0</v>
      </c>
      <c r="I2971" s="2">
        <f>IF(AND(payments_raw[[#This Row],[sub_end_date]]&lt;&gt;"", payments_raw[[#This Row],[payment_date]] &gt; payments_raw[[#This Row],[sub_end_date]]), 1, 0)</f>
        <v>0</v>
      </c>
      <c r="J2971" s="2">
        <f>IF(payments_raw[[#This Row],[amount]] &lt;= 0, 1, 0)</f>
        <v>0</v>
      </c>
      <c r="K29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2" spans="1:11" x14ac:dyDescent="0.3">
      <c r="A2972">
        <v>82677003</v>
      </c>
      <c r="B2972">
        <v>9118679</v>
      </c>
      <c r="C2972" s="1">
        <v>44923</v>
      </c>
      <c r="D2972">
        <v>19</v>
      </c>
      <c r="E2972">
        <f>IF(
  ISNA(
    _xlfn.XLOOKUP(
      payments_raw[[#This Row],[subscription_id]],
      subscriptions[subscription_id],
      subscriptions[subscription_id]
    )
  ),
  0,
  1
)</f>
        <v>1</v>
      </c>
      <c r="F2972" s="1">
        <f>_xlfn.XLOOKUP(payments_raw[[#This Row],[subscription_id]], subscriptions[subscription_id], subscriptions[start_date])</f>
        <v>44572</v>
      </c>
      <c r="G29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2" s="2">
        <f>IF(payments_raw[[#This Row],[payment_date]] &lt; payments_raw[[#This Row],[sub_start_date]], 1, 0)</f>
        <v>0</v>
      </c>
      <c r="I2972" s="2">
        <f>IF(AND(payments_raw[[#This Row],[sub_end_date]]&lt;&gt;"", payments_raw[[#This Row],[payment_date]] &gt; payments_raw[[#This Row],[sub_end_date]]), 1, 0)</f>
        <v>0</v>
      </c>
      <c r="J2972" s="2">
        <f>IF(payments_raw[[#This Row],[amount]] &lt;= 0, 1, 0)</f>
        <v>0</v>
      </c>
      <c r="K29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3" spans="1:11" x14ac:dyDescent="0.3">
      <c r="A2973">
        <v>53035439</v>
      </c>
      <c r="B2973">
        <v>6290495</v>
      </c>
      <c r="C2973" s="1">
        <v>45530</v>
      </c>
      <c r="D2973">
        <v>190</v>
      </c>
      <c r="E2973">
        <f>IF(
  ISNA(
    _xlfn.XLOOKUP(
      payments_raw[[#This Row],[subscription_id]],
      subscriptions[subscription_id],
      subscriptions[subscription_id]
    )
  ),
  0,
  1
)</f>
        <v>1</v>
      </c>
      <c r="F2973" s="1">
        <f>_xlfn.XLOOKUP(payments_raw[[#This Row],[subscription_id]], subscriptions[subscription_id], subscriptions[start_date])</f>
        <v>45486</v>
      </c>
      <c r="G29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2973" s="2">
        <f>IF(payments_raw[[#This Row],[payment_date]] &lt; payments_raw[[#This Row],[sub_start_date]], 1, 0)</f>
        <v>0</v>
      </c>
      <c r="I2973" s="2">
        <f>IF(AND(payments_raw[[#This Row],[sub_end_date]]&lt;&gt;"", payments_raw[[#This Row],[payment_date]] &gt; payments_raw[[#This Row],[sub_end_date]]), 1, 0)</f>
        <v>0</v>
      </c>
      <c r="J2973" s="2">
        <f>IF(payments_raw[[#This Row],[amount]] &lt;= 0, 1, 0)</f>
        <v>0</v>
      </c>
      <c r="K29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4" spans="1:11" x14ac:dyDescent="0.3">
      <c r="A2974">
        <v>74132712</v>
      </c>
      <c r="B2974">
        <v>3112852</v>
      </c>
      <c r="C2974" s="1">
        <v>45456</v>
      </c>
      <c r="D2974">
        <v>19</v>
      </c>
      <c r="E2974">
        <f>IF(
  ISNA(
    _xlfn.XLOOKUP(
      payments_raw[[#This Row],[subscription_id]],
      subscriptions[subscription_id],
      subscriptions[subscription_id]
    )
  ),
  0,
  1
)</f>
        <v>1</v>
      </c>
      <c r="F2974" s="1">
        <f>_xlfn.XLOOKUP(payments_raw[[#This Row],[subscription_id]], subscriptions[subscription_id], subscriptions[start_date])</f>
        <v>45387</v>
      </c>
      <c r="G29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2974" s="2">
        <f>IF(payments_raw[[#This Row],[payment_date]] &lt; payments_raw[[#This Row],[sub_start_date]], 1, 0)</f>
        <v>0</v>
      </c>
      <c r="I2974" s="2">
        <f>IF(AND(payments_raw[[#This Row],[sub_end_date]]&lt;&gt;"", payments_raw[[#This Row],[payment_date]] &gt; payments_raw[[#This Row],[sub_end_date]]), 1, 0)</f>
        <v>0</v>
      </c>
      <c r="J2974" s="2">
        <f>IF(payments_raw[[#This Row],[amount]] &lt;= 0, 1, 0)</f>
        <v>0</v>
      </c>
      <c r="K29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5" spans="1:11" x14ac:dyDescent="0.3">
      <c r="A2975">
        <v>33072173</v>
      </c>
      <c r="B2975">
        <v>1603697</v>
      </c>
      <c r="C2975" s="1">
        <v>45119</v>
      </c>
      <c r="D2975">
        <v>39</v>
      </c>
      <c r="E2975">
        <f>IF(
  ISNA(
    _xlfn.XLOOKUP(
      payments_raw[[#This Row],[subscription_id]],
      subscriptions[subscription_id],
      subscriptions[subscription_id]
    )
  ),
  0,
  1
)</f>
        <v>1</v>
      </c>
      <c r="F2975" s="1">
        <f>_xlfn.XLOOKUP(payments_raw[[#This Row],[subscription_id]], subscriptions[subscription_id], subscriptions[start_date])</f>
        <v>45115</v>
      </c>
      <c r="G29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45316</v>
      </c>
      <c r="H2975" s="2">
        <f>IF(payments_raw[[#This Row],[payment_date]] &lt; payments_raw[[#This Row],[sub_start_date]], 1, 0)</f>
        <v>0</v>
      </c>
      <c r="I2975" s="2">
        <f>IF(AND(payments_raw[[#This Row],[sub_end_date]]&lt;&gt;"", payments_raw[[#This Row],[payment_date]] &gt; payments_raw[[#This Row],[sub_end_date]]), 1, 0)</f>
        <v>0</v>
      </c>
      <c r="J2975" s="2">
        <f>IF(payments_raw[[#This Row],[amount]] &lt;= 0, 1, 0)</f>
        <v>0</v>
      </c>
      <c r="K29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6" spans="1:11" x14ac:dyDescent="0.3">
      <c r="A2976">
        <v>45718758</v>
      </c>
      <c r="B2976">
        <v>8266453</v>
      </c>
      <c r="C2976" s="1">
        <v>45377</v>
      </c>
      <c r="D2976">
        <v>1490</v>
      </c>
      <c r="E2976">
        <f>IF(
  ISNA(
    _xlfn.XLOOKUP(
      payments_raw[[#This Row],[subscription_id]],
      subscriptions[subscription_id],
      subscriptions[subscription_id]
    )
  ),
  0,
  1
)</f>
        <v>1</v>
      </c>
      <c r="F2976" s="1">
        <f>_xlfn.XLOOKUP(payments_raw[[#This Row],[subscription_id]], subscriptions[subscription_id], subscriptions[start_date])</f>
        <v>44970</v>
      </c>
      <c r="G29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6" s="2">
        <f>IF(payments_raw[[#This Row],[payment_date]] &lt; payments_raw[[#This Row],[sub_start_date]], 1, 0)</f>
        <v>0</v>
      </c>
      <c r="I2976" s="2">
        <f>IF(AND(payments_raw[[#This Row],[sub_end_date]]&lt;&gt;"", payments_raw[[#This Row],[payment_date]] &gt; payments_raw[[#This Row],[sub_end_date]]), 1, 0)</f>
        <v>0</v>
      </c>
      <c r="J2976" s="2">
        <f>IF(payments_raw[[#This Row],[amount]] &lt;= 0, 1, 0)</f>
        <v>0</v>
      </c>
      <c r="K29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7" spans="1:11" x14ac:dyDescent="0.3">
      <c r="A2977">
        <v>98377293</v>
      </c>
      <c r="B2977">
        <v>5731917</v>
      </c>
      <c r="C2977" s="1">
        <v>44949</v>
      </c>
      <c r="D2977">
        <v>790</v>
      </c>
      <c r="E2977">
        <f>IF(
  ISNA(
    _xlfn.XLOOKUP(
      payments_raw[[#This Row],[subscription_id]],
      subscriptions[subscription_id],
      subscriptions[subscription_id]
    )
  ),
  0,
  1
)</f>
        <v>1</v>
      </c>
      <c r="F2977" s="1">
        <f>_xlfn.XLOOKUP(payments_raw[[#This Row],[subscription_id]], subscriptions[subscription_id], subscriptions[start_date])</f>
        <v>44605</v>
      </c>
      <c r="G29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7" s="2">
        <f>IF(payments_raw[[#This Row],[payment_date]] &lt; payments_raw[[#This Row],[sub_start_date]], 1, 0)</f>
        <v>0</v>
      </c>
      <c r="I2977" s="2">
        <f>IF(AND(payments_raw[[#This Row],[sub_end_date]]&lt;&gt;"", payments_raw[[#This Row],[payment_date]] &gt; payments_raw[[#This Row],[sub_end_date]]), 1, 0)</f>
        <v>0</v>
      </c>
      <c r="J2977" s="2">
        <f>IF(payments_raw[[#This Row],[amount]] &lt;= 0, 1, 0)</f>
        <v>0</v>
      </c>
      <c r="K29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8" spans="1:11" x14ac:dyDescent="0.3">
      <c r="A2978">
        <v>39085849</v>
      </c>
      <c r="B2978">
        <v>1643521</v>
      </c>
      <c r="C2978" s="1">
        <v>45648</v>
      </c>
      <c r="D2978">
        <v>390</v>
      </c>
      <c r="E2978">
        <f>IF(
  ISNA(
    _xlfn.XLOOKUP(
      payments_raw[[#This Row],[subscription_id]],
      subscriptions[subscription_id],
      subscriptions[subscription_id]
    )
  ),
  0,
  1
)</f>
        <v>1</v>
      </c>
      <c r="F2978" s="1">
        <f>_xlfn.XLOOKUP(payments_raw[[#This Row],[subscription_id]], subscriptions[subscription_id], subscriptions[start_date])</f>
        <v>45449</v>
      </c>
      <c r="G29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8" s="2">
        <f>IF(payments_raw[[#This Row],[payment_date]] &lt; payments_raw[[#This Row],[sub_start_date]], 1, 0)</f>
        <v>0</v>
      </c>
      <c r="I2978" s="2">
        <f>IF(AND(payments_raw[[#This Row],[sub_end_date]]&lt;&gt;"", payments_raw[[#This Row],[payment_date]] &gt; payments_raw[[#This Row],[sub_end_date]]), 1, 0)</f>
        <v>0</v>
      </c>
      <c r="J2978" s="2">
        <f>IF(payments_raw[[#This Row],[amount]] &lt;= 0, 1, 0)</f>
        <v>0</v>
      </c>
      <c r="K29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79" spans="1:11" x14ac:dyDescent="0.3">
      <c r="A2979">
        <v>52799635</v>
      </c>
      <c r="B2979">
        <v>1939470</v>
      </c>
      <c r="C2979" s="1">
        <v>45392</v>
      </c>
      <c r="D2979">
        <v>35.1</v>
      </c>
      <c r="E2979">
        <f>IF(
  ISNA(
    _xlfn.XLOOKUP(
      payments_raw[[#This Row],[subscription_id]],
      subscriptions[subscription_id],
      subscriptions[subscription_id]
    )
  ),
  0,
  1
)</f>
        <v>1</v>
      </c>
      <c r="F2979" s="1">
        <f>_xlfn.XLOOKUP(payments_raw[[#This Row],[subscription_id]], subscriptions[subscription_id], subscriptions[start_date])</f>
        <v>45010</v>
      </c>
      <c r="G29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79" s="2">
        <f>IF(payments_raw[[#This Row],[payment_date]] &lt; payments_raw[[#This Row],[sub_start_date]], 1, 0)</f>
        <v>0</v>
      </c>
      <c r="I2979" s="2">
        <f>IF(AND(payments_raw[[#This Row],[sub_end_date]]&lt;&gt;"", payments_raw[[#This Row],[payment_date]] &gt; payments_raw[[#This Row],[sub_end_date]]), 1, 0)</f>
        <v>0</v>
      </c>
      <c r="J2979" s="2">
        <f>IF(payments_raw[[#This Row],[amount]] &lt;= 0, 1, 0)</f>
        <v>0</v>
      </c>
      <c r="K29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0" spans="1:11" x14ac:dyDescent="0.3">
      <c r="A2980">
        <v>62585179</v>
      </c>
      <c r="B2980">
        <v>6654424</v>
      </c>
      <c r="C2980" s="1">
        <v>45484</v>
      </c>
      <c r="D2980">
        <v>39</v>
      </c>
      <c r="E2980">
        <f>IF(
  ISNA(
    _xlfn.XLOOKUP(
      payments_raw[[#This Row],[subscription_id]],
      subscriptions[subscription_id],
      subscriptions[subscription_id]
    )
  ),
  0,
  1
)</f>
        <v>1</v>
      </c>
      <c r="F2980" s="1">
        <f>_xlfn.XLOOKUP(payments_raw[[#This Row],[subscription_id]], subscriptions[subscription_id], subscriptions[start_date])</f>
        <v>45441</v>
      </c>
      <c r="G29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0" s="2">
        <f>IF(payments_raw[[#This Row],[payment_date]] &lt; payments_raw[[#This Row],[sub_start_date]], 1, 0)</f>
        <v>0</v>
      </c>
      <c r="I2980" s="2">
        <f>IF(AND(payments_raw[[#This Row],[sub_end_date]]&lt;&gt;"", payments_raw[[#This Row],[payment_date]] &gt; payments_raw[[#This Row],[sub_end_date]]), 1, 0)</f>
        <v>0</v>
      </c>
      <c r="J2980" s="2">
        <f>IF(payments_raw[[#This Row],[amount]] &lt;= 0, 1, 0)</f>
        <v>0</v>
      </c>
      <c r="K29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1" spans="1:11" x14ac:dyDescent="0.3">
      <c r="A2981">
        <v>33167793</v>
      </c>
      <c r="B2981">
        <v>4510199</v>
      </c>
      <c r="C2981" s="1">
        <v>45585</v>
      </c>
      <c r="D2981">
        <v>190</v>
      </c>
      <c r="E2981">
        <f>IF(
  ISNA(
    _xlfn.XLOOKUP(
      payments_raw[[#This Row],[subscription_id]],
      subscriptions[subscription_id],
      subscriptions[subscription_id]
    )
  ),
  0,
  1
)</f>
        <v>1</v>
      </c>
      <c r="F2981" s="1">
        <f>_xlfn.XLOOKUP(payments_raw[[#This Row],[subscription_id]], subscriptions[subscription_id], subscriptions[start_date])</f>
        <v>45562</v>
      </c>
      <c r="G29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1" s="2">
        <f>IF(payments_raw[[#This Row],[payment_date]] &lt; payments_raw[[#This Row],[sub_start_date]], 1, 0)</f>
        <v>0</v>
      </c>
      <c r="I2981" s="2">
        <f>IF(AND(payments_raw[[#This Row],[sub_end_date]]&lt;&gt;"", payments_raw[[#This Row],[payment_date]] &gt; payments_raw[[#This Row],[sub_end_date]]), 1, 0)</f>
        <v>0</v>
      </c>
      <c r="J2981" s="2">
        <f>IF(payments_raw[[#This Row],[amount]] &lt;= 0, 1, 0)</f>
        <v>0</v>
      </c>
      <c r="K29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2" spans="1:11" x14ac:dyDescent="0.3">
      <c r="A2982">
        <v>11157338</v>
      </c>
      <c r="B2982">
        <v>4259545</v>
      </c>
      <c r="C2982" s="1">
        <v>45394</v>
      </c>
      <c r="D2982">
        <v>390</v>
      </c>
      <c r="E2982">
        <f>IF(
  ISNA(
    _xlfn.XLOOKUP(
      payments_raw[[#This Row],[subscription_id]],
      subscriptions[subscription_id],
      subscriptions[subscription_id]
    )
  ),
  0,
  1
)</f>
        <v>1</v>
      </c>
      <c r="F2982" s="1">
        <f>_xlfn.XLOOKUP(payments_raw[[#This Row],[subscription_id]], subscriptions[subscription_id], subscriptions[start_date])</f>
        <v>45201</v>
      </c>
      <c r="G29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45448</v>
      </c>
      <c r="H2982" s="2">
        <f>IF(payments_raw[[#This Row],[payment_date]] &lt; payments_raw[[#This Row],[sub_start_date]], 1, 0)</f>
        <v>0</v>
      </c>
      <c r="I2982" s="2">
        <f>IF(AND(payments_raw[[#This Row],[sub_end_date]]&lt;&gt;"", payments_raw[[#This Row],[payment_date]] &gt; payments_raw[[#This Row],[sub_end_date]]), 1, 0)</f>
        <v>0</v>
      </c>
      <c r="J2982" s="2">
        <f>IF(payments_raw[[#This Row],[amount]] &lt;= 0, 1, 0)</f>
        <v>0</v>
      </c>
      <c r="K29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3" spans="1:11" x14ac:dyDescent="0.3">
      <c r="A2983">
        <v>34608959</v>
      </c>
      <c r="B2983">
        <v>5437558</v>
      </c>
      <c r="C2983" s="1">
        <v>45281</v>
      </c>
      <c r="D2983">
        <v>390</v>
      </c>
      <c r="E2983">
        <f>IF(
  ISNA(
    _xlfn.XLOOKUP(
      payments_raw[[#This Row],[subscription_id]],
      subscriptions[subscription_id],
      subscriptions[subscription_id]
    )
  ),
  0,
  1
)</f>
        <v>1</v>
      </c>
      <c r="F2983" s="1">
        <f>_xlfn.XLOOKUP(payments_raw[[#This Row],[subscription_id]], subscriptions[subscription_id], subscriptions[start_date])</f>
        <v>45191</v>
      </c>
      <c r="G29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45433</v>
      </c>
      <c r="H2983" s="2">
        <f>IF(payments_raw[[#This Row],[payment_date]] &lt; payments_raw[[#This Row],[sub_start_date]], 1, 0)</f>
        <v>0</v>
      </c>
      <c r="I2983" s="2">
        <f>IF(AND(payments_raw[[#This Row],[sub_end_date]]&lt;&gt;"", payments_raw[[#This Row],[payment_date]] &gt; payments_raw[[#This Row],[sub_end_date]]), 1, 0)</f>
        <v>0</v>
      </c>
      <c r="J2983" s="2">
        <f>IF(payments_raw[[#This Row],[amount]] &lt;= 0, 1, 0)</f>
        <v>0</v>
      </c>
      <c r="K29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4" spans="1:11" x14ac:dyDescent="0.3">
      <c r="A2984">
        <v>99078726</v>
      </c>
      <c r="B2984">
        <v>4510199</v>
      </c>
      <c r="C2984" s="1">
        <v>45643</v>
      </c>
      <c r="D2984">
        <v>190</v>
      </c>
      <c r="E2984">
        <f>IF(
  ISNA(
    _xlfn.XLOOKUP(
      payments_raw[[#This Row],[subscription_id]],
      subscriptions[subscription_id],
      subscriptions[subscription_id]
    )
  ),
  0,
  1
)</f>
        <v>1</v>
      </c>
      <c r="F2984" s="1">
        <f>_xlfn.XLOOKUP(payments_raw[[#This Row],[subscription_id]], subscriptions[subscription_id], subscriptions[start_date])</f>
        <v>45562</v>
      </c>
      <c r="G29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4" s="2">
        <f>IF(payments_raw[[#This Row],[payment_date]] &lt; payments_raw[[#This Row],[sub_start_date]], 1, 0)</f>
        <v>0</v>
      </c>
      <c r="I2984" s="2">
        <f>IF(AND(payments_raw[[#This Row],[sub_end_date]]&lt;&gt;"", payments_raw[[#This Row],[payment_date]] &gt; payments_raw[[#This Row],[sub_end_date]]), 1, 0)</f>
        <v>0</v>
      </c>
      <c r="J2984" s="2">
        <f>IF(payments_raw[[#This Row],[amount]] &lt;= 0, 1, 0)</f>
        <v>0</v>
      </c>
      <c r="K29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5" spans="1:11" x14ac:dyDescent="0.3">
      <c r="A2985">
        <v>50248639</v>
      </c>
      <c r="B2985">
        <v>6654424</v>
      </c>
      <c r="C2985" s="1">
        <v>45555</v>
      </c>
      <c r="D2985">
        <v>39</v>
      </c>
      <c r="E2985">
        <f>IF(
  ISNA(
    _xlfn.XLOOKUP(
      payments_raw[[#This Row],[subscription_id]],
      subscriptions[subscription_id],
      subscriptions[subscription_id]
    )
  ),
  0,
  1
)</f>
        <v>1</v>
      </c>
      <c r="F2985" s="1">
        <f>_xlfn.XLOOKUP(payments_raw[[#This Row],[subscription_id]], subscriptions[subscription_id], subscriptions[start_date])</f>
        <v>45441</v>
      </c>
      <c r="G29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5" s="2">
        <f>IF(payments_raw[[#This Row],[payment_date]] &lt; payments_raw[[#This Row],[sub_start_date]], 1, 0)</f>
        <v>0</v>
      </c>
      <c r="I2985" s="2">
        <f>IF(AND(payments_raw[[#This Row],[sub_end_date]]&lt;&gt;"", payments_raw[[#This Row],[payment_date]] &gt; payments_raw[[#This Row],[sub_end_date]]), 1, 0)</f>
        <v>0</v>
      </c>
      <c r="J2985" s="2">
        <f>IF(payments_raw[[#This Row],[amount]] &lt;= 0, 1, 0)</f>
        <v>0</v>
      </c>
      <c r="K29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6" spans="1:11" x14ac:dyDescent="0.3">
      <c r="A2986">
        <v>65188874</v>
      </c>
      <c r="B2986">
        <v>2884667</v>
      </c>
      <c r="C2986" s="1">
        <v>44910</v>
      </c>
      <c r="D2986">
        <v>39</v>
      </c>
      <c r="E2986">
        <f>IF(
  ISNA(
    _xlfn.XLOOKUP(
      payments_raw[[#This Row],[subscription_id]],
      subscriptions[subscription_id],
      subscriptions[subscription_id]
    )
  ),
  0,
  1
)</f>
        <v>1</v>
      </c>
      <c r="F2986" s="1">
        <f>_xlfn.XLOOKUP(payments_raw[[#This Row],[subscription_id]], subscriptions[subscription_id], subscriptions[start_date])</f>
        <v>44886</v>
      </c>
      <c r="G29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44960</v>
      </c>
      <c r="H2986" s="2">
        <f>IF(payments_raw[[#This Row],[payment_date]] &lt; payments_raw[[#This Row],[sub_start_date]], 1, 0)</f>
        <v>0</v>
      </c>
      <c r="I2986" s="2">
        <f>IF(AND(payments_raw[[#This Row],[sub_end_date]]&lt;&gt;"", payments_raw[[#This Row],[payment_date]] &gt; payments_raw[[#This Row],[sub_end_date]]), 1, 0)</f>
        <v>0</v>
      </c>
      <c r="J2986" s="2">
        <f>IF(payments_raw[[#This Row],[amount]] &lt;= 0, 1, 0)</f>
        <v>0</v>
      </c>
      <c r="K29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7" spans="1:11" x14ac:dyDescent="0.3">
      <c r="A2987">
        <v>43816429</v>
      </c>
      <c r="B2987">
        <v>3125741</v>
      </c>
      <c r="C2987" s="1">
        <v>45438</v>
      </c>
      <c r="D2987">
        <v>2990</v>
      </c>
      <c r="E2987">
        <f>IF(
  ISNA(
    _xlfn.XLOOKUP(
      payments_raw[[#This Row],[subscription_id]],
      subscriptions[subscription_id],
      subscriptions[subscription_id]
    )
  ),
  0,
  1
)</f>
        <v>1</v>
      </c>
      <c r="F2987" s="1">
        <f>_xlfn.XLOOKUP(payments_raw[[#This Row],[subscription_id]], subscriptions[subscription_id], subscriptions[start_date])</f>
        <v>45346</v>
      </c>
      <c r="G29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87" s="2">
        <f>IF(payments_raw[[#This Row],[payment_date]] &lt; payments_raw[[#This Row],[sub_start_date]], 1, 0)</f>
        <v>0</v>
      </c>
      <c r="I2987" s="2">
        <f>IF(AND(payments_raw[[#This Row],[sub_end_date]]&lt;&gt;"", payments_raw[[#This Row],[payment_date]] &gt; payments_raw[[#This Row],[sub_end_date]]), 1, 0)</f>
        <v>0</v>
      </c>
      <c r="J2987" s="2">
        <f>IF(payments_raw[[#This Row],[amount]] &lt;= 0, 1, 0)</f>
        <v>0</v>
      </c>
      <c r="K29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8" spans="1:11" x14ac:dyDescent="0.3">
      <c r="A2988">
        <v>22165450</v>
      </c>
      <c r="B2988">
        <v>8229326</v>
      </c>
      <c r="C2988" s="1">
        <v>44729</v>
      </c>
      <c r="D2988">
        <v>79</v>
      </c>
      <c r="E2988">
        <f>IF(
  ISNA(
    _xlfn.XLOOKUP(
      payments_raw[[#This Row],[subscription_id]],
      subscriptions[subscription_id],
      subscriptions[subscription_id]
    )
  ),
  0,
  1
)</f>
        <v>1</v>
      </c>
      <c r="F2988" s="1">
        <f>_xlfn.XLOOKUP(payments_raw[[#This Row],[subscription_id]], subscriptions[subscription_id], subscriptions[start_date])</f>
        <v>44643</v>
      </c>
      <c r="G29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45022</v>
      </c>
      <c r="H2988" s="2">
        <f>IF(payments_raw[[#This Row],[payment_date]] &lt; payments_raw[[#This Row],[sub_start_date]], 1, 0)</f>
        <v>0</v>
      </c>
      <c r="I2988" s="2">
        <f>IF(AND(payments_raw[[#This Row],[sub_end_date]]&lt;&gt;"", payments_raw[[#This Row],[payment_date]] &gt; payments_raw[[#This Row],[sub_end_date]]), 1, 0)</f>
        <v>0</v>
      </c>
      <c r="J2988" s="2">
        <f>IF(payments_raw[[#This Row],[amount]] &lt;= 0, 1, 0)</f>
        <v>0</v>
      </c>
      <c r="K29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89" spans="1:11" x14ac:dyDescent="0.3">
      <c r="A2989">
        <v>42975131</v>
      </c>
      <c r="B2989">
        <v>2435070</v>
      </c>
      <c r="C2989" s="1">
        <v>45143</v>
      </c>
      <c r="D2989">
        <v>35.1</v>
      </c>
      <c r="E2989">
        <f>IF(
  ISNA(
    _xlfn.XLOOKUP(
      payments_raw[[#This Row],[subscription_id]],
      subscriptions[subscription_id],
      subscriptions[subscription_id]
    )
  ),
  0,
  1
)</f>
        <v>1</v>
      </c>
      <c r="F2989" s="1">
        <f>_xlfn.XLOOKUP(payments_raw[[#This Row],[subscription_id]], subscriptions[subscription_id], subscriptions[start_date])</f>
        <v>45073</v>
      </c>
      <c r="G29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45254</v>
      </c>
      <c r="H2989" s="2">
        <f>IF(payments_raw[[#This Row],[payment_date]] &lt; payments_raw[[#This Row],[sub_start_date]], 1, 0)</f>
        <v>0</v>
      </c>
      <c r="I2989" s="2">
        <f>IF(AND(payments_raw[[#This Row],[sub_end_date]]&lt;&gt;"", payments_raw[[#This Row],[payment_date]] &gt; payments_raw[[#This Row],[sub_end_date]]), 1, 0)</f>
        <v>0</v>
      </c>
      <c r="J2989" s="2">
        <f>IF(payments_raw[[#This Row],[amount]] &lt;= 0, 1, 0)</f>
        <v>0</v>
      </c>
      <c r="K29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0" spans="1:11" x14ac:dyDescent="0.3">
      <c r="A2990">
        <v>86960133</v>
      </c>
      <c r="B2990">
        <v>5239867</v>
      </c>
      <c r="C2990" s="1">
        <v>45134</v>
      </c>
      <c r="D2990">
        <v>149</v>
      </c>
      <c r="E2990">
        <f>IF(
  ISNA(
    _xlfn.XLOOKUP(
      payments_raw[[#This Row],[subscription_id]],
      subscriptions[subscription_id],
      subscriptions[subscription_id]
    )
  ),
  0,
  1
)</f>
        <v>1</v>
      </c>
      <c r="F2990" s="1">
        <f>_xlfn.XLOOKUP(payments_raw[[#This Row],[subscription_id]], subscriptions[subscription_id], subscriptions[start_date])</f>
        <v>44955</v>
      </c>
      <c r="G29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0" s="2">
        <f>IF(payments_raw[[#This Row],[payment_date]] &lt; payments_raw[[#This Row],[sub_start_date]], 1, 0)</f>
        <v>0</v>
      </c>
      <c r="I2990" s="2">
        <f>IF(AND(payments_raw[[#This Row],[sub_end_date]]&lt;&gt;"", payments_raw[[#This Row],[payment_date]] &gt; payments_raw[[#This Row],[sub_end_date]]), 1, 0)</f>
        <v>0</v>
      </c>
      <c r="J2990" s="2">
        <f>IF(payments_raw[[#This Row],[amount]] &lt;= 0, 1, 0)</f>
        <v>0</v>
      </c>
      <c r="K29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1" spans="1:11" x14ac:dyDescent="0.3">
      <c r="A2991">
        <v>11804521</v>
      </c>
      <c r="B2991">
        <v>8015348</v>
      </c>
      <c r="C2991" s="1">
        <v>45592</v>
      </c>
      <c r="D2991">
        <v>2990</v>
      </c>
      <c r="E2991">
        <f>IF(
  ISNA(
    _xlfn.XLOOKUP(
      payments_raw[[#This Row],[subscription_id]],
      subscriptions[subscription_id],
      subscriptions[subscription_id]
    )
  ),
  0,
  1
)</f>
        <v>1</v>
      </c>
      <c r="F2991" s="1">
        <f>_xlfn.XLOOKUP(payments_raw[[#This Row],[subscription_id]], subscriptions[subscription_id], subscriptions[start_date])</f>
        <v>45379</v>
      </c>
      <c r="G29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1" s="2">
        <f>IF(payments_raw[[#This Row],[payment_date]] &lt; payments_raw[[#This Row],[sub_start_date]], 1, 0)</f>
        <v>0</v>
      </c>
      <c r="I2991" s="2">
        <f>IF(AND(payments_raw[[#This Row],[sub_end_date]]&lt;&gt;"", payments_raw[[#This Row],[payment_date]] &gt; payments_raw[[#This Row],[sub_end_date]]), 1, 0)</f>
        <v>0</v>
      </c>
      <c r="J2991" s="2">
        <f>IF(payments_raw[[#This Row],[amount]] &lt;= 0, 1, 0)</f>
        <v>0</v>
      </c>
      <c r="K29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2" spans="1:11" x14ac:dyDescent="0.3">
      <c r="A2992">
        <v>69509996</v>
      </c>
      <c r="B2992">
        <v>2476675</v>
      </c>
      <c r="C2992" s="1">
        <v>44963</v>
      </c>
      <c r="D2992">
        <v>149</v>
      </c>
      <c r="E2992">
        <f>IF(
  ISNA(
    _xlfn.XLOOKUP(
      payments_raw[[#This Row],[subscription_id]],
      subscriptions[subscription_id],
      subscriptions[subscription_id]
    )
  ),
  0,
  1
)</f>
        <v>1</v>
      </c>
      <c r="F2992" s="1">
        <f>_xlfn.XLOOKUP(payments_raw[[#This Row],[subscription_id]], subscriptions[subscription_id], subscriptions[start_date])</f>
        <v>44953</v>
      </c>
      <c r="G29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45171</v>
      </c>
      <c r="H2992" s="2">
        <f>IF(payments_raw[[#This Row],[payment_date]] &lt; payments_raw[[#This Row],[sub_start_date]], 1, 0)</f>
        <v>0</v>
      </c>
      <c r="I2992" s="2">
        <f>IF(AND(payments_raw[[#This Row],[sub_end_date]]&lt;&gt;"", payments_raw[[#This Row],[payment_date]] &gt; payments_raw[[#This Row],[sub_end_date]]), 1, 0)</f>
        <v>0</v>
      </c>
      <c r="J2992" s="2">
        <f>IF(payments_raw[[#This Row],[amount]] &lt;= 0, 1, 0)</f>
        <v>0</v>
      </c>
      <c r="K29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3" spans="1:11" x14ac:dyDescent="0.3">
      <c r="A2993">
        <v>63486022</v>
      </c>
      <c r="B2993">
        <v>2742939</v>
      </c>
      <c r="C2993" s="1">
        <v>44640</v>
      </c>
      <c r="D2993">
        <v>149</v>
      </c>
      <c r="E2993">
        <f>IF(
  ISNA(
    _xlfn.XLOOKUP(
      payments_raw[[#This Row],[subscription_id]],
      subscriptions[subscription_id],
      subscriptions[subscription_id]
    )
  ),
  0,
  1
)</f>
        <v>1</v>
      </c>
      <c r="F2993" s="1">
        <f>_xlfn.XLOOKUP(payments_raw[[#This Row],[subscription_id]], subscriptions[subscription_id], subscriptions[start_date])</f>
        <v>44640</v>
      </c>
      <c r="G29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3" s="2">
        <f>IF(payments_raw[[#This Row],[payment_date]] &lt; payments_raw[[#This Row],[sub_start_date]], 1, 0)</f>
        <v>0</v>
      </c>
      <c r="I2993" s="2">
        <f>IF(AND(payments_raw[[#This Row],[sub_end_date]]&lt;&gt;"", payments_raw[[#This Row],[payment_date]] &gt; payments_raw[[#This Row],[sub_end_date]]), 1, 0)</f>
        <v>0</v>
      </c>
      <c r="J2993" s="2">
        <f>IF(payments_raw[[#This Row],[amount]] &lt;= 0, 1, 0)</f>
        <v>0</v>
      </c>
      <c r="K29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4" spans="1:11" x14ac:dyDescent="0.3">
      <c r="A2994">
        <v>55995226</v>
      </c>
      <c r="B2994">
        <v>9544273</v>
      </c>
      <c r="C2994" s="1">
        <v>45374</v>
      </c>
      <c r="D2994">
        <v>149</v>
      </c>
      <c r="E2994">
        <f>IF(
  ISNA(
    _xlfn.XLOOKUP(
      payments_raw[[#This Row],[subscription_id]],
      subscriptions[subscription_id],
      subscriptions[subscription_id]
    )
  ),
  0,
  1
)</f>
        <v>1</v>
      </c>
      <c r="F2994" s="1">
        <f>_xlfn.XLOOKUP(payments_raw[[#This Row],[subscription_id]], subscriptions[subscription_id], subscriptions[start_date])</f>
        <v>45348</v>
      </c>
      <c r="G29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4" s="2">
        <f>IF(payments_raw[[#This Row],[payment_date]] &lt; payments_raw[[#This Row],[sub_start_date]], 1, 0)</f>
        <v>0</v>
      </c>
      <c r="I2994" s="2">
        <f>IF(AND(payments_raw[[#This Row],[sub_end_date]]&lt;&gt;"", payments_raw[[#This Row],[payment_date]] &gt; payments_raw[[#This Row],[sub_end_date]]), 1, 0)</f>
        <v>0</v>
      </c>
      <c r="J2994" s="2">
        <f>IF(payments_raw[[#This Row],[amount]] &lt;= 0, 1, 0)</f>
        <v>0</v>
      </c>
      <c r="K29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5" spans="1:11" x14ac:dyDescent="0.3">
      <c r="A2995">
        <v>58493738</v>
      </c>
      <c r="B2995">
        <v>5651273</v>
      </c>
      <c r="C2995" s="1">
        <v>45641</v>
      </c>
      <c r="D2995">
        <v>19</v>
      </c>
      <c r="E2995">
        <f>IF(
  ISNA(
    _xlfn.XLOOKUP(
      payments_raw[[#This Row],[subscription_id]],
      subscriptions[subscription_id],
      subscriptions[subscription_id]
    )
  ),
  0,
  1
)</f>
        <v>1</v>
      </c>
      <c r="F2995" s="1">
        <f>_xlfn.XLOOKUP(payments_raw[[#This Row],[subscription_id]], subscriptions[subscription_id], subscriptions[start_date])</f>
        <v>45531</v>
      </c>
      <c r="G29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5" s="2">
        <f>IF(payments_raw[[#This Row],[payment_date]] &lt; payments_raw[[#This Row],[sub_start_date]], 1, 0)</f>
        <v>0</v>
      </c>
      <c r="I2995" s="2">
        <f>IF(AND(payments_raw[[#This Row],[sub_end_date]]&lt;&gt;"", payments_raw[[#This Row],[payment_date]] &gt; payments_raw[[#This Row],[sub_end_date]]), 1, 0)</f>
        <v>0</v>
      </c>
      <c r="J2995" s="2">
        <f>IF(payments_raw[[#This Row],[amount]] &lt;= 0, 1, 0)</f>
        <v>0</v>
      </c>
      <c r="K29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6" spans="1:11" x14ac:dyDescent="0.3">
      <c r="A2996">
        <v>18959477</v>
      </c>
      <c r="B2996">
        <v>2627051</v>
      </c>
      <c r="C2996" s="1">
        <v>45616</v>
      </c>
      <c r="D2996">
        <v>390</v>
      </c>
      <c r="E2996">
        <f>IF(
  ISNA(
    _xlfn.XLOOKUP(
      payments_raw[[#This Row],[subscription_id]],
      subscriptions[subscription_id],
      subscriptions[subscription_id]
    )
  ),
  0,
  1
)</f>
        <v>1</v>
      </c>
      <c r="F2996" s="1">
        <f>_xlfn.XLOOKUP(payments_raw[[#This Row],[subscription_id]], subscriptions[subscription_id], subscriptions[start_date])</f>
        <v>45372</v>
      </c>
      <c r="G29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6" s="2">
        <f>IF(payments_raw[[#This Row],[payment_date]] &lt; payments_raw[[#This Row],[sub_start_date]], 1, 0)</f>
        <v>0</v>
      </c>
      <c r="I2996" s="2">
        <f>IF(AND(payments_raw[[#This Row],[sub_end_date]]&lt;&gt;"", payments_raw[[#This Row],[payment_date]] &gt; payments_raw[[#This Row],[sub_end_date]]), 1, 0)</f>
        <v>0</v>
      </c>
      <c r="J2996" s="2">
        <f>IF(payments_raw[[#This Row],[amount]] &lt;= 0, 1, 0)</f>
        <v>0</v>
      </c>
      <c r="K29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7" spans="1:11" x14ac:dyDescent="0.3">
      <c r="A2997">
        <v>96841005</v>
      </c>
      <c r="B2997">
        <v>9374022</v>
      </c>
      <c r="C2997" s="1">
        <v>45505</v>
      </c>
      <c r="D2997">
        <v>195</v>
      </c>
      <c r="E2997">
        <f>IF(
  ISNA(
    _xlfn.XLOOKUP(
      payments_raw[[#This Row],[subscription_id]],
      subscriptions[subscription_id],
      subscriptions[subscription_id]
    )
  ),
  0,
  1
)</f>
        <v>1</v>
      </c>
      <c r="F2997" s="1">
        <f>_xlfn.XLOOKUP(payments_raw[[#This Row],[subscription_id]], subscriptions[subscription_id], subscriptions[start_date])</f>
        <v>45495</v>
      </c>
      <c r="G29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7" s="2">
        <f>IF(payments_raw[[#This Row],[payment_date]] &lt; payments_raw[[#This Row],[sub_start_date]], 1, 0)</f>
        <v>0</v>
      </c>
      <c r="I2997" s="2">
        <f>IF(AND(payments_raw[[#This Row],[sub_end_date]]&lt;&gt;"", payments_raw[[#This Row],[payment_date]] &gt; payments_raw[[#This Row],[sub_end_date]]), 1, 0)</f>
        <v>0</v>
      </c>
      <c r="J2997" s="2">
        <f>IF(payments_raw[[#This Row],[amount]] &lt;= 0, 1, 0)</f>
        <v>0</v>
      </c>
      <c r="K29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8" spans="1:11" x14ac:dyDescent="0.3">
      <c r="A2998">
        <v>92479912</v>
      </c>
      <c r="B2998">
        <v>2438647</v>
      </c>
      <c r="C2998" s="1">
        <v>44758</v>
      </c>
      <c r="D2998">
        <v>149.5</v>
      </c>
      <c r="E2998">
        <f>IF(
  ISNA(
    _xlfn.XLOOKUP(
      payments_raw[[#This Row],[subscription_id]],
      subscriptions[subscription_id],
      subscriptions[subscription_id]
    )
  ),
  0,
  1
)</f>
        <v>1</v>
      </c>
      <c r="F2998" s="1">
        <f>_xlfn.XLOOKUP(payments_raw[[#This Row],[subscription_id]], subscriptions[subscription_id], subscriptions[start_date])</f>
        <v>44605</v>
      </c>
      <c r="G29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8" s="2">
        <f>IF(payments_raw[[#This Row],[payment_date]] &lt; payments_raw[[#This Row],[sub_start_date]], 1, 0)</f>
        <v>0</v>
      </c>
      <c r="I2998" s="2">
        <f>IF(AND(payments_raw[[#This Row],[sub_end_date]]&lt;&gt;"", payments_raw[[#This Row],[payment_date]] &gt; payments_raw[[#This Row],[sub_end_date]]), 1, 0)</f>
        <v>0</v>
      </c>
      <c r="J2998" s="2">
        <f>IF(payments_raw[[#This Row],[amount]] &lt;= 0, 1, 0)</f>
        <v>0</v>
      </c>
      <c r="K29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2999" spans="1:11" x14ac:dyDescent="0.3">
      <c r="A2999">
        <v>87164566</v>
      </c>
      <c r="B2999">
        <v>7291774</v>
      </c>
      <c r="C2999" s="1">
        <v>44907</v>
      </c>
      <c r="D2999">
        <v>149</v>
      </c>
      <c r="E2999">
        <f>IF(
  ISNA(
    _xlfn.XLOOKUP(
      payments_raw[[#This Row],[subscription_id]],
      subscriptions[subscription_id],
      subscriptions[subscription_id]
    )
  ),
  0,
  1
)</f>
        <v>1</v>
      </c>
      <c r="F2999" s="1">
        <f>_xlfn.XLOOKUP(payments_raw[[#This Row],[subscription_id]], subscriptions[subscription_id], subscriptions[start_date])</f>
        <v>44683</v>
      </c>
      <c r="G29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2999" s="2">
        <f>IF(payments_raw[[#This Row],[payment_date]] &lt; payments_raw[[#This Row],[sub_start_date]], 1, 0)</f>
        <v>0</v>
      </c>
      <c r="I2999" s="2">
        <f>IF(AND(payments_raw[[#This Row],[sub_end_date]]&lt;&gt;"", payments_raw[[#This Row],[payment_date]] &gt; payments_raw[[#This Row],[sub_end_date]]), 1, 0)</f>
        <v>0</v>
      </c>
      <c r="J2999" s="2">
        <f>IF(payments_raw[[#This Row],[amount]] &lt;= 0, 1, 0)</f>
        <v>0</v>
      </c>
      <c r="K29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0" spans="1:11" x14ac:dyDescent="0.3">
      <c r="A3000">
        <v>36949872</v>
      </c>
      <c r="B3000">
        <v>6827390</v>
      </c>
      <c r="C3000" s="1">
        <v>45586</v>
      </c>
      <c r="D3000">
        <v>299</v>
      </c>
      <c r="E3000">
        <f>IF(
  ISNA(
    _xlfn.XLOOKUP(
      payments_raw[[#This Row],[subscription_id]],
      subscriptions[subscription_id],
      subscriptions[subscription_id]
    )
  ),
  0,
  1
)</f>
        <v>1</v>
      </c>
      <c r="F3000" s="1">
        <f>_xlfn.XLOOKUP(payments_raw[[#This Row],[subscription_id]], subscriptions[subscription_id], subscriptions[start_date])</f>
        <v>45311</v>
      </c>
      <c r="G30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0" s="2">
        <f>IF(payments_raw[[#This Row],[payment_date]] &lt; payments_raw[[#This Row],[sub_start_date]], 1, 0)</f>
        <v>0</v>
      </c>
      <c r="I3000" s="2">
        <f>IF(AND(payments_raw[[#This Row],[sub_end_date]]&lt;&gt;"", payments_raw[[#This Row],[payment_date]] &gt; payments_raw[[#This Row],[sub_end_date]]), 1, 0)</f>
        <v>0</v>
      </c>
      <c r="J3000" s="2">
        <f>IF(payments_raw[[#This Row],[amount]] &lt;= 0, 1, 0)</f>
        <v>0</v>
      </c>
      <c r="K30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1" spans="1:11" x14ac:dyDescent="0.3">
      <c r="A3001">
        <v>28048094</v>
      </c>
      <c r="B3001">
        <v>5595368</v>
      </c>
      <c r="C3001" s="1">
        <v>45473</v>
      </c>
      <c r="D3001">
        <v>790</v>
      </c>
      <c r="E3001">
        <f>IF(
  ISNA(
    _xlfn.XLOOKUP(
      payments_raw[[#This Row],[subscription_id]],
      subscriptions[subscription_id],
      subscriptions[subscription_id]
    )
  ),
  0,
  1
)</f>
        <v>1</v>
      </c>
      <c r="F3001" s="1">
        <f>_xlfn.XLOOKUP(payments_raw[[#This Row],[subscription_id]], subscriptions[subscription_id], subscriptions[start_date])</f>
        <v>45391</v>
      </c>
      <c r="G30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1" s="2">
        <f>IF(payments_raw[[#This Row],[payment_date]] &lt; payments_raw[[#This Row],[sub_start_date]], 1, 0)</f>
        <v>0</v>
      </c>
      <c r="I3001" s="2">
        <f>IF(AND(payments_raw[[#This Row],[sub_end_date]]&lt;&gt;"", payments_raw[[#This Row],[payment_date]] &gt; payments_raw[[#This Row],[sub_end_date]]), 1, 0)</f>
        <v>0</v>
      </c>
      <c r="J3001" s="2">
        <f>IF(payments_raw[[#This Row],[amount]] &lt;= 0, 1, 0)</f>
        <v>0</v>
      </c>
      <c r="K30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2" spans="1:11" x14ac:dyDescent="0.3">
      <c r="A3002">
        <v>72234124</v>
      </c>
      <c r="B3002">
        <v>6744099</v>
      </c>
      <c r="C3002" s="1">
        <v>45195</v>
      </c>
      <c r="D3002">
        <v>2691</v>
      </c>
      <c r="E3002">
        <f>IF(
  ISNA(
    _xlfn.XLOOKUP(
      payments_raw[[#This Row],[subscription_id]],
      subscriptions[subscription_id],
      subscriptions[subscription_id]
    )
  ),
  0,
  1
)</f>
        <v>1</v>
      </c>
      <c r="F3002" s="1">
        <f>_xlfn.XLOOKUP(payments_raw[[#This Row],[subscription_id]], subscriptions[subscription_id], subscriptions[start_date])</f>
        <v>45100</v>
      </c>
      <c r="G30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2" s="2">
        <f>IF(payments_raw[[#This Row],[payment_date]] &lt; payments_raw[[#This Row],[sub_start_date]], 1, 0)</f>
        <v>0</v>
      </c>
      <c r="I3002" s="2">
        <f>IF(AND(payments_raw[[#This Row],[sub_end_date]]&lt;&gt;"", payments_raw[[#This Row],[payment_date]] &gt; payments_raw[[#This Row],[sub_end_date]]), 1, 0)</f>
        <v>0</v>
      </c>
      <c r="J3002" s="2">
        <f>IF(payments_raw[[#This Row],[amount]] &lt;= 0, 1, 0)</f>
        <v>0</v>
      </c>
      <c r="K30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3" spans="1:11" x14ac:dyDescent="0.3">
      <c r="A3003">
        <v>39822210</v>
      </c>
      <c r="B3003">
        <v>6018095</v>
      </c>
      <c r="C3003" s="1">
        <v>45083</v>
      </c>
      <c r="D3003">
        <v>149</v>
      </c>
      <c r="E3003">
        <f>IF(
  ISNA(
    _xlfn.XLOOKUP(
      payments_raw[[#This Row],[subscription_id]],
      subscriptions[subscription_id],
      subscriptions[subscription_id]
    )
  ),
  0,
  1
)</f>
        <v>1</v>
      </c>
      <c r="F3003" s="1">
        <f>_xlfn.XLOOKUP(payments_raw[[#This Row],[subscription_id]], subscriptions[subscription_id], subscriptions[start_date])</f>
        <v>44888</v>
      </c>
      <c r="G30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45198</v>
      </c>
      <c r="H3003" s="2">
        <f>IF(payments_raw[[#This Row],[payment_date]] &lt; payments_raw[[#This Row],[sub_start_date]], 1, 0)</f>
        <v>0</v>
      </c>
      <c r="I3003" s="2">
        <f>IF(AND(payments_raw[[#This Row],[sub_end_date]]&lt;&gt;"", payments_raw[[#This Row],[payment_date]] &gt; payments_raw[[#This Row],[sub_end_date]]), 1, 0)</f>
        <v>0</v>
      </c>
      <c r="J3003" s="2">
        <f>IF(payments_raw[[#This Row],[amount]] &lt;= 0, 1, 0)</f>
        <v>0</v>
      </c>
      <c r="K30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4" spans="1:11" x14ac:dyDescent="0.3">
      <c r="A3004">
        <v>16278290</v>
      </c>
      <c r="B3004">
        <v>8070014</v>
      </c>
      <c r="C3004" s="1">
        <v>45525</v>
      </c>
      <c r="D3004">
        <v>190</v>
      </c>
      <c r="E3004">
        <f>IF(
  ISNA(
    _xlfn.XLOOKUP(
      payments_raw[[#This Row],[subscription_id]],
      subscriptions[subscription_id],
      subscriptions[subscription_id]
    )
  ),
  0,
  1
)</f>
        <v>1</v>
      </c>
      <c r="F3004" s="1">
        <f>_xlfn.XLOOKUP(payments_raw[[#This Row],[subscription_id]], subscriptions[subscription_id], subscriptions[start_date])</f>
        <v>45096</v>
      </c>
      <c r="G30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4" s="2">
        <f>IF(payments_raw[[#This Row],[payment_date]] &lt; payments_raw[[#This Row],[sub_start_date]], 1, 0)</f>
        <v>0</v>
      </c>
      <c r="I3004" s="2">
        <f>IF(AND(payments_raw[[#This Row],[sub_end_date]]&lt;&gt;"", payments_raw[[#This Row],[payment_date]] &gt; payments_raw[[#This Row],[sub_end_date]]), 1, 0)</f>
        <v>0</v>
      </c>
      <c r="J3004" s="2">
        <f>IF(payments_raw[[#This Row],[amount]] &lt;= 0, 1, 0)</f>
        <v>0</v>
      </c>
      <c r="K30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5" spans="1:11" x14ac:dyDescent="0.3">
      <c r="A3005">
        <v>80984616</v>
      </c>
      <c r="B3005">
        <v>4115619</v>
      </c>
      <c r="C3005" s="1">
        <v>45033</v>
      </c>
      <c r="D3005">
        <v>299</v>
      </c>
      <c r="E3005">
        <f>IF(
  ISNA(
    _xlfn.XLOOKUP(
      payments_raw[[#This Row],[subscription_id]],
      subscriptions[subscription_id],
      subscriptions[subscription_id]
    )
  ),
  0,
  1
)</f>
        <v>1</v>
      </c>
      <c r="F3005" s="1">
        <f>_xlfn.XLOOKUP(payments_raw[[#This Row],[subscription_id]], subscriptions[subscription_id], subscriptions[start_date])</f>
        <v>45015</v>
      </c>
      <c r="G30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45082</v>
      </c>
      <c r="H3005" s="2">
        <f>IF(payments_raw[[#This Row],[payment_date]] &lt; payments_raw[[#This Row],[sub_start_date]], 1, 0)</f>
        <v>0</v>
      </c>
      <c r="I3005" s="2">
        <f>IF(AND(payments_raw[[#This Row],[sub_end_date]]&lt;&gt;"", payments_raw[[#This Row],[payment_date]] &gt; payments_raw[[#This Row],[sub_end_date]]), 1, 0)</f>
        <v>0</v>
      </c>
      <c r="J3005" s="2">
        <f>IF(payments_raw[[#This Row],[amount]] &lt;= 0, 1, 0)</f>
        <v>0</v>
      </c>
      <c r="K30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6" spans="1:11" x14ac:dyDescent="0.3">
      <c r="A3006">
        <v>98459661</v>
      </c>
      <c r="B3006">
        <v>2846415</v>
      </c>
      <c r="C3006" s="1">
        <v>45151</v>
      </c>
      <c r="D3006">
        <v>149</v>
      </c>
      <c r="E3006">
        <f>IF(
  ISNA(
    _xlfn.XLOOKUP(
      payments_raw[[#This Row],[subscription_id]],
      subscriptions[subscription_id],
      subscriptions[subscription_id]
    )
  ),
  0,
  1
)</f>
        <v>1</v>
      </c>
      <c r="F3006" s="1">
        <f>_xlfn.XLOOKUP(payments_raw[[#This Row],[subscription_id]], subscriptions[subscription_id], subscriptions[start_date])</f>
        <v>45113</v>
      </c>
      <c r="G30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6" s="2">
        <f>IF(payments_raw[[#This Row],[payment_date]] &lt; payments_raw[[#This Row],[sub_start_date]], 1, 0)</f>
        <v>0</v>
      </c>
      <c r="I3006" s="2">
        <f>IF(AND(payments_raw[[#This Row],[sub_end_date]]&lt;&gt;"", payments_raw[[#This Row],[payment_date]] &gt; payments_raw[[#This Row],[sub_end_date]]), 1, 0)</f>
        <v>0</v>
      </c>
      <c r="J3006" s="2">
        <f>IF(payments_raw[[#This Row],[amount]] &lt;= 0, 1, 0)</f>
        <v>0</v>
      </c>
      <c r="K30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7" spans="1:11" x14ac:dyDescent="0.3">
      <c r="A3007">
        <v>47713383</v>
      </c>
      <c r="B3007">
        <v>8161079</v>
      </c>
      <c r="C3007" s="1">
        <v>45253</v>
      </c>
      <c r="D3007">
        <v>39</v>
      </c>
      <c r="E3007">
        <f>IF(
  ISNA(
    _xlfn.XLOOKUP(
      payments_raw[[#This Row],[subscription_id]],
      subscriptions[subscription_id],
      subscriptions[subscription_id]
    )
  ),
  0,
  1
)</f>
        <v>1</v>
      </c>
      <c r="F3007" s="1">
        <f>_xlfn.XLOOKUP(payments_raw[[#This Row],[subscription_id]], subscriptions[subscription_id], subscriptions[start_date])</f>
        <v>44844</v>
      </c>
      <c r="G30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07" s="2">
        <f>IF(payments_raw[[#This Row],[payment_date]] &lt; payments_raw[[#This Row],[sub_start_date]], 1, 0)</f>
        <v>0</v>
      </c>
      <c r="I3007" s="2">
        <f>IF(AND(payments_raw[[#This Row],[sub_end_date]]&lt;&gt;"", payments_raw[[#This Row],[payment_date]] &gt; payments_raw[[#This Row],[sub_end_date]]), 1, 0)</f>
        <v>0</v>
      </c>
      <c r="J3007" s="2">
        <f>IF(payments_raw[[#This Row],[amount]] &lt;= 0, 1, 0)</f>
        <v>0</v>
      </c>
      <c r="K30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8" spans="1:11" x14ac:dyDescent="0.3">
      <c r="A3008">
        <v>66101038</v>
      </c>
      <c r="B3008">
        <v>4194945</v>
      </c>
      <c r="C3008" s="1">
        <v>44964</v>
      </c>
      <c r="D3008">
        <v>2990</v>
      </c>
      <c r="E3008">
        <f>IF(
  ISNA(
    _xlfn.XLOOKUP(
      payments_raw[[#This Row],[subscription_id]],
      subscriptions[subscription_id],
      subscriptions[subscription_id]
    )
  ),
  0,
  1
)</f>
        <v>1</v>
      </c>
      <c r="F3008" s="1">
        <f>_xlfn.XLOOKUP(payments_raw[[#This Row],[subscription_id]], subscriptions[subscription_id], subscriptions[start_date])</f>
        <v>44957</v>
      </c>
      <c r="G30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45037</v>
      </c>
      <c r="H3008" s="2">
        <f>IF(payments_raw[[#This Row],[payment_date]] &lt; payments_raw[[#This Row],[sub_start_date]], 1, 0)</f>
        <v>0</v>
      </c>
      <c r="I3008" s="2">
        <f>IF(AND(payments_raw[[#This Row],[sub_end_date]]&lt;&gt;"", payments_raw[[#This Row],[payment_date]] &gt; payments_raw[[#This Row],[sub_end_date]]), 1, 0)</f>
        <v>0</v>
      </c>
      <c r="J3008" s="2">
        <f>IF(payments_raw[[#This Row],[amount]] &lt;= 0, 1, 0)</f>
        <v>0</v>
      </c>
      <c r="K30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09" spans="1:11" x14ac:dyDescent="0.3">
      <c r="A3009">
        <v>68509056</v>
      </c>
      <c r="B3009">
        <v>3240199</v>
      </c>
      <c r="C3009" s="1">
        <v>45413</v>
      </c>
      <c r="D3009">
        <v>190</v>
      </c>
      <c r="E3009">
        <f>IF(
  ISNA(
    _xlfn.XLOOKUP(
      payments_raw[[#This Row],[subscription_id]],
      subscriptions[subscription_id],
      subscriptions[subscription_id]
    )
  ),
  0,
  1
)</f>
        <v>1</v>
      </c>
      <c r="F3009" s="1">
        <f>_xlfn.XLOOKUP(payments_raw[[#This Row],[subscription_id]], subscriptions[subscription_id], subscriptions[start_date])</f>
        <v>45380</v>
      </c>
      <c r="G30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3009" s="2">
        <f>IF(payments_raw[[#This Row],[payment_date]] &lt; payments_raw[[#This Row],[sub_start_date]], 1, 0)</f>
        <v>0</v>
      </c>
      <c r="I3009" s="2">
        <f>IF(AND(payments_raw[[#This Row],[sub_end_date]]&lt;&gt;"", payments_raw[[#This Row],[payment_date]] &gt; payments_raw[[#This Row],[sub_end_date]]), 1, 0)</f>
        <v>0</v>
      </c>
      <c r="J3009" s="2">
        <f>IF(payments_raw[[#This Row],[amount]] &lt;= 0, 1, 0)</f>
        <v>0</v>
      </c>
      <c r="K30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0" spans="1:11" x14ac:dyDescent="0.3">
      <c r="A3010">
        <v>39311626</v>
      </c>
      <c r="B3010">
        <v>2577526</v>
      </c>
      <c r="C3010" s="1">
        <v>45627</v>
      </c>
      <c r="D3010">
        <v>790</v>
      </c>
      <c r="E3010">
        <f>IF(
  ISNA(
    _xlfn.XLOOKUP(
      payments_raw[[#This Row],[subscription_id]],
      subscriptions[subscription_id],
      subscriptions[subscription_id]
    )
  ),
  0,
  1
)</f>
        <v>1</v>
      </c>
      <c r="F3010" s="1">
        <f>_xlfn.XLOOKUP(payments_raw[[#This Row],[subscription_id]], subscriptions[subscription_id], subscriptions[start_date])</f>
        <v>45089</v>
      </c>
      <c r="G30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10" s="2">
        <f>IF(payments_raw[[#This Row],[payment_date]] &lt; payments_raw[[#This Row],[sub_start_date]], 1, 0)</f>
        <v>0</v>
      </c>
      <c r="I3010" s="2">
        <f>IF(AND(payments_raw[[#This Row],[sub_end_date]]&lt;&gt;"", payments_raw[[#This Row],[payment_date]] &gt; payments_raw[[#This Row],[sub_end_date]]), 1, 0)</f>
        <v>0</v>
      </c>
      <c r="J3010" s="2">
        <f>IF(payments_raw[[#This Row],[amount]] &lt;= 0, 1, 0)</f>
        <v>0</v>
      </c>
      <c r="K30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1" spans="1:11" x14ac:dyDescent="0.3">
      <c r="A3011">
        <v>57511543</v>
      </c>
      <c r="B3011">
        <v>2470022</v>
      </c>
      <c r="C3011" s="1">
        <v>44784</v>
      </c>
      <c r="D3011">
        <v>2242.5</v>
      </c>
      <c r="E3011">
        <f>IF(
  ISNA(
    _xlfn.XLOOKUP(
      payments_raw[[#This Row],[subscription_id]],
      subscriptions[subscription_id],
      subscriptions[subscription_id]
    )
  ),
  0,
  1
)</f>
        <v>1</v>
      </c>
      <c r="F3011" s="1">
        <f>_xlfn.XLOOKUP(payments_raw[[#This Row],[subscription_id]], subscriptions[subscription_id], subscriptions[start_date])</f>
        <v>44774</v>
      </c>
      <c r="G30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11" s="2">
        <f>IF(payments_raw[[#This Row],[payment_date]] &lt; payments_raw[[#This Row],[sub_start_date]], 1, 0)</f>
        <v>0</v>
      </c>
      <c r="I3011" s="2">
        <f>IF(AND(payments_raw[[#This Row],[sub_end_date]]&lt;&gt;"", payments_raw[[#This Row],[payment_date]] &gt; payments_raw[[#This Row],[sub_end_date]]), 1, 0)</f>
        <v>0</v>
      </c>
      <c r="J3011" s="2">
        <f>IF(payments_raw[[#This Row],[amount]] &lt;= 0, 1, 0)</f>
        <v>0</v>
      </c>
      <c r="K30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2" spans="1:11" x14ac:dyDescent="0.3">
      <c r="A3012">
        <v>40637769</v>
      </c>
      <c r="B3012">
        <v>8244130</v>
      </c>
      <c r="C3012" s="1">
        <v>44960</v>
      </c>
      <c r="D3012">
        <v>39</v>
      </c>
      <c r="E3012">
        <f>IF(
  ISNA(
    _xlfn.XLOOKUP(
      payments_raw[[#This Row],[subscription_id]],
      subscriptions[subscription_id],
      subscriptions[subscription_id]
    )
  ),
  0,
  1
)</f>
        <v>1</v>
      </c>
      <c r="F3012" s="1">
        <f>_xlfn.XLOOKUP(payments_raw[[#This Row],[subscription_id]], subscriptions[subscription_id], subscriptions[start_date])</f>
        <v>44931</v>
      </c>
      <c r="G301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44973</v>
      </c>
      <c r="H3012" s="2">
        <f>IF(payments_raw[[#This Row],[payment_date]] &lt; payments_raw[[#This Row],[sub_start_date]], 1, 0)</f>
        <v>0</v>
      </c>
      <c r="I3012" s="2">
        <f>IF(AND(payments_raw[[#This Row],[sub_end_date]]&lt;&gt;"", payments_raw[[#This Row],[payment_date]] &gt; payments_raw[[#This Row],[sub_end_date]]), 1, 0)</f>
        <v>0</v>
      </c>
      <c r="J3012" s="2">
        <f>IF(payments_raw[[#This Row],[amount]] &lt;= 0, 1, 0)</f>
        <v>0</v>
      </c>
      <c r="K30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3" spans="1:11" x14ac:dyDescent="0.3">
      <c r="A3013">
        <v>46423591</v>
      </c>
      <c r="B3013">
        <v>6410314</v>
      </c>
      <c r="C3013" s="1">
        <v>44955</v>
      </c>
      <c r="D3013">
        <v>2242.5</v>
      </c>
      <c r="E3013">
        <f>IF(
  ISNA(
    _xlfn.XLOOKUP(
      payments_raw[[#This Row],[subscription_id]],
      subscriptions[subscription_id],
      subscriptions[subscription_id]
    )
  ),
  0,
  1
)</f>
        <v>1</v>
      </c>
      <c r="F3013" s="1">
        <f>_xlfn.XLOOKUP(payments_raw[[#This Row],[subscription_id]], subscriptions[subscription_id], subscriptions[start_date])</f>
        <v>44847</v>
      </c>
      <c r="G301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44979</v>
      </c>
      <c r="H3013" s="2">
        <f>IF(payments_raw[[#This Row],[payment_date]] &lt; payments_raw[[#This Row],[sub_start_date]], 1, 0)</f>
        <v>0</v>
      </c>
      <c r="I3013" s="2">
        <f>IF(AND(payments_raw[[#This Row],[sub_end_date]]&lt;&gt;"", payments_raw[[#This Row],[payment_date]] &gt; payments_raw[[#This Row],[sub_end_date]]), 1, 0)</f>
        <v>0</v>
      </c>
      <c r="J3013" s="2">
        <f>IF(payments_raw[[#This Row],[amount]] &lt;= 0, 1, 0)</f>
        <v>0</v>
      </c>
      <c r="K30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4" spans="1:11" x14ac:dyDescent="0.3">
      <c r="A3014">
        <v>98454151</v>
      </c>
      <c r="B3014">
        <v>2497768</v>
      </c>
      <c r="C3014" s="1">
        <v>44995</v>
      </c>
      <c r="D3014">
        <v>390</v>
      </c>
      <c r="E3014">
        <f>IF(
  ISNA(
    _xlfn.XLOOKUP(
      payments_raw[[#This Row],[subscription_id]],
      subscriptions[subscription_id],
      subscriptions[subscription_id]
    )
  ),
  0,
  1
)</f>
        <v>1</v>
      </c>
      <c r="F3014" s="1">
        <f>_xlfn.XLOOKUP(payments_raw[[#This Row],[subscription_id]], subscriptions[subscription_id], subscriptions[start_date])</f>
        <v>44958</v>
      </c>
      <c r="G30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45181</v>
      </c>
      <c r="H3014" s="2">
        <f>IF(payments_raw[[#This Row],[payment_date]] &lt; payments_raw[[#This Row],[sub_start_date]], 1, 0)</f>
        <v>0</v>
      </c>
      <c r="I3014" s="2">
        <f>IF(AND(payments_raw[[#This Row],[sub_end_date]]&lt;&gt;"", payments_raw[[#This Row],[payment_date]] &gt; payments_raw[[#This Row],[sub_end_date]]), 1, 0)</f>
        <v>0</v>
      </c>
      <c r="J3014" s="2">
        <f>IF(payments_raw[[#This Row],[amount]] &lt;= 0, 1, 0)</f>
        <v>0</v>
      </c>
      <c r="K30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5" spans="1:11" x14ac:dyDescent="0.3">
      <c r="A3015">
        <v>24941675</v>
      </c>
      <c r="B3015">
        <v>9466397</v>
      </c>
      <c r="C3015" s="1">
        <v>45048</v>
      </c>
      <c r="D3015">
        <v>299</v>
      </c>
      <c r="E3015">
        <f>IF(
  ISNA(
    _xlfn.XLOOKUP(
      payments_raw[[#This Row],[subscription_id]],
      subscriptions[subscription_id],
      subscriptions[subscription_id]
    )
  ),
  0,
  1
)</f>
        <v>1</v>
      </c>
      <c r="F3015" s="1">
        <f>_xlfn.XLOOKUP(payments_raw[[#This Row],[subscription_id]], subscriptions[subscription_id], subscriptions[start_date])</f>
        <v>44627</v>
      </c>
      <c r="G30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15" s="2">
        <f>IF(payments_raw[[#This Row],[payment_date]] &lt; payments_raw[[#This Row],[sub_start_date]], 1, 0)</f>
        <v>0</v>
      </c>
      <c r="I3015" s="2">
        <f>IF(AND(payments_raw[[#This Row],[sub_end_date]]&lt;&gt;"", payments_raw[[#This Row],[payment_date]] &gt; payments_raw[[#This Row],[sub_end_date]]), 1, 0)</f>
        <v>0</v>
      </c>
      <c r="J3015" s="2">
        <f>IF(payments_raw[[#This Row],[amount]] &lt;= 0, 1, 0)</f>
        <v>0</v>
      </c>
      <c r="K30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6" spans="1:11" x14ac:dyDescent="0.3">
      <c r="A3016">
        <v>36605629</v>
      </c>
      <c r="B3016">
        <v>4346251</v>
      </c>
      <c r="C3016" s="1">
        <v>45212</v>
      </c>
      <c r="D3016">
        <v>2990</v>
      </c>
      <c r="E3016">
        <f>IF(
  ISNA(
    _xlfn.XLOOKUP(
      payments_raw[[#This Row],[subscription_id]],
      subscriptions[subscription_id],
      subscriptions[subscription_id]
    )
  ),
  0,
  1
)</f>
        <v>1</v>
      </c>
      <c r="F3016" s="1">
        <f>_xlfn.XLOOKUP(payments_raw[[#This Row],[subscription_id]], subscriptions[subscription_id], subscriptions[start_date])</f>
        <v>45002</v>
      </c>
      <c r="G30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45257</v>
      </c>
      <c r="H3016" s="2">
        <f>IF(payments_raw[[#This Row],[payment_date]] &lt; payments_raw[[#This Row],[sub_start_date]], 1, 0)</f>
        <v>0</v>
      </c>
      <c r="I3016" s="2">
        <f>IF(AND(payments_raw[[#This Row],[sub_end_date]]&lt;&gt;"", payments_raw[[#This Row],[payment_date]] &gt; payments_raw[[#This Row],[sub_end_date]]), 1, 0)</f>
        <v>0</v>
      </c>
      <c r="J3016" s="2">
        <f>IF(payments_raw[[#This Row],[amount]] &lt;= 0, 1, 0)</f>
        <v>0</v>
      </c>
      <c r="K30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7" spans="1:11" x14ac:dyDescent="0.3">
      <c r="A3017">
        <v>96290472</v>
      </c>
      <c r="B3017">
        <v>7611016</v>
      </c>
      <c r="C3017" s="1">
        <v>45313</v>
      </c>
      <c r="D3017">
        <v>2990</v>
      </c>
      <c r="E3017">
        <f>IF(
  ISNA(
    _xlfn.XLOOKUP(
      payments_raw[[#This Row],[subscription_id]],
      subscriptions[subscription_id],
      subscriptions[subscription_id]
    )
  ),
  0,
  1
)</f>
        <v>1</v>
      </c>
      <c r="F3017" s="1">
        <f>_xlfn.XLOOKUP(payments_raw[[#This Row],[subscription_id]], subscriptions[subscription_id], subscriptions[start_date])</f>
        <v>44997</v>
      </c>
      <c r="G30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45369</v>
      </c>
      <c r="H3017" s="2">
        <f>IF(payments_raw[[#This Row],[payment_date]] &lt; payments_raw[[#This Row],[sub_start_date]], 1, 0)</f>
        <v>0</v>
      </c>
      <c r="I3017" s="2">
        <f>IF(AND(payments_raw[[#This Row],[sub_end_date]]&lt;&gt;"", payments_raw[[#This Row],[payment_date]] &gt; payments_raw[[#This Row],[sub_end_date]]), 1, 0)</f>
        <v>0</v>
      </c>
      <c r="J3017" s="2">
        <f>IF(payments_raw[[#This Row],[amount]] &lt;= 0, 1, 0)</f>
        <v>0</v>
      </c>
      <c r="K30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8" spans="1:11" x14ac:dyDescent="0.3">
      <c r="A3018">
        <v>22502848</v>
      </c>
      <c r="B3018">
        <v>8155068</v>
      </c>
      <c r="C3018" s="1">
        <v>45586</v>
      </c>
      <c r="D3018">
        <v>790</v>
      </c>
      <c r="E3018">
        <f>IF(
  ISNA(
    _xlfn.XLOOKUP(
      payments_raw[[#This Row],[subscription_id]],
      subscriptions[subscription_id],
      subscriptions[subscription_id]
    )
  ),
  0,
  1
)</f>
        <v>1</v>
      </c>
      <c r="F3018" s="1">
        <f>_xlfn.XLOOKUP(payments_raw[[#This Row],[subscription_id]], subscriptions[subscription_id], subscriptions[start_date])</f>
        <v>45141</v>
      </c>
      <c r="G30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18" s="2">
        <f>IF(payments_raw[[#This Row],[payment_date]] &lt; payments_raw[[#This Row],[sub_start_date]], 1, 0)</f>
        <v>0</v>
      </c>
      <c r="I3018" s="2">
        <f>IF(AND(payments_raw[[#This Row],[sub_end_date]]&lt;&gt;"", payments_raw[[#This Row],[payment_date]] &gt; payments_raw[[#This Row],[sub_end_date]]), 1, 0)</f>
        <v>0</v>
      </c>
      <c r="J3018" s="2">
        <f>IF(payments_raw[[#This Row],[amount]] &lt;= 0, 1, 0)</f>
        <v>0</v>
      </c>
      <c r="K30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19" spans="1:11" x14ac:dyDescent="0.3">
      <c r="A3019">
        <v>36850207</v>
      </c>
      <c r="B3019">
        <v>5922299</v>
      </c>
      <c r="C3019" s="1">
        <v>45537</v>
      </c>
      <c r="D3019">
        <v>14.25</v>
      </c>
      <c r="E3019">
        <f>IF(
  ISNA(
    _xlfn.XLOOKUP(
      payments_raw[[#This Row],[subscription_id]],
      subscriptions[subscription_id],
      subscriptions[subscription_id]
    )
  ),
  0,
  1
)</f>
        <v>1</v>
      </c>
      <c r="F3019" s="1">
        <f>_xlfn.XLOOKUP(payments_raw[[#This Row],[subscription_id]], subscriptions[subscription_id], subscriptions[start_date])</f>
        <v>44805</v>
      </c>
      <c r="G30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19" s="2">
        <f>IF(payments_raw[[#This Row],[payment_date]] &lt; payments_raw[[#This Row],[sub_start_date]], 1, 0)</f>
        <v>0</v>
      </c>
      <c r="I3019" s="2">
        <f>IF(AND(payments_raw[[#This Row],[sub_end_date]]&lt;&gt;"", payments_raw[[#This Row],[payment_date]] &gt; payments_raw[[#This Row],[sub_end_date]]), 1, 0)</f>
        <v>0</v>
      </c>
      <c r="J3019" s="2">
        <f>IF(payments_raw[[#This Row],[amount]] &lt;= 0, 1, 0)</f>
        <v>0</v>
      </c>
      <c r="K30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0" spans="1:11" x14ac:dyDescent="0.3">
      <c r="A3020">
        <v>47047016</v>
      </c>
      <c r="B3020">
        <v>8535120</v>
      </c>
      <c r="C3020" s="1">
        <v>44898</v>
      </c>
      <c r="D3020">
        <v>190</v>
      </c>
      <c r="E3020">
        <f>IF(
  ISNA(
    _xlfn.XLOOKUP(
      payments_raw[[#This Row],[subscription_id]],
      subscriptions[subscription_id],
      subscriptions[subscription_id]
    )
  ),
  0,
  1
)</f>
        <v>1</v>
      </c>
      <c r="F3020" s="1">
        <f>_xlfn.XLOOKUP(payments_raw[[#This Row],[subscription_id]], subscriptions[subscription_id], subscriptions[start_date])</f>
        <v>44825</v>
      </c>
      <c r="G30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3020" s="2">
        <f>IF(payments_raw[[#This Row],[payment_date]] &lt; payments_raw[[#This Row],[sub_start_date]], 1, 0)</f>
        <v>0</v>
      </c>
      <c r="I3020" s="2">
        <f>IF(AND(payments_raw[[#This Row],[sub_end_date]]&lt;&gt;"", payments_raw[[#This Row],[payment_date]] &gt; payments_raw[[#This Row],[sub_end_date]]), 1, 0)</f>
        <v>0</v>
      </c>
      <c r="J3020" s="2">
        <f>IF(payments_raw[[#This Row],[amount]] &lt;= 0, 1, 0)</f>
        <v>0</v>
      </c>
      <c r="K30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1" spans="1:11" x14ac:dyDescent="0.3">
      <c r="A3021">
        <v>36390882</v>
      </c>
      <c r="B3021">
        <v>5856148</v>
      </c>
      <c r="C3021" s="1">
        <v>45001</v>
      </c>
      <c r="D3021">
        <v>149</v>
      </c>
      <c r="E3021">
        <f>IF(
  ISNA(
    _xlfn.XLOOKUP(
      payments_raw[[#This Row],[subscription_id]],
      subscriptions[subscription_id],
      subscriptions[subscription_id]
    )
  ),
  0,
  1
)</f>
        <v>1</v>
      </c>
      <c r="F3021" s="1">
        <f>_xlfn.XLOOKUP(payments_raw[[#This Row],[subscription_id]], subscriptions[subscription_id], subscriptions[start_date])</f>
        <v>44766</v>
      </c>
      <c r="G30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45048</v>
      </c>
      <c r="H3021" s="2">
        <f>IF(payments_raw[[#This Row],[payment_date]] &lt; payments_raw[[#This Row],[sub_start_date]], 1, 0)</f>
        <v>0</v>
      </c>
      <c r="I3021" s="2">
        <f>IF(AND(payments_raw[[#This Row],[sub_end_date]]&lt;&gt;"", payments_raw[[#This Row],[payment_date]] &gt; payments_raw[[#This Row],[sub_end_date]]), 1, 0)</f>
        <v>0</v>
      </c>
      <c r="J3021" s="2">
        <f>IF(payments_raw[[#This Row],[amount]] &lt;= 0, 1, 0)</f>
        <v>0</v>
      </c>
      <c r="K30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2" spans="1:11" x14ac:dyDescent="0.3">
      <c r="A3022">
        <v>73064663</v>
      </c>
      <c r="B3022">
        <v>2608319</v>
      </c>
      <c r="C3022" s="1">
        <v>45536</v>
      </c>
      <c r="D3022">
        <v>149</v>
      </c>
      <c r="E3022">
        <f>IF(
  ISNA(
    _xlfn.XLOOKUP(
      payments_raw[[#This Row],[subscription_id]],
      subscriptions[subscription_id],
      subscriptions[subscription_id]
    )
  ),
  0,
  1
)</f>
        <v>1</v>
      </c>
      <c r="F3022" s="1">
        <f>_xlfn.XLOOKUP(payments_raw[[#This Row],[subscription_id]], subscriptions[subscription_id], subscriptions[start_date])</f>
        <v>45199</v>
      </c>
      <c r="G30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22" s="2">
        <f>IF(payments_raw[[#This Row],[payment_date]] &lt; payments_raw[[#This Row],[sub_start_date]], 1, 0)</f>
        <v>0</v>
      </c>
      <c r="I3022" s="2">
        <f>IF(AND(payments_raw[[#This Row],[sub_end_date]]&lt;&gt;"", payments_raw[[#This Row],[payment_date]] &gt; payments_raw[[#This Row],[sub_end_date]]), 1, 0)</f>
        <v>0</v>
      </c>
      <c r="J3022" s="2">
        <f>IF(payments_raw[[#This Row],[amount]] &lt;= 0, 1, 0)</f>
        <v>0</v>
      </c>
      <c r="K30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3" spans="1:11" x14ac:dyDescent="0.3">
      <c r="A3023">
        <v>80244042</v>
      </c>
      <c r="B3023">
        <v>6587015</v>
      </c>
      <c r="C3023" s="1">
        <v>45154</v>
      </c>
      <c r="D3023">
        <v>790</v>
      </c>
      <c r="E3023">
        <f>IF(
  ISNA(
    _xlfn.XLOOKUP(
      payments_raw[[#This Row],[subscription_id]],
      subscriptions[subscription_id],
      subscriptions[subscription_id]
    )
  ),
  0,
  1
)</f>
        <v>1</v>
      </c>
      <c r="F3023" s="1">
        <f>_xlfn.XLOOKUP(payments_raw[[#This Row],[subscription_id]], subscriptions[subscription_id], subscriptions[start_date])</f>
        <v>44969</v>
      </c>
      <c r="G30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45359</v>
      </c>
      <c r="H3023" s="2">
        <f>IF(payments_raw[[#This Row],[payment_date]] &lt; payments_raw[[#This Row],[sub_start_date]], 1, 0)</f>
        <v>0</v>
      </c>
      <c r="I3023" s="2">
        <f>IF(AND(payments_raw[[#This Row],[sub_end_date]]&lt;&gt;"", payments_raw[[#This Row],[payment_date]] &gt; payments_raw[[#This Row],[sub_end_date]]), 1, 0)</f>
        <v>0</v>
      </c>
      <c r="J3023" s="2">
        <f>IF(payments_raw[[#This Row],[amount]] &lt;= 0, 1, 0)</f>
        <v>0</v>
      </c>
      <c r="K30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4" spans="1:11" x14ac:dyDescent="0.3">
      <c r="A3024">
        <v>66401411</v>
      </c>
      <c r="B3024">
        <v>7858398</v>
      </c>
      <c r="C3024" s="1">
        <v>45472</v>
      </c>
      <c r="D3024">
        <v>149</v>
      </c>
      <c r="E3024">
        <f>IF(
  ISNA(
    _xlfn.XLOOKUP(
      payments_raw[[#This Row],[subscription_id]],
      subscriptions[subscription_id],
      subscriptions[subscription_id]
    )
  ),
  0,
  1
)</f>
        <v>1</v>
      </c>
      <c r="F3024" s="1">
        <f>_xlfn.XLOOKUP(payments_raw[[#This Row],[subscription_id]], subscriptions[subscription_id], subscriptions[start_date])</f>
        <v>45464</v>
      </c>
      <c r="G30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3024" s="2">
        <f>IF(payments_raw[[#This Row],[payment_date]] &lt; payments_raw[[#This Row],[sub_start_date]], 1, 0)</f>
        <v>0</v>
      </c>
      <c r="I3024" s="2">
        <f>IF(AND(payments_raw[[#This Row],[sub_end_date]]&lt;&gt;"", payments_raw[[#This Row],[payment_date]] &gt; payments_raw[[#This Row],[sub_end_date]]), 1, 0)</f>
        <v>0</v>
      </c>
      <c r="J3024" s="2">
        <f>IF(payments_raw[[#This Row],[amount]] &lt;= 0, 1, 0)</f>
        <v>0</v>
      </c>
      <c r="K30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5" spans="1:11" x14ac:dyDescent="0.3">
      <c r="A3025">
        <v>37974764</v>
      </c>
      <c r="B3025">
        <v>8161714</v>
      </c>
      <c r="C3025" s="1">
        <v>45207</v>
      </c>
      <c r="D3025">
        <v>790</v>
      </c>
      <c r="E3025">
        <f>IF(
  ISNA(
    _xlfn.XLOOKUP(
      payments_raw[[#This Row],[subscription_id]],
      subscriptions[subscription_id],
      subscriptions[subscription_id]
    )
  ),
  0,
  1
)</f>
        <v>1</v>
      </c>
      <c r="F3025" s="1">
        <f>_xlfn.XLOOKUP(payments_raw[[#This Row],[subscription_id]], subscriptions[subscription_id], subscriptions[start_date])</f>
        <v>45079</v>
      </c>
      <c r="G30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45365</v>
      </c>
      <c r="H3025" s="2">
        <f>IF(payments_raw[[#This Row],[payment_date]] &lt; payments_raw[[#This Row],[sub_start_date]], 1, 0)</f>
        <v>0</v>
      </c>
      <c r="I3025" s="2">
        <f>IF(AND(payments_raw[[#This Row],[sub_end_date]]&lt;&gt;"", payments_raw[[#This Row],[payment_date]] &gt; payments_raw[[#This Row],[sub_end_date]]), 1, 0)</f>
        <v>0</v>
      </c>
      <c r="J3025" s="2">
        <f>IF(payments_raw[[#This Row],[amount]] &lt;= 0, 1, 0)</f>
        <v>0</v>
      </c>
      <c r="K30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6" spans="1:11" x14ac:dyDescent="0.3">
      <c r="A3026">
        <v>34167344</v>
      </c>
      <c r="B3026">
        <v>2738237</v>
      </c>
      <c r="C3026" s="1">
        <v>45611</v>
      </c>
      <c r="D3026">
        <v>299</v>
      </c>
      <c r="E3026">
        <f>IF(
  ISNA(
    _xlfn.XLOOKUP(
      payments_raw[[#This Row],[subscription_id]],
      subscriptions[subscription_id],
      subscriptions[subscription_id]
    )
  ),
  0,
  1
)</f>
        <v>1</v>
      </c>
      <c r="F3026" s="1">
        <f>_xlfn.XLOOKUP(payments_raw[[#This Row],[subscription_id]], subscriptions[subscription_id], subscriptions[start_date])</f>
        <v>45532</v>
      </c>
      <c r="G30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26" s="2">
        <f>IF(payments_raw[[#This Row],[payment_date]] &lt; payments_raw[[#This Row],[sub_start_date]], 1, 0)</f>
        <v>0</v>
      </c>
      <c r="I3026" s="2">
        <f>IF(AND(payments_raw[[#This Row],[sub_end_date]]&lt;&gt;"", payments_raw[[#This Row],[payment_date]] &gt; payments_raw[[#This Row],[sub_end_date]]), 1, 0)</f>
        <v>0</v>
      </c>
      <c r="J3026" s="2">
        <f>IF(payments_raw[[#This Row],[amount]] &lt;= 0, 1, 0)</f>
        <v>0</v>
      </c>
      <c r="K30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7" spans="1:11" x14ac:dyDescent="0.3">
      <c r="A3027">
        <v>47237796</v>
      </c>
      <c r="B3027">
        <v>9156065</v>
      </c>
      <c r="C3027" s="1">
        <v>45603</v>
      </c>
      <c r="D3027">
        <v>2990</v>
      </c>
      <c r="E3027">
        <f>IF(
  ISNA(
    _xlfn.XLOOKUP(
      payments_raw[[#This Row],[subscription_id]],
      subscriptions[subscription_id],
      subscriptions[subscription_id]
    )
  ),
  0,
  1
)</f>
        <v>1</v>
      </c>
      <c r="F3027" s="1">
        <f>_xlfn.XLOOKUP(payments_raw[[#This Row],[subscription_id]], subscriptions[subscription_id], subscriptions[start_date])</f>
        <v>45384</v>
      </c>
      <c r="G30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27" s="2">
        <f>IF(payments_raw[[#This Row],[payment_date]] &lt; payments_raw[[#This Row],[sub_start_date]], 1, 0)</f>
        <v>0</v>
      </c>
      <c r="I3027" s="2">
        <f>IF(AND(payments_raw[[#This Row],[sub_end_date]]&lt;&gt;"", payments_raw[[#This Row],[payment_date]] &gt; payments_raw[[#This Row],[sub_end_date]]), 1, 0)</f>
        <v>0</v>
      </c>
      <c r="J3027" s="2">
        <f>IF(payments_raw[[#This Row],[amount]] &lt;= 0, 1, 0)</f>
        <v>0</v>
      </c>
      <c r="K30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8" spans="1:11" x14ac:dyDescent="0.3">
      <c r="A3028">
        <v>73536185</v>
      </c>
      <c r="B3028">
        <v>9971807</v>
      </c>
      <c r="C3028" s="1">
        <v>45594</v>
      </c>
      <c r="D3028">
        <v>790</v>
      </c>
      <c r="E3028">
        <f>IF(
  ISNA(
    _xlfn.XLOOKUP(
      payments_raw[[#This Row],[subscription_id]],
      subscriptions[subscription_id],
      subscriptions[subscription_id]
    )
  ),
  0,
  1
)</f>
        <v>1</v>
      </c>
      <c r="F3028" s="1">
        <f>_xlfn.XLOOKUP(payments_raw[[#This Row],[subscription_id]], subscriptions[subscription_id], subscriptions[start_date])</f>
        <v>45511</v>
      </c>
      <c r="G30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28" s="2">
        <f>IF(payments_raw[[#This Row],[payment_date]] &lt; payments_raw[[#This Row],[sub_start_date]], 1, 0)</f>
        <v>0</v>
      </c>
      <c r="I3028" s="2">
        <f>IF(AND(payments_raw[[#This Row],[sub_end_date]]&lt;&gt;"", payments_raw[[#This Row],[payment_date]] &gt; payments_raw[[#This Row],[sub_end_date]]), 1, 0)</f>
        <v>0</v>
      </c>
      <c r="J3028" s="2">
        <f>IF(payments_raw[[#This Row],[amount]] &lt;= 0, 1, 0)</f>
        <v>0</v>
      </c>
      <c r="K30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29" spans="1:11" x14ac:dyDescent="0.3">
      <c r="A3029">
        <v>23433419</v>
      </c>
      <c r="B3029">
        <v>1334774</v>
      </c>
      <c r="C3029" s="1">
        <v>45565</v>
      </c>
      <c r="D3029">
        <v>299</v>
      </c>
      <c r="E3029">
        <f>IF(
  ISNA(
    _xlfn.XLOOKUP(
      payments_raw[[#This Row],[subscription_id]],
      subscriptions[subscription_id],
      subscriptions[subscription_id]
    )
  ),
  0,
  1
)</f>
        <v>1</v>
      </c>
      <c r="F3029" s="1">
        <f>_xlfn.XLOOKUP(payments_raw[[#This Row],[subscription_id]], subscriptions[subscription_id], subscriptions[start_date])</f>
        <v>45304</v>
      </c>
      <c r="G30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029" s="2">
        <f>IF(payments_raw[[#This Row],[payment_date]] &lt; payments_raw[[#This Row],[sub_start_date]], 1, 0)</f>
        <v>0</v>
      </c>
      <c r="I3029" s="2">
        <f>IF(AND(payments_raw[[#This Row],[sub_end_date]]&lt;&gt;"", payments_raw[[#This Row],[payment_date]] &gt; payments_raw[[#This Row],[sub_end_date]]), 1, 0)</f>
        <v>0</v>
      </c>
      <c r="J3029" s="2">
        <f>IF(payments_raw[[#This Row],[amount]] &lt;= 0, 1, 0)</f>
        <v>0</v>
      </c>
      <c r="K30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0" spans="1:11" x14ac:dyDescent="0.3">
      <c r="A3030">
        <v>12653862</v>
      </c>
      <c r="B3030">
        <v>2780388</v>
      </c>
      <c r="C3030" s="1">
        <v>45047</v>
      </c>
      <c r="D3030">
        <v>2990</v>
      </c>
      <c r="E3030">
        <f>IF(
  ISNA(
    _xlfn.XLOOKUP(
      payments_raw[[#This Row],[subscription_id]],
      subscriptions[subscription_id],
      subscriptions[subscription_id]
    )
  ),
  0,
  1
)</f>
        <v>1</v>
      </c>
      <c r="F3030" s="1">
        <f>_xlfn.XLOOKUP(payments_raw[[#This Row],[subscription_id]], subscriptions[subscription_id], subscriptions[start_date])</f>
        <v>45036</v>
      </c>
      <c r="G30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45138</v>
      </c>
      <c r="H3030" s="2">
        <f>IF(payments_raw[[#This Row],[payment_date]] &lt; payments_raw[[#This Row],[sub_start_date]], 1, 0)</f>
        <v>0</v>
      </c>
      <c r="I3030" s="2">
        <f>IF(AND(payments_raw[[#This Row],[sub_end_date]]&lt;&gt;"", payments_raw[[#This Row],[payment_date]] &gt; payments_raw[[#This Row],[sub_end_date]]), 1, 0)</f>
        <v>0</v>
      </c>
      <c r="J3030" s="2">
        <f>IF(payments_raw[[#This Row],[amount]] &lt;= 0, 1, 0)</f>
        <v>0</v>
      </c>
      <c r="K30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1" spans="1:11" x14ac:dyDescent="0.3">
      <c r="A3031">
        <v>76359158</v>
      </c>
      <c r="B3031">
        <v>4802391</v>
      </c>
      <c r="C3031" s="1">
        <v>45598</v>
      </c>
      <c r="D3031">
        <v>1490</v>
      </c>
      <c r="E3031">
        <f>IF(
  ISNA(
    _xlfn.XLOOKUP(
      payments_raw[[#This Row],[subscription_id]],
      subscriptions[subscription_id],
      subscriptions[subscription_id]
    )
  ),
  0,
  1
)</f>
        <v>1</v>
      </c>
      <c r="F3031" s="1">
        <f>_xlfn.XLOOKUP(payments_raw[[#This Row],[subscription_id]], subscriptions[subscription_id], subscriptions[start_date])</f>
        <v>45281</v>
      </c>
      <c r="G303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3031" s="2">
        <f>IF(payments_raw[[#This Row],[payment_date]] &lt; payments_raw[[#This Row],[sub_start_date]], 1, 0)</f>
        <v>0</v>
      </c>
      <c r="I3031" s="2">
        <f>IF(AND(payments_raw[[#This Row],[sub_end_date]]&lt;&gt;"", payments_raw[[#This Row],[payment_date]] &gt; payments_raw[[#This Row],[sub_end_date]]), 1, 0)</f>
        <v>0</v>
      </c>
      <c r="J3031" s="2">
        <f>IF(payments_raw[[#This Row],[amount]] &lt;= 0, 1, 0)</f>
        <v>0</v>
      </c>
      <c r="K30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2" spans="1:11" x14ac:dyDescent="0.3">
      <c r="A3032">
        <v>35338379</v>
      </c>
      <c r="B3032">
        <v>3999685</v>
      </c>
      <c r="C3032" s="1">
        <v>44784</v>
      </c>
      <c r="D3032">
        <v>1490</v>
      </c>
      <c r="E3032">
        <f>IF(
  ISNA(
    _xlfn.XLOOKUP(
      payments_raw[[#This Row],[subscription_id]],
      subscriptions[subscription_id],
      subscriptions[subscription_id]
    )
  ),
  0,
  1
)</f>
        <v>1</v>
      </c>
      <c r="F3032" s="1">
        <f>_xlfn.XLOOKUP(payments_raw[[#This Row],[subscription_id]], subscriptions[subscription_id], subscriptions[start_date])</f>
        <v>44696</v>
      </c>
      <c r="G30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3032" s="2">
        <f>IF(payments_raw[[#This Row],[payment_date]] &lt; payments_raw[[#This Row],[sub_start_date]], 1, 0)</f>
        <v>0</v>
      </c>
      <c r="I3032" s="2">
        <f>IF(AND(payments_raw[[#This Row],[sub_end_date]]&lt;&gt;"", payments_raw[[#This Row],[payment_date]] &gt; payments_raw[[#This Row],[sub_end_date]]), 1, 0)</f>
        <v>0</v>
      </c>
      <c r="J3032" s="2">
        <f>IF(payments_raw[[#This Row],[amount]] &lt;= 0, 1, 0)</f>
        <v>0</v>
      </c>
      <c r="K30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3" spans="1:11" x14ac:dyDescent="0.3">
      <c r="A3033">
        <v>34528574</v>
      </c>
      <c r="B3033">
        <v>6875686</v>
      </c>
      <c r="C3033" s="1">
        <v>45163</v>
      </c>
      <c r="D3033">
        <v>299</v>
      </c>
      <c r="E3033">
        <f>IF(
  ISNA(
    _xlfn.XLOOKUP(
      payments_raw[[#This Row],[subscription_id]],
      subscriptions[subscription_id],
      subscriptions[subscription_id]
    )
  ),
  0,
  1
)</f>
        <v>1</v>
      </c>
      <c r="F3033" s="1">
        <f>_xlfn.XLOOKUP(payments_raw[[#This Row],[subscription_id]], subscriptions[subscription_id], subscriptions[start_date])</f>
        <v>45142</v>
      </c>
      <c r="G30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45429</v>
      </c>
      <c r="H3033" s="2">
        <f>IF(payments_raw[[#This Row],[payment_date]] &lt; payments_raw[[#This Row],[sub_start_date]], 1, 0)</f>
        <v>0</v>
      </c>
      <c r="I3033" s="2">
        <f>IF(AND(payments_raw[[#This Row],[sub_end_date]]&lt;&gt;"", payments_raw[[#This Row],[payment_date]] &gt; payments_raw[[#This Row],[sub_end_date]]), 1, 0)</f>
        <v>0</v>
      </c>
      <c r="J3033" s="2">
        <f>IF(payments_raw[[#This Row],[amount]] &lt;= 0, 1, 0)</f>
        <v>0</v>
      </c>
      <c r="K30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4" spans="1:11" x14ac:dyDescent="0.3">
      <c r="A3034">
        <v>48524666</v>
      </c>
      <c r="B3034">
        <v>6604510</v>
      </c>
      <c r="C3034" s="1">
        <v>45583</v>
      </c>
      <c r="D3034">
        <v>2990</v>
      </c>
      <c r="E3034">
        <f>IF(
  ISNA(
    _xlfn.XLOOKUP(
      payments_raw[[#This Row],[subscription_id]],
      subscriptions[subscription_id],
      subscriptions[subscription_id]
    )
  ),
  0,
  1
)</f>
        <v>1</v>
      </c>
      <c r="F3034" s="1">
        <f>_xlfn.XLOOKUP(payments_raw[[#This Row],[subscription_id]], subscriptions[subscription_id], subscriptions[start_date])</f>
        <v>45512</v>
      </c>
      <c r="G30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3034" s="2">
        <f>IF(payments_raw[[#This Row],[payment_date]] &lt; payments_raw[[#This Row],[sub_start_date]], 1, 0)</f>
        <v>0</v>
      </c>
      <c r="I3034" s="2">
        <f>IF(AND(payments_raw[[#This Row],[sub_end_date]]&lt;&gt;"", payments_raw[[#This Row],[payment_date]] &gt; payments_raw[[#This Row],[sub_end_date]]), 1, 0)</f>
        <v>0</v>
      </c>
      <c r="J3034" s="2">
        <f>IF(payments_raw[[#This Row],[amount]] &lt;= 0, 1, 0)</f>
        <v>0</v>
      </c>
      <c r="K30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5" spans="1:11" x14ac:dyDescent="0.3">
      <c r="A3035">
        <v>51292413</v>
      </c>
      <c r="B3035">
        <v>9595901</v>
      </c>
      <c r="C3035" s="1">
        <v>45155</v>
      </c>
      <c r="D3035">
        <v>79</v>
      </c>
      <c r="E3035">
        <f>IF(
  ISNA(
    _xlfn.XLOOKUP(
      payments_raw[[#This Row],[subscription_id]],
      subscriptions[subscription_id],
      subscriptions[subscription_id]
    )
  ),
  0,
  1
)</f>
        <v>1</v>
      </c>
      <c r="F3035" s="1">
        <f>_xlfn.XLOOKUP(payments_raw[[#This Row],[subscription_id]], subscriptions[subscription_id], subscriptions[start_date])</f>
        <v>44609</v>
      </c>
      <c r="G30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35" s="2">
        <f>IF(payments_raw[[#This Row],[payment_date]] &lt; payments_raw[[#This Row],[sub_start_date]], 1, 0)</f>
        <v>0</v>
      </c>
      <c r="I3035" s="2">
        <f>IF(AND(payments_raw[[#This Row],[sub_end_date]]&lt;&gt;"", payments_raw[[#This Row],[payment_date]] &gt; payments_raw[[#This Row],[sub_end_date]]), 1, 0)</f>
        <v>0</v>
      </c>
      <c r="J3035" s="2">
        <f>IF(payments_raw[[#This Row],[amount]] &lt;= 0, 1, 0)</f>
        <v>0</v>
      </c>
      <c r="K30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6" spans="1:11" x14ac:dyDescent="0.3">
      <c r="A3036">
        <v>20438033</v>
      </c>
      <c r="B3036">
        <v>3895499</v>
      </c>
      <c r="C3036" s="1">
        <v>45597</v>
      </c>
      <c r="D3036">
        <v>390</v>
      </c>
      <c r="E3036">
        <f>IF(
  ISNA(
    _xlfn.XLOOKUP(
      payments_raw[[#This Row],[subscription_id]],
      subscriptions[subscription_id],
      subscriptions[subscription_id]
    )
  ),
  0,
  1
)</f>
        <v>1</v>
      </c>
      <c r="F3036" s="1">
        <f>_xlfn.XLOOKUP(payments_raw[[#This Row],[subscription_id]], subscriptions[subscription_id], subscriptions[start_date])</f>
        <v>45470</v>
      </c>
      <c r="G30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36" s="2">
        <f>IF(payments_raw[[#This Row],[payment_date]] &lt; payments_raw[[#This Row],[sub_start_date]], 1, 0)</f>
        <v>0</v>
      </c>
      <c r="I3036" s="2">
        <f>IF(AND(payments_raw[[#This Row],[sub_end_date]]&lt;&gt;"", payments_raw[[#This Row],[payment_date]] &gt; payments_raw[[#This Row],[sub_end_date]]), 1, 0)</f>
        <v>0</v>
      </c>
      <c r="J3036" s="2">
        <f>IF(payments_raw[[#This Row],[amount]] &lt;= 0, 1, 0)</f>
        <v>0</v>
      </c>
      <c r="K30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7" spans="1:11" x14ac:dyDescent="0.3">
      <c r="A3037">
        <v>46060040</v>
      </c>
      <c r="B3037">
        <v>2470022</v>
      </c>
      <c r="C3037" s="1">
        <v>45127</v>
      </c>
      <c r="D3037">
        <v>2990</v>
      </c>
      <c r="E3037">
        <f>IF(
  ISNA(
    _xlfn.XLOOKUP(
      payments_raw[[#This Row],[subscription_id]],
      subscriptions[subscription_id],
      subscriptions[subscription_id]
    )
  ),
  0,
  1
)</f>
        <v>1</v>
      </c>
      <c r="F3037" s="1">
        <f>_xlfn.XLOOKUP(payments_raw[[#This Row],[subscription_id]], subscriptions[subscription_id], subscriptions[start_date])</f>
        <v>44774</v>
      </c>
      <c r="G30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37" s="2">
        <f>IF(payments_raw[[#This Row],[payment_date]] &lt; payments_raw[[#This Row],[sub_start_date]], 1, 0)</f>
        <v>0</v>
      </c>
      <c r="I3037" s="2">
        <f>IF(AND(payments_raw[[#This Row],[sub_end_date]]&lt;&gt;"", payments_raw[[#This Row],[payment_date]] &gt; payments_raw[[#This Row],[sub_end_date]]), 1, 0)</f>
        <v>0</v>
      </c>
      <c r="J3037" s="2">
        <f>IF(payments_raw[[#This Row],[amount]] &lt;= 0, 1, 0)</f>
        <v>0</v>
      </c>
      <c r="K30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8" spans="1:11" x14ac:dyDescent="0.3">
      <c r="A3038">
        <v>54995300</v>
      </c>
      <c r="B3038">
        <v>6861079</v>
      </c>
      <c r="C3038" s="1">
        <v>45402</v>
      </c>
      <c r="D3038">
        <v>39</v>
      </c>
      <c r="E3038">
        <f>IF(
  ISNA(
    _xlfn.XLOOKUP(
      payments_raw[[#This Row],[subscription_id]],
      subscriptions[subscription_id],
      subscriptions[subscription_id]
    )
  ),
  0,
  1
)</f>
        <v>1</v>
      </c>
      <c r="F3038" s="1">
        <f>_xlfn.XLOOKUP(payments_raw[[#This Row],[subscription_id]], subscriptions[subscription_id], subscriptions[start_date])</f>
        <v>45301</v>
      </c>
      <c r="G30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45402</v>
      </c>
      <c r="H3038" s="2">
        <f>IF(payments_raw[[#This Row],[payment_date]] &lt; payments_raw[[#This Row],[sub_start_date]], 1, 0)</f>
        <v>0</v>
      </c>
      <c r="I3038" s="2">
        <f>IF(AND(payments_raw[[#This Row],[sub_end_date]]&lt;&gt;"", payments_raw[[#This Row],[payment_date]] &gt; payments_raw[[#This Row],[sub_end_date]]), 1, 0)</f>
        <v>0</v>
      </c>
      <c r="J3038" s="2">
        <f>IF(payments_raw[[#This Row],[amount]] &lt;= 0, 1, 0)</f>
        <v>0</v>
      </c>
      <c r="K30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39" spans="1:11" x14ac:dyDescent="0.3">
      <c r="A3039">
        <v>62173273</v>
      </c>
      <c r="B3039">
        <v>2758380</v>
      </c>
      <c r="C3039" s="1">
        <v>45321</v>
      </c>
      <c r="D3039">
        <v>299</v>
      </c>
      <c r="E3039">
        <f>IF(
  ISNA(
    _xlfn.XLOOKUP(
      payments_raw[[#This Row],[subscription_id]],
      subscriptions[subscription_id],
      subscriptions[subscription_id]
    )
  ),
  0,
  1
)</f>
        <v>1</v>
      </c>
      <c r="F3039" s="1">
        <f>_xlfn.XLOOKUP(payments_raw[[#This Row],[subscription_id]], subscriptions[subscription_id], subscriptions[start_date])</f>
        <v>45028</v>
      </c>
      <c r="G30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3039" s="2">
        <f>IF(payments_raw[[#This Row],[payment_date]] &lt; payments_raw[[#This Row],[sub_start_date]], 1, 0)</f>
        <v>0</v>
      </c>
      <c r="I3039" s="2">
        <f>IF(AND(payments_raw[[#This Row],[sub_end_date]]&lt;&gt;"", payments_raw[[#This Row],[payment_date]] &gt; payments_raw[[#This Row],[sub_end_date]]), 1, 0)</f>
        <v>0</v>
      </c>
      <c r="J3039" s="2">
        <f>IF(payments_raw[[#This Row],[amount]] &lt;= 0, 1, 0)</f>
        <v>0</v>
      </c>
      <c r="K30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0" spans="1:11" x14ac:dyDescent="0.3">
      <c r="A3040">
        <v>86540693</v>
      </c>
      <c r="B3040">
        <v>9640458</v>
      </c>
      <c r="C3040" s="1">
        <v>45596</v>
      </c>
      <c r="D3040">
        <v>390</v>
      </c>
      <c r="E3040">
        <f>IF(
  ISNA(
    _xlfn.XLOOKUP(
      payments_raw[[#This Row],[subscription_id]],
      subscriptions[subscription_id],
      subscriptions[subscription_id]
    )
  ),
  0,
  1
)</f>
        <v>1</v>
      </c>
      <c r="F3040" s="1">
        <f>_xlfn.XLOOKUP(payments_raw[[#This Row],[subscription_id]], subscriptions[subscription_id], subscriptions[start_date])</f>
        <v>44817</v>
      </c>
      <c r="G30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0" s="2">
        <f>IF(payments_raw[[#This Row],[payment_date]] &lt; payments_raw[[#This Row],[sub_start_date]], 1, 0)</f>
        <v>0</v>
      </c>
      <c r="I3040" s="2">
        <f>IF(AND(payments_raw[[#This Row],[sub_end_date]]&lt;&gt;"", payments_raw[[#This Row],[payment_date]] &gt; payments_raw[[#This Row],[sub_end_date]]), 1, 0)</f>
        <v>0</v>
      </c>
      <c r="J3040" s="2">
        <f>IF(payments_raw[[#This Row],[amount]] &lt;= 0, 1, 0)</f>
        <v>0</v>
      </c>
      <c r="K30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1" spans="1:11" x14ac:dyDescent="0.3">
      <c r="A3041">
        <v>32214080</v>
      </c>
      <c r="B3041">
        <v>2421764</v>
      </c>
      <c r="C3041" s="1">
        <v>45243</v>
      </c>
      <c r="D3041">
        <v>790</v>
      </c>
      <c r="E3041">
        <f>IF(
  ISNA(
    _xlfn.XLOOKUP(
      payments_raw[[#This Row],[subscription_id]],
      subscriptions[subscription_id],
      subscriptions[subscription_id]
    )
  ),
  0,
  1
)</f>
        <v>1</v>
      </c>
      <c r="F3041" s="1">
        <f>_xlfn.XLOOKUP(payments_raw[[#This Row],[subscription_id]], subscriptions[subscription_id], subscriptions[start_date])</f>
        <v>44876</v>
      </c>
      <c r="G30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1" s="2">
        <f>IF(payments_raw[[#This Row],[payment_date]] &lt; payments_raw[[#This Row],[sub_start_date]], 1, 0)</f>
        <v>0</v>
      </c>
      <c r="I3041" s="2">
        <f>IF(AND(payments_raw[[#This Row],[sub_end_date]]&lt;&gt;"", payments_raw[[#This Row],[payment_date]] &gt; payments_raw[[#This Row],[sub_end_date]]), 1, 0)</f>
        <v>0</v>
      </c>
      <c r="J3041" s="2">
        <f>IF(payments_raw[[#This Row],[amount]] &lt;= 0, 1, 0)</f>
        <v>0</v>
      </c>
      <c r="K30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2" spans="1:11" x14ac:dyDescent="0.3">
      <c r="A3042">
        <v>81949589</v>
      </c>
      <c r="B3042">
        <v>8545615</v>
      </c>
      <c r="C3042" s="1">
        <v>45548</v>
      </c>
      <c r="D3042">
        <v>149</v>
      </c>
      <c r="E3042">
        <f>IF(
  ISNA(
    _xlfn.XLOOKUP(
      payments_raw[[#This Row],[subscription_id]],
      subscriptions[subscription_id],
      subscriptions[subscription_id]
    )
  ),
  0,
  1
)</f>
        <v>1</v>
      </c>
      <c r="F3042" s="1">
        <f>_xlfn.XLOOKUP(payments_raw[[#This Row],[subscription_id]], subscriptions[subscription_id], subscriptions[start_date])</f>
        <v>45454</v>
      </c>
      <c r="G30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2" s="2">
        <f>IF(payments_raw[[#This Row],[payment_date]] &lt; payments_raw[[#This Row],[sub_start_date]], 1, 0)</f>
        <v>0</v>
      </c>
      <c r="I3042" s="2">
        <f>IF(AND(payments_raw[[#This Row],[sub_end_date]]&lt;&gt;"", payments_raw[[#This Row],[payment_date]] &gt; payments_raw[[#This Row],[sub_end_date]]), 1, 0)</f>
        <v>0</v>
      </c>
      <c r="J3042" s="2">
        <f>IF(payments_raw[[#This Row],[amount]] &lt;= 0, 1, 0)</f>
        <v>0</v>
      </c>
      <c r="K30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3" spans="1:11" x14ac:dyDescent="0.3">
      <c r="A3043">
        <v>60801453</v>
      </c>
      <c r="B3043">
        <v>1093993</v>
      </c>
      <c r="C3043" s="1">
        <v>45235</v>
      </c>
      <c r="D3043">
        <v>149</v>
      </c>
      <c r="E3043">
        <f>IF(
  ISNA(
    _xlfn.XLOOKUP(
      payments_raw[[#This Row],[subscription_id]],
      subscriptions[subscription_id],
      subscriptions[subscription_id]
    )
  ),
  0,
  1
)</f>
        <v>1</v>
      </c>
      <c r="F3043" s="1">
        <f>_xlfn.XLOOKUP(payments_raw[[#This Row],[subscription_id]], subscriptions[subscription_id], subscriptions[start_date])</f>
        <v>45200</v>
      </c>
      <c r="G30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3043" s="2">
        <f>IF(payments_raw[[#This Row],[payment_date]] &lt; payments_raw[[#This Row],[sub_start_date]], 1, 0)</f>
        <v>0</v>
      </c>
      <c r="I3043" s="2">
        <f>IF(AND(payments_raw[[#This Row],[sub_end_date]]&lt;&gt;"", payments_raw[[#This Row],[payment_date]] &gt; payments_raw[[#This Row],[sub_end_date]]), 1, 0)</f>
        <v>0</v>
      </c>
      <c r="J3043" s="2">
        <f>IF(payments_raw[[#This Row],[amount]] &lt;= 0, 1, 0)</f>
        <v>0</v>
      </c>
      <c r="K30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4" spans="1:11" x14ac:dyDescent="0.3">
      <c r="A3044">
        <v>86211506</v>
      </c>
      <c r="B3044">
        <v>8876684</v>
      </c>
      <c r="C3044" s="1">
        <v>45130</v>
      </c>
      <c r="D3044">
        <v>299</v>
      </c>
      <c r="E3044">
        <f>IF(
  ISNA(
    _xlfn.XLOOKUP(
      payments_raw[[#This Row],[subscription_id]],
      subscriptions[subscription_id],
      subscriptions[subscription_id]
    )
  ),
  0,
  1
)</f>
        <v>1</v>
      </c>
      <c r="F3044" s="1">
        <f>_xlfn.XLOOKUP(payments_raw[[#This Row],[subscription_id]], subscriptions[subscription_id], subscriptions[start_date])</f>
        <v>45088</v>
      </c>
      <c r="G30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4" s="2">
        <f>IF(payments_raw[[#This Row],[payment_date]] &lt; payments_raw[[#This Row],[sub_start_date]], 1, 0)</f>
        <v>0</v>
      </c>
      <c r="I3044" s="2">
        <f>IF(AND(payments_raw[[#This Row],[sub_end_date]]&lt;&gt;"", payments_raw[[#This Row],[payment_date]] &gt; payments_raw[[#This Row],[sub_end_date]]), 1, 0)</f>
        <v>0</v>
      </c>
      <c r="J3044" s="2">
        <f>IF(payments_raw[[#This Row],[amount]] &lt;= 0, 1, 0)</f>
        <v>0</v>
      </c>
      <c r="K30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5" spans="1:11" x14ac:dyDescent="0.3">
      <c r="A3045">
        <v>72761616</v>
      </c>
      <c r="B3045">
        <v>1254735</v>
      </c>
      <c r="C3045" s="1">
        <v>45180</v>
      </c>
      <c r="D3045">
        <v>1490</v>
      </c>
      <c r="E3045">
        <f>IF(
  ISNA(
    _xlfn.XLOOKUP(
      payments_raw[[#This Row],[subscription_id]],
      subscriptions[subscription_id],
      subscriptions[subscription_id]
    )
  ),
  0,
  1
)</f>
        <v>1</v>
      </c>
      <c r="F3045" s="1">
        <f>_xlfn.XLOOKUP(payments_raw[[#This Row],[subscription_id]], subscriptions[subscription_id], subscriptions[start_date])</f>
        <v>45136</v>
      </c>
      <c r="G30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45306</v>
      </c>
      <c r="H3045" s="2">
        <f>IF(payments_raw[[#This Row],[payment_date]] &lt; payments_raw[[#This Row],[sub_start_date]], 1, 0)</f>
        <v>0</v>
      </c>
      <c r="I3045" s="2">
        <f>IF(AND(payments_raw[[#This Row],[sub_end_date]]&lt;&gt;"", payments_raw[[#This Row],[payment_date]] &gt; payments_raw[[#This Row],[sub_end_date]]), 1, 0)</f>
        <v>0</v>
      </c>
      <c r="J3045" s="2">
        <f>IF(payments_raw[[#This Row],[amount]] &lt;= 0, 1, 0)</f>
        <v>0</v>
      </c>
      <c r="K30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6" spans="1:11" x14ac:dyDescent="0.3">
      <c r="A3046">
        <v>68233507</v>
      </c>
      <c r="B3046">
        <v>7967320</v>
      </c>
      <c r="C3046" s="1">
        <v>45603</v>
      </c>
      <c r="D3046">
        <v>39</v>
      </c>
      <c r="E3046">
        <f>IF(
  ISNA(
    _xlfn.XLOOKUP(
      payments_raw[[#This Row],[subscription_id]],
      subscriptions[subscription_id],
      subscriptions[subscription_id]
    )
  ),
  0,
  1
)</f>
        <v>1</v>
      </c>
      <c r="F3046" s="1">
        <f>_xlfn.XLOOKUP(payments_raw[[#This Row],[subscription_id]], subscriptions[subscription_id], subscriptions[start_date])</f>
        <v>44852</v>
      </c>
      <c r="G30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6" s="2">
        <f>IF(payments_raw[[#This Row],[payment_date]] &lt; payments_raw[[#This Row],[sub_start_date]], 1, 0)</f>
        <v>0</v>
      </c>
      <c r="I3046" s="2">
        <f>IF(AND(payments_raw[[#This Row],[sub_end_date]]&lt;&gt;"", payments_raw[[#This Row],[payment_date]] &gt; payments_raw[[#This Row],[sub_end_date]]), 1, 0)</f>
        <v>0</v>
      </c>
      <c r="J3046" s="2">
        <f>IF(payments_raw[[#This Row],[amount]] &lt;= 0, 1, 0)</f>
        <v>0</v>
      </c>
      <c r="K30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7" spans="1:11" x14ac:dyDescent="0.3">
      <c r="A3047">
        <v>18485147</v>
      </c>
      <c r="B3047">
        <v>6207491</v>
      </c>
      <c r="C3047" s="1">
        <v>45568</v>
      </c>
      <c r="D3047">
        <v>39.5</v>
      </c>
      <c r="E3047">
        <f>IF(
  ISNA(
    _xlfn.XLOOKUP(
      payments_raw[[#This Row],[subscription_id]],
      subscriptions[subscription_id],
      subscriptions[subscription_id]
    )
  ),
  0,
  1
)</f>
        <v>1</v>
      </c>
      <c r="F3047" s="1">
        <f>_xlfn.XLOOKUP(payments_raw[[#This Row],[subscription_id]], subscriptions[subscription_id], subscriptions[start_date])</f>
        <v>45234</v>
      </c>
      <c r="G30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7" s="2">
        <f>IF(payments_raw[[#This Row],[payment_date]] &lt; payments_raw[[#This Row],[sub_start_date]], 1, 0)</f>
        <v>0</v>
      </c>
      <c r="I3047" s="2">
        <f>IF(AND(payments_raw[[#This Row],[sub_end_date]]&lt;&gt;"", payments_raw[[#This Row],[payment_date]] &gt; payments_raw[[#This Row],[sub_end_date]]), 1, 0)</f>
        <v>0</v>
      </c>
      <c r="J3047" s="2">
        <f>IF(payments_raw[[#This Row],[amount]] &lt;= 0, 1, 0)</f>
        <v>0</v>
      </c>
      <c r="K30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8" spans="1:11" x14ac:dyDescent="0.3">
      <c r="A3048">
        <v>89942779</v>
      </c>
      <c r="B3048">
        <v>6501987</v>
      </c>
      <c r="C3048" s="1">
        <v>45512</v>
      </c>
      <c r="D3048">
        <v>190</v>
      </c>
      <c r="E3048">
        <f>IF(
  ISNA(
    _xlfn.XLOOKUP(
      payments_raw[[#This Row],[subscription_id]],
      subscriptions[subscription_id],
      subscriptions[subscription_id]
    )
  ),
  0,
  1
)</f>
        <v>1</v>
      </c>
      <c r="F3048" s="1">
        <f>_xlfn.XLOOKUP(payments_raw[[#This Row],[subscription_id]], subscriptions[subscription_id], subscriptions[start_date])</f>
        <v>45426</v>
      </c>
      <c r="G30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8" s="2">
        <f>IF(payments_raw[[#This Row],[payment_date]] &lt; payments_raw[[#This Row],[sub_start_date]], 1, 0)</f>
        <v>0</v>
      </c>
      <c r="I3048" s="2">
        <f>IF(AND(payments_raw[[#This Row],[sub_end_date]]&lt;&gt;"", payments_raw[[#This Row],[payment_date]] &gt; payments_raw[[#This Row],[sub_end_date]]), 1, 0)</f>
        <v>0</v>
      </c>
      <c r="J3048" s="2">
        <f>IF(payments_raw[[#This Row],[amount]] &lt;= 0, 1, 0)</f>
        <v>0</v>
      </c>
      <c r="K30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49" spans="1:11" x14ac:dyDescent="0.3">
      <c r="A3049">
        <v>55260386</v>
      </c>
      <c r="B3049">
        <v>1706341</v>
      </c>
      <c r="C3049" s="1">
        <v>45422</v>
      </c>
      <c r="D3049">
        <v>390</v>
      </c>
      <c r="E3049">
        <f>IF(
  ISNA(
    _xlfn.XLOOKUP(
      payments_raw[[#This Row],[subscription_id]],
      subscriptions[subscription_id],
      subscriptions[subscription_id]
    )
  ),
  0,
  1
)</f>
        <v>1</v>
      </c>
      <c r="F3049" s="1">
        <f>_xlfn.XLOOKUP(payments_raw[[#This Row],[subscription_id]], subscriptions[subscription_id], subscriptions[start_date])</f>
        <v>44782</v>
      </c>
      <c r="G30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49" s="2">
        <f>IF(payments_raw[[#This Row],[payment_date]] &lt; payments_raw[[#This Row],[sub_start_date]], 1, 0)</f>
        <v>0</v>
      </c>
      <c r="I3049" s="2">
        <f>IF(AND(payments_raw[[#This Row],[sub_end_date]]&lt;&gt;"", payments_raw[[#This Row],[payment_date]] &gt; payments_raw[[#This Row],[sub_end_date]]), 1, 0)</f>
        <v>0</v>
      </c>
      <c r="J3049" s="2">
        <f>IF(payments_raw[[#This Row],[amount]] &lt;= 0, 1, 0)</f>
        <v>0</v>
      </c>
      <c r="K30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0" spans="1:11" x14ac:dyDescent="0.3">
      <c r="A3050">
        <v>74653859</v>
      </c>
      <c r="B3050">
        <v>7597584</v>
      </c>
      <c r="C3050" s="1">
        <v>45471</v>
      </c>
      <c r="D3050">
        <v>79</v>
      </c>
      <c r="E3050">
        <f>IF(
  ISNA(
    _xlfn.XLOOKUP(
      payments_raw[[#This Row],[subscription_id]],
      subscriptions[subscription_id],
      subscriptions[subscription_id]
    )
  ),
  0,
  1
)</f>
        <v>1</v>
      </c>
      <c r="F3050" s="1">
        <f>_xlfn.XLOOKUP(payments_raw[[#This Row],[subscription_id]], subscriptions[subscription_id], subscriptions[start_date])</f>
        <v>45334</v>
      </c>
      <c r="G30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3050" s="2">
        <f>IF(payments_raw[[#This Row],[payment_date]] &lt; payments_raw[[#This Row],[sub_start_date]], 1, 0)</f>
        <v>0</v>
      </c>
      <c r="I3050" s="2">
        <f>IF(AND(payments_raw[[#This Row],[sub_end_date]]&lt;&gt;"", payments_raw[[#This Row],[payment_date]] &gt; payments_raw[[#This Row],[sub_end_date]]), 1, 0)</f>
        <v>0</v>
      </c>
      <c r="J3050" s="2">
        <f>IF(payments_raw[[#This Row],[amount]] &lt;= 0, 1, 0)</f>
        <v>0</v>
      </c>
      <c r="K30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1" spans="1:11" x14ac:dyDescent="0.3">
      <c r="A3051">
        <v>62454278</v>
      </c>
      <c r="B3051">
        <v>1130589</v>
      </c>
      <c r="C3051" s="1">
        <v>45461</v>
      </c>
      <c r="D3051">
        <v>19</v>
      </c>
      <c r="E3051">
        <f>IF(
  ISNA(
    _xlfn.XLOOKUP(
      payments_raw[[#This Row],[subscription_id]],
      subscriptions[subscription_id],
      subscriptions[subscription_id]
    )
  ),
  0,
  1
)</f>
        <v>1</v>
      </c>
      <c r="F3051" s="1">
        <f>_xlfn.XLOOKUP(payments_raw[[#This Row],[subscription_id]], subscriptions[subscription_id], subscriptions[start_date])</f>
        <v>45319</v>
      </c>
      <c r="G30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45581</v>
      </c>
      <c r="H3051" s="2">
        <f>IF(payments_raw[[#This Row],[payment_date]] &lt; payments_raw[[#This Row],[sub_start_date]], 1, 0)</f>
        <v>0</v>
      </c>
      <c r="I3051" s="2">
        <f>IF(AND(payments_raw[[#This Row],[sub_end_date]]&lt;&gt;"", payments_raw[[#This Row],[payment_date]] &gt; payments_raw[[#This Row],[sub_end_date]]), 1, 0)</f>
        <v>0</v>
      </c>
      <c r="J3051" s="2">
        <f>IF(payments_raw[[#This Row],[amount]] &lt;= 0, 1, 0)</f>
        <v>0</v>
      </c>
      <c r="K30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2" spans="1:11" x14ac:dyDescent="0.3">
      <c r="A3052">
        <v>89183946</v>
      </c>
      <c r="B3052">
        <v>2470022</v>
      </c>
      <c r="C3052" s="1">
        <v>45391</v>
      </c>
      <c r="D3052">
        <v>1495</v>
      </c>
      <c r="E3052">
        <f>IF(
  ISNA(
    _xlfn.XLOOKUP(
      payments_raw[[#This Row],[subscription_id]],
      subscriptions[subscription_id],
      subscriptions[subscription_id]
    )
  ),
  0,
  1
)</f>
        <v>1</v>
      </c>
      <c r="F3052" s="1">
        <f>_xlfn.XLOOKUP(payments_raw[[#This Row],[subscription_id]], subscriptions[subscription_id], subscriptions[start_date])</f>
        <v>44774</v>
      </c>
      <c r="G30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52" s="2">
        <f>IF(payments_raw[[#This Row],[payment_date]] &lt; payments_raw[[#This Row],[sub_start_date]], 1, 0)</f>
        <v>0</v>
      </c>
      <c r="I3052" s="2">
        <f>IF(AND(payments_raw[[#This Row],[sub_end_date]]&lt;&gt;"", payments_raw[[#This Row],[payment_date]] &gt; payments_raw[[#This Row],[sub_end_date]]), 1, 0)</f>
        <v>0</v>
      </c>
      <c r="J3052" s="2">
        <f>IF(payments_raw[[#This Row],[amount]] &lt;= 0, 1, 0)</f>
        <v>0</v>
      </c>
      <c r="K30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3" spans="1:11" x14ac:dyDescent="0.3">
      <c r="A3053">
        <v>88054460</v>
      </c>
      <c r="B3053">
        <v>5174163</v>
      </c>
      <c r="C3053" s="1">
        <v>44943</v>
      </c>
      <c r="D3053">
        <v>19</v>
      </c>
      <c r="E3053">
        <f>IF(
  ISNA(
    _xlfn.XLOOKUP(
      payments_raw[[#This Row],[subscription_id]],
      subscriptions[subscription_id],
      subscriptions[subscription_id]
    )
  ),
  0,
  1
)</f>
        <v>1</v>
      </c>
      <c r="F3053" s="1">
        <f>_xlfn.XLOOKUP(payments_raw[[#This Row],[subscription_id]], subscriptions[subscription_id], subscriptions[start_date])</f>
        <v>44929</v>
      </c>
      <c r="G3053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44974</v>
      </c>
      <c r="H3053" s="2">
        <f>IF(payments_raw[[#This Row],[payment_date]] &lt; payments_raw[[#This Row],[sub_start_date]], 1, 0)</f>
        <v>0</v>
      </c>
      <c r="I3053" s="2">
        <f>IF(AND(payments_raw[[#This Row],[sub_end_date]]&lt;&gt;"", payments_raw[[#This Row],[payment_date]] &gt; payments_raw[[#This Row],[sub_end_date]]), 1, 0)</f>
        <v>0</v>
      </c>
      <c r="J3053" s="2">
        <f>IF(payments_raw[[#This Row],[amount]] &lt;= 0, 1, 0)</f>
        <v>0</v>
      </c>
      <c r="K30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4" spans="1:11" x14ac:dyDescent="0.3">
      <c r="A3054">
        <v>20422352</v>
      </c>
      <c r="B3054">
        <v>8944805</v>
      </c>
      <c r="C3054" s="1">
        <v>45315</v>
      </c>
      <c r="D3054">
        <v>2990</v>
      </c>
      <c r="E3054">
        <f>IF(
  ISNA(
    _xlfn.XLOOKUP(
      payments_raw[[#This Row],[subscription_id]],
      subscriptions[subscription_id],
      subscriptions[subscription_id]
    )
  ),
  0,
  1
)</f>
        <v>1</v>
      </c>
      <c r="F3054" s="1">
        <f>_xlfn.XLOOKUP(payments_raw[[#This Row],[subscription_id]], subscriptions[subscription_id], subscriptions[start_date])</f>
        <v>45248</v>
      </c>
      <c r="G30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45464</v>
      </c>
      <c r="H3054" s="2">
        <f>IF(payments_raw[[#This Row],[payment_date]] &lt; payments_raw[[#This Row],[sub_start_date]], 1, 0)</f>
        <v>0</v>
      </c>
      <c r="I3054" s="2">
        <f>IF(AND(payments_raw[[#This Row],[sub_end_date]]&lt;&gt;"", payments_raw[[#This Row],[payment_date]] &gt; payments_raw[[#This Row],[sub_end_date]]), 1, 0)</f>
        <v>0</v>
      </c>
      <c r="J3054" s="2">
        <f>IF(payments_raw[[#This Row],[amount]] &lt;= 0, 1, 0)</f>
        <v>0</v>
      </c>
      <c r="K30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5" spans="1:11" x14ac:dyDescent="0.3">
      <c r="A3055">
        <v>16698934</v>
      </c>
      <c r="B3055">
        <v>7222701</v>
      </c>
      <c r="C3055" s="1">
        <v>45537</v>
      </c>
      <c r="D3055">
        <v>39</v>
      </c>
      <c r="E3055">
        <f>IF(
  ISNA(
    _xlfn.XLOOKUP(
      payments_raw[[#This Row],[subscription_id]],
      subscriptions[subscription_id],
      subscriptions[subscription_id]
    )
  ),
  0,
  1
)</f>
        <v>1</v>
      </c>
      <c r="F3055" s="1">
        <f>_xlfn.XLOOKUP(payments_raw[[#This Row],[subscription_id]], subscriptions[subscription_id], subscriptions[start_date])</f>
        <v>45459</v>
      </c>
      <c r="G305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3055" s="2">
        <f>IF(payments_raw[[#This Row],[payment_date]] &lt; payments_raw[[#This Row],[sub_start_date]], 1, 0)</f>
        <v>0</v>
      </c>
      <c r="I3055" s="2">
        <f>IF(AND(payments_raw[[#This Row],[sub_end_date]]&lt;&gt;"", payments_raw[[#This Row],[payment_date]] &gt; payments_raw[[#This Row],[sub_end_date]]), 1, 0)</f>
        <v>0</v>
      </c>
      <c r="J3055" s="2">
        <f>IF(payments_raw[[#This Row],[amount]] &lt;= 0, 1, 0)</f>
        <v>0</v>
      </c>
      <c r="K30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6" spans="1:11" x14ac:dyDescent="0.3">
      <c r="A3056">
        <v>96911803</v>
      </c>
      <c r="B3056">
        <v>9165219</v>
      </c>
      <c r="C3056" s="1">
        <v>45534</v>
      </c>
      <c r="D3056">
        <v>19</v>
      </c>
      <c r="E3056">
        <f>IF(
  ISNA(
    _xlfn.XLOOKUP(
      payments_raw[[#This Row],[subscription_id]],
      subscriptions[subscription_id],
      subscriptions[subscription_id]
    )
  ),
  0,
  1
)</f>
        <v>1</v>
      </c>
      <c r="F3056" s="1">
        <f>_xlfn.XLOOKUP(payments_raw[[#This Row],[subscription_id]], subscriptions[subscription_id], subscriptions[start_date])</f>
        <v>45209</v>
      </c>
      <c r="G30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45552</v>
      </c>
      <c r="H3056" s="2">
        <f>IF(payments_raw[[#This Row],[payment_date]] &lt; payments_raw[[#This Row],[sub_start_date]], 1, 0)</f>
        <v>0</v>
      </c>
      <c r="I3056" s="2">
        <f>IF(AND(payments_raw[[#This Row],[sub_end_date]]&lt;&gt;"", payments_raw[[#This Row],[payment_date]] &gt; payments_raw[[#This Row],[sub_end_date]]), 1, 0)</f>
        <v>0</v>
      </c>
      <c r="J3056" s="2">
        <f>IF(payments_raw[[#This Row],[amount]] &lt;= 0, 1, 0)</f>
        <v>0</v>
      </c>
      <c r="K30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7" spans="1:11" x14ac:dyDescent="0.3">
      <c r="A3057">
        <v>22598111</v>
      </c>
      <c r="B3057">
        <v>3578194</v>
      </c>
      <c r="C3057" s="1">
        <v>44951</v>
      </c>
      <c r="D3057">
        <v>2990</v>
      </c>
      <c r="E3057">
        <f>IF(
  ISNA(
    _xlfn.XLOOKUP(
      payments_raw[[#This Row],[subscription_id]],
      subscriptions[subscription_id],
      subscriptions[subscription_id]
    )
  ),
  0,
  1
)</f>
        <v>1</v>
      </c>
      <c r="F3057" s="1">
        <f>_xlfn.XLOOKUP(payments_raw[[#This Row],[subscription_id]], subscriptions[subscription_id], subscriptions[start_date])</f>
        <v>44651</v>
      </c>
      <c r="G30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57" s="2">
        <f>IF(payments_raw[[#This Row],[payment_date]] &lt; payments_raw[[#This Row],[sub_start_date]], 1, 0)</f>
        <v>0</v>
      </c>
      <c r="I3057" s="2">
        <f>IF(AND(payments_raw[[#This Row],[sub_end_date]]&lt;&gt;"", payments_raw[[#This Row],[payment_date]] &gt; payments_raw[[#This Row],[sub_end_date]]), 1, 0)</f>
        <v>0</v>
      </c>
      <c r="J3057" s="2">
        <f>IF(payments_raw[[#This Row],[amount]] &lt;= 0, 1, 0)</f>
        <v>0</v>
      </c>
      <c r="K30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8" spans="1:11" x14ac:dyDescent="0.3">
      <c r="A3058">
        <v>77805296</v>
      </c>
      <c r="B3058">
        <v>1161102</v>
      </c>
      <c r="C3058" s="1">
        <v>45508</v>
      </c>
      <c r="D3058">
        <v>299</v>
      </c>
      <c r="E3058">
        <f>IF(
  ISNA(
    _xlfn.XLOOKUP(
      payments_raw[[#This Row],[subscription_id]],
      subscriptions[subscription_id],
      subscriptions[subscription_id]
    )
  ),
  0,
  1
)</f>
        <v>1</v>
      </c>
      <c r="F3058" s="1">
        <f>_xlfn.XLOOKUP(payments_raw[[#This Row],[subscription_id]], subscriptions[subscription_id], subscriptions[start_date])</f>
        <v>45442</v>
      </c>
      <c r="G305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45529</v>
      </c>
      <c r="H3058" s="2">
        <f>IF(payments_raw[[#This Row],[payment_date]] &lt; payments_raw[[#This Row],[sub_start_date]], 1, 0)</f>
        <v>0</v>
      </c>
      <c r="I3058" s="2">
        <f>IF(AND(payments_raw[[#This Row],[sub_end_date]]&lt;&gt;"", payments_raw[[#This Row],[payment_date]] &gt; payments_raw[[#This Row],[sub_end_date]]), 1, 0)</f>
        <v>0</v>
      </c>
      <c r="J3058" s="2">
        <f>IF(payments_raw[[#This Row],[amount]] &lt;= 0, 1, 0)</f>
        <v>0</v>
      </c>
      <c r="K30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59" spans="1:11" x14ac:dyDescent="0.3">
      <c r="A3059">
        <v>38491560</v>
      </c>
      <c r="B3059">
        <v>7463257</v>
      </c>
      <c r="C3059" s="1">
        <v>44891</v>
      </c>
      <c r="D3059">
        <v>711</v>
      </c>
      <c r="E3059">
        <f>IF(
  ISNA(
    _xlfn.XLOOKUP(
      payments_raw[[#This Row],[subscription_id]],
      subscriptions[subscription_id],
      subscriptions[subscription_id]
    )
  ),
  0,
  1
)</f>
        <v>1</v>
      </c>
      <c r="F3059" s="1">
        <f>_xlfn.XLOOKUP(payments_raw[[#This Row],[subscription_id]], subscriptions[subscription_id], subscriptions[start_date])</f>
        <v>44774</v>
      </c>
      <c r="G305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44954</v>
      </c>
      <c r="H3059" s="2">
        <f>IF(payments_raw[[#This Row],[payment_date]] &lt; payments_raw[[#This Row],[sub_start_date]], 1, 0)</f>
        <v>0</v>
      </c>
      <c r="I3059" s="2">
        <f>IF(AND(payments_raw[[#This Row],[sub_end_date]]&lt;&gt;"", payments_raw[[#This Row],[payment_date]] &gt; payments_raw[[#This Row],[sub_end_date]]), 1, 0)</f>
        <v>0</v>
      </c>
      <c r="J3059" s="2">
        <f>IF(payments_raw[[#This Row],[amount]] &lt;= 0, 1, 0)</f>
        <v>0</v>
      </c>
      <c r="K30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0" spans="1:11" x14ac:dyDescent="0.3">
      <c r="A3060">
        <v>60355335</v>
      </c>
      <c r="B3060">
        <v>8409604</v>
      </c>
      <c r="C3060" s="1">
        <v>45575</v>
      </c>
      <c r="D3060">
        <v>19</v>
      </c>
      <c r="E3060">
        <f>IF(
  ISNA(
    _xlfn.XLOOKUP(
      payments_raw[[#This Row],[subscription_id]],
      subscriptions[subscription_id],
      subscriptions[subscription_id]
    )
  ),
  0,
  1
)</f>
        <v>1</v>
      </c>
      <c r="F3060" s="1">
        <f>_xlfn.XLOOKUP(payments_raw[[#This Row],[subscription_id]], subscriptions[subscription_id], subscriptions[start_date])</f>
        <v>45565</v>
      </c>
      <c r="G30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3060" s="2">
        <f>IF(payments_raw[[#This Row],[payment_date]] &lt; payments_raw[[#This Row],[sub_start_date]], 1, 0)</f>
        <v>0</v>
      </c>
      <c r="I3060" s="2">
        <f>IF(AND(payments_raw[[#This Row],[sub_end_date]]&lt;&gt;"", payments_raw[[#This Row],[payment_date]] &gt; payments_raw[[#This Row],[sub_end_date]]), 1, 0)</f>
        <v>0</v>
      </c>
      <c r="J3060" s="2">
        <f>IF(payments_raw[[#This Row],[amount]] &lt;= 0, 1, 0)</f>
        <v>0</v>
      </c>
      <c r="K30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1" spans="1:11" x14ac:dyDescent="0.3">
      <c r="A3061">
        <v>70582159</v>
      </c>
      <c r="B3061">
        <v>8617224</v>
      </c>
      <c r="C3061" s="1">
        <v>44960</v>
      </c>
      <c r="D3061">
        <v>149</v>
      </c>
      <c r="E3061">
        <f>IF(
  ISNA(
    _xlfn.XLOOKUP(
      payments_raw[[#This Row],[subscription_id]],
      subscriptions[subscription_id],
      subscriptions[subscription_id]
    )
  ),
  0,
  1
)</f>
        <v>1</v>
      </c>
      <c r="F3061" s="1">
        <f>_xlfn.XLOOKUP(payments_raw[[#This Row],[subscription_id]], subscriptions[subscription_id], subscriptions[start_date])</f>
        <v>44877</v>
      </c>
      <c r="G306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3061" s="2">
        <f>IF(payments_raw[[#This Row],[payment_date]] &lt; payments_raw[[#This Row],[sub_start_date]], 1, 0)</f>
        <v>0</v>
      </c>
      <c r="I3061" s="2">
        <f>IF(AND(payments_raw[[#This Row],[sub_end_date]]&lt;&gt;"", payments_raw[[#This Row],[payment_date]] &gt; payments_raw[[#This Row],[sub_end_date]]), 1, 0)</f>
        <v>0</v>
      </c>
      <c r="J3061" s="2">
        <f>IF(payments_raw[[#This Row],[amount]] &lt;= 0, 1, 0)</f>
        <v>0</v>
      </c>
      <c r="K30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2" spans="1:11" x14ac:dyDescent="0.3">
      <c r="A3062">
        <v>57164472</v>
      </c>
      <c r="B3062">
        <v>2476675</v>
      </c>
      <c r="C3062" s="1">
        <v>45059</v>
      </c>
      <c r="D3062">
        <v>149</v>
      </c>
      <c r="E3062">
        <f>IF(
  ISNA(
    _xlfn.XLOOKUP(
      payments_raw[[#This Row],[subscription_id]],
      subscriptions[subscription_id],
      subscriptions[subscription_id]
    )
  ),
  0,
  1
)</f>
        <v>1</v>
      </c>
      <c r="F3062" s="1">
        <f>_xlfn.XLOOKUP(payments_raw[[#This Row],[subscription_id]], subscriptions[subscription_id], subscriptions[start_date])</f>
        <v>44953</v>
      </c>
      <c r="G3062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45171</v>
      </c>
      <c r="H3062" s="2">
        <f>IF(payments_raw[[#This Row],[payment_date]] &lt; payments_raw[[#This Row],[sub_start_date]], 1, 0)</f>
        <v>0</v>
      </c>
      <c r="I3062" s="2">
        <f>IF(AND(payments_raw[[#This Row],[sub_end_date]]&lt;&gt;"", payments_raw[[#This Row],[payment_date]] &gt; payments_raw[[#This Row],[sub_end_date]]), 1, 0)</f>
        <v>0</v>
      </c>
      <c r="J3062" s="2">
        <f>IF(payments_raw[[#This Row],[amount]] &lt;= 0, 1, 0)</f>
        <v>0</v>
      </c>
      <c r="K30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3" spans="1:11" x14ac:dyDescent="0.3">
      <c r="A3063">
        <v>65578734</v>
      </c>
      <c r="B3063">
        <v>3252923</v>
      </c>
      <c r="C3063" s="1">
        <v>45582</v>
      </c>
      <c r="D3063">
        <v>1490</v>
      </c>
      <c r="E3063">
        <f>IF(
  ISNA(
    _xlfn.XLOOKUP(
      payments_raw[[#This Row],[subscription_id]],
      subscriptions[subscription_id],
      subscriptions[subscription_id]
    )
  ),
  0,
  1
)</f>
        <v>1</v>
      </c>
      <c r="F3063" s="1">
        <f>_xlfn.XLOOKUP(payments_raw[[#This Row],[subscription_id]], subscriptions[subscription_id], subscriptions[start_date])</f>
        <v>44713</v>
      </c>
      <c r="G306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3" s="2">
        <f>IF(payments_raw[[#This Row],[payment_date]] &lt; payments_raw[[#This Row],[sub_start_date]], 1, 0)</f>
        <v>0</v>
      </c>
      <c r="I3063" s="2">
        <f>IF(AND(payments_raw[[#This Row],[sub_end_date]]&lt;&gt;"", payments_raw[[#This Row],[payment_date]] &gt; payments_raw[[#This Row],[sub_end_date]]), 1, 0)</f>
        <v>0</v>
      </c>
      <c r="J3063" s="2">
        <f>IF(payments_raw[[#This Row],[amount]] &lt;= 0, 1, 0)</f>
        <v>0</v>
      </c>
      <c r="K30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4" spans="1:11" x14ac:dyDescent="0.3">
      <c r="A3064">
        <v>62036138</v>
      </c>
      <c r="B3064">
        <v>4739473</v>
      </c>
      <c r="C3064" s="1">
        <v>45616</v>
      </c>
      <c r="D3064">
        <v>790</v>
      </c>
      <c r="E3064">
        <f>IF(
  ISNA(
    _xlfn.XLOOKUP(
      payments_raw[[#This Row],[subscription_id]],
      subscriptions[subscription_id],
      subscriptions[subscription_id]
    )
  ),
  0,
  1
)</f>
        <v>1</v>
      </c>
      <c r="F3064" s="1">
        <f>_xlfn.XLOOKUP(payments_raw[[#This Row],[subscription_id]], subscriptions[subscription_id], subscriptions[start_date])</f>
        <v>45230</v>
      </c>
      <c r="G30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4" s="2">
        <f>IF(payments_raw[[#This Row],[payment_date]] &lt; payments_raw[[#This Row],[sub_start_date]], 1, 0)</f>
        <v>0</v>
      </c>
      <c r="I3064" s="2">
        <f>IF(AND(payments_raw[[#This Row],[sub_end_date]]&lt;&gt;"", payments_raw[[#This Row],[payment_date]] &gt; payments_raw[[#This Row],[sub_end_date]]), 1, 0)</f>
        <v>0</v>
      </c>
      <c r="J3064" s="2">
        <f>IF(payments_raw[[#This Row],[amount]] &lt;= 0, 1, 0)</f>
        <v>0</v>
      </c>
      <c r="K30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5" spans="1:11" x14ac:dyDescent="0.3">
      <c r="A3065">
        <v>84283162</v>
      </c>
      <c r="B3065">
        <v>6783305</v>
      </c>
      <c r="C3065" s="1">
        <v>45594</v>
      </c>
      <c r="D3065">
        <v>79</v>
      </c>
      <c r="E3065">
        <f>IF(
  ISNA(
    _xlfn.XLOOKUP(
      payments_raw[[#This Row],[subscription_id]],
      subscriptions[subscription_id],
      subscriptions[subscription_id]
    )
  ),
  0,
  1
)</f>
        <v>1</v>
      </c>
      <c r="F3065" s="1">
        <f>_xlfn.XLOOKUP(payments_raw[[#This Row],[subscription_id]], subscriptions[subscription_id], subscriptions[start_date])</f>
        <v>44766</v>
      </c>
      <c r="G30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5" s="2">
        <f>IF(payments_raw[[#This Row],[payment_date]] &lt; payments_raw[[#This Row],[sub_start_date]], 1, 0)</f>
        <v>0</v>
      </c>
      <c r="I3065" s="2">
        <f>IF(AND(payments_raw[[#This Row],[sub_end_date]]&lt;&gt;"", payments_raw[[#This Row],[payment_date]] &gt; payments_raw[[#This Row],[sub_end_date]]), 1, 0)</f>
        <v>0</v>
      </c>
      <c r="J3065" s="2">
        <f>IF(payments_raw[[#This Row],[amount]] &lt;= 0, 1, 0)</f>
        <v>0</v>
      </c>
      <c r="K30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6" spans="1:11" x14ac:dyDescent="0.3">
      <c r="A3066">
        <v>19011856</v>
      </c>
      <c r="B3066">
        <v>2443147</v>
      </c>
      <c r="C3066" s="1">
        <v>44799</v>
      </c>
      <c r="D3066">
        <v>149</v>
      </c>
      <c r="E3066">
        <f>IF(
  ISNA(
    _xlfn.XLOOKUP(
      payments_raw[[#This Row],[subscription_id]],
      subscriptions[subscription_id],
      subscriptions[subscription_id]
    )
  ),
  0,
  1
)</f>
        <v>1</v>
      </c>
      <c r="F3066" s="1">
        <f>_xlfn.XLOOKUP(payments_raw[[#This Row],[subscription_id]], subscriptions[subscription_id], subscriptions[start_date])</f>
        <v>44611</v>
      </c>
      <c r="G306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44983</v>
      </c>
      <c r="H3066" s="2">
        <f>IF(payments_raw[[#This Row],[payment_date]] &lt; payments_raw[[#This Row],[sub_start_date]], 1, 0)</f>
        <v>0</v>
      </c>
      <c r="I3066" s="2">
        <f>IF(AND(payments_raw[[#This Row],[sub_end_date]]&lt;&gt;"", payments_raw[[#This Row],[payment_date]] &gt; payments_raw[[#This Row],[sub_end_date]]), 1, 0)</f>
        <v>0</v>
      </c>
      <c r="J3066" s="2">
        <f>IF(payments_raw[[#This Row],[amount]] &lt;= 0, 1, 0)</f>
        <v>0</v>
      </c>
      <c r="K30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7" spans="1:11" x14ac:dyDescent="0.3">
      <c r="A3067">
        <v>21694111</v>
      </c>
      <c r="B3067">
        <v>8612879</v>
      </c>
      <c r="C3067" s="1">
        <v>45326</v>
      </c>
      <c r="D3067">
        <v>390</v>
      </c>
      <c r="E3067">
        <f>IF(
  ISNA(
    _xlfn.XLOOKUP(
      payments_raw[[#This Row],[subscription_id]],
      subscriptions[subscription_id],
      subscriptions[subscription_id]
    )
  ),
  0,
  1
)</f>
        <v>1</v>
      </c>
      <c r="F3067" s="1">
        <f>_xlfn.XLOOKUP(payments_raw[[#This Row],[subscription_id]], subscriptions[subscription_id], subscriptions[start_date])</f>
        <v>44795</v>
      </c>
      <c r="G30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7" s="2">
        <f>IF(payments_raw[[#This Row],[payment_date]] &lt; payments_raw[[#This Row],[sub_start_date]], 1, 0)</f>
        <v>0</v>
      </c>
      <c r="I3067" s="2">
        <f>IF(AND(payments_raw[[#This Row],[sub_end_date]]&lt;&gt;"", payments_raw[[#This Row],[payment_date]] &gt; payments_raw[[#This Row],[sub_end_date]]), 1, 0)</f>
        <v>0</v>
      </c>
      <c r="J3067" s="2">
        <f>IF(payments_raw[[#This Row],[amount]] &lt;= 0, 1, 0)</f>
        <v>0</v>
      </c>
      <c r="K30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8" spans="1:11" x14ac:dyDescent="0.3">
      <c r="A3068">
        <v>79461592</v>
      </c>
      <c r="B3068">
        <v>8938605</v>
      </c>
      <c r="C3068" s="1">
        <v>45599</v>
      </c>
      <c r="D3068">
        <v>299</v>
      </c>
      <c r="E3068">
        <f>IF(
  ISNA(
    _xlfn.XLOOKUP(
      payments_raw[[#This Row],[subscription_id]],
      subscriptions[subscription_id],
      subscriptions[subscription_id]
    )
  ),
  0,
  1
)</f>
        <v>1</v>
      </c>
      <c r="F3068" s="1">
        <f>_xlfn.XLOOKUP(payments_raw[[#This Row],[subscription_id]], subscriptions[subscription_id], subscriptions[start_date])</f>
        <v>45288</v>
      </c>
      <c r="G30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8" s="2">
        <f>IF(payments_raw[[#This Row],[payment_date]] &lt; payments_raw[[#This Row],[sub_start_date]], 1, 0)</f>
        <v>0</v>
      </c>
      <c r="I3068" s="2">
        <f>IF(AND(payments_raw[[#This Row],[sub_end_date]]&lt;&gt;"", payments_raw[[#This Row],[payment_date]] &gt; payments_raw[[#This Row],[sub_end_date]]), 1, 0)</f>
        <v>0</v>
      </c>
      <c r="J3068" s="2">
        <f>IF(payments_raw[[#This Row],[amount]] &lt;= 0, 1, 0)</f>
        <v>0</v>
      </c>
      <c r="K30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69" spans="1:11" x14ac:dyDescent="0.3">
      <c r="A3069">
        <v>18027625</v>
      </c>
      <c r="B3069">
        <v>1085400</v>
      </c>
      <c r="C3069" s="1">
        <v>45481</v>
      </c>
      <c r="D3069">
        <v>2990</v>
      </c>
      <c r="E3069">
        <f>IF(
  ISNA(
    _xlfn.XLOOKUP(
      payments_raw[[#This Row],[subscription_id]],
      subscriptions[subscription_id],
      subscriptions[subscription_id]
    )
  ),
  0,
  1
)</f>
        <v>1</v>
      </c>
      <c r="F3069" s="1">
        <f>_xlfn.XLOOKUP(payments_raw[[#This Row],[subscription_id]], subscriptions[subscription_id], subscriptions[start_date])</f>
        <v>45443</v>
      </c>
      <c r="G30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69" s="2">
        <f>IF(payments_raw[[#This Row],[payment_date]] &lt; payments_raw[[#This Row],[sub_start_date]], 1, 0)</f>
        <v>0</v>
      </c>
      <c r="I3069" s="2">
        <f>IF(AND(payments_raw[[#This Row],[sub_end_date]]&lt;&gt;"", payments_raw[[#This Row],[payment_date]] &gt; payments_raw[[#This Row],[sub_end_date]]), 1, 0)</f>
        <v>0</v>
      </c>
      <c r="J3069" s="2">
        <f>IF(payments_raw[[#This Row],[amount]] &lt;= 0, 1, 0)</f>
        <v>0</v>
      </c>
      <c r="K30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0" spans="1:11" x14ac:dyDescent="0.3">
      <c r="A3070">
        <v>32405926</v>
      </c>
      <c r="B3070">
        <v>3707912</v>
      </c>
      <c r="C3070" s="1">
        <v>45622</v>
      </c>
      <c r="D3070">
        <v>149</v>
      </c>
      <c r="E3070">
        <f>IF(
  ISNA(
    _xlfn.XLOOKUP(
      payments_raw[[#This Row],[subscription_id]],
      subscriptions[subscription_id],
      subscriptions[subscription_id]
    )
  ),
  0,
  1
)</f>
        <v>1</v>
      </c>
      <c r="F3070" s="1">
        <f>_xlfn.XLOOKUP(payments_raw[[#This Row],[subscription_id]], subscriptions[subscription_id], subscriptions[start_date])</f>
        <v>45327</v>
      </c>
      <c r="G30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0" s="2">
        <f>IF(payments_raw[[#This Row],[payment_date]] &lt; payments_raw[[#This Row],[sub_start_date]], 1, 0)</f>
        <v>0</v>
      </c>
      <c r="I3070" s="2">
        <f>IF(AND(payments_raw[[#This Row],[sub_end_date]]&lt;&gt;"", payments_raw[[#This Row],[payment_date]] &gt; payments_raw[[#This Row],[sub_end_date]]), 1, 0)</f>
        <v>0</v>
      </c>
      <c r="J3070" s="2">
        <f>IF(payments_raw[[#This Row],[amount]] &lt;= 0, 1, 0)</f>
        <v>0</v>
      </c>
      <c r="K30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1" spans="1:11" x14ac:dyDescent="0.3">
      <c r="A3071">
        <v>11488873</v>
      </c>
      <c r="B3071">
        <v>8755747</v>
      </c>
      <c r="C3071" s="1">
        <v>45548</v>
      </c>
      <c r="D3071">
        <v>1490</v>
      </c>
      <c r="E3071">
        <f>IF(
  ISNA(
    _xlfn.XLOOKUP(
      payments_raw[[#This Row],[subscription_id]],
      subscriptions[subscription_id],
      subscriptions[subscription_id]
    )
  ),
  0,
  1
)</f>
        <v>1</v>
      </c>
      <c r="F3071" s="1">
        <f>_xlfn.XLOOKUP(payments_raw[[#This Row],[subscription_id]], subscriptions[subscription_id], subscriptions[start_date])</f>
        <v>44753</v>
      </c>
      <c r="G307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1" s="2">
        <f>IF(payments_raw[[#This Row],[payment_date]] &lt; payments_raw[[#This Row],[sub_start_date]], 1, 0)</f>
        <v>0</v>
      </c>
      <c r="I3071" s="2">
        <f>IF(AND(payments_raw[[#This Row],[sub_end_date]]&lt;&gt;"", payments_raw[[#This Row],[payment_date]] &gt; payments_raw[[#This Row],[sub_end_date]]), 1, 0)</f>
        <v>0</v>
      </c>
      <c r="J3071" s="2">
        <f>IF(payments_raw[[#This Row],[amount]] &lt;= 0, 1, 0)</f>
        <v>0</v>
      </c>
      <c r="K30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2" spans="1:11" x14ac:dyDescent="0.3">
      <c r="A3072">
        <v>54898716</v>
      </c>
      <c r="B3072">
        <v>2299884</v>
      </c>
      <c r="C3072" s="1">
        <v>45480</v>
      </c>
      <c r="D3072">
        <v>79</v>
      </c>
      <c r="E3072">
        <f>IF(
  ISNA(
    _xlfn.XLOOKUP(
      payments_raw[[#This Row],[subscription_id]],
      subscriptions[subscription_id],
      subscriptions[subscription_id]
    )
  ),
  0,
  1
)</f>
        <v>1</v>
      </c>
      <c r="F3072" s="1">
        <f>_xlfn.XLOOKUP(payments_raw[[#This Row],[subscription_id]], subscriptions[subscription_id], subscriptions[start_date])</f>
        <v>45470</v>
      </c>
      <c r="G30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2" s="2">
        <f>IF(payments_raw[[#This Row],[payment_date]] &lt; payments_raw[[#This Row],[sub_start_date]], 1, 0)</f>
        <v>0</v>
      </c>
      <c r="I3072" s="2">
        <f>IF(AND(payments_raw[[#This Row],[sub_end_date]]&lt;&gt;"", payments_raw[[#This Row],[payment_date]] &gt; payments_raw[[#This Row],[sub_end_date]]), 1, 0)</f>
        <v>0</v>
      </c>
      <c r="J3072" s="2">
        <f>IF(payments_raw[[#This Row],[amount]] &lt;= 0, 1, 0)</f>
        <v>0</v>
      </c>
      <c r="K30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3" spans="1:11" x14ac:dyDescent="0.3">
      <c r="A3073">
        <v>97216300</v>
      </c>
      <c r="B3073">
        <v>3400426</v>
      </c>
      <c r="C3073" s="1">
        <v>45622</v>
      </c>
      <c r="D3073">
        <v>39</v>
      </c>
      <c r="E3073">
        <f>IF(
  ISNA(
    _xlfn.XLOOKUP(
      payments_raw[[#This Row],[subscription_id]],
      subscriptions[subscription_id],
      subscriptions[subscription_id]
    )
  ),
  0,
  1
)</f>
        <v>1</v>
      </c>
      <c r="F3073" s="1">
        <f>_xlfn.XLOOKUP(payments_raw[[#This Row],[subscription_id]], subscriptions[subscription_id], subscriptions[start_date])</f>
        <v>45335</v>
      </c>
      <c r="G30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45644</v>
      </c>
      <c r="H3073" s="2">
        <f>IF(payments_raw[[#This Row],[payment_date]] &lt; payments_raw[[#This Row],[sub_start_date]], 1, 0)</f>
        <v>0</v>
      </c>
      <c r="I3073" s="2">
        <f>IF(AND(payments_raw[[#This Row],[sub_end_date]]&lt;&gt;"", payments_raw[[#This Row],[payment_date]] &gt; payments_raw[[#This Row],[sub_end_date]]), 1, 0)</f>
        <v>0</v>
      </c>
      <c r="J3073" s="2">
        <f>IF(payments_raw[[#This Row],[amount]] &lt;= 0, 1, 0)</f>
        <v>0</v>
      </c>
      <c r="K30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4" spans="1:11" x14ac:dyDescent="0.3">
      <c r="A3074">
        <v>48930648</v>
      </c>
      <c r="B3074">
        <v>4892874</v>
      </c>
      <c r="C3074" s="1">
        <v>44991</v>
      </c>
      <c r="D3074">
        <v>19</v>
      </c>
      <c r="E3074">
        <f>IF(
  ISNA(
    _xlfn.XLOOKUP(
      payments_raw[[#This Row],[subscription_id]],
      subscriptions[subscription_id],
      subscriptions[subscription_id]
    )
  ),
  0,
  1
)</f>
        <v>1</v>
      </c>
      <c r="F3074" s="1">
        <f>_xlfn.XLOOKUP(payments_raw[[#This Row],[subscription_id]], subscriptions[subscription_id], subscriptions[start_date])</f>
        <v>44750</v>
      </c>
      <c r="G30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4" s="2">
        <f>IF(payments_raw[[#This Row],[payment_date]] &lt; payments_raw[[#This Row],[sub_start_date]], 1, 0)</f>
        <v>0</v>
      </c>
      <c r="I3074" s="2">
        <f>IF(AND(payments_raw[[#This Row],[sub_end_date]]&lt;&gt;"", payments_raw[[#This Row],[payment_date]] &gt; payments_raw[[#This Row],[sub_end_date]]), 1, 0)</f>
        <v>0</v>
      </c>
      <c r="J3074" s="2">
        <f>IF(payments_raw[[#This Row],[amount]] &lt;= 0, 1, 0)</f>
        <v>0</v>
      </c>
      <c r="K30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5" spans="1:11" x14ac:dyDescent="0.3">
      <c r="A3075">
        <v>67499502</v>
      </c>
      <c r="B3075">
        <v>8827453</v>
      </c>
      <c r="C3075" s="1">
        <v>45431</v>
      </c>
      <c r="D3075">
        <v>2990</v>
      </c>
      <c r="E3075">
        <f>IF(
  ISNA(
    _xlfn.XLOOKUP(
      payments_raw[[#This Row],[subscription_id]],
      subscriptions[subscription_id],
      subscriptions[subscription_id]
    )
  ),
  0,
  1
)</f>
        <v>1</v>
      </c>
      <c r="F3075" s="1">
        <f>_xlfn.XLOOKUP(payments_raw[[#This Row],[subscription_id]], subscriptions[subscription_id], subscriptions[start_date])</f>
        <v>45423</v>
      </c>
      <c r="G30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3075" s="2">
        <f>IF(payments_raw[[#This Row],[payment_date]] &lt; payments_raw[[#This Row],[sub_start_date]], 1, 0)</f>
        <v>0</v>
      </c>
      <c r="I3075" s="2">
        <f>IF(AND(payments_raw[[#This Row],[sub_end_date]]&lt;&gt;"", payments_raw[[#This Row],[payment_date]] &gt; payments_raw[[#This Row],[sub_end_date]]), 1, 0)</f>
        <v>0</v>
      </c>
      <c r="J3075" s="2">
        <f>IF(payments_raw[[#This Row],[amount]] &lt;= 0, 1, 0)</f>
        <v>0</v>
      </c>
      <c r="K30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6" spans="1:11" x14ac:dyDescent="0.3">
      <c r="A3076">
        <v>14899615</v>
      </c>
      <c r="B3076">
        <v>6749416</v>
      </c>
      <c r="C3076" s="1">
        <v>45360</v>
      </c>
      <c r="D3076">
        <v>299</v>
      </c>
      <c r="E3076">
        <f>IF(
  ISNA(
    _xlfn.XLOOKUP(
      payments_raw[[#This Row],[subscription_id]],
      subscriptions[subscription_id],
      subscriptions[subscription_id]
    )
  ),
  0,
  1
)</f>
        <v>1</v>
      </c>
      <c r="F3076" s="1">
        <f>_xlfn.XLOOKUP(payments_raw[[#This Row],[subscription_id]], subscriptions[subscription_id], subscriptions[start_date])</f>
        <v>45127</v>
      </c>
      <c r="G30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6" s="2">
        <f>IF(payments_raw[[#This Row],[payment_date]] &lt; payments_raw[[#This Row],[sub_start_date]], 1, 0)</f>
        <v>0</v>
      </c>
      <c r="I3076" s="2">
        <f>IF(AND(payments_raw[[#This Row],[sub_end_date]]&lt;&gt;"", payments_raw[[#This Row],[payment_date]] &gt; payments_raw[[#This Row],[sub_end_date]]), 1, 0)</f>
        <v>0</v>
      </c>
      <c r="J3076" s="2">
        <f>IF(payments_raw[[#This Row],[amount]] &lt;= 0, 1, 0)</f>
        <v>0</v>
      </c>
      <c r="K30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7" spans="1:11" x14ac:dyDescent="0.3">
      <c r="A3077">
        <v>69620458</v>
      </c>
      <c r="B3077">
        <v>4937710</v>
      </c>
      <c r="C3077" s="1">
        <v>45353</v>
      </c>
      <c r="D3077">
        <v>299</v>
      </c>
      <c r="E3077">
        <f>IF(
  ISNA(
    _xlfn.XLOOKUP(
      payments_raw[[#This Row],[subscription_id]],
      subscriptions[subscription_id],
      subscriptions[subscription_id]
    )
  ),
  0,
  1
)</f>
        <v>1</v>
      </c>
      <c r="F3077" s="1">
        <f>_xlfn.XLOOKUP(payments_raw[[#This Row],[subscription_id]], subscriptions[subscription_id], subscriptions[start_date])</f>
        <v>45217</v>
      </c>
      <c r="G30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7" s="2">
        <f>IF(payments_raw[[#This Row],[payment_date]] &lt; payments_raw[[#This Row],[sub_start_date]], 1, 0)</f>
        <v>0</v>
      </c>
      <c r="I3077" s="2">
        <f>IF(AND(payments_raw[[#This Row],[sub_end_date]]&lt;&gt;"", payments_raw[[#This Row],[payment_date]] &gt; payments_raw[[#This Row],[sub_end_date]]), 1, 0)</f>
        <v>0</v>
      </c>
      <c r="J3077" s="2">
        <f>IF(payments_raw[[#This Row],[amount]] &lt;= 0, 1, 0)</f>
        <v>0</v>
      </c>
      <c r="K30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8" spans="1:11" x14ac:dyDescent="0.3">
      <c r="A3078">
        <v>89475703</v>
      </c>
      <c r="B3078">
        <v>3053134</v>
      </c>
      <c r="C3078" s="1">
        <v>45240</v>
      </c>
      <c r="D3078">
        <v>390</v>
      </c>
      <c r="E3078">
        <f>IF(
  ISNA(
    _xlfn.XLOOKUP(
      payments_raw[[#This Row],[subscription_id]],
      subscriptions[subscription_id],
      subscriptions[subscription_id]
    )
  ),
  0,
  1
)</f>
        <v>1</v>
      </c>
      <c r="F3078" s="1">
        <f>_xlfn.XLOOKUP(payments_raw[[#This Row],[subscription_id]], subscriptions[subscription_id], subscriptions[start_date])</f>
        <v>44719</v>
      </c>
      <c r="G30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8" s="2">
        <f>IF(payments_raw[[#This Row],[payment_date]] &lt; payments_raw[[#This Row],[sub_start_date]], 1, 0)</f>
        <v>0</v>
      </c>
      <c r="I3078" s="2">
        <f>IF(AND(payments_raw[[#This Row],[sub_end_date]]&lt;&gt;"", payments_raw[[#This Row],[payment_date]] &gt; payments_raw[[#This Row],[sub_end_date]]), 1, 0)</f>
        <v>0</v>
      </c>
      <c r="J3078" s="2">
        <f>IF(payments_raw[[#This Row],[amount]] &lt;= 0, 1, 0)</f>
        <v>0</v>
      </c>
      <c r="K30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79" spans="1:11" x14ac:dyDescent="0.3">
      <c r="A3079">
        <v>13630559</v>
      </c>
      <c r="B3079">
        <v>6418889</v>
      </c>
      <c r="C3079" s="1">
        <v>45526</v>
      </c>
      <c r="D3079">
        <v>299</v>
      </c>
      <c r="E3079">
        <f>IF(
  ISNA(
    _xlfn.XLOOKUP(
      payments_raw[[#This Row],[subscription_id]],
      subscriptions[subscription_id],
      subscriptions[subscription_id]
    )
  ),
  0,
  1
)</f>
        <v>1</v>
      </c>
      <c r="F3079" s="1">
        <f>_xlfn.XLOOKUP(payments_raw[[#This Row],[subscription_id]], subscriptions[subscription_id], subscriptions[start_date])</f>
        <v>45324</v>
      </c>
      <c r="G30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79" s="2">
        <f>IF(payments_raw[[#This Row],[payment_date]] &lt; payments_raw[[#This Row],[sub_start_date]], 1, 0)</f>
        <v>0</v>
      </c>
      <c r="I3079" s="2">
        <f>IF(AND(payments_raw[[#This Row],[sub_end_date]]&lt;&gt;"", payments_raw[[#This Row],[payment_date]] &gt; payments_raw[[#This Row],[sub_end_date]]), 1, 0)</f>
        <v>0</v>
      </c>
      <c r="J3079" s="2">
        <f>IF(payments_raw[[#This Row],[amount]] &lt;= 0, 1, 0)</f>
        <v>0</v>
      </c>
      <c r="K30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0" spans="1:11" x14ac:dyDescent="0.3">
      <c r="A3080">
        <v>69060043</v>
      </c>
      <c r="B3080">
        <v>5058134</v>
      </c>
      <c r="C3080" s="1">
        <v>45032</v>
      </c>
      <c r="D3080">
        <v>111.75</v>
      </c>
      <c r="E3080">
        <f>IF(
  ISNA(
    _xlfn.XLOOKUP(
      payments_raw[[#This Row],[subscription_id]],
      subscriptions[subscription_id],
      subscriptions[subscription_id]
    )
  ),
  0,
  1
)</f>
        <v>1</v>
      </c>
      <c r="F3080" s="1">
        <f>_xlfn.XLOOKUP(payments_raw[[#This Row],[subscription_id]], subscriptions[subscription_id], subscriptions[start_date])</f>
        <v>44924</v>
      </c>
      <c r="G30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45210</v>
      </c>
      <c r="H3080" s="2">
        <f>IF(payments_raw[[#This Row],[payment_date]] &lt; payments_raw[[#This Row],[sub_start_date]], 1, 0)</f>
        <v>0</v>
      </c>
      <c r="I3080" s="2">
        <f>IF(AND(payments_raw[[#This Row],[sub_end_date]]&lt;&gt;"", payments_raw[[#This Row],[payment_date]] &gt; payments_raw[[#This Row],[sub_end_date]]), 1, 0)</f>
        <v>0</v>
      </c>
      <c r="J3080" s="2">
        <f>IF(payments_raw[[#This Row],[amount]] &lt;= 0, 1, 0)</f>
        <v>0</v>
      </c>
      <c r="K30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1" spans="1:11" x14ac:dyDescent="0.3">
      <c r="A3081">
        <v>73216979</v>
      </c>
      <c r="B3081">
        <v>6153067</v>
      </c>
      <c r="C3081" s="1">
        <v>45488</v>
      </c>
      <c r="D3081">
        <v>2990</v>
      </c>
      <c r="E3081">
        <f>IF(
  ISNA(
    _xlfn.XLOOKUP(
      payments_raw[[#This Row],[subscription_id]],
      subscriptions[subscription_id],
      subscriptions[subscription_id]
    )
  ),
  0,
  1
)</f>
        <v>1</v>
      </c>
      <c r="F3081" s="1">
        <f>_xlfn.XLOOKUP(payments_raw[[#This Row],[subscription_id]], subscriptions[subscription_id], subscriptions[start_date])</f>
        <v>44771</v>
      </c>
      <c r="G30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1" s="2">
        <f>IF(payments_raw[[#This Row],[payment_date]] &lt; payments_raw[[#This Row],[sub_start_date]], 1, 0)</f>
        <v>0</v>
      </c>
      <c r="I3081" s="2">
        <f>IF(AND(payments_raw[[#This Row],[sub_end_date]]&lt;&gt;"", payments_raw[[#This Row],[payment_date]] &gt; payments_raw[[#This Row],[sub_end_date]]), 1, 0)</f>
        <v>0</v>
      </c>
      <c r="J3081" s="2">
        <f>IF(payments_raw[[#This Row],[amount]] &lt;= 0, 1, 0)</f>
        <v>0</v>
      </c>
      <c r="K30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2" spans="1:11" x14ac:dyDescent="0.3">
      <c r="A3082">
        <v>26138711</v>
      </c>
      <c r="B3082">
        <v>2480282</v>
      </c>
      <c r="C3082" s="1">
        <v>45494</v>
      </c>
      <c r="D3082">
        <v>390</v>
      </c>
      <c r="E3082">
        <f>IF(
  ISNA(
    _xlfn.XLOOKUP(
      payments_raw[[#This Row],[subscription_id]],
      subscriptions[subscription_id],
      subscriptions[subscription_id]
    )
  ),
  0,
  1
)</f>
        <v>1</v>
      </c>
      <c r="F3082" s="1">
        <f>_xlfn.XLOOKUP(payments_raw[[#This Row],[subscription_id]], subscriptions[subscription_id], subscriptions[start_date])</f>
        <v>45214</v>
      </c>
      <c r="G30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2" s="2">
        <f>IF(payments_raw[[#This Row],[payment_date]] &lt; payments_raw[[#This Row],[sub_start_date]], 1, 0)</f>
        <v>0</v>
      </c>
      <c r="I3082" s="2">
        <f>IF(AND(payments_raw[[#This Row],[sub_end_date]]&lt;&gt;"", payments_raw[[#This Row],[payment_date]] &gt; payments_raw[[#This Row],[sub_end_date]]), 1, 0)</f>
        <v>0</v>
      </c>
      <c r="J3082" s="2">
        <f>IF(payments_raw[[#This Row],[amount]] &lt;= 0, 1, 0)</f>
        <v>0</v>
      </c>
      <c r="K30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3" spans="1:11" x14ac:dyDescent="0.3">
      <c r="A3083">
        <v>34566728</v>
      </c>
      <c r="B3083">
        <v>7861979</v>
      </c>
      <c r="C3083" s="1">
        <v>45438</v>
      </c>
      <c r="D3083">
        <v>190</v>
      </c>
      <c r="E3083">
        <f>IF(
  ISNA(
    _xlfn.XLOOKUP(
      payments_raw[[#This Row],[subscription_id]],
      subscriptions[subscription_id],
      subscriptions[subscription_id]
    )
  ),
  0,
  1
)</f>
        <v>1</v>
      </c>
      <c r="F3083" s="1">
        <f>_xlfn.XLOOKUP(payments_raw[[#This Row],[subscription_id]], subscriptions[subscription_id], subscriptions[start_date])</f>
        <v>44686</v>
      </c>
      <c r="G30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3" s="2">
        <f>IF(payments_raw[[#This Row],[payment_date]] &lt; payments_raw[[#This Row],[sub_start_date]], 1, 0)</f>
        <v>0</v>
      </c>
      <c r="I3083" s="2">
        <f>IF(AND(payments_raw[[#This Row],[sub_end_date]]&lt;&gt;"", payments_raw[[#This Row],[payment_date]] &gt; payments_raw[[#This Row],[sub_end_date]]), 1, 0)</f>
        <v>0</v>
      </c>
      <c r="J3083" s="2">
        <f>IF(payments_raw[[#This Row],[amount]] &lt;= 0, 1, 0)</f>
        <v>0</v>
      </c>
      <c r="K30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4" spans="1:11" x14ac:dyDescent="0.3">
      <c r="A3084">
        <v>65071226</v>
      </c>
      <c r="B3084">
        <v>7777424</v>
      </c>
      <c r="C3084" s="1">
        <v>45631</v>
      </c>
      <c r="D3084">
        <v>190</v>
      </c>
      <c r="E3084">
        <f>IF(
  ISNA(
    _xlfn.XLOOKUP(
      payments_raw[[#This Row],[subscription_id]],
      subscriptions[subscription_id],
      subscriptions[subscription_id]
    )
  ),
  0,
  1
)</f>
        <v>1</v>
      </c>
      <c r="F3084" s="1">
        <f>_xlfn.XLOOKUP(payments_raw[[#This Row],[subscription_id]], subscriptions[subscription_id], subscriptions[start_date])</f>
        <v>45575</v>
      </c>
      <c r="G30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45631</v>
      </c>
      <c r="H3084" s="2">
        <f>IF(payments_raw[[#This Row],[payment_date]] &lt; payments_raw[[#This Row],[sub_start_date]], 1, 0)</f>
        <v>0</v>
      </c>
      <c r="I3084" s="2">
        <f>IF(AND(payments_raw[[#This Row],[sub_end_date]]&lt;&gt;"", payments_raw[[#This Row],[payment_date]] &gt; payments_raw[[#This Row],[sub_end_date]]), 1, 0)</f>
        <v>0</v>
      </c>
      <c r="J3084" s="2">
        <f>IF(payments_raw[[#This Row],[amount]] &lt;= 0, 1, 0)</f>
        <v>0</v>
      </c>
      <c r="K30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5" spans="1:11" x14ac:dyDescent="0.3">
      <c r="A3085">
        <v>87126347</v>
      </c>
      <c r="B3085">
        <v>1082902</v>
      </c>
      <c r="C3085" s="1">
        <v>45326</v>
      </c>
      <c r="D3085">
        <v>790</v>
      </c>
      <c r="E3085">
        <f>IF(
  ISNA(
    _xlfn.XLOOKUP(
      payments_raw[[#This Row],[subscription_id]],
      subscriptions[subscription_id],
      subscriptions[subscription_id]
    )
  ),
  0,
  1
)</f>
        <v>1</v>
      </c>
      <c r="F3085" s="1">
        <f>_xlfn.XLOOKUP(payments_raw[[#This Row],[subscription_id]], subscriptions[subscription_id], subscriptions[start_date])</f>
        <v>44669</v>
      </c>
      <c r="G30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5" s="2">
        <f>IF(payments_raw[[#This Row],[payment_date]] &lt; payments_raw[[#This Row],[sub_start_date]], 1, 0)</f>
        <v>0</v>
      </c>
      <c r="I3085" s="2">
        <f>IF(AND(payments_raw[[#This Row],[sub_end_date]]&lt;&gt;"", payments_raw[[#This Row],[payment_date]] &gt; payments_raw[[#This Row],[sub_end_date]]), 1, 0)</f>
        <v>0</v>
      </c>
      <c r="J3085" s="2">
        <f>IF(payments_raw[[#This Row],[amount]] &lt;= 0, 1, 0)</f>
        <v>0</v>
      </c>
      <c r="K30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6" spans="1:11" x14ac:dyDescent="0.3">
      <c r="A3086">
        <v>20909520</v>
      </c>
      <c r="B3086">
        <v>9158676</v>
      </c>
      <c r="C3086" s="1">
        <v>45005</v>
      </c>
      <c r="D3086">
        <v>2990</v>
      </c>
      <c r="E3086">
        <f>IF(
  ISNA(
    _xlfn.XLOOKUP(
      payments_raw[[#This Row],[subscription_id]],
      subscriptions[subscription_id],
      subscriptions[subscription_id]
    )
  ),
  0,
  1
)</f>
        <v>1</v>
      </c>
      <c r="F3086" s="1">
        <f>_xlfn.XLOOKUP(payments_raw[[#This Row],[subscription_id]], subscriptions[subscription_id], subscriptions[start_date])</f>
        <v>44997</v>
      </c>
      <c r="G30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45270</v>
      </c>
      <c r="H3086" s="2">
        <f>IF(payments_raw[[#This Row],[payment_date]] &lt; payments_raw[[#This Row],[sub_start_date]], 1, 0)</f>
        <v>0</v>
      </c>
      <c r="I3086" s="2">
        <f>IF(AND(payments_raw[[#This Row],[sub_end_date]]&lt;&gt;"", payments_raw[[#This Row],[payment_date]] &gt; payments_raw[[#This Row],[sub_end_date]]), 1, 0)</f>
        <v>0</v>
      </c>
      <c r="J3086" s="2">
        <f>IF(payments_raw[[#This Row],[amount]] &lt;= 0, 1, 0)</f>
        <v>0</v>
      </c>
      <c r="K30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7" spans="1:11" x14ac:dyDescent="0.3">
      <c r="A3087">
        <v>70682782</v>
      </c>
      <c r="B3087">
        <v>2685367</v>
      </c>
      <c r="C3087" s="1">
        <v>45610</v>
      </c>
      <c r="D3087">
        <v>190</v>
      </c>
      <c r="E3087">
        <f>IF(
  ISNA(
    _xlfn.XLOOKUP(
      payments_raw[[#This Row],[subscription_id]],
      subscriptions[subscription_id],
      subscriptions[subscription_id]
    )
  ),
  0,
  1
)</f>
        <v>1</v>
      </c>
      <c r="F3087" s="1">
        <f>_xlfn.XLOOKUP(payments_raw[[#This Row],[subscription_id]], subscriptions[subscription_id], subscriptions[start_date])</f>
        <v>45350</v>
      </c>
      <c r="G30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7" s="2">
        <f>IF(payments_raw[[#This Row],[payment_date]] &lt; payments_raw[[#This Row],[sub_start_date]], 1, 0)</f>
        <v>0</v>
      </c>
      <c r="I3087" s="2">
        <f>IF(AND(payments_raw[[#This Row],[sub_end_date]]&lt;&gt;"", payments_raw[[#This Row],[payment_date]] &gt; payments_raw[[#This Row],[sub_end_date]]), 1, 0)</f>
        <v>0</v>
      </c>
      <c r="J3087" s="2">
        <f>IF(payments_raw[[#This Row],[amount]] &lt;= 0, 1, 0)</f>
        <v>0</v>
      </c>
      <c r="K30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8" spans="1:11" x14ac:dyDescent="0.3">
      <c r="A3088">
        <v>67835480</v>
      </c>
      <c r="B3088">
        <v>6400269</v>
      </c>
      <c r="C3088" s="1">
        <v>45425</v>
      </c>
      <c r="D3088">
        <v>190</v>
      </c>
      <c r="E3088">
        <f>IF(
  ISNA(
    _xlfn.XLOOKUP(
      payments_raw[[#This Row],[subscription_id]],
      subscriptions[subscription_id],
      subscriptions[subscription_id]
    )
  ),
  0,
  1
)</f>
        <v>1</v>
      </c>
      <c r="F3088" s="1">
        <f>_xlfn.XLOOKUP(payments_raw[[#This Row],[subscription_id]], subscriptions[subscription_id], subscriptions[start_date])</f>
        <v>45383</v>
      </c>
      <c r="G30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45501</v>
      </c>
      <c r="H3088" s="2">
        <f>IF(payments_raw[[#This Row],[payment_date]] &lt; payments_raw[[#This Row],[sub_start_date]], 1, 0)</f>
        <v>0</v>
      </c>
      <c r="I3088" s="2">
        <f>IF(AND(payments_raw[[#This Row],[sub_end_date]]&lt;&gt;"", payments_raw[[#This Row],[payment_date]] &gt; payments_raw[[#This Row],[sub_end_date]]), 1, 0)</f>
        <v>0</v>
      </c>
      <c r="J3088" s="2">
        <f>IF(payments_raw[[#This Row],[amount]] &lt;= 0, 1, 0)</f>
        <v>0</v>
      </c>
      <c r="K30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89" spans="1:11" x14ac:dyDescent="0.3">
      <c r="A3089">
        <v>54223450</v>
      </c>
      <c r="B3089">
        <v>5595368</v>
      </c>
      <c r="C3089" s="1">
        <v>45414</v>
      </c>
      <c r="D3089">
        <v>790</v>
      </c>
      <c r="E3089">
        <f>IF(
  ISNA(
    _xlfn.XLOOKUP(
      payments_raw[[#This Row],[subscription_id]],
      subscriptions[subscription_id],
      subscriptions[subscription_id]
    )
  ),
  0,
  1
)</f>
        <v>1</v>
      </c>
      <c r="F3089" s="1">
        <f>_xlfn.XLOOKUP(payments_raw[[#This Row],[subscription_id]], subscriptions[subscription_id], subscriptions[start_date])</f>
        <v>45391</v>
      </c>
      <c r="G30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89" s="2">
        <f>IF(payments_raw[[#This Row],[payment_date]] &lt; payments_raw[[#This Row],[sub_start_date]], 1, 0)</f>
        <v>0</v>
      </c>
      <c r="I3089" s="2">
        <f>IF(AND(payments_raw[[#This Row],[sub_end_date]]&lt;&gt;"", payments_raw[[#This Row],[payment_date]] &gt; payments_raw[[#This Row],[sub_end_date]]), 1, 0)</f>
        <v>0</v>
      </c>
      <c r="J3089" s="2">
        <f>IF(payments_raw[[#This Row],[amount]] &lt;= 0, 1, 0)</f>
        <v>0</v>
      </c>
      <c r="K30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0" spans="1:11" x14ac:dyDescent="0.3">
      <c r="A3090">
        <v>37547678</v>
      </c>
      <c r="B3090">
        <v>9770547</v>
      </c>
      <c r="C3090" s="1">
        <v>44931</v>
      </c>
      <c r="D3090">
        <v>39</v>
      </c>
      <c r="E3090">
        <f>IF(
  ISNA(
    _xlfn.XLOOKUP(
      payments_raw[[#This Row],[subscription_id]],
      subscriptions[subscription_id],
      subscriptions[subscription_id]
    )
  ),
  0,
  1
)</f>
        <v>1</v>
      </c>
      <c r="F3090" s="1">
        <f>_xlfn.XLOOKUP(payments_raw[[#This Row],[subscription_id]], subscriptions[subscription_id], subscriptions[start_date])</f>
        <v>44638</v>
      </c>
      <c r="G309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44989</v>
      </c>
      <c r="H3090" s="2">
        <f>IF(payments_raw[[#This Row],[payment_date]] &lt; payments_raw[[#This Row],[sub_start_date]], 1, 0)</f>
        <v>0</v>
      </c>
      <c r="I3090" s="2">
        <f>IF(AND(payments_raw[[#This Row],[sub_end_date]]&lt;&gt;"", payments_raw[[#This Row],[payment_date]] &gt; payments_raw[[#This Row],[sub_end_date]]), 1, 0)</f>
        <v>0</v>
      </c>
      <c r="J3090" s="2">
        <f>IF(payments_raw[[#This Row],[amount]] &lt;= 0, 1, 0)</f>
        <v>0</v>
      </c>
      <c r="K30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1" spans="1:11" x14ac:dyDescent="0.3">
      <c r="A3091">
        <v>50893447</v>
      </c>
      <c r="B3091">
        <v>9181335</v>
      </c>
      <c r="C3091" s="1">
        <v>45472</v>
      </c>
      <c r="D3091">
        <v>39</v>
      </c>
      <c r="E3091">
        <f>IF(
  ISNA(
    _xlfn.XLOOKUP(
      payments_raw[[#This Row],[subscription_id]],
      subscriptions[subscription_id],
      subscriptions[subscription_id]
    )
  ),
  0,
  1
)</f>
        <v>1</v>
      </c>
      <c r="F3091" s="1">
        <f>_xlfn.XLOOKUP(payments_raw[[#This Row],[subscription_id]], subscriptions[subscription_id], subscriptions[start_date])</f>
        <v>44776</v>
      </c>
      <c r="G30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1" s="2">
        <f>IF(payments_raw[[#This Row],[payment_date]] &lt; payments_raw[[#This Row],[sub_start_date]], 1, 0)</f>
        <v>0</v>
      </c>
      <c r="I3091" s="2">
        <f>IF(AND(payments_raw[[#This Row],[sub_end_date]]&lt;&gt;"", payments_raw[[#This Row],[payment_date]] &gt; payments_raw[[#This Row],[sub_end_date]]), 1, 0)</f>
        <v>0</v>
      </c>
      <c r="J3091" s="2">
        <f>IF(payments_raw[[#This Row],[amount]] &lt;= 0, 1, 0)</f>
        <v>0</v>
      </c>
      <c r="K30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2" spans="1:11" x14ac:dyDescent="0.3">
      <c r="A3092">
        <v>79127130</v>
      </c>
      <c r="B3092">
        <v>6920939</v>
      </c>
      <c r="C3092" s="1">
        <v>45371</v>
      </c>
      <c r="D3092">
        <v>19</v>
      </c>
      <c r="E3092">
        <f>IF(
  ISNA(
    _xlfn.XLOOKUP(
      payments_raw[[#This Row],[subscription_id]],
      subscriptions[subscription_id],
      subscriptions[subscription_id]
    )
  ),
  0,
  1
)</f>
        <v>1</v>
      </c>
      <c r="F3092" s="1">
        <f>_xlfn.XLOOKUP(payments_raw[[#This Row],[subscription_id]], subscriptions[subscription_id], subscriptions[start_date])</f>
        <v>45327</v>
      </c>
      <c r="G30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45389</v>
      </c>
      <c r="H3092" s="2">
        <f>IF(payments_raw[[#This Row],[payment_date]] &lt; payments_raw[[#This Row],[sub_start_date]], 1, 0)</f>
        <v>0</v>
      </c>
      <c r="I3092" s="2">
        <f>IF(AND(payments_raw[[#This Row],[sub_end_date]]&lt;&gt;"", payments_raw[[#This Row],[payment_date]] &gt; payments_raw[[#This Row],[sub_end_date]]), 1, 0)</f>
        <v>0</v>
      </c>
      <c r="J3092" s="2">
        <f>IF(payments_raw[[#This Row],[amount]] &lt;= 0, 1, 0)</f>
        <v>0</v>
      </c>
      <c r="K30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3" spans="1:11" x14ac:dyDescent="0.3">
      <c r="A3093">
        <v>77607486</v>
      </c>
      <c r="B3093">
        <v>1684054</v>
      </c>
      <c r="C3093" s="1">
        <v>45558</v>
      </c>
      <c r="D3093">
        <v>190</v>
      </c>
      <c r="E3093">
        <f>IF(
  ISNA(
    _xlfn.XLOOKUP(
      payments_raw[[#This Row],[subscription_id]],
      subscriptions[subscription_id],
      subscriptions[subscription_id]
    )
  ),
  0,
  1
)</f>
        <v>1</v>
      </c>
      <c r="F3093" s="1">
        <f>_xlfn.XLOOKUP(payments_raw[[#This Row],[subscription_id]], subscriptions[subscription_id], subscriptions[start_date])</f>
        <v>45065</v>
      </c>
      <c r="G30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3" s="2">
        <f>IF(payments_raw[[#This Row],[payment_date]] &lt; payments_raw[[#This Row],[sub_start_date]], 1, 0)</f>
        <v>0</v>
      </c>
      <c r="I3093" s="2">
        <f>IF(AND(payments_raw[[#This Row],[sub_end_date]]&lt;&gt;"", payments_raw[[#This Row],[payment_date]] &gt; payments_raw[[#This Row],[sub_end_date]]), 1, 0)</f>
        <v>0</v>
      </c>
      <c r="J3093" s="2">
        <f>IF(payments_raw[[#This Row],[amount]] &lt;= 0, 1, 0)</f>
        <v>0</v>
      </c>
      <c r="K30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4" spans="1:11" x14ac:dyDescent="0.3">
      <c r="A3094">
        <v>13230673</v>
      </c>
      <c r="B3094">
        <v>4046988</v>
      </c>
      <c r="C3094" s="1">
        <v>45349</v>
      </c>
      <c r="D3094">
        <v>79</v>
      </c>
      <c r="E3094">
        <f>IF(
  ISNA(
    _xlfn.XLOOKUP(
      payments_raw[[#This Row],[subscription_id]],
      subscriptions[subscription_id],
      subscriptions[subscription_id]
    )
  ),
  0,
  1
)</f>
        <v>1</v>
      </c>
      <c r="F3094" s="1">
        <f>_xlfn.XLOOKUP(payments_raw[[#This Row],[subscription_id]], subscriptions[subscription_id], subscriptions[start_date])</f>
        <v>45309</v>
      </c>
      <c r="G30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45395</v>
      </c>
      <c r="H3094" s="2">
        <f>IF(payments_raw[[#This Row],[payment_date]] &lt; payments_raw[[#This Row],[sub_start_date]], 1, 0)</f>
        <v>0</v>
      </c>
      <c r="I3094" s="2">
        <f>IF(AND(payments_raw[[#This Row],[sub_end_date]]&lt;&gt;"", payments_raw[[#This Row],[payment_date]] &gt; payments_raw[[#This Row],[sub_end_date]]), 1, 0)</f>
        <v>0</v>
      </c>
      <c r="J3094" s="2">
        <f>IF(payments_raw[[#This Row],[amount]] &lt;= 0, 1, 0)</f>
        <v>0</v>
      </c>
      <c r="K30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5" spans="1:11" x14ac:dyDescent="0.3">
      <c r="A3095">
        <v>95588023</v>
      </c>
      <c r="B3095">
        <v>9513036</v>
      </c>
      <c r="C3095" s="1">
        <v>45029</v>
      </c>
      <c r="D3095">
        <v>79</v>
      </c>
      <c r="E3095">
        <f>IF(
  ISNA(
    _xlfn.XLOOKUP(
      payments_raw[[#This Row],[subscription_id]],
      subscriptions[subscription_id],
      subscriptions[subscription_id]
    )
  ),
  0,
  1
)</f>
        <v>1</v>
      </c>
      <c r="F3095" s="1">
        <f>_xlfn.XLOOKUP(payments_raw[[#This Row],[subscription_id]], subscriptions[subscription_id], subscriptions[start_date])</f>
        <v>44699</v>
      </c>
      <c r="G30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5" s="2">
        <f>IF(payments_raw[[#This Row],[payment_date]] &lt; payments_raw[[#This Row],[sub_start_date]], 1, 0)</f>
        <v>0</v>
      </c>
      <c r="I3095" s="2">
        <f>IF(AND(payments_raw[[#This Row],[sub_end_date]]&lt;&gt;"", payments_raw[[#This Row],[payment_date]] &gt; payments_raw[[#This Row],[sub_end_date]]), 1, 0)</f>
        <v>0</v>
      </c>
      <c r="J3095" s="2">
        <f>IF(payments_raw[[#This Row],[amount]] &lt;= 0, 1, 0)</f>
        <v>0</v>
      </c>
      <c r="K30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6" spans="1:11" x14ac:dyDescent="0.3">
      <c r="A3096">
        <v>95469933</v>
      </c>
      <c r="B3096">
        <v>2610210</v>
      </c>
      <c r="C3096" s="1">
        <v>45294</v>
      </c>
      <c r="D3096">
        <v>299</v>
      </c>
      <c r="E3096">
        <f>IF(
  ISNA(
    _xlfn.XLOOKUP(
      payments_raw[[#This Row],[subscription_id]],
      subscriptions[subscription_id],
      subscriptions[subscription_id]
    )
  ),
  0,
  1
)</f>
        <v>1</v>
      </c>
      <c r="F3096" s="1">
        <f>_xlfn.XLOOKUP(payments_raw[[#This Row],[subscription_id]], subscriptions[subscription_id], subscriptions[start_date])</f>
        <v>44985</v>
      </c>
      <c r="G30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6" s="2">
        <f>IF(payments_raw[[#This Row],[payment_date]] &lt; payments_raw[[#This Row],[sub_start_date]], 1, 0)</f>
        <v>0</v>
      </c>
      <c r="I3096" s="2">
        <f>IF(AND(payments_raw[[#This Row],[sub_end_date]]&lt;&gt;"", payments_raw[[#This Row],[payment_date]] &gt; payments_raw[[#This Row],[sub_end_date]]), 1, 0)</f>
        <v>0</v>
      </c>
      <c r="J3096" s="2">
        <f>IF(payments_raw[[#This Row],[amount]] &lt;= 0, 1, 0)</f>
        <v>0</v>
      </c>
      <c r="K30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7" spans="1:11" x14ac:dyDescent="0.3">
      <c r="A3097">
        <v>28656118</v>
      </c>
      <c r="B3097">
        <v>9044647</v>
      </c>
      <c r="C3097" s="1">
        <v>45137</v>
      </c>
      <c r="D3097">
        <v>39</v>
      </c>
      <c r="E3097">
        <f>IF(
  ISNA(
    _xlfn.XLOOKUP(
      payments_raw[[#This Row],[subscription_id]],
      subscriptions[subscription_id],
      subscriptions[subscription_id]
    )
  ),
  0,
  1
)</f>
        <v>1</v>
      </c>
      <c r="F3097" s="1">
        <f>_xlfn.XLOOKUP(payments_raw[[#This Row],[subscription_id]], subscriptions[subscription_id], subscriptions[start_date])</f>
        <v>45122</v>
      </c>
      <c r="G30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45200</v>
      </c>
      <c r="H3097" s="2">
        <f>IF(payments_raw[[#This Row],[payment_date]] &lt; payments_raw[[#This Row],[sub_start_date]], 1, 0)</f>
        <v>0</v>
      </c>
      <c r="I3097" s="2">
        <f>IF(AND(payments_raw[[#This Row],[sub_end_date]]&lt;&gt;"", payments_raw[[#This Row],[payment_date]] &gt; payments_raw[[#This Row],[sub_end_date]]), 1, 0)</f>
        <v>0</v>
      </c>
      <c r="J3097" s="2">
        <f>IF(payments_raw[[#This Row],[amount]] &lt;= 0, 1, 0)</f>
        <v>0</v>
      </c>
      <c r="K30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8" spans="1:11" x14ac:dyDescent="0.3">
      <c r="A3098">
        <v>17876259</v>
      </c>
      <c r="B3098">
        <v>3725015</v>
      </c>
      <c r="C3098" s="1">
        <v>45504</v>
      </c>
      <c r="D3098">
        <v>2990</v>
      </c>
      <c r="E3098">
        <f>IF(
  ISNA(
    _xlfn.XLOOKUP(
      payments_raw[[#This Row],[subscription_id]],
      subscriptions[subscription_id],
      subscriptions[subscription_id]
    )
  ),
  0,
  1
)</f>
        <v>1</v>
      </c>
      <c r="F3098" s="1">
        <f>_xlfn.XLOOKUP(payments_raw[[#This Row],[subscription_id]], subscriptions[subscription_id], subscriptions[start_date])</f>
        <v>45370</v>
      </c>
      <c r="G30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3098" s="2">
        <f>IF(payments_raw[[#This Row],[payment_date]] &lt; payments_raw[[#This Row],[sub_start_date]], 1, 0)</f>
        <v>0</v>
      </c>
      <c r="I3098" s="2">
        <f>IF(AND(payments_raw[[#This Row],[sub_end_date]]&lt;&gt;"", payments_raw[[#This Row],[payment_date]] &gt; payments_raw[[#This Row],[sub_end_date]]), 1, 0)</f>
        <v>0</v>
      </c>
      <c r="J3098" s="2">
        <f>IF(payments_raw[[#This Row],[amount]] &lt;= 0, 1, 0)</f>
        <v>0</v>
      </c>
      <c r="K30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099" spans="1:11" x14ac:dyDescent="0.3">
      <c r="A3099">
        <v>85300766</v>
      </c>
      <c r="B3099">
        <v>2849490</v>
      </c>
      <c r="C3099" s="1">
        <v>45592</v>
      </c>
      <c r="D3099">
        <v>79</v>
      </c>
      <c r="E3099">
        <f>IF(
  ISNA(
    _xlfn.XLOOKUP(
      payments_raw[[#This Row],[subscription_id]],
      subscriptions[subscription_id],
      subscriptions[subscription_id]
    )
  ),
  0,
  1
)</f>
        <v>1</v>
      </c>
      <c r="F3099" s="1">
        <f>_xlfn.XLOOKUP(payments_raw[[#This Row],[subscription_id]], subscriptions[subscription_id], subscriptions[start_date])</f>
        <v>45484</v>
      </c>
      <c r="G30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099" s="2">
        <f>IF(payments_raw[[#This Row],[payment_date]] &lt; payments_raw[[#This Row],[sub_start_date]], 1, 0)</f>
        <v>0</v>
      </c>
      <c r="I3099" s="2">
        <f>IF(AND(payments_raw[[#This Row],[sub_end_date]]&lt;&gt;"", payments_raw[[#This Row],[payment_date]] &gt; payments_raw[[#This Row],[sub_end_date]]), 1, 0)</f>
        <v>0</v>
      </c>
      <c r="J3099" s="2">
        <f>IF(payments_raw[[#This Row],[amount]] &lt;= 0, 1, 0)</f>
        <v>0</v>
      </c>
      <c r="K30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0" spans="1:11" x14ac:dyDescent="0.3">
      <c r="A3100">
        <v>20435361</v>
      </c>
      <c r="B3100">
        <v>2795982</v>
      </c>
      <c r="C3100" s="1">
        <v>45523</v>
      </c>
      <c r="D3100">
        <v>79</v>
      </c>
      <c r="E3100">
        <f>IF(
  ISNA(
    _xlfn.XLOOKUP(
      payments_raw[[#This Row],[subscription_id]],
      subscriptions[subscription_id],
      subscriptions[subscription_id]
    )
  ),
  0,
  1
)</f>
        <v>1</v>
      </c>
      <c r="F3100" s="1">
        <f>_xlfn.XLOOKUP(payments_raw[[#This Row],[subscription_id]], subscriptions[subscription_id], subscriptions[start_date])</f>
        <v>45244</v>
      </c>
      <c r="G31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0" s="2">
        <f>IF(payments_raw[[#This Row],[payment_date]] &lt; payments_raw[[#This Row],[sub_start_date]], 1, 0)</f>
        <v>0</v>
      </c>
      <c r="I3100" s="2">
        <f>IF(AND(payments_raw[[#This Row],[sub_end_date]]&lt;&gt;"", payments_raw[[#This Row],[payment_date]] &gt; payments_raw[[#This Row],[sub_end_date]]), 1, 0)</f>
        <v>0</v>
      </c>
      <c r="J3100" s="2">
        <f>IF(payments_raw[[#This Row],[amount]] &lt;= 0, 1, 0)</f>
        <v>0</v>
      </c>
      <c r="K31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1" spans="1:11" x14ac:dyDescent="0.3">
      <c r="A3101">
        <v>69429182</v>
      </c>
      <c r="B3101">
        <v>1937435</v>
      </c>
      <c r="C3101" s="1">
        <v>45112</v>
      </c>
      <c r="D3101">
        <v>79</v>
      </c>
      <c r="E3101">
        <f>IF(
  ISNA(
    _xlfn.XLOOKUP(
      payments_raw[[#This Row],[subscription_id]],
      subscriptions[subscription_id],
      subscriptions[subscription_id]
    )
  ),
  0,
  1
)</f>
        <v>1</v>
      </c>
      <c r="F3101" s="1">
        <f>_xlfn.XLOOKUP(payments_raw[[#This Row],[subscription_id]], subscriptions[subscription_id], subscriptions[start_date])</f>
        <v>45109</v>
      </c>
      <c r="G310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45202</v>
      </c>
      <c r="H3101" s="2">
        <f>IF(payments_raw[[#This Row],[payment_date]] &lt; payments_raw[[#This Row],[sub_start_date]], 1, 0)</f>
        <v>0</v>
      </c>
      <c r="I3101" s="2">
        <f>IF(AND(payments_raw[[#This Row],[sub_end_date]]&lt;&gt;"", payments_raw[[#This Row],[payment_date]] &gt; payments_raw[[#This Row],[sub_end_date]]), 1, 0)</f>
        <v>0</v>
      </c>
      <c r="J3101" s="2">
        <f>IF(payments_raw[[#This Row],[amount]] &lt;= 0, 1, 0)</f>
        <v>0</v>
      </c>
      <c r="K31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2" spans="1:11" x14ac:dyDescent="0.3">
      <c r="A3102">
        <v>37639825</v>
      </c>
      <c r="B3102">
        <v>6144500</v>
      </c>
      <c r="C3102" s="1">
        <v>45291</v>
      </c>
      <c r="D3102">
        <v>790</v>
      </c>
      <c r="E3102">
        <f>IF(
  ISNA(
    _xlfn.XLOOKUP(
      payments_raw[[#This Row],[subscription_id]],
      subscriptions[subscription_id],
      subscriptions[subscription_id]
    )
  ),
  0,
  1
)</f>
        <v>1</v>
      </c>
      <c r="F3102" s="1">
        <f>_xlfn.XLOOKUP(payments_raw[[#This Row],[subscription_id]], subscriptions[subscription_id], subscriptions[start_date])</f>
        <v>45100</v>
      </c>
      <c r="G31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2" s="2">
        <f>IF(payments_raw[[#This Row],[payment_date]] &lt; payments_raw[[#This Row],[sub_start_date]], 1, 0)</f>
        <v>0</v>
      </c>
      <c r="I3102" s="2">
        <f>IF(AND(payments_raw[[#This Row],[sub_end_date]]&lt;&gt;"", payments_raw[[#This Row],[payment_date]] &gt; payments_raw[[#This Row],[sub_end_date]]), 1, 0)</f>
        <v>0</v>
      </c>
      <c r="J3102" s="2">
        <f>IF(payments_raw[[#This Row],[amount]] &lt;= 0, 1, 0)</f>
        <v>0</v>
      </c>
      <c r="K31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3" spans="1:11" x14ac:dyDescent="0.3">
      <c r="A3103">
        <v>19358752</v>
      </c>
      <c r="B3103">
        <v>1983550</v>
      </c>
      <c r="C3103" s="1">
        <v>45596</v>
      </c>
      <c r="D3103">
        <v>190</v>
      </c>
      <c r="E3103">
        <f>IF(
  ISNA(
    _xlfn.XLOOKUP(
      payments_raw[[#This Row],[subscription_id]],
      subscriptions[subscription_id],
      subscriptions[subscription_id]
    )
  ),
  0,
  1
)</f>
        <v>1</v>
      </c>
      <c r="F3103" s="1">
        <f>_xlfn.XLOOKUP(payments_raw[[#This Row],[subscription_id]], subscriptions[subscription_id], subscriptions[start_date])</f>
        <v>45545</v>
      </c>
      <c r="G31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45635</v>
      </c>
      <c r="H3103" s="2">
        <f>IF(payments_raw[[#This Row],[payment_date]] &lt; payments_raw[[#This Row],[sub_start_date]], 1, 0)</f>
        <v>0</v>
      </c>
      <c r="I3103" s="2">
        <f>IF(AND(payments_raw[[#This Row],[sub_end_date]]&lt;&gt;"", payments_raw[[#This Row],[payment_date]] &gt; payments_raw[[#This Row],[sub_end_date]]), 1, 0)</f>
        <v>0</v>
      </c>
      <c r="J3103" s="2">
        <f>IF(payments_raw[[#This Row],[amount]] &lt;= 0, 1, 0)</f>
        <v>0</v>
      </c>
      <c r="K31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4" spans="1:11" x14ac:dyDescent="0.3">
      <c r="A3104">
        <v>87561798</v>
      </c>
      <c r="B3104">
        <v>3730666</v>
      </c>
      <c r="C3104" s="1">
        <v>45472</v>
      </c>
      <c r="D3104">
        <v>19</v>
      </c>
      <c r="E3104">
        <f>IF(
  ISNA(
    _xlfn.XLOOKUP(
      payments_raw[[#This Row],[subscription_id]],
      subscriptions[subscription_id],
      subscriptions[subscription_id]
    )
  ),
  0,
  1
)</f>
        <v>1</v>
      </c>
      <c r="F3104" s="1">
        <f>_xlfn.XLOOKUP(payments_raw[[#This Row],[subscription_id]], subscriptions[subscription_id], subscriptions[start_date])</f>
        <v>44780</v>
      </c>
      <c r="G31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4" s="2">
        <f>IF(payments_raw[[#This Row],[payment_date]] &lt; payments_raw[[#This Row],[sub_start_date]], 1, 0)</f>
        <v>0</v>
      </c>
      <c r="I3104" s="2">
        <f>IF(AND(payments_raw[[#This Row],[sub_end_date]]&lt;&gt;"", payments_raw[[#This Row],[payment_date]] &gt; payments_raw[[#This Row],[sub_end_date]]), 1, 0)</f>
        <v>0</v>
      </c>
      <c r="J3104" s="2">
        <f>IF(payments_raw[[#This Row],[amount]] &lt;= 0, 1, 0)</f>
        <v>0</v>
      </c>
      <c r="K31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5" spans="1:11" x14ac:dyDescent="0.3">
      <c r="A3105">
        <v>11990453</v>
      </c>
      <c r="B3105">
        <v>5629265</v>
      </c>
      <c r="C3105" s="1">
        <v>45632</v>
      </c>
      <c r="D3105">
        <v>190</v>
      </c>
      <c r="E3105">
        <f>IF(
  ISNA(
    _xlfn.XLOOKUP(
      payments_raw[[#This Row],[subscription_id]],
      subscriptions[subscription_id],
      subscriptions[subscription_id]
    )
  ),
  0,
  1
)</f>
        <v>1</v>
      </c>
      <c r="F3105" s="1">
        <f>_xlfn.XLOOKUP(payments_raw[[#This Row],[subscription_id]], subscriptions[subscription_id], subscriptions[start_date])</f>
        <v>45572</v>
      </c>
      <c r="G31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5" s="2">
        <f>IF(payments_raw[[#This Row],[payment_date]] &lt; payments_raw[[#This Row],[sub_start_date]], 1, 0)</f>
        <v>0</v>
      </c>
      <c r="I3105" s="2">
        <f>IF(AND(payments_raw[[#This Row],[sub_end_date]]&lt;&gt;"", payments_raw[[#This Row],[payment_date]] &gt; payments_raw[[#This Row],[sub_end_date]]), 1, 0)</f>
        <v>0</v>
      </c>
      <c r="J3105" s="2">
        <f>IF(payments_raw[[#This Row],[amount]] &lt;= 0, 1, 0)</f>
        <v>0</v>
      </c>
      <c r="K31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6" spans="1:11" x14ac:dyDescent="0.3">
      <c r="A3106">
        <v>87875353</v>
      </c>
      <c r="B3106">
        <v>8165734</v>
      </c>
      <c r="C3106" s="1">
        <v>44980</v>
      </c>
      <c r="D3106">
        <v>79</v>
      </c>
      <c r="E3106">
        <f>IF(
  ISNA(
    _xlfn.XLOOKUP(
      payments_raw[[#This Row],[subscription_id]],
      subscriptions[subscription_id],
      subscriptions[subscription_id]
    )
  ),
  0,
  1
)</f>
        <v>1</v>
      </c>
      <c r="F3106" s="1">
        <f>_xlfn.XLOOKUP(payments_raw[[#This Row],[subscription_id]], subscriptions[subscription_id], subscriptions[start_date])</f>
        <v>44906</v>
      </c>
      <c r="G310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3106" s="2">
        <f>IF(payments_raw[[#This Row],[payment_date]] &lt; payments_raw[[#This Row],[sub_start_date]], 1, 0)</f>
        <v>0</v>
      </c>
      <c r="I3106" s="2">
        <f>IF(AND(payments_raw[[#This Row],[sub_end_date]]&lt;&gt;"", payments_raw[[#This Row],[payment_date]] &gt; payments_raw[[#This Row],[sub_end_date]]), 1, 0)</f>
        <v>0</v>
      </c>
      <c r="J3106" s="2">
        <f>IF(payments_raw[[#This Row],[amount]] &lt;= 0, 1, 0)</f>
        <v>0</v>
      </c>
      <c r="K31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7" spans="1:11" x14ac:dyDescent="0.3">
      <c r="A3107">
        <v>78312821</v>
      </c>
      <c r="B3107">
        <v>5603927</v>
      </c>
      <c r="C3107" s="1">
        <v>45638</v>
      </c>
      <c r="D3107">
        <v>299</v>
      </c>
      <c r="E3107">
        <f>IF(
  ISNA(
    _xlfn.XLOOKUP(
      payments_raw[[#This Row],[subscription_id]],
      subscriptions[subscription_id],
      subscriptions[subscription_id]
    )
  ),
  0,
  1
)</f>
        <v>1</v>
      </c>
      <c r="F3107" s="1">
        <f>_xlfn.XLOOKUP(payments_raw[[#This Row],[subscription_id]], subscriptions[subscription_id], subscriptions[start_date])</f>
        <v>45424</v>
      </c>
      <c r="G310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07" s="2">
        <f>IF(payments_raw[[#This Row],[payment_date]] &lt; payments_raw[[#This Row],[sub_start_date]], 1, 0)</f>
        <v>0</v>
      </c>
      <c r="I3107" s="2">
        <f>IF(AND(payments_raw[[#This Row],[sub_end_date]]&lt;&gt;"", payments_raw[[#This Row],[payment_date]] &gt; payments_raw[[#This Row],[sub_end_date]]), 1, 0)</f>
        <v>0</v>
      </c>
      <c r="J3107" s="2">
        <f>IF(payments_raw[[#This Row],[amount]] &lt;= 0, 1, 0)</f>
        <v>0</v>
      </c>
      <c r="K31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8" spans="1:11" x14ac:dyDescent="0.3">
      <c r="A3108">
        <v>86054522</v>
      </c>
      <c r="B3108">
        <v>8481497</v>
      </c>
      <c r="C3108" s="1">
        <v>44860</v>
      </c>
      <c r="D3108">
        <v>19</v>
      </c>
      <c r="E3108">
        <f>IF(
  ISNA(
    _xlfn.XLOOKUP(
      payments_raw[[#This Row],[subscription_id]],
      subscriptions[subscription_id],
      subscriptions[subscription_id]
    )
  ),
  0,
  1
)</f>
        <v>1</v>
      </c>
      <c r="F3108" s="1">
        <f>_xlfn.XLOOKUP(payments_raw[[#This Row],[subscription_id]], subscriptions[subscription_id], subscriptions[start_date])</f>
        <v>44586</v>
      </c>
      <c r="G3108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44961</v>
      </c>
      <c r="H3108" s="2">
        <f>IF(payments_raw[[#This Row],[payment_date]] &lt; payments_raw[[#This Row],[sub_start_date]], 1, 0)</f>
        <v>0</v>
      </c>
      <c r="I3108" s="2">
        <f>IF(AND(payments_raw[[#This Row],[sub_end_date]]&lt;&gt;"", payments_raw[[#This Row],[payment_date]] &gt; payments_raw[[#This Row],[sub_end_date]]), 1, 0)</f>
        <v>0</v>
      </c>
      <c r="J3108" s="2">
        <f>IF(payments_raw[[#This Row],[amount]] &lt;= 0, 1, 0)</f>
        <v>0</v>
      </c>
      <c r="K31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09" spans="1:11" x14ac:dyDescent="0.3">
      <c r="A3109">
        <v>75838904</v>
      </c>
      <c r="B3109">
        <v>2001936</v>
      </c>
      <c r="C3109" s="1">
        <v>45163</v>
      </c>
      <c r="D3109">
        <v>149</v>
      </c>
      <c r="E3109">
        <f>IF(
  ISNA(
    _xlfn.XLOOKUP(
      payments_raw[[#This Row],[subscription_id]],
      subscriptions[subscription_id],
      subscriptions[subscription_id]
    )
  ),
  0,
  1
)</f>
        <v>1</v>
      </c>
      <c r="F3109" s="1">
        <f>_xlfn.XLOOKUP(payments_raw[[#This Row],[subscription_id]], subscriptions[subscription_id], subscriptions[start_date])</f>
        <v>45133</v>
      </c>
      <c r="G31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45359</v>
      </c>
      <c r="H3109" s="2">
        <f>IF(payments_raw[[#This Row],[payment_date]] &lt; payments_raw[[#This Row],[sub_start_date]], 1, 0)</f>
        <v>0</v>
      </c>
      <c r="I3109" s="2">
        <f>IF(AND(payments_raw[[#This Row],[sub_end_date]]&lt;&gt;"", payments_raw[[#This Row],[payment_date]] &gt; payments_raw[[#This Row],[sub_end_date]]), 1, 0)</f>
        <v>0</v>
      </c>
      <c r="J3109" s="2">
        <f>IF(payments_raw[[#This Row],[amount]] &lt;= 0, 1, 0)</f>
        <v>0</v>
      </c>
      <c r="K31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0" spans="1:11" x14ac:dyDescent="0.3">
      <c r="A3110">
        <v>66194219</v>
      </c>
      <c r="B3110">
        <v>1805615</v>
      </c>
      <c r="C3110" s="1">
        <v>44987</v>
      </c>
      <c r="D3110">
        <v>19</v>
      </c>
      <c r="E3110">
        <f>IF(
  ISNA(
    _xlfn.XLOOKUP(
      payments_raw[[#This Row],[subscription_id]],
      subscriptions[subscription_id],
      subscriptions[subscription_id]
    )
  ),
  0,
  1
)</f>
        <v>1</v>
      </c>
      <c r="F3110" s="1">
        <f>_xlfn.XLOOKUP(payments_raw[[#This Row],[subscription_id]], subscriptions[subscription_id], subscriptions[start_date])</f>
        <v>44967</v>
      </c>
      <c r="G31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3110" s="2">
        <f>IF(payments_raw[[#This Row],[payment_date]] &lt; payments_raw[[#This Row],[sub_start_date]], 1, 0)</f>
        <v>0</v>
      </c>
      <c r="I3110" s="2">
        <f>IF(AND(payments_raw[[#This Row],[sub_end_date]]&lt;&gt;"", payments_raw[[#This Row],[payment_date]] &gt; payments_raw[[#This Row],[sub_end_date]]), 1, 0)</f>
        <v>0</v>
      </c>
      <c r="J3110" s="2">
        <f>IF(payments_raw[[#This Row],[amount]] &lt;= 0, 1, 0)</f>
        <v>0</v>
      </c>
      <c r="K31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1" spans="1:11" x14ac:dyDescent="0.3">
      <c r="A3111">
        <v>37390284</v>
      </c>
      <c r="B3111">
        <v>3770138</v>
      </c>
      <c r="C3111" s="1">
        <v>45470</v>
      </c>
      <c r="D3111">
        <v>19</v>
      </c>
      <c r="E3111">
        <f>IF(
  ISNA(
    _xlfn.XLOOKUP(
      payments_raw[[#This Row],[subscription_id]],
      subscriptions[subscription_id],
      subscriptions[subscription_id]
    )
  ),
  0,
  1
)</f>
        <v>1</v>
      </c>
      <c r="F3111" s="1">
        <f>_xlfn.XLOOKUP(payments_raw[[#This Row],[subscription_id]], subscriptions[subscription_id], subscriptions[start_date])</f>
        <v>44679</v>
      </c>
      <c r="G31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1" s="2">
        <f>IF(payments_raw[[#This Row],[payment_date]] &lt; payments_raw[[#This Row],[sub_start_date]], 1, 0)</f>
        <v>0</v>
      </c>
      <c r="I3111" s="2">
        <f>IF(AND(payments_raw[[#This Row],[sub_end_date]]&lt;&gt;"", payments_raw[[#This Row],[payment_date]] &gt; payments_raw[[#This Row],[sub_end_date]]), 1, 0)</f>
        <v>0</v>
      </c>
      <c r="J3111" s="2">
        <f>IF(payments_raw[[#This Row],[amount]] &lt;= 0, 1, 0)</f>
        <v>0</v>
      </c>
      <c r="K31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2" spans="1:11" x14ac:dyDescent="0.3">
      <c r="A3112">
        <v>72230124</v>
      </c>
      <c r="B3112">
        <v>7364050</v>
      </c>
      <c r="C3112" s="1">
        <v>44985</v>
      </c>
      <c r="D3112">
        <v>390</v>
      </c>
      <c r="E3112">
        <f>IF(
  ISNA(
    _xlfn.XLOOKUP(
      payments_raw[[#This Row],[subscription_id]],
      subscriptions[subscription_id],
      subscriptions[subscription_id]
    )
  ),
  0,
  1
)</f>
        <v>1</v>
      </c>
      <c r="F3112" s="1">
        <f>_xlfn.XLOOKUP(payments_raw[[#This Row],[subscription_id]], subscriptions[subscription_id], subscriptions[start_date])</f>
        <v>44939</v>
      </c>
      <c r="G31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45241</v>
      </c>
      <c r="H3112" s="2">
        <f>IF(payments_raw[[#This Row],[payment_date]] &lt; payments_raw[[#This Row],[sub_start_date]], 1, 0)</f>
        <v>0</v>
      </c>
      <c r="I3112" s="2">
        <f>IF(AND(payments_raw[[#This Row],[sub_end_date]]&lt;&gt;"", payments_raw[[#This Row],[payment_date]] &gt; payments_raw[[#This Row],[sub_end_date]]), 1, 0)</f>
        <v>0</v>
      </c>
      <c r="J3112" s="2">
        <f>IF(payments_raw[[#This Row],[amount]] &lt;= 0, 1, 0)</f>
        <v>0</v>
      </c>
      <c r="K31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3" spans="1:11" x14ac:dyDescent="0.3">
      <c r="A3113">
        <v>10815480</v>
      </c>
      <c r="B3113">
        <v>4722144</v>
      </c>
      <c r="C3113" s="1">
        <v>45462</v>
      </c>
      <c r="D3113">
        <v>19</v>
      </c>
      <c r="E3113">
        <f>IF(
  ISNA(
    _xlfn.XLOOKUP(
      payments_raw[[#This Row],[subscription_id]],
      subscriptions[subscription_id],
      subscriptions[subscription_id]
    )
  ),
  0,
  1
)</f>
        <v>1</v>
      </c>
      <c r="F3113" s="1">
        <f>_xlfn.XLOOKUP(payments_raw[[#This Row],[subscription_id]], subscriptions[subscription_id], subscriptions[start_date])</f>
        <v>44596</v>
      </c>
      <c r="G31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3" s="2">
        <f>IF(payments_raw[[#This Row],[payment_date]] &lt; payments_raw[[#This Row],[sub_start_date]], 1, 0)</f>
        <v>0</v>
      </c>
      <c r="I3113" s="2">
        <f>IF(AND(payments_raw[[#This Row],[sub_end_date]]&lt;&gt;"", payments_raw[[#This Row],[payment_date]] &gt; payments_raw[[#This Row],[sub_end_date]]), 1, 0)</f>
        <v>0</v>
      </c>
      <c r="J3113" s="2">
        <f>IF(payments_raw[[#This Row],[amount]] &lt;= 0, 1, 0)</f>
        <v>0</v>
      </c>
      <c r="K31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4" spans="1:11" x14ac:dyDescent="0.3">
      <c r="A3114">
        <v>51333822</v>
      </c>
      <c r="B3114">
        <v>6034195</v>
      </c>
      <c r="C3114" s="1">
        <v>45617</v>
      </c>
      <c r="D3114">
        <v>790</v>
      </c>
      <c r="E3114">
        <f>IF(
  ISNA(
    _xlfn.XLOOKUP(
      payments_raw[[#This Row],[subscription_id]],
      subscriptions[subscription_id],
      subscriptions[subscription_id]
    )
  ),
  0,
  1
)</f>
        <v>1</v>
      </c>
      <c r="F3114" s="1">
        <f>_xlfn.XLOOKUP(payments_raw[[#This Row],[subscription_id]], subscriptions[subscription_id], subscriptions[start_date])</f>
        <v>44992</v>
      </c>
      <c r="G31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4" s="2">
        <f>IF(payments_raw[[#This Row],[payment_date]] &lt; payments_raw[[#This Row],[sub_start_date]], 1, 0)</f>
        <v>0</v>
      </c>
      <c r="I3114" s="2">
        <f>IF(AND(payments_raw[[#This Row],[sub_end_date]]&lt;&gt;"", payments_raw[[#This Row],[payment_date]] &gt; payments_raw[[#This Row],[sub_end_date]]), 1, 0)</f>
        <v>0</v>
      </c>
      <c r="J3114" s="2">
        <f>IF(payments_raw[[#This Row],[amount]] &lt;= 0, 1, 0)</f>
        <v>0</v>
      </c>
      <c r="K31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5" spans="1:11" x14ac:dyDescent="0.3">
      <c r="A3115">
        <v>64388397</v>
      </c>
      <c r="B3115">
        <v>1566334</v>
      </c>
      <c r="C3115" s="1">
        <v>45413</v>
      </c>
      <c r="D3115">
        <v>1490</v>
      </c>
      <c r="E3115">
        <f>IF(
  ISNA(
    _xlfn.XLOOKUP(
      payments_raw[[#This Row],[subscription_id]],
      subscriptions[subscription_id],
      subscriptions[subscription_id]
    )
  ),
  0,
  1
)</f>
        <v>1</v>
      </c>
      <c r="F3115" s="1">
        <f>_xlfn.XLOOKUP(payments_raw[[#This Row],[subscription_id]], subscriptions[subscription_id], subscriptions[start_date])</f>
        <v>45115</v>
      </c>
      <c r="G31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5" s="2">
        <f>IF(payments_raw[[#This Row],[payment_date]] &lt; payments_raw[[#This Row],[sub_start_date]], 1, 0)</f>
        <v>0</v>
      </c>
      <c r="I3115" s="2">
        <f>IF(AND(payments_raw[[#This Row],[sub_end_date]]&lt;&gt;"", payments_raw[[#This Row],[payment_date]] &gt; payments_raw[[#This Row],[sub_end_date]]), 1, 0)</f>
        <v>0</v>
      </c>
      <c r="J3115" s="2">
        <f>IF(payments_raw[[#This Row],[amount]] &lt;= 0, 1, 0)</f>
        <v>0</v>
      </c>
      <c r="K31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6" spans="1:11" x14ac:dyDescent="0.3">
      <c r="A3116">
        <v>37681981</v>
      </c>
      <c r="B3116">
        <v>8077313</v>
      </c>
      <c r="C3116" s="1">
        <v>45148</v>
      </c>
      <c r="D3116">
        <v>190</v>
      </c>
      <c r="E3116">
        <f>IF(
  ISNA(
    _xlfn.XLOOKUP(
      payments_raw[[#This Row],[subscription_id]],
      subscriptions[subscription_id],
      subscriptions[subscription_id]
    )
  ),
  0,
  1
)</f>
        <v>1</v>
      </c>
      <c r="F3116" s="1">
        <f>_xlfn.XLOOKUP(payments_raw[[#This Row],[subscription_id]], subscriptions[subscription_id], subscriptions[start_date])</f>
        <v>45011</v>
      </c>
      <c r="G31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3116" s="2">
        <f>IF(payments_raw[[#This Row],[payment_date]] &lt; payments_raw[[#This Row],[sub_start_date]], 1, 0)</f>
        <v>0</v>
      </c>
      <c r="I3116" s="2">
        <f>IF(AND(payments_raw[[#This Row],[sub_end_date]]&lt;&gt;"", payments_raw[[#This Row],[payment_date]] &gt; payments_raw[[#This Row],[sub_end_date]]), 1, 0)</f>
        <v>0</v>
      </c>
      <c r="J3116" s="2">
        <f>IF(payments_raw[[#This Row],[amount]] &lt;= 0, 1, 0)</f>
        <v>0</v>
      </c>
      <c r="K31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7" spans="1:11" x14ac:dyDescent="0.3">
      <c r="A3117">
        <v>99237139</v>
      </c>
      <c r="B3117">
        <v>2237362</v>
      </c>
      <c r="C3117" s="1">
        <v>45348</v>
      </c>
      <c r="D3117">
        <v>2990</v>
      </c>
      <c r="E3117">
        <f>IF(
  ISNA(
    _xlfn.XLOOKUP(
      payments_raw[[#This Row],[subscription_id]],
      subscriptions[subscription_id],
      subscriptions[subscription_id]
    )
  ),
  0,
  1
)</f>
        <v>1</v>
      </c>
      <c r="F3117" s="1">
        <f>_xlfn.XLOOKUP(payments_raw[[#This Row],[subscription_id]], subscriptions[subscription_id], subscriptions[start_date])</f>
        <v>45288</v>
      </c>
      <c r="G31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45527</v>
      </c>
      <c r="H3117" s="2">
        <f>IF(payments_raw[[#This Row],[payment_date]] &lt; payments_raw[[#This Row],[sub_start_date]], 1, 0)</f>
        <v>0</v>
      </c>
      <c r="I3117" s="2">
        <f>IF(AND(payments_raw[[#This Row],[sub_end_date]]&lt;&gt;"", payments_raw[[#This Row],[payment_date]] &gt; payments_raw[[#This Row],[sub_end_date]]), 1, 0)</f>
        <v>0</v>
      </c>
      <c r="J3117" s="2">
        <f>IF(payments_raw[[#This Row],[amount]] &lt;= 0, 1, 0)</f>
        <v>0</v>
      </c>
      <c r="K31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8" spans="1:11" x14ac:dyDescent="0.3">
      <c r="A3118">
        <v>21690100</v>
      </c>
      <c r="B3118">
        <v>9971681</v>
      </c>
      <c r="C3118" s="1">
        <v>44767</v>
      </c>
      <c r="D3118">
        <v>390</v>
      </c>
      <c r="E3118">
        <f>IF(
  ISNA(
    _xlfn.XLOOKUP(
      payments_raw[[#This Row],[subscription_id]],
      subscriptions[subscription_id],
      subscriptions[subscription_id]
    )
  ),
  0,
  1
)</f>
        <v>1</v>
      </c>
      <c r="F3118" s="1">
        <f>_xlfn.XLOOKUP(payments_raw[[#This Row],[subscription_id]], subscriptions[subscription_id], subscriptions[start_date])</f>
        <v>44724</v>
      </c>
      <c r="G31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3118" s="2">
        <f>IF(payments_raw[[#This Row],[payment_date]] &lt; payments_raw[[#This Row],[sub_start_date]], 1, 0)</f>
        <v>0</v>
      </c>
      <c r="I3118" s="2">
        <f>IF(AND(payments_raw[[#This Row],[sub_end_date]]&lt;&gt;"", payments_raw[[#This Row],[payment_date]] &gt; payments_raw[[#This Row],[sub_end_date]]), 1, 0)</f>
        <v>0</v>
      </c>
      <c r="J3118" s="2">
        <f>IF(payments_raw[[#This Row],[amount]] &lt;= 0, 1, 0)</f>
        <v>0</v>
      </c>
      <c r="K31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19" spans="1:11" x14ac:dyDescent="0.3">
      <c r="A3119">
        <v>53867043</v>
      </c>
      <c r="B3119">
        <v>2332311</v>
      </c>
      <c r="C3119" s="1">
        <v>45508</v>
      </c>
      <c r="D3119">
        <v>39</v>
      </c>
      <c r="E3119">
        <f>IF(
  ISNA(
    _xlfn.XLOOKUP(
      payments_raw[[#This Row],[subscription_id]],
      subscriptions[subscription_id],
      subscriptions[subscription_id]
    )
  ),
  0,
  1
)</f>
        <v>1</v>
      </c>
      <c r="F3119" s="1">
        <f>_xlfn.XLOOKUP(payments_raw[[#This Row],[subscription_id]], subscriptions[subscription_id], subscriptions[start_date])</f>
        <v>45354</v>
      </c>
      <c r="G31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19" s="2">
        <f>IF(payments_raw[[#This Row],[payment_date]] &lt; payments_raw[[#This Row],[sub_start_date]], 1, 0)</f>
        <v>0</v>
      </c>
      <c r="I3119" s="2">
        <f>IF(AND(payments_raw[[#This Row],[sub_end_date]]&lt;&gt;"", payments_raw[[#This Row],[payment_date]] &gt; payments_raw[[#This Row],[sub_end_date]]), 1, 0)</f>
        <v>0</v>
      </c>
      <c r="J3119" s="2">
        <f>IF(payments_raw[[#This Row],[amount]] &lt;= 0, 1, 0)</f>
        <v>0</v>
      </c>
      <c r="K31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0" spans="1:11" x14ac:dyDescent="0.3">
      <c r="A3120">
        <v>95863598</v>
      </c>
      <c r="B3120">
        <v>9118679</v>
      </c>
      <c r="C3120" s="1">
        <v>44611</v>
      </c>
      <c r="D3120">
        <v>19</v>
      </c>
      <c r="E3120">
        <f>IF(
  ISNA(
    _xlfn.XLOOKUP(
      payments_raw[[#This Row],[subscription_id]],
      subscriptions[subscription_id],
      subscriptions[subscription_id]
    )
  ),
  0,
  1
)</f>
        <v>1</v>
      </c>
      <c r="F3120" s="1">
        <f>_xlfn.XLOOKUP(payments_raw[[#This Row],[subscription_id]], subscriptions[subscription_id], subscriptions[start_date])</f>
        <v>44572</v>
      </c>
      <c r="G31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0" s="2">
        <f>IF(payments_raw[[#This Row],[payment_date]] &lt; payments_raw[[#This Row],[sub_start_date]], 1, 0)</f>
        <v>0</v>
      </c>
      <c r="I3120" s="2">
        <f>IF(AND(payments_raw[[#This Row],[sub_end_date]]&lt;&gt;"", payments_raw[[#This Row],[payment_date]] &gt; payments_raw[[#This Row],[sub_end_date]]), 1, 0)</f>
        <v>0</v>
      </c>
      <c r="J3120" s="2">
        <f>IF(payments_raw[[#This Row],[amount]] &lt;= 0, 1, 0)</f>
        <v>0</v>
      </c>
      <c r="K31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1" spans="1:11" x14ac:dyDescent="0.3">
      <c r="A3121">
        <v>58156318</v>
      </c>
      <c r="B3121">
        <v>6740356</v>
      </c>
      <c r="C3121" s="1">
        <v>45479</v>
      </c>
      <c r="D3121">
        <v>19</v>
      </c>
      <c r="E3121">
        <f>IF(
  ISNA(
    _xlfn.XLOOKUP(
      payments_raw[[#This Row],[subscription_id]],
      subscriptions[subscription_id],
      subscriptions[subscription_id]
    )
  ),
  0,
  1
)</f>
        <v>1</v>
      </c>
      <c r="F3121" s="1">
        <f>_xlfn.XLOOKUP(payments_raw[[#This Row],[subscription_id]], subscriptions[subscription_id], subscriptions[start_date])</f>
        <v>44622</v>
      </c>
      <c r="G31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1" s="2">
        <f>IF(payments_raw[[#This Row],[payment_date]] &lt; payments_raw[[#This Row],[sub_start_date]], 1, 0)</f>
        <v>0</v>
      </c>
      <c r="I3121" s="2">
        <f>IF(AND(payments_raw[[#This Row],[sub_end_date]]&lt;&gt;"", payments_raw[[#This Row],[payment_date]] &gt; payments_raw[[#This Row],[sub_end_date]]), 1, 0)</f>
        <v>0</v>
      </c>
      <c r="J3121" s="2">
        <f>IF(payments_raw[[#This Row],[amount]] &lt;= 0, 1, 0)</f>
        <v>0</v>
      </c>
      <c r="K31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2" spans="1:11" x14ac:dyDescent="0.3">
      <c r="A3122">
        <v>61053921</v>
      </c>
      <c r="B3122">
        <v>2849490</v>
      </c>
      <c r="C3122" s="1">
        <v>45637</v>
      </c>
      <c r="D3122">
        <v>79</v>
      </c>
      <c r="E3122">
        <f>IF(
  ISNA(
    _xlfn.XLOOKUP(
      payments_raw[[#This Row],[subscription_id]],
      subscriptions[subscription_id],
      subscriptions[subscription_id]
    )
  ),
  0,
  1
)</f>
        <v>1</v>
      </c>
      <c r="F3122" s="1">
        <f>_xlfn.XLOOKUP(payments_raw[[#This Row],[subscription_id]], subscriptions[subscription_id], subscriptions[start_date])</f>
        <v>45484</v>
      </c>
      <c r="G31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2" s="2">
        <f>IF(payments_raw[[#This Row],[payment_date]] &lt; payments_raw[[#This Row],[sub_start_date]], 1, 0)</f>
        <v>0</v>
      </c>
      <c r="I3122" s="2">
        <f>IF(AND(payments_raw[[#This Row],[sub_end_date]]&lt;&gt;"", payments_raw[[#This Row],[payment_date]] &gt; payments_raw[[#This Row],[sub_end_date]]), 1, 0)</f>
        <v>0</v>
      </c>
      <c r="J3122" s="2">
        <f>IF(payments_raw[[#This Row],[amount]] &lt;= 0, 1, 0)</f>
        <v>0</v>
      </c>
      <c r="K31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3" spans="1:11" x14ac:dyDescent="0.3">
      <c r="A3123">
        <v>92802973</v>
      </c>
      <c r="B3123">
        <v>1750288</v>
      </c>
      <c r="C3123" s="1">
        <v>45349</v>
      </c>
      <c r="D3123">
        <v>19</v>
      </c>
      <c r="E3123">
        <f>IF(
  ISNA(
    _xlfn.XLOOKUP(
      payments_raw[[#This Row],[subscription_id]],
      subscriptions[subscription_id],
      subscriptions[subscription_id]
    )
  ),
  0,
  1
)</f>
        <v>1</v>
      </c>
      <c r="F3123" s="1">
        <f>_xlfn.XLOOKUP(payments_raw[[#This Row],[subscription_id]], subscriptions[subscription_id], subscriptions[start_date])</f>
        <v>45001</v>
      </c>
      <c r="G31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3" s="2">
        <f>IF(payments_raw[[#This Row],[payment_date]] &lt; payments_raw[[#This Row],[sub_start_date]], 1, 0)</f>
        <v>0</v>
      </c>
      <c r="I3123" s="2">
        <f>IF(AND(payments_raw[[#This Row],[sub_end_date]]&lt;&gt;"", payments_raw[[#This Row],[payment_date]] &gt; payments_raw[[#This Row],[sub_end_date]]), 1, 0)</f>
        <v>0</v>
      </c>
      <c r="J3123" s="2">
        <f>IF(payments_raw[[#This Row],[amount]] &lt;= 0, 1, 0)</f>
        <v>0</v>
      </c>
      <c r="K31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4" spans="1:11" x14ac:dyDescent="0.3">
      <c r="A3124">
        <v>68946977</v>
      </c>
      <c r="B3124">
        <v>7916943</v>
      </c>
      <c r="C3124" s="1">
        <v>45340</v>
      </c>
      <c r="D3124">
        <v>14.25</v>
      </c>
      <c r="E3124">
        <f>IF(
  ISNA(
    _xlfn.XLOOKUP(
      payments_raw[[#This Row],[subscription_id]],
      subscriptions[subscription_id],
      subscriptions[subscription_id]
    )
  ),
  0,
  1
)</f>
        <v>1</v>
      </c>
      <c r="F3124" s="1">
        <f>_xlfn.XLOOKUP(payments_raw[[#This Row],[subscription_id]], subscriptions[subscription_id], subscriptions[start_date])</f>
        <v>45146</v>
      </c>
      <c r="G31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4" s="2">
        <f>IF(payments_raw[[#This Row],[payment_date]] &lt; payments_raw[[#This Row],[sub_start_date]], 1, 0)</f>
        <v>0</v>
      </c>
      <c r="I3124" s="2">
        <f>IF(AND(payments_raw[[#This Row],[sub_end_date]]&lt;&gt;"", payments_raw[[#This Row],[payment_date]] &gt; payments_raw[[#This Row],[sub_end_date]]), 1, 0)</f>
        <v>0</v>
      </c>
      <c r="J3124" s="2">
        <f>IF(payments_raw[[#This Row],[amount]] &lt;= 0, 1, 0)</f>
        <v>0</v>
      </c>
      <c r="K31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5" spans="1:11" x14ac:dyDescent="0.3">
      <c r="A3125">
        <v>91504812</v>
      </c>
      <c r="B3125">
        <v>6281742</v>
      </c>
      <c r="C3125" s="1">
        <v>44881</v>
      </c>
      <c r="D3125">
        <v>2990</v>
      </c>
      <c r="E3125">
        <f>IF(
  ISNA(
    _xlfn.XLOOKUP(
      payments_raw[[#This Row],[subscription_id]],
      subscriptions[subscription_id],
      subscriptions[subscription_id]
    )
  ),
  0,
  1
)</f>
        <v>1</v>
      </c>
      <c r="F3125" s="1">
        <f>_xlfn.XLOOKUP(payments_raw[[#This Row],[subscription_id]], subscriptions[subscription_id], subscriptions[start_date])</f>
        <v>44798</v>
      </c>
      <c r="G3125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45055</v>
      </c>
      <c r="H3125" s="2">
        <f>IF(payments_raw[[#This Row],[payment_date]] &lt; payments_raw[[#This Row],[sub_start_date]], 1, 0)</f>
        <v>0</v>
      </c>
      <c r="I3125" s="2">
        <f>IF(AND(payments_raw[[#This Row],[sub_end_date]]&lt;&gt;"", payments_raw[[#This Row],[payment_date]] &gt; payments_raw[[#This Row],[sub_end_date]]), 1, 0)</f>
        <v>0</v>
      </c>
      <c r="J3125" s="2">
        <f>IF(payments_raw[[#This Row],[amount]] &lt;= 0, 1, 0)</f>
        <v>0</v>
      </c>
      <c r="K31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6" spans="1:11" x14ac:dyDescent="0.3">
      <c r="A3126">
        <v>46447411</v>
      </c>
      <c r="B3126">
        <v>3961713</v>
      </c>
      <c r="C3126" s="1">
        <v>45353</v>
      </c>
      <c r="D3126">
        <v>190</v>
      </c>
      <c r="E3126">
        <f>IF(
  ISNA(
    _xlfn.XLOOKUP(
      payments_raw[[#This Row],[subscription_id]],
      subscriptions[subscription_id],
      subscriptions[subscription_id]
    )
  ),
  0,
  1
)</f>
        <v>1</v>
      </c>
      <c r="F3126" s="1">
        <f>_xlfn.XLOOKUP(payments_raw[[#This Row],[subscription_id]], subscriptions[subscription_id], subscriptions[start_date])</f>
        <v>45235</v>
      </c>
      <c r="G31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6" s="2">
        <f>IF(payments_raw[[#This Row],[payment_date]] &lt; payments_raw[[#This Row],[sub_start_date]], 1, 0)</f>
        <v>0</v>
      </c>
      <c r="I3126" s="2">
        <f>IF(AND(payments_raw[[#This Row],[sub_end_date]]&lt;&gt;"", payments_raw[[#This Row],[payment_date]] &gt; payments_raw[[#This Row],[sub_end_date]]), 1, 0)</f>
        <v>0</v>
      </c>
      <c r="J3126" s="2">
        <f>IF(payments_raw[[#This Row],[amount]] &lt;= 0, 1, 0)</f>
        <v>0</v>
      </c>
      <c r="K31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7" spans="1:11" x14ac:dyDescent="0.3">
      <c r="A3127">
        <v>78803991</v>
      </c>
      <c r="B3127">
        <v>3013272</v>
      </c>
      <c r="C3127" s="1">
        <v>45560</v>
      </c>
      <c r="D3127">
        <v>190</v>
      </c>
      <c r="E3127">
        <f>IF(
  ISNA(
    _xlfn.XLOOKUP(
      payments_raw[[#This Row],[subscription_id]],
      subscriptions[subscription_id],
      subscriptions[subscription_id]
    )
  ),
  0,
  1
)</f>
        <v>1</v>
      </c>
      <c r="F3127" s="1">
        <f>_xlfn.XLOOKUP(payments_raw[[#This Row],[subscription_id]], subscriptions[subscription_id], subscriptions[start_date])</f>
        <v>44800</v>
      </c>
      <c r="G31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7" s="2">
        <f>IF(payments_raw[[#This Row],[payment_date]] &lt; payments_raw[[#This Row],[sub_start_date]], 1, 0)</f>
        <v>0</v>
      </c>
      <c r="I3127" s="2">
        <f>IF(AND(payments_raw[[#This Row],[sub_end_date]]&lt;&gt;"", payments_raw[[#This Row],[payment_date]] &gt; payments_raw[[#This Row],[sub_end_date]]), 1, 0)</f>
        <v>0</v>
      </c>
      <c r="J3127" s="2">
        <f>IF(payments_raw[[#This Row],[amount]] &lt;= 0, 1, 0)</f>
        <v>0</v>
      </c>
      <c r="K31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8" spans="1:11" x14ac:dyDescent="0.3">
      <c r="A3128">
        <v>98407734</v>
      </c>
      <c r="B3128">
        <v>8001036</v>
      </c>
      <c r="C3128" s="1">
        <v>45378</v>
      </c>
      <c r="D3128">
        <v>190</v>
      </c>
      <c r="E3128">
        <f>IF(
  ISNA(
    _xlfn.XLOOKUP(
      payments_raw[[#This Row],[subscription_id]],
      subscriptions[subscription_id],
      subscriptions[subscription_id]
    )
  ),
  0,
  1
)</f>
        <v>1</v>
      </c>
      <c r="F3128" s="1">
        <f>_xlfn.XLOOKUP(payments_raw[[#This Row],[subscription_id]], subscriptions[subscription_id], subscriptions[start_date])</f>
        <v>45127</v>
      </c>
      <c r="G31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8" s="2">
        <f>IF(payments_raw[[#This Row],[payment_date]] &lt; payments_raw[[#This Row],[sub_start_date]], 1, 0)</f>
        <v>0</v>
      </c>
      <c r="I3128" s="2">
        <f>IF(AND(payments_raw[[#This Row],[sub_end_date]]&lt;&gt;"", payments_raw[[#This Row],[payment_date]] &gt; payments_raw[[#This Row],[sub_end_date]]), 1, 0)</f>
        <v>0</v>
      </c>
      <c r="J3128" s="2">
        <f>IF(payments_raw[[#This Row],[amount]] &lt;= 0, 1, 0)</f>
        <v>0</v>
      </c>
      <c r="K31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29" spans="1:11" x14ac:dyDescent="0.3">
      <c r="A3129">
        <v>29689483</v>
      </c>
      <c r="B3129">
        <v>9885075</v>
      </c>
      <c r="C3129" s="1">
        <v>45356</v>
      </c>
      <c r="D3129">
        <v>79</v>
      </c>
      <c r="E3129">
        <f>IF(
  ISNA(
    _xlfn.XLOOKUP(
      payments_raw[[#This Row],[subscription_id]],
      subscriptions[subscription_id],
      subscriptions[subscription_id]
    )
  ),
  0,
  1
)</f>
        <v>1</v>
      </c>
      <c r="F3129" s="1">
        <f>_xlfn.XLOOKUP(payments_raw[[#This Row],[subscription_id]], subscriptions[subscription_id], subscriptions[start_date])</f>
        <v>45318</v>
      </c>
      <c r="G31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29" s="2">
        <f>IF(payments_raw[[#This Row],[payment_date]] &lt; payments_raw[[#This Row],[sub_start_date]], 1, 0)</f>
        <v>0</v>
      </c>
      <c r="I3129" s="2">
        <f>IF(AND(payments_raw[[#This Row],[sub_end_date]]&lt;&gt;"", payments_raw[[#This Row],[payment_date]] &gt; payments_raw[[#This Row],[sub_end_date]]), 1, 0)</f>
        <v>0</v>
      </c>
      <c r="J3129" s="2">
        <f>IF(payments_raw[[#This Row],[amount]] &lt;= 0, 1, 0)</f>
        <v>0</v>
      </c>
      <c r="K31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0" spans="1:11" x14ac:dyDescent="0.3">
      <c r="A3130">
        <v>82313451</v>
      </c>
      <c r="B3130">
        <v>8544230</v>
      </c>
      <c r="C3130" s="1">
        <v>45105</v>
      </c>
      <c r="D3130">
        <v>149</v>
      </c>
      <c r="E3130">
        <f>IF(
  ISNA(
    _xlfn.XLOOKUP(
      payments_raw[[#This Row],[subscription_id]],
      subscriptions[subscription_id],
      subscriptions[subscription_id]
    )
  ),
  0,
  1
)</f>
        <v>1</v>
      </c>
      <c r="F3130" s="1">
        <f>_xlfn.XLOOKUP(payments_raw[[#This Row],[subscription_id]], subscriptions[subscription_id], subscriptions[start_date])</f>
        <v>45048</v>
      </c>
      <c r="G313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45391</v>
      </c>
      <c r="H3130" s="2">
        <f>IF(payments_raw[[#This Row],[payment_date]] &lt; payments_raw[[#This Row],[sub_start_date]], 1, 0)</f>
        <v>0</v>
      </c>
      <c r="I3130" s="2">
        <f>IF(AND(payments_raw[[#This Row],[sub_end_date]]&lt;&gt;"", payments_raw[[#This Row],[payment_date]] &gt; payments_raw[[#This Row],[sub_end_date]]), 1, 0)</f>
        <v>0</v>
      </c>
      <c r="J3130" s="2">
        <f>IF(payments_raw[[#This Row],[amount]] &lt;= 0, 1, 0)</f>
        <v>0</v>
      </c>
      <c r="K31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1" spans="1:11" x14ac:dyDescent="0.3">
      <c r="A3131">
        <v>77377022</v>
      </c>
      <c r="B3131">
        <v>3432470</v>
      </c>
      <c r="C3131" s="1">
        <v>45629</v>
      </c>
      <c r="D3131">
        <v>390</v>
      </c>
      <c r="E3131">
        <f>IF(
  ISNA(
    _xlfn.XLOOKUP(
      payments_raw[[#This Row],[subscription_id]],
      subscriptions[subscription_id],
      subscriptions[subscription_id]
    )
  ),
  0,
  1
)</f>
        <v>1</v>
      </c>
      <c r="F3131" s="1">
        <f>_xlfn.XLOOKUP(payments_raw[[#This Row],[subscription_id]], subscriptions[subscription_id], subscriptions[start_date])</f>
        <v>45189</v>
      </c>
      <c r="G31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31" s="2">
        <f>IF(payments_raw[[#This Row],[payment_date]] &lt; payments_raw[[#This Row],[sub_start_date]], 1, 0)</f>
        <v>0</v>
      </c>
      <c r="I3131" s="2">
        <f>IF(AND(payments_raw[[#This Row],[sub_end_date]]&lt;&gt;"", payments_raw[[#This Row],[payment_date]] &gt; payments_raw[[#This Row],[sub_end_date]]), 1, 0)</f>
        <v>0</v>
      </c>
      <c r="J3131" s="2">
        <f>IF(payments_raw[[#This Row],[amount]] &lt;= 0, 1, 0)</f>
        <v>0</v>
      </c>
      <c r="K31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2" spans="1:11" x14ac:dyDescent="0.3">
      <c r="A3132">
        <v>61856982</v>
      </c>
      <c r="B3132">
        <v>5366631</v>
      </c>
      <c r="C3132" s="1">
        <v>45623</v>
      </c>
      <c r="D3132">
        <v>390</v>
      </c>
      <c r="E3132">
        <f>IF(
  ISNA(
    _xlfn.XLOOKUP(
      payments_raw[[#This Row],[subscription_id]],
      subscriptions[subscription_id],
      subscriptions[subscription_id]
    )
  ),
  0,
  1
)</f>
        <v>1</v>
      </c>
      <c r="F3132" s="1">
        <f>_xlfn.XLOOKUP(payments_raw[[#This Row],[subscription_id]], subscriptions[subscription_id], subscriptions[start_date])</f>
        <v>45461</v>
      </c>
      <c r="G31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3132" s="2">
        <f>IF(payments_raw[[#This Row],[payment_date]] &lt; payments_raw[[#This Row],[sub_start_date]], 1, 0)</f>
        <v>0</v>
      </c>
      <c r="I3132" s="2">
        <f>IF(AND(payments_raw[[#This Row],[sub_end_date]]&lt;&gt;"", payments_raw[[#This Row],[payment_date]] &gt; payments_raw[[#This Row],[sub_end_date]]), 1, 0)</f>
        <v>0</v>
      </c>
      <c r="J3132" s="2">
        <f>IF(payments_raw[[#This Row],[amount]] &lt;= 0, 1, 0)</f>
        <v>0</v>
      </c>
      <c r="K31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3" spans="1:11" x14ac:dyDescent="0.3">
      <c r="A3133">
        <v>96019216</v>
      </c>
      <c r="B3133">
        <v>4056477</v>
      </c>
      <c r="C3133" s="1">
        <v>45594</v>
      </c>
      <c r="D3133">
        <v>1490</v>
      </c>
      <c r="E3133">
        <f>IF(
  ISNA(
    _xlfn.XLOOKUP(
      payments_raw[[#This Row],[subscription_id]],
      subscriptions[subscription_id],
      subscriptions[subscription_id]
    )
  ),
  0,
  1
)</f>
        <v>1</v>
      </c>
      <c r="F3133" s="1">
        <f>_xlfn.XLOOKUP(payments_raw[[#This Row],[subscription_id]], subscriptions[subscription_id], subscriptions[start_date])</f>
        <v>45560</v>
      </c>
      <c r="G31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33" s="2">
        <f>IF(payments_raw[[#This Row],[payment_date]] &lt; payments_raw[[#This Row],[sub_start_date]], 1, 0)</f>
        <v>0</v>
      </c>
      <c r="I3133" s="2">
        <f>IF(AND(payments_raw[[#This Row],[sub_end_date]]&lt;&gt;"", payments_raw[[#This Row],[payment_date]] &gt; payments_raw[[#This Row],[sub_end_date]]), 1, 0)</f>
        <v>0</v>
      </c>
      <c r="J3133" s="2">
        <f>IF(payments_raw[[#This Row],[amount]] &lt;= 0, 1, 0)</f>
        <v>0</v>
      </c>
      <c r="K31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4" spans="1:11" x14ac:dyDescent="0.3">
      <c r="A3134">
        <v>25287101</v>
      </c>
      <c r="B3134">
        <v>5762844</v>
      </c>
      <c r="C3134" s="1">
        <v>45588</v>
      </c>
      <c r="D3134">
        <v>2990</v>
      </c>
      <c r="E3134">
        <f>IF(
  ISNA(
    _xlfn.XLOOKUP(
      payments_raw[[#This Row],[subscription_id]],
      subscriptions[subscription_id],
      subscriptions[subscription_id]
    )
  ),
  0,
  1
)</f>
        <v>1</v>
      </c>
      <c r="F3134" s="1">
        <f>_xlfn.XLOOKUP(payments_raw[[#This Row],[subscription_id]], subscriptions[subscription_id], subscriptions[start_date])</f>
        <v>45567</v>
      </c>
      <c r="G31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45628</v>
      </c>
      <c r="H3134" s="2">
        <f>IF(payments_raw[[#This Row],[payment_date]] &lt; payments_raw[[#This Row],[sub_start_date]], 1, 0)</f>
        <v>0</v>
      </c>
      <c r="I3134" s="2">
        <f>IF(AND(payments_raw[[#This Row],[sub_end_date]]&lt;&gt;"", payments_raw[[#This Row],[payment_date]] &gt; payments_raw[[#This Row],[sub_end_date]]), 1, 0)</f>
        <v>0</v>
      </c>
      <c r="J3134" s="2">
        <f>IF(payments_raw[[#This Row],[amount]] &lt;= 0, 1, 0)</f>
        <v>0</v>
      </c>
      <c r="K31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5" spans="1:11" x14ac:dyDescent="0.3">
      <c r="A3135">
        <v>80827223</v>
      </c>
      <c r="B3135">
        <v>3730418</v>
      </c>
      <c r="C3135" s="1">
        <v>45531</v>
      </c>
      <c r="D3135">
        <v>39</v>
      </c>
      <c r="E3135">
        <f>IF(
  ISNA(
    _xlfn.XLOOKUP(
      payments_raw[[#This Row],[subscription_id]],
      subscriptions[subscription_id],
      subscriptions[subscription_id]
    )
  ),
  0,
  1
)</f>
        <v>1</v>
      </c>
      <c r="F3135" s="1">
        <f>_xlfn.XLOOKUP(payments_raw[[#This Row],[subscription_id]], subscriptions[subscription_id], subscriptions[start_date])</f>
        <v>45518</v>
      </c>
      <c r="G31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35" s="2">
        <f>IF(payments_raw[[#This Row],[payment_date]] &lt; payments_raw[[#This Row],[sub_start_date]], 1, 0)</f>
        <v>0</v>
      </c>
      <c r="I3135" s="2">
        <f>IF(AND(payments_raw[[#This Row],[sub_end_date]]&lt;&gt;"", payments_raw[[#This Row],[payment_date]] &gt; payments_raw[[#This Row],[sub_end_date]]), 1, 0)</f>
        <v>0</v>
      </c>
      <c r="J3135" s="2">
        <f>IF(payments_raw[[#This Row],[amount]] &lt;= 0, 1, 0)</f>
        <v>0</v>
      </c>
      <c r="K31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6" spans="1:11" x14ac:dyDescent="0.3">
      <c r="A3136">
        <v>97307475</v>
      </c>
      <c r="B3136">
        <v>4139098</v>
      </c>
      <c r="C3136" s="1">
        <v>45611</v>
      </c>
      <c r="D3136">
        <v>79</v>
      </c>
      <c r="E3136">
        <f>IF(
  ISNA(
    _xlfn.XLOOKUP(
      payments_raw[[#This Row],[subscription_id]],
      subscriptions[subscription_id],
      subscriptions[subscription_id]
    )
  ),
  0,
  1
)</f>
        <v>1</v>
      </c>
      <c r="F3136" s="1">
        <f>_xlfn.XLOOKUP(payments_raw[[#This Row],[subscription_id]], subscriptions[subscription_id], subscriptions[start_date])</f>
        <v>45579</v>
      </c>
      <c r="G31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36" s="2">
        <f>IF(payments_raw[[#This Row],[payment_date]] &lt; payments_raw[[#This Row],[sub_start_date]], 1, 0)</f>
        <v>0</v>
      </c>
      <c r="I3136" s="2">
        <f>IF(AND(payments_raw[[#This Row],[sub_end_date]]&lt;&gt;"", payments_raw[[#This Row],[payment_date]] &gt; payments_raw[[#This Row],[sub_end_date]]), 1, 0)</f>
        <v>0</v>
      </c>
      <c r="J3136" s="2">
        <f>IF(payments_raw[[#This Row],[amount]] &lt;= 0, 1, 0)</f>
        <v>0</v>
      </c>
      <c r="K31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7" spans="1:11" x14ac:dyDescent="0.3">
      <c r="A3137">
        <v>87969595</v>
      </c>
      <c r="B3137">
        <v>6756692</v>
      </c>
      <c r="C3137" s="1">
        <v>45492</v>
      </c>
      <c r="D3137">
        <v>1490</v>
      </c>
      <c r="E3137">
        <f>IF(
  ISNA(
    _xlfn.XLOOKUP(
      payments_raw[[#This Row],[subscription_id]],
      subscriptions[subscription_id],
      subscriptions[subscription_id]
    )
  ),
  0,
  1
)</f>
        <v>1</v>
      </c>
      <c r="F3137" s="1">
        <f>_xlfn.XLOOKUP(payments_raw[[#This Row],[subscription_id]], subscriptions[subscription_id], subscriptions[start_date])</f>
        <v>45456</v>
      </c>
      <c r="G31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3137" s="2">
        <f>IF(payments_raw[[#This Row],[payment_date]] &lt; payments_raw[[#This Row],[sub_start_date]], 1, 0)</f>
        <v>0</v>
      </c>
      <c r="I3137" s="2">
        <f>IF(AND(payments_raw[[#This Row],[sub_end_date]]&lt;&gt;"", payments_raw[[#This Row],[payment_date]] &gt; payments_raw[[#This Row],[sub_end_date]]), 1, 0)</f>
        <v>0</v>
      </c>
      <c r="J3137" s="2">
        <f>IF(payments_raw[[#This Row],[amount]] &lt;= 0, 1, 0)</f>
        <v>0</v>
      </c>
      <c r="K31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8" spans="1:11" x14ac:dyDescent="0.3">
      <c r="A3138">
        <v>97784963</v>
      </c>
      <c r="B3138">
        <v>6290495</v>
      </c>
      <c r="C3138" s="1">
        <v>45518</v>
      </c>
      <c r="D3138">
        <v>95</v>
      </c>
      <c r="E3138">
        <f>IF(
  ISNA(
    _xlfn.XLOOKUP(
      payments_raw[[#This Row],[subscription_id]],
      subscriptions[subscription_id],
      subscriptions[subscription_id]
    )
  ),
  0,
  1
)</f>
        <v>1</v>
      </c>
      <c r="F3138" s="1">
        <f>_xlfn.XLOOKUP(payments_raw[[#This Row],[subscription_id]], subscriptions[subscription_id], subscriptions[start_date])</f>
        <v>45486</v>
      </c>
      <c r="G31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45531</v>
      </c>
      <c r="H3138" s="2">
        <f>IF(payments_raw[[#This Row],[payment_date]] &lt; payments_raw[[#This Row],[sub_start_date]], 1, 0)</f>
        <v>0</v>
      </c>
      <c r="I3138" s="2">
        <f>IF(AND(payments_raw[[#This Row],[sub_end_date]]&lt;&gt;"", payments_raw[[#This Row],[payment_date]] &gt; payments_raw[[#This Row],[sub_end_date]]), 1, 0)</f>
        <v>0</v>
      </c>
      <c r="J3138" s="2">
        <f>IF(payments_raw[[#This Row],[amount]] &lt;= 0, 1, 0)</f>
        <v>0</v>
      </c>
      <c r="K31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39" spans="1:11" x14ac:dyDescent="0.3">
      <c r="A3139">
        <v>36805045</v>
      </c>
      <c r="B3139">
        <v>4331501</v>
      </c>
      <c r="C3139" s="1">
        <v>44972</v>
      </c>
      <c r="D3139">
        <v>1490</v>
      </c>
      <c r="E3139">
        <f>IF(
  ISNA(
    _xlfn.XLOOKUP(
      payments_raw[[#This Row],[subscription_id]],
      subscriptions[subscription_id],
      subscriptions[subscription_id]
    )
  ),
  0,
  1
)</f>
        <v>1</v>
      </c>
      <c r="F3139" s="1">
        <f>_xlfn.XLOOKUP(payments_raw[[#This Row],[subscription_id]], subscriptions[subscription_id], subscriptions[start_date])</f>
        <v>44743</v>
      </c>
      <c r="G31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45143</v>
      </c>
      <c r="H3139" s="2">
        <f>IF(payments_raw[[#This Row],[payment_date]] &lt; payments_raw[[#This Row],[sub_start_date]], 1, 0)</f>
        <v>0</v>
      </c>
      <c r="I3139" s="2">
        <f>IF(AND(payments_raw[[#This Row],[sub_end_date]]&lt;&gt;"", payments_raw[[#This Row],[payment_date]] &gt; payments_raw[[#This Row],[sub_end_date]]), 1, 0)</f>
        <v>0</v>
      </c>
      <c r="J3139" s="2">
        <f>IF(payments_raw[[#This Row],[amount]] &lt;= 0, 1, 0)</f>
        <v>0</v>
      </c>
      <c r="K31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0" spans="1:11" x14ac:dyDescent="0.3">
      <c r="A3140">
        <v>25359560</v>
      </c>
      <c r="B3140">
        <v>2758380</v>
      </c>
      <c r="C3140" s="1">
        <v>45271</v>
      </c>
      <c r="D3140">
        <v>269.10000000000002</v>
      </c>
      <c r="E3140">
        <f>IF(
  ISNA(
    _xlfn.XLOOKUP(
      payments_raw[[#This Row],[subscription_id]],
      subscriptions[subscription_id],
      subscriptions[subscription_id]
    )
  ),
  0,
  1
)</f>
        <v>1</v>
      </c>
      <c r="F3140" s="1">
        <f>_xlfn.XLOOKUP(payments_raw[[#This Row],[subscription_id]], subscriptions[subscription_id], subscriptions[start_date])</f>
        <v>45028</v>
      </c>
      <c r="G31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3140" s="2">
        <f>IF(payments_raw[[#This Row],[payment_date]] &lt; payments_raw[[#This Row],[sub_start_date]], 1, 0)</f>
        <v>0</v>
      </c>
      <c r="I3140" s="2">
        <f>IF(AND(payments_raw[[#This Row],[sub_end_date]]&lt;&gt;"", payments_raw[[#This Row],[payment_date]] &gt; payments_raw[[#This Row],[sub_end_date]]), 1, 0)</f>
        <v>0</v>
      </c>
      <c r="J3140" s="2">
        <f>IF(payments_raw[[#This Row],[amount]] &lt;= 0, 1, 0)</f>
        <v>0</v>
      </c>
      <c r="K31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1" spans="1:11" x14ac:dyDescent="0.3">
      <c r="A3141">
        <v>30948155</v>
      </c>
      <c r="B3141">
        <v>9181335</v>
      </c>
      <c r="C3141" s="1">
        <v>45198</v>
      </c>
      <c r="D3141">
        <v>39</v>
      </c>
      <c r="E3141">
        <f>IF(
  ISNA(
    _xlfn.XLOOKUP(
      payments_raw[[#This Row],[subscription_id]],
      subscriptions[subscription_id],
      subscriptions[subscription_id]
    )
  ),
  0,
  1
)</f>
        <v>1</v>
      </c>
      <c r="F3141" s="1">
        <f>_xlfn.XLOOKUP(payments_raw[[#This Row],[subscription_id]], subscriptions[subscription_id], subscriptions[start_date])</f>
        <v>44776</v>
      </c>
      <c r="G31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1" s="2">
        <f>IF(payments_raw[[#This Row],[payment_date]] &lt; payments_raw[[#This Row],[sub_start_date]], 1, 0)</f>
        <v>0</v>
      </c>
      <c r="I3141" s="2">
        <f>IF(AND(payments_raw[[#This Row],[sub_end_date]]&lt;&gt;"", payments_raw[[#This Row],[payment_date]] &gt; payments_raw[[#This Row],[sub_end_date]]), 1, 0)</f>
        <v>0</v>
      </c>
      <c r="J3141" s="2">
        <f>IF(payments_raw[[#This Row],[amount]] &lt;= 0, 1, 0)</f>
        <v>0</v>
      </c>
      <c r="K31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2" spans="1:11" x14ac:dyDescent="0.3">
      <c r="A3142">
        <v>15708452</v>
      </c>
      <c r="B3142">
        <v>7096391</v>
      </c>
      <c r="C3142" s="1">
        <v>45608</v>
      </c>
      <c r="D3142">
        <v>79</v>
      </c>
      <c r="E3142">
        <f>IF(
  ISNA(
    _xlfn.XLOOKUP(
      payments_raw[[#This Row],[subscription_id]],
      subscriptions[subscription_id],
      subscriptions[subscription_id]
    )
  ),
  0,
  1
)</f>
        <v>1</v>
      </c>
      <c r="F3142" s="1">
        <f>_xlfn.XLOOKUP(payments_raw[[#This Row],[subscription_id]], subscriptions[subscription_id], subscriptions[start_date])</f>
        <v>45380</v>
      </c>
      <c r="G31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45637</v>
      </c>
      <c r="H3142" s="2">
        <f>IF(payments_raw[[#This Row],[payment_date]] &lt; payments_raw[[#This Row],[sub_start_date]], 1, 0)</f>
        <v>0</v>
      </c>
      <c r="I3142" s="2">
        <f>IF(AND(payments_raw[[#This Row],[sub_end_date]]&lt;&gt;"", payments_raw[[#This Row],[payment_date]] &gt; payments_raw[[#This Row],[sub_end_date]]), 1, 0)</f>
        <v>0</v>
      </c>
      <c r="J3142" s="2">
        <f>IF(payments_raw[[#This Row],[amount]] &lt;= 0, 1, 0)</f>
        <v>0</v>
      </c>
      <c r="K31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3" spans="1:11" x14ac:dyDescent="0.3">
      <c r="A3143">
        <v>37324996</v>
      </c>
      <c r="B3143">
        <v>3520403</v>
      </c>
      <c r="C3143" s="1">
        <v>45170</v>
      </c>
      <c r="D3143">
        <v>149</v>
      </c>
      <c r="E3143">
        <f>IF(
  ISNA(
    _xlfn.XLOOKUP(
      payments_raw[[#This Row],[subscription_id]],
      subscriptions[subscription_id],
      subscriptions[subscription_id]
    )
  ),
  0,
  1
)</f>
        <v>1</v>
      </c>
      <c r="F3143" s="1">
        <f>_xlfn.XLOOKUP(payments_raw[[#This Row],[subscription_id]], subscriptions[subscription_id], subscriptions[start_date])</f>
        <v>45155</v>
      </c>
      <c r="G31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45525</v>
      </c>
      <c r="H3143" s="2">
        <f>IF(payments_raw[[#This Row],[payment_date]] &lt; payments_raw[[#This Row],[sub_start_date]], 1, 0)</f>
        <v>0</v>
      </c>
      <c r="I3143" s="2">
        <f>IF(AND(payments_raw[[#This Row],[sub_end_date]]&lt;&gt;"", payments_raw[[#This Row],[payment_date]] &gt; payments_raw[[#This Row],[sub_end_date]]), 1, 0)</f>
        <v>0</v>
      </c>
      <c r="J3143" s="2">
        <f>IF(payments_raw[[#This Row],[amount]] &lt;= 0, 1, 0)</f>
        <v>0</v>
      </c>
      <c r="K31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4" spans="1:11" x14ac:dyDescent="0.3">
      <c r="A3144">
        <v>82399892</v>
      </c>
      <c r="B3144">
        <v>2187207</v>
      </c>
      <c r="C3144" s="1">
        <v>45422</v>
      </c>
      <c r="D3144">
        <v>299</v>
      </c>
      <c r="E3144">
        <f>IF(
  ISNA(
    _xlfn.XLOOKUP(
      payments_raw[[#This Row],[subscription_id]],
      subscriptions[subscription_id],
      subscriptions[subscription_id]
    )
  ),
  0,
  1
)</f>
        <v>1</v>
      </c>
      <c r="F3144" s="1">
        <f>_xlfn.XLOOKUP(payments_raw[[#This Row],[subscription_id]], subscriptions[subscription_id], subscriptions[start_date])</f>
        <v>45414</v>
      </c>
      <c r="G31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4" s="2">
        <f>IF(payments_raw[[#This Row],[payment_date]] &lt; payments_raw[[#This Row],[sub_start_date]], 1, 0)</f>
        <v>0</v>
      </c>
      <c r="I3144" s="2">
        <f>IF(AND(payments_raw[[#This Row],[sub_end_date]]&lt;&gt;"", payments_raw[[#This Row],[payment_date]] &gt; payments_raw[[#This Row],[sub_end_date]]), 1, 0)</f>
        <v>0</v>
      </c>
      <c r="J3144" s="2">
        <f>IF(payments_raw[[#This Row],[amount]] &lt;= 0, 1, 0)</f>
        <v>0</v>
      </c>
      <c r="K31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5" spans="1:11" x14ac:dyDescent="0.3">
      <c r="A3145">
        <v>18803339</v>
      </c>
      <c r="B3145">
        <v>8214533</v>
      </c>
      <c r="C3145" s="1">
        <v>45522</v>
      </c>
      <c r="D3145">
        <v>19</v>
      </c>
      <c r="E3145">
        <f>IF(
  ISNA(
    _xlfn.XLOOKUP(
      payments_raw[[#This Row],[subscription_id]],
      subscriptions[subscription_id],
      subscriptions[subscription_id]
    )
  ),
  0,
  1
)</f>
        <v>1</v>
      </c>
      <c r="F3145" s="1">
        <f>_xlfn.XLOOKUP(payments_raw[[#This Row],[subscription_id]], subscriptions[subscription_id], subscriptions[start_date])</f>
        <v>45057</v>
      </c>
      <c r="G31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5" s="2">
        <f>IF(payments_raw[[#This Row],[payment_date]] &lt; payments_raw[[#This Row],[sub_start_date]], 1, 0)</f>
        <v>0</v>
      </c>
      <c r="I3145" s="2">
        <f>IF(AND(payments_raw[[#This Row],[sub_end_date]]&lt;&gt;"", payments_raw[[#This Row],[payment_date]] &gt; payments_raw[[#This Row],[sub_end_date]]), 1, 0)</f>
        <v>0</v>
      </c>
      <c r="J3145" s="2">
        <f>IF(payments_raw[[#This Row],[amount]] &lt;= 0, 1, 0)</f>
        <v>0</v>
      </c>
      <c r="K31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6" spans="1:11" x14ac:dyDescent="0.3">
      <c r="A3146">
        <v>30162541</v>
      </c>
      <c r="B3146">
        <v>7307661</v>
      </c>
      <c r="C3146" s="1">
        <v>45591</v>
      </c>
      <c r="D3146">
        <v>390</v>
      </c>
      <c r="E3146">
        <f>IF(
  ISNA(
    _xlfn.XLOOKUP(
      payments_raw[[#This Row],[subscription_id]],
      subscriptions[subscription_id],
      subscriptions[subscription_id]
    )
  ),
  0,
  1
)</f>
        <v>1</v>
      </c>
      <c r="F3146" s="1">
        <f>_xlfn.XLOOKUP(payments_raw[[#This Row],[subscription_id]], subscriptions[subscription_id], subscriptions[start_date])</f>
        <v>45456</v>
      </c>
      <c r="G31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6" s="2">
        <f>IF(payments_raw[[#This Row],[payment_date]] &lt; payments_raw[[#This Row],[sub_start_date]], 1, 0)</f>
        <v>0</v>
      </c>
      <c r="I3146" s="2">
        <f>IF(AND(payments_raw[[#This Row],[sub_end_date]]&lt;&gt;"", payments_raw[[#This Row],[payment_date]] &gt; payments_raw[[#This Row],[sub_end_date]]), 1, 0)</f>
        <v>0</v>
      </c>
      <c r="J3146" s="2">
        <f>IF(payments_raw[[#This Row],[amount]] &lt;= 0, 1, 0)</f>
        <v>0</v>
      </c>
      <c r="K31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7" spans="1:11" x14ac:dyDescent="0.3">
      <c r="A3147">
        <v>65649232</v>
      </c>
      <c r="B3147">
        <v>2901872</v>
      </c>
      <c r="C3147" s="1">
        <v>44932</v>
      </c>
      <c r="D3147">
        <v>19</v>
      </c>
      <c r="E3147">
        <f>IF(
  ISNA(
    _xlfn.XLOOKUP(
      payments_raw[[#This Row],[subscription_id]],
      subscriptions[subscription_id],
      subscriptions[subscription_id]
    )
  ),
  0,
  1
)</f>
        <v>1</v>
      </c>
      <c r="F3147" s="1">
        <f>_xlfn.XLOOKUP(payments_raw[[#This Row],[subscription_id]], subscriptions[subscription_id], subscriptions[start_date])</f>
        <v>44862</v>
      </c>
      <c r="G314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44941</v>
      </c>
      <c r="H3147" s="2">
        <f>IF(payments_raw[[#This Row],[payment_date]] &lt; payments_raw[[#This Row],[sub_start_date]], 1, 0)</f>
        <v>0</v>
      </c>
      <c r="I3147" s="2">
        <f>IF(AND(payments_raw[[#This Row],[sub_end_date]]&lt;&gt;"", payments_raw[[#This Row],[payment_date]] &gt; payments_raw[[#This Row],[sub_end_date]]), 1, 0)</f>
        <v>0</v>
      </c>
      <c r="J3147" s="2">
        <f>IF(payments_raw[[#This Row],[amount]] &lt;= 0, 1, 0)</f>
        <v>0</v>
      </c>
      <c r="K31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8" spans="1:11" x14ac:dyDescent="0.3">
      <c r="A3148">
        <v>49726089</v>
      </c>
      <c r="B3148">
        <v>1876771</v>
      </c>
      <c r="C3148" s="1">
        <v>45612</v>
      </c>
      <c r="D3148">
        <v>149</v>
      </c>
      <c r="E3148">
        <f>IF(
  ISNA(
    _xlfn.XLOOKUP(
      payments_raw[[#This Row],[subscription_id]],
      subscriptions[subscription_id],
      subscriptions[subscription_id]
    )
  ),
  0,
  1
)</f>
        <v>1</v>
      </c>
      <c r="F3148" s="1">
        <f>_xlfn.XLOOKUP(payments_raw[[#This Row],[subscription_id]], subscriptions[subscription_id], subscriptions[start_date])</f>
        <v>45186</v>
      </c>
      <c r="G31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8" s="2">
        <f>IF(payments_raw[[#This Row],[payment_date]] &lt; payments_raw[[#This Row],[sub_start_date]], 1, 0)</f>
        <v>0</v>
      </c>
      <c r="I3148" s="2">
        <f>IF(AND(payments_raw[[#This Row],[sub_end_date]]&lt;&gt;"", payments_raw[[#This Row],[payment_date]] &gt; payments_raw[[#This Row],[sub_end_date]]), 1, 0)</f>
        <v>0</v>
      </c>
      <c r="J3148" s="2">
        <f>IF(payments_raw[[#This Row],[amount]] &lt;= 0, 1, 0)</f>
        <v>0</v>
      </c>
      <c r="K31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49" spans="1:11" x14ac:dyDescent="0.3">
      <c r="A3149">
        <v>80676013</v>
      </c>
      <c r="B3149">
        <v>6501987</v>
      </c>
      <c r="C3149" s="1">
        <v>45509</v>
      </c>
      <c r="D3149">
        <v>190</v>
      </c>
      <c r="E3149">
        <f>IF(
  ISNA(
    _xlfn.XLOOKUP(
      payments_raw[[#This Row],[subscription_id]],
      subscriptions[subscription_id],
      subscriptions[subscription_id]
    )
  ),
  0,
  1
)</f>
        <v>1</v>
      </c>
      <c r="F3149" s="1">
        <f>_xlfn.XLOOKUP(payments_raw[[#This Row],[subscription_id]], subscriptions[subscription_id], subscriptions[start_date])</f>
        <v>45426</v>
      </c>
      <c r="G31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49" s="2">
        <f>IF(payments_raw[[#This Row],[payment_date]] &lt; payments_raw[[#This Row],[sub_start_date]], 1, 0)</f>
        <v>0</v>
      </c>
      <c r="I3149" s="2">
        <f>IF(AND(payments_raw[[#This Row],[sub_end_date]]&lt;&gt;"", payments_raw[[#This Row],[payment_date]] &gt; payments_raw[[#This Row],[sub_end_date]]), 1, 0)</f>
        <v>0</v>
      </c>
      <c r="J3149" s="2">
        <f>IF(payments_raw[[#This Row],[amount]] &lt;= 0, 1, 0)</f>
        <v>0</v>
      </c>
      <c r="K31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0" spans="1:11" x14ac:dyDescent="0.3">
      <c r="A3150">
        <v>14052129</v>
      </c>
      <c r="B3150">
        <v>4065690</v>
      </c>
      <c r="C3150" s="1">
        <v>45630</v>
      </c>
      <c r="D3150">
        <v>390</v>
      </c>
      <c r="E3150">
        <f>IF(
  ISNA(
    _xlfn.XLOOKUP(
      payments_raw[[#This Row],[subscription_id]],
      subscriptions[subscription_id],
      subscriptions[subscription_id]
    )
  ),
  0,
  1
)</f>
        <v>1</v>
      </c>
      <c r="F3150" s="1">
        <f>_xlfn.XLOOKUP(payments_raw[[#This Row],[subscription_id]], subscriptions[subscription_id], subscriptions[start_date])</f>
        <v>44954</v>
      </c>
      <c r="G31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0" s="2">
        <f>IF(payments_raw[[#This Row],[payment_date]] &lt; payments_raw[[#This Row],[sub_start_date]], 1, 0)</f>
        <v>0</v>
      </c>
      <c r="I3150" s="2">
        <f>IF(AND(payments_raw[[#This Row],[sub_end_date]]&lt;&gt;"", payments_raw[[#This Row],[payment_date]] &gt; payments_raw[[#This Row],[sub_end_date]]), 1, 0)</f>
        <v>0</v>
      </c>
      <c r="J3150" s="2">
        <f>IF(payments_raw[[#This Row],[amount]] &lt;= 0, 1, 0)</f>
        <v>0</v>
      </c>
      <c r="K31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1" spans="1:11" x14ac:dyDescent="0.3">
      <c r="A3151">
        <v>71423841</v>
      </c>
      <c r="B3151">
        <v>3939552</v>
      </c>
      <c r="C3151" s="1">
        <v>45547</v>
      </c>
      <c r="D3151">
        <v>149</v>
      </c>
      <c r="E3151">
        <f>IF(
  ISNA(
    _xlfn.XLOOKUP(
      payments_raw[[#This Row],[subscription_id]],
      subscriptions[subscription_id],
      subscriptions[subscription_id]
    )
  ),
  0,
  1
)</f>
        <v>1</v>
      </c>
      <c r="F3151" s="1">
        <f>_xlfn.XLOOKUP(payments_raw[[#This Row],[subscription_id]], subscriptions[subscription_id], subscriptions[start_date])</f>
        <v>45529</v>
      </c>
      <c r="G31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45647</v>
      </c>
      <c r="H3151" s="2">
        <f>IF(payments_raw[[#This Row],[payment_date]] &lt; payments_raw[[#This Row],[sub_start_date]], 1, 0)</f>
        <v>0</v>
      </c>
      <c r="I3151" s="2">
        <f>IF(AND(payments_raw[[#This Row],[sub_end_date]]&lt;&gt;"", payments_raw[[#This Row],[payment_date]] &gt; payments_raw[[#This Row],[sub_end_date]]), 1, 0)</f>
        <v>0</v>
      </c>
      <c r="J3151" s="2">
        <f>IF(payments_raw[[#This Row],[amount]] &lt;= 0, 1, 0)</f>
        <v>0</v>
      </c>
      <c r="K31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2" spans="1:11" x14ac:dyDescent="0.3">
      <c r="A3152">
        <v>98552975</v>
      </c>
      <c r="B3152">
        <v>7932248</v>
      </c>
      <c r="C3152" s="1">
        <v>45635</v>
      </c>
      <c r="D3152">
        <v>790</v>
      </c>
      <c r="E3152">
        <f>IF(
  ISNA(
    _xlfn.XLOOKUP(
      payments_raw[[#This Row],[subscription_id]],
      subscriptions[subscription_id],
      subscriptions[subscription_id]
    )
  ),
  0,
  1
)</f>
        <v>1</v>
      </c>
      <c r="F3152" s="1">
        <f>_xlfn.XLOOKUP(payments_raw[[#This Row],[subscription_id]], subscriptions[subscription_id], subscriptions[start_date])</f>
        <v>45598</v>
      </c>
      <c r="G31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2" s="2">
        <f>IF(payments_raw[[#This Row],[payment_date]] &lt; payments_raw[[#This Row],[sub_start_date]], 1, 0)</f>
        <v>0</v>
      </c>
      <c r="I3152" s="2">
        <f>IF(AND(payments_raw[[#This Row],[sub_end_date]]&lt;&gt;"", payments_raw[[#This Row],[payment_date]] &gt; payments_raw[[#This Row],[sub_end_date]]), 1, 0)</f>
        <v>0</v>
      </c>
      <c r="J3152" s="2">
        <f>IF(payments_raw[[#This Row],[amount]] &lt;= 0, 1, 0)</f>
        <v>0</v>
      </c>
      <c r="K31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3" spans="1:11" x14ac:dyDescent="0.3">
      <c r="A3153">
        <v>85825889</v>
      </c>
      <c r="B3153">
        <v>3751899</v>
      </c>
      <c r="C3153" s="1">
        <v>44996</v>
      </c>
      <c r="D3153">
        <v>79</v>
      </c>
      <c r="E3153">
        <f>IF(
  ISNA(
    _xlfn.XLOOKUP(
      payments_raw[[#This Row],[subscription_id]],
      subscriptions[subscription_id],
      subscriptions[subscription_id]
    )
  ),
  0,
  1
)</f>
        <v>1</v>
      </c>
      <c r="F3153" s="1">
        <f>_xlfn.XLOOKUP(payments_raw[[#This Row],[subscription_id]], subscriptions[subscription_id], subscriptions[start_date])</f>
        <v>44902</v>
      </c>
      <c r="G31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3153" s="2">
        <f>IF(payments_raw[[#This Row],[payment_date]] &lt; payments_raw[[#This Row],[sub_start_date]], 1, 0)</f>
        <v>0</v>
      </c>
      <c r="I3153" s="2">
        <f>IF(AND(payments_raw[[#This Row],[sub_end_date]]&lt;&gt;"", payments_raw[[#This Row],[payment_date]] &gt; payments_raw[[#This Row],[sub_end_date]]), 1, 0)</f>
        <v>0</v>
      </c>
      <c r="J3153" s="2">
        <f>IF(payments_raw[[#This Row],[amount]] &lt;= 0, 1, 0)</f>
        <v>0</v>
      </c>
      <c r="K31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4" spans="1:11" x14ac:dyDescent="0.3">
      <c r="A3154">
        <v>72669837</v>
      </c>
      <c r="B3154">
        <v>8731726</v>
      </c>
      <c r="C3154" s="1">
        <v>45591</v>
      </c>
      <c r="D3154">
        <v>39</v>
      </c>
      <c r="E3154">
        <f>IF(
  ISNA(
    _xlfn.XLOOKUP(
      payments_raw[[#This Row],[subscription_id]],
      subscriptions[subscription_id],
      subscriptions[subscription_id]
    )
  ),
  0,
  1
)</f>
        <v>1</v>
      </c>
      <c r="F3154" s="1">
        <f>_xlfn.XLOOKUP(payments_raw[[#This Row],[subscription_id]], subscriptions[subscription_id], subscriptions[start_date])</f>
        <v>44945</v>
      </c>
      <c r="G315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4" s="2">
        <f>IF(payments_raw[[#This Row],[payment_date]] &lt; payments_raw[[#This Row],[sub_start_date]], 1, 0)</f>
        <v>0</v>
      </c>
      <c r="I3154" s="2">
        <f>IF(AND(payments_raw[[#This Row],[sub_end_date]]&lt;&gt;"", payments_raw[[#This Row],[payment_date]] &gt; payments_raw[[#This Row],[sub_end_date]]), 1, 0)</f>
        <v>0</v>
      </c>
      <c r="J3154" s="2">
        <f>IF(payments_raw[[#This Row],[amount]] &lt;= 0, 1, 0)</f>
        <v>0</v>
      </c>
      <c r="K31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5" spans="1:11" x14ac:dyDescent="0.3">
      <c r="A3155">
        <v>20101490</v>
      </c>
      <c r="B3155">
        <v>8155525</v>
      </c>
      <c r="C3155" s="1">
        <v>45580</v>
      </c>
      <c r="D3155">
        <v>79</v>
      </c>
      <c r="E3155">
        <f>IF(
  ISNA(
    _xlfn.XLOOKUP(
      payments_raw[[#This Row],[subscription_id]],
      subscriptions[subscription_id],
      subscriptions[subscription_id]
    )
  ),
  0,
  1
)</f>
        <v>1</v>
      </c>
      <c r="F3155" s="1">
        <f>_xlfn.XLOOKUP(payments_raw[[#This Row],[subscription_id]], subscriptions[subscription_id], subscriptions[start_date])</f>
        <v>45473</v>
      </c>
      <c r="G31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5" s="2">
        <f>IF(payments_raw[[#This Row],[payment_date]] &lt; payments_raw[[#This Row],[sub_start_date]], 1, 0)</f>
        <v>0</v>
      </c>
      <c r="I3155" s="2">
        <f>IF(AND(payments_raw[[#This Row],[sub_end_date]]&lt;&gt;"", payments_raw[[#This Row],[payment_date]] &gt; payments_raw[[#This Row],[sub_end_date]]), 1, 0)</f>
        <v>0</v>
      </c>
      <c r="J3155" s="2">
        <f>IF(payments_raw[[#This Row],[amount]] &lt;= 0, 1, 0)</f>
        <v>0</v>
      </c>
      <c r="K31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6" spans="1:11" x14ac:dyDescent="0.3">
      <c r="A3156">
        <v>66771729</v>
      </c>
      <c r="B3156">
        <v>4695807</v>
      </c>
      <c r="C3156" s="1">
        <v>45621</v>
      </c>
      <c r="D3156">
        <v>79</v>
      </c>
      <c r="E3156">
        <f>IF(
  ISNA(
    _xlfn.XLOOKUP(
      payments_raw[[#This Row],[subscription_id]],
      subscriptions[subscription_id],
      subscriptions[subscription_id]
    )
  ),
  0,
  1
)</f>
        <v>1</v>
      </c>
      <c r="F3156" s="1">
        <f>_xlfn.XLOOKUP(payments_raw[[#This Row],[subscription_id]], subscriptions[subscription_id], subscriptions[start_date])</f>
        <v>45470</v>
      </c>
      <c r="G31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156" s="2">
        <f>IF(payments_raw[[#This Row],[payment_date]] &lt; payments_raw[[#This Row],[sub_start_date]], 1, 0)</f>
        <v>0</v>
      </c>
      <c r="I3156" s="2">
        <f>IF(AND(payments_raw[[#This Row],[sub_end_date]]&lt;&gt;"", payments_raw[[#This Row],[payment_date]] &gt; payments_raw[[#This Row],[sub_end_date]]), 1, 0)</f>
        <v>0</v>
      </c>
      <c r="J3156" s="2">
        <f>IF(payments_raw[[#This Row],[amount]] &lt;= 0, 1, 0)</f>
        <v>0</v>
      </c>
      <c r="K31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7" spans="1:11" x14ac:dyDescent="0.3">
      <c r="A3157">
        <v>90509268</v>
      </c>
      <c r="B3157">
        <v>2084084</v>
      </c>
      <c r="C3157" s="1">
        <v>45617</v>
      </c>
      <c r="D3157">
        <v>2990</v>
      </c>
      <c r="E3157">
        <f>IF(
  ISNA(
    _xlfn.XLOOKUP(
      payments_raw[[#This Row],[subscription_id]],
      subscriptions[subscription_id],
      subscriptions[subscription_id]
    )
  ),
  0,
  1
)</f>
        <v>1</v>
      </c>
      <c r="F3157" s="1">
        <f>_xlfn.XLOOKUP(payments_raw[[#This Row],[subscription_id]], subscriptions[subscription_id], subscriptions[start_date])</f>
        <v>45165</v>
      </c>
      <c r="G31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7" s="2">
        <f>IF(payments_raw[[#This Row],[payment_date]] &lt; payments_raw[[#This Row],[sub_start_date]], 1, 0)</f>
        <v>0</v>
      </c>
      <c r="I3157" s="2">
        <f>IF(AND(payments_raw[[#This Row],[sub_end_date]]&lt;&gt;"", payments_raw[[#This Row],[payment_date]] &gt; payments_raw[[#This Row],[sub_end_date]]), 1, 0)</f>
        <v>0</v>
      </c>
      <c r="J3157" s="2">
        <f>IF(payments_raw[[#This Row],[amount]] &lt;= 0, 1, 0)</f>
        <v>0</v>
      </c>
      <c r="K31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8" spans="1:11" x14ac:dyDescent="0.3">
      <c r="A3158">
        <v>24787933</v>
      </c>
      <c r="B3158">
        <v>8272245</v>
      </c>
      <c r="C3158" s="1">
        <v>45536</v>
      </c>
      <c r="D3158">
        <v>149</v>
      </c>
      <c r="E3158">
        <f>IF(
  ISNA(
    _xlfn.XLOOKUP(
      payments_raw[[#This Row],[subscription_id]],
      subscriptions[subscription_id],
      subscriptions[subscription_id]
    )
  ),
  0,
  1
)</f>
        <v>1</v>
      </c>
      <c r="F3158" s="1">
        <f>_xlfn.XLOOKUP(payments_raw[[#This Row],[subscription_id]], subscriptions[subscription_id], subscriptions[start_date])</f>
        <v>45493</v>
      </c>
      <c r="G31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8" s="2">
        <f>IF(payments_raw[[#This Row],[payment_date]] &lt; payments_raw[[#This Row],[sub_start_date]], 1, 0)</f>
        <v>0</v>
      </c>
      <c r="I3158" s="2">
        <f>IF(AND(payments_raw[[#This Row],[sub_end_date]]&lt;&gt;"", payments_raw[[#This Row],[payment_date]] &gt; payments_raw[[#This Row],[sub_end_date]]), 1, 0)</f>
        <v>0</v>
      </c>
      <c r="J3158" s="2">
        <f>IF(payments_raw[[#This Row],[amount]] &lt;= 0, 1, 0)</f>
        <v>0</v>
      </c>
      <c r="K31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59" spans="1:11" x14ac:dyDescent="0.3">
      <c r="A3159">
        <v>64511793</v>
      </c>
      <c r="B3159">
        <v>1627774</v>
      </c>
      <c r="C3159" s="1">
        <v>45112</v>
      </c>
      <c r="D3159">
        <v>299</v>
      </c>
      <c r="E3159">
        <f>IF(
  ISNA(
    _xlfn.XLOOKUP(
      payments_raw[[#This Row],[subscription_id]],
      subscriptions[subscription_id],
      subscriptions[subscription_id]
    )
  ),
  0,
  1
)</f>
        <v>1</v>
      </c>
      <c r="F3159" s="1">
        <f>_xlfn.XLOOKUP(payments_raw[[#This Row],[subscription_id]], subscriptions[subscription_id], subscriptions[start_date])</f>
        <v>44711</v>
      </c>
      <c r="G31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59" s="2">
        <f>IF(payments_raw[[#This Row],[payment_date]] &lt; payments_raw[[#This Row],[sub_start_date]], 1, 0)</f>
        <v>0</v>
      </c>
      <c r="I3159" s="2">
        <f>IF(AND(payments_raw[[#This Row],[sub_end_date]]&lt;&gt;"", payments_raw[[#This Row],[payment_date]] &gt; payments_raw[[#This Row],[sub_end_date]]), 1, 0)</f>
        <v>0</v>
      </c>
      <c r="J3159" s="2">
        <f>IF(payments_raw[[#This Row],[amount]] &lt;= 0, 1, 0)</f>
        <v>0</v>
      </c>
      <c r="K31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0" spans="1:11" x14ac:dyDescent="0.3">
      <c r="A3160">
        <v>84822264</v>
      </c>
      <c r="B3160">
        <v>7597584</v>
      </c>
      <c r="C3160" s="1">
        <v>45350</v>
      </c>
      <c r="D3160">
        <v>79</v>
      </c>
      <c r="E3160">
        <f>IF(
  ISNA(
    _xlfn.XLOOKUP(
      payments_raw[[#This Row],[subscription_id]],
      subscriptions[subscription_id],
      subscriptions[subscription_id]
    )
  ),
  0,
  1
)</f>
        <v>1</v>
      </c>
      <c r="F3160" s="1">
        <f>_xlfn.XLOOKUP(payments_raw[[#This Row],[subscription_id]], subscriptions[subscription_id], subscriptions[start_date])</f>
        <v>45334</v>
      </c>
      <c r="G31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3160" s="2">
        <f>IF(payments_raw[[#This Row],[payment_date]] &lt; payments_raw[[#This Row],[sub_start_date]], 1, 0)</f>
        <v>0</v>
      </c>
      <c r="I3160" s="2">
        <f>IF(AND(payments_raw[[#This Row],[sub_end_date]]&lt;&gt;"", payments_raw[[#This Row],[payment_date]] &gt; payments_raw[[#This Row],[sub_end_date]]), 1, 0)</f>
        <v>0</v>
      </c>
      <c r="J3160" s="2">
        <f>IF(payments_raw[[#This Row],[amount]] &lt;= 0, 1, 0)</f>
        <v>0</v>
      </c>
      <c r="K31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1" spans="1:11" x14ac:dyDescent="0.3">
      <c r="A3161">
        <v>12247218</v>
      </c>
      <c r="B3161">
        <v>6326787</v>
      </c>
      <c r="C3161" s="1">
        <v>44618</v>
      </c>
      <c r="D3161">
        <v>190</v>
      </c>
      <c r="E3161">
        <f>IF(
  ISNA(
    _xlfn.XLOOKUP(
      payments_raw[[#This Row],[subscription_id]],
      subscriptions[subscription_id],
      subscriptions[subscription_id]
    )
  ),
  0,
  1
)</f>
        <v>1</v>
      </c>
      <c r="F3161" s="1">
        <f>_xlfn.XLOOKUP(payments_raw[[#This Row],[subscription_id]], subscriptions[subscription_id], subscriptions[start_date])</f>
        <v>44603</v>
      </c>
      <c r="G3161" s="1">
        <f>IF(_xlfn.XLOOKUP(payments_raw[[#This Row],[subscription_id]], subscriptions[subscription_id], subscriptions[end_date])=0,"",_xlfn.XLOOKUP(payments_raw[[#This Row],[subscription_id]], subscriptions[subscription_id], subscriptions[end_date]))</f>
        <v>44638</v>
      </c>
      <c r="H3161" s="2">
        <f>IF(payments_raw[[#This Row],[payment_date]] &lt; payments_raw[[#This Row],[sub_start_date]], 1, 0)</f>
        <v>0</v>
      </c>
      <c r="I3161" s="2">
        <f>IF(AND(payments_raw[[#This Row],[sub_end_date]]&lt;&gt;"", payments_raw[[#This Row],[payment_date]] &gt; payments_raw[[#This Row],[sub_end_date]]), 1, 0)</f>
        <v>0</v>
      </c>
      <c r="J3161" s="2">
        <f>IF(payments_raw[[#This Row],[amount]] &lt;= 0, 1, 0)</f>
        <v>0</v>
      </c>
      <c r="K31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2" spans="1:11" x14ac:dyDescent="0.3">
      <c r="A3162">
        <v>71242137</v>
      </c>
      <c r="B3162">
        <v>8379665</v>
      </c>
      <c r="C3162" s="1">
        <v>45194</v>
      </c>
      <c r="D3162">
        <v>299</v>
      </c>
      <c r="E3162">
        <f>IF(
  ISNA(
    _xlfn.XLOOKUP(
      payments_raw[[#This Row],[subscription_id]],
      subscriptions[subscription_id],
      subscriptions[subscription_id]
    )
  ),
  0,
  1
)</f>
        <v>1</v>
      </c>
      <c r="F3162" s="1">
        <f>_xlfn.XLOOKUP(payments_raw[[#This Row],[subscription_id]], subscriptions[subscription_id], subscriptions[start_date])</f>
        <v>45165</v>
      </c>
      <c r="G31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2" s="2">
        <f>IF(payments_raw[[#This Row],[payment_date]] &lt; payments_raw[[#This Row],[sub_start_date]], 1, 0)</f>
        <v>0</v>
      </c>
      <c r="I3162" s="2">
        <f>IF(AND(payments_raw[[#This Row],[sub_end_date]]&lt;&gt;"", payments_raw[[#This Row],[payment_date]] &gt; payments_raw[[#This Row],[sub_end_date]]), 1, 0)</f>
        <v>0</v>
      </c>
      <c r="J3162" s="2">
        <f>IF(payments_raw[[#This Row],[amount]] &lt;= 0, 1, 0)</f>
        <v>0</v>
      </c>
      <c r="K31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3" spans="1:11" x14ac:dyDescent="0.3">
      <c r="A3163">
        <v>33519007</v>
      </c>
      <c r="B3163">
        <v>2810792</v>
      </c>
      <c r="C3163" s="1">
        <v>45337</v>
      </c>
      <c r="D3163">
        <v>1490</v>
      </c>
      <c r="E3163">
        <f>IF(
  ISNA(
    _xlfn.XLOOKUP(
      payments_raw[[#This Row],[subscription_id]],
      subscriptions[subscription_id],
      subscriptions[subscription_id]
    )
  ),
  0,
  1
)</f>
        <v>1</v>
      </c>
      <c r="F3163" s="1">
        <f>_xlfn.XLOOKUP(payments_raw[[#This Row],[subscription_id]], subscriptions[subscription_id], subscriptions[start_date])</f>
        <v>45122</v>
      </c>
      <c r="G31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3163" s="2">
        <f>IF(payments_raw[[#This Row],[payment_date]] &lt; payments_raw[[#This Row],[sub_start_date]], 1, 0)</f>
        <v>0</v>
      </c>
      <c r="I3163" s="2">
        <f>IF(AND(payments_raw[[#This Row],[sub_end_date]]&lt;&gt;"", payments_raw[[#This Row],[payment_date]] &gt; payments_raw[[#This Row],[sub_end_date]]), 1, 0)</f>
        <v>0</v>
      </c>
      <c r="J3163" s="2">
        <f>IF(payments_raw[[#This Row],[amount]] &lt;= 0, 1, 0)</f>
        <v>0</v>
      </c>
      <c r="K31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4" spans="1:11" x14ac:dyDescent="0.3">
      <c r="A3164">
        <v>45508991</v>
      </c>
      <c r="B3164">
        <v>6394118</v>
      </c>
      <c r="C3164" s="1">
        <v>45588</v>
      </c>
      <c r="D3164">
        <v>790</v>
      </c>
      <c r="E3164">
        <f>IF(
  ISNA(
    _xlfn.XLOOKUP(
      payments_raw[[#This Row],[subscription_id]],
      subscriptions[subscription_id],
      subscriptions[subscription_id]
    )
  ),
  0,
  1
)</f>
        <v>1</v>
      </c>
      <c r="F3164" s="1">
        <f>_xlfn.XLOOKUP(payments_raw[[#This Row],[subscription_id]], subscriptions[subscription_id], subscriptions[start_date])</f>
        <v>45553</v>
      </c>
      <c r="G31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3164" s="2">
        <f>IF(payments_raw[[#This Row],[payment_date]] &lt; payments_raw[[#This Row],[sub_start_date]], 1, 0)</f>
        <v>0</v>
      </c>
      <c r="I3164" s="2">
        <f>IF(AND(payments_raw[[#This Row],[sub_end_date]]&lt;&gt;"", payments_raw[[#This Row],[payment_date]] &gt; payments_raw[[#This Row],[sub_end_date]]), 1, 0)</f>
        <v>0</v>
      </c>
      <c r="J3164" s="2">
        <f>IF(payments_raw[[#This Row],[amount]] &lt;= 0, 1, 0)</f>
        <v>0</v>
      </c>
      <c r="K31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5" spans="1:11" x14ac:dyDescent="0.3">
      <c r="A3165">
        <v>53763511</v>
      </c>
      <c r="B3165">
        <v>3730666</v>
      </c>
      <c r="C3165" s="1">
        <v>45602</v>
      </c>
      <c r="D3165">
        <v>19</v>
      </c>
      <c r="E3165">
        <f>IF(
  ISNA(
    _xlfn.XLOOKUP(
      payments_raw[[#This Row],[subscription_id]],
      subscriptions[subscription_id],
      subscriptions[subscription_id]
    )
  ),
  0,
  1
)</f>
        <v>1</v>
      </c>
      <c r="F3165" s="1">
        <f>_xlfn.XLOOKUP(payments_raw[[#This Row],[subscription_id]], subscriptions[subscription_id], subscriptions[start_date])</f>
        <v>44780</v>
      </c>
      <c r="G31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5" s="2">
        <f>IF(payments_raw[[#This Row],[payment_date]] &lt; payments_raw[[#This Row],[sub_start_date]], 1, 0)</f>
        <v>0</v>
      </c>
      <c r="I3165" s="2">
        <f>IF(AND(payments_raw[[#This Row],[sub_end_date]]&lt;&gt;"", payments_raw[[#This Row],[payment_date]] &gt; payments_raw[[#This Row],[sub_end_date]]), 1, 0)</f>
        <v>0</v>
      </c>
      <c r="J3165" s="2">
        <f>IF(payments_raw[[#This Row],[amount]] &lt;= 0, 1, 0)</f>
        <v>0</v>
      </c>
      <c r="K31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6" spans="1:11" x14ac:dyDescent="0.3">
      <c r="A3166">
        <v>94585900</v>
      </c>
      <c r="B3166">
        <v>7861979</v>
      </c>
      <c r="C3166" s="1">
        <v>45352</v>
      </c>
      <c r="D3166">
        <v>190</v>
      </c>
      <c r="E3166">
        <f>IF(
  ISNA(
    _xlfn.XLOOKUP(
      payments_raw[[#This Row],[subscription_id]],
      subscriptions[subscription_id],
      subscriptions[subscription_id]
    )
  ),
  0,
  1
)</f>
        <v>1</v>
      </c>
      <c r="F3166" s="1">
        <f>_xlfn.XLOOKUP(payments_raw[[#This Row],[subscription_id]], subscriptions[subscription_id], subscriptions[start_date])</f>
        <v>44686</v>
      </c>
      <c r="G31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6" s="2">
        <f>IF(payments_raw[[#This Row],[payment_date]] &lt; payments_raw[[#This Row],[sub_start_date]], 1, 0)</f>
        <v>0</v>
      </c>
      <c r="I3166" s="2">
        <f>IF(AND(payments_raw[[#This Row],[sub_end_date]]&lt;&gt;"", payments_raw[[#This Row],[payment_date]] &gt; payments_raw[[#This Row],[sub_end_date]]), 1, 0)</f>
        <v>0</v>
      </c>
      <c r="J3166" s="2">
        <f>IF(payments_raw[[#This Row],[amount]] &lt;= 0, 1, 0)</f>
        <v>0</v>
      </c>
      <c r="K31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7" spans="1:11" x14ac:dyDescent="0.3">
      <c r="A3167">
        <v>43968059</v>
      </c>
      <c r="B3167">
        <v>4543890</v>
      </c>
      <c r="C3167" s="1">
        <v>45351</v>
      </c>
      <c r="D3167">
        <v>190</v>
      </c>
      <c r="E3167">
        <f>IF(
  ISNA(
    _xlfn.XLOOKUP(
      payments_raw[[#This Row],[subscription_id]],
      subscriptions[subscription_id],
      subscriptions[subscription_id]
    )
  ),
  0,
  1
)</f>
        <v>1</v>
      </c>
      <c r="F3167" s="1">
        <f>_xlfn.XLOOKUP(payments_raw[[#This Row],[subscription_id]], subscriptions[subscription_id], subscriptions[start_date])</f>
        <v>45180</v>
      </c>
      <c r="G31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7" s="2">
        <f>IF(payments_raw[[#This Row],[payment_date]] &lt; payments_raw[[#This Row],[sub_start_date]], 1, 0)</f>
        <v>0</v>
      </c>
      <c r="I3167" s="2">
        <f>IF(AND(payments_raw[[#This Row],[sub_end_date]]&lt;&gt;"", payments_raw[[#This Row],[payment_date]] &gt; payments_raw[[#This Row],[sub_end_date]]), 1, 0)</f>
        <v>0</v>
      </c>
      <c r="J3167" s="2">
        <f>IF(payments_raw[[#This Row],[amount]] &lt;= 0, 1, 0)</f>
        <v>0</v>
      </c>
      <c r="K31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8" spans="1:11" x14ac:dyDescent="0.3">
      <c r="A3168">
        <v>75035598</v>
      </c>
      <c r="B3168">
        <v>6692359</v>
      </c>
      <c r="C3168" s="1">
        <v>45503</v>
      </c>
      <c r="D3168">
        <v>1495</v>
      </c>
      <c r="E3168">
        <f>IF(
  ISNA(
    _xlfn.XLOOKUP(
      payments_raw[[#This Row],[subscription_id]],
      subscriptions[subscription_id],
      subscriptions[subscription_id]
    )
  ),
  0,
  1
)</f>
        <v>1</v>
      </c>
      <c r="F3168" s="1">
        <f>_xlfn.XLOOKUP(payments_raw[[#This Row],[subscription_id]], subscriptions[subscription_id], subscriptions[start_date])</f>
        <v>45503</v>
      </c>
      <c r="G316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45604</v>
      </c>
      <c r="H3168" s="2">
        <f>IF(payments_raw[[#This Row],[payment_date]] &lt; payments_raw[[#This Row],[sub_start_date]], 1, 0)</f>
        <v>0</v>
      </c>
      <c r="I3168" s="2">
        <f>IF(AND(payments_raw[[#This Row],[sub_end_date]]&lt;&gt;"", payments_raw[[#This Row],[payment_date]] &gt; payments_raw[[#This Row],[sub_end_date]]), 1, 0)</f>
        <v>0</v>
      </c>
      <c r="J3168" s="2">
        <f>IF(payments_raw[[#This Row],[amount]] &lt;= 0, 1, 0)</f>
        <v>0</v>
      </c>
      <c r="K31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69" spans="1:11" x14ac:dyDescent="0.3">
      <c r="A3169">
        <v>49625783</v>
      </c>
      <c r="B3169">
        <v>1965457</v>
      </c>
      <c r="C3169" s="1">
        <v>45611</v>
      </c>
      <c r="D3169">
        <v>390</v>
      </c>
      <c r="E3169">
        <f>IF(
  ISNA(
    _xlfn.XLOOKUP(
      payments_raw[[#This Row],[subscription_id]],
      subscriptions[subscription_id],
      subscriptions[subscription_id]
    )
  ),
  0,
  1
)</f>
        <v>1</v>
      </c>
      <c r="F3169" s="1">
        <f>_xlfn.XLOOKUP(payments_raw[[#This Row],[subscription_id]], subscriptions[subscription_id], subscriptions[start_date])</f>
        <v>45273</v>
      </c>
      <c r="G31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69" s="2">
        <f>IF(payments_raw[[#This Row],[payment_date]] &lt; payments_raw[[#This Row],[sub_start_date]], 1, 0)</f>
        <v>0</v>
      </c>
      <c r="I3169" s="2">
        <f>IF(AND(payments_raw[[#This Row],[sub_end_date]]&lt;&gt;"", payments_raw[[#This Row],[payment_date]] &gt; payments_raw[[#This Row],[sub_end_date]]), 1, 0)</f>
        <v>0</v>
      </c>
      <c r="J3169" s="2">
        <f>IF(payments_raw[[#This Row],[amount]] &lt;= 0, 1, 0)</f>
        <v>0</v>
      </c>
      <c r="K31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0" spans="1:11" x14ac:dyDescent="0.3">
      <c r="A3170">
        <v>29140008</v>
      </c>
      <c r="B3170">
        <v>3037470</v>
      </c>
      <c r="C3170" s="1">
        <v>44822</v>
      </c>
      <c r="D3170">
        <v>299</v>
      </c>
      <c r="E3170">
        <f>IF(
  ISNA(
    _xlfn.XLOOKUP(
      payments_raw[[#This Row],[subscription_id]],
      subscriptions[subscription_id],
      subscriptions[subscription_id]
    )
  ),
  0,
  1
)</f>
        <v>1</v>
      </c>
      <c r="F3170" s="1">
        <f>_xlfn.XLOOKUP(payments_raw[[#This Row],[subscription_id]], subscriptions[subscription_id], subscriptions[start_date])</f>
        <v>44670</v>
      </c>
      <c r="G317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44964</v>
      </c>
      <c r="H3170" s="2">
        <f>IF(payments_raw[[#This Row],[payment_date]] &lt; payments_raw[[#This Row],[sub_start_date]], 1, 0)</f>
        <v>0</v>
      </c>
      <c r="I3170" s="2">
        <f>IF(AND(payments_raw[[#This Row],[sub_end_date]]&lt;&gt;"", payments_raw[[#This Row],[payment_date]] &gt; payments_raw[[#This Row],[sub_end_date]]), 1, 0)</f>
        <v>0</v>
      </c>
      <c r="J3170" s="2">
        <f>IF(payments_raw[[#This Row],[amount]] &lt;= 0, 1, 0)</f>
        <v>0</v>
      </c>
      <c r="K31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1" spans="1:11" x14ac:dyDescent="0.3">
      <c r="A3171">
        <v>60188705</v>
      </c>
      <c r="B3171">
        <v>2832243</v>
      </c>
      <c r="C3171" s="1">
        <v>45466</v>
      </c>
      <c r="D3171">
        <v>79</v>
      </c>
      <c r="E3171">
        <f>IF(
  ISNA(
    _xlfn.XLOOKUP(
      payments_raw[[#This Row],[subscription_id]],
      subscriptions[subscription_id],
      subscriptions[subscription_id]
    )
  ),
  0,
  1
)</f>
        <v>1</v>
      </c>
      <c r="F3171" s="1">
        <f>_xlfn.XLOOKUP(payments_raw[[#This Row],[subscription_id]], subscriptions[subscription_id], subscriptions[start_date])</f>
        <v>45356</v>
      </c>
      <c r="G31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45648</v>
      </c>
      <c r="H3171" s="2">
        <f>IF(payments_raw[[#This Row],[payment_date]] &lt; payments_raw[[#This Row],[sub_start_date]], 1, 0)</f>
        <v>0</v>
      </c>
      <c r="I3171" s="2">
        <f>IF(AND(payments_raw[[#This Row],[sub_end_date]]&lt;&gt;"", payments_raw[[#This Row],[payment_date]] &gt; payments_raw[[#This Row],[sub_end_date]]), 1, 0)</f>
        <v>0</v>
      </c>
      <c r="J3171" s="2">
        <f>IF(payments_raw[[#This Row],[amount]] &lt;= 0, 1, 0)</f>
        <v>0</v>
      </c>
      <c r="K31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2" spans="1:11" x14ac:dyDescent="0.3">
      <c r="A3172">
        <v>12492068</v>
      </c>
      <c r="B3172">
        <v>1687078</v>
      </c>
      <c r="C3172" s="1">
        <v>45606</v>
      </c>
      <c r="D3172">
        <v>1495</v>
      </c>
      <c r="E3172">
        <f>IF(
  ISNA(
    _xlfn.XLOOKUP(
      payments_raw[[#This Row],[subscription_id]],
      subscriptions[subscription_id],
      subscriptions[subscription_id]
    )
  ),
  0,
  1
)</f>
        <v>1</v>
      </c>
      <c r="F3172" s="1">
        <f>_xlfn.XLOOKUP(payments_raw[[#This Row],[subscription_id]], subscriptions[subscription_id], subscriptions[start_date])</f>
        <v>45007</v>
      </c>
      <c r="G31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72" s="2">
        <f>IF(payments_raw[[#This Row],[payment_date]] &lt; payments_raw[[#This Row],[sub_start_date]], 1, 0)</f>
        <v>0</v>
      </c>
      <c r="I3172" s="2">
        <f>IF(AND(payments_raw[[#This Row],[sub_end_date]]&lt;&gt;"", payments_raw[[#This Row],[payment_date]] &gt; payments_raw[[#This Row],[sub_end_date]]), 1, 0)</f>
        <v>0</v>
      </c>
      <c r="J3172" s="2">
        <f>IF(payments_raw[[#This Row],[amount]] &lt;= 0, 1, 0)</f>
        <v>0</v>
      </c>
      <c r="K31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3" spans="1:11" x14ac:dyDescent="0.3">
      <c r="A3173">
        <v>39907588</v>
      </c>
      <c r="B3173">
        <v>4192453</v>
      </c>
      <c r="C3173" s="1">
        <v>45498</v>
      </c>
      <c r="D3173">
        <v>149</v>
      </c>
      <c r="E3173">
        <f>IF(
  ISNA(
    _xlfn.XLOOKUP(
      payments_raw[[#This Row],[subscription_id]],
      subscriptions[subscription_id],
      subscriptions[subscription_id]
    )
  ),
  0,
  1
)</f>
        <v>1</v>
      </c>
      <c r="F3173" s="1">
        <f>_xlfn.XLOOKUP(payments_raw[[#This Row],[subscription_id]], subscriptions[subscription_id], subscriptions[start_date])</f>
        <v>45029</v>
      </c>
      <c r="G31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73" s="2">
        <f>IF(payments_raw[[#This Row],[payment_date]] &lt; payments_raw[[#This Row],[sub_start_date]], 1, 0)</f>
        <v>0</v>
      </c>
      <c r="I3173" s="2">
        <f>IF(AND(payments_raw[[#This Row],[sub_end_date]]&lt;&gt;"", payments_raw[[#This Row],[payment_date]] &gt; payments_raw[[#This Row],[sub_end_date]]), 1, 0)</f>
        <v>0</v>
      </c>
      <c r="J3173" s="2">
        <f>IF(payments_raw[[#This Row],[amount]] &lt;= 0, 1, 0)</f>
        <v>0</v>
      </c>
      <c r="K31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4" spans="1:11" x14ac:dyDescent="0.3">
      <c r="A3174">
        <v>11201911</v>
      </c>
      <c r="B3174">
        <v>6852648</v>
      </c>
      <c r="C3174" s="1">
        <v>45333</v>
      </c>
      <c r="D3174">
        <v>390</v>
      </c>
      <c r="E3174">
        <f>IF(
  ISNA(
    _xlfn.XLOOKUP(
      payments_raw[[#This Row],[subscription_id]],
      subscriptions[subscription_id],
      subscriptions[subscription_id]
    )
  ),
  0,
  1
)</f>
        <v>1</v>
      </c>
      <c r="F3174" s="1">
        <f>_xlfn.XLOOKUP(payments_raw[[#This Row],[subscription_id]], subscriptions[subscription_id], subscriptions[start_date])</f>
        <v>45240</v>
      </c>
      <c r="G31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74" s="2">
        <f>IF(payments_raw[[#This Row],[payment_date]] &lt; payments_raw[[#This Row],[sub_start_date]], 1, 0)</f>
        <v>0</v>
      </c>
      <c r="I3174" s="2">
        <f>IF(AND(payments_raw[[#This Row],[sub_end_date]]&lt;&gt;"", payments_raw[[#This Row],[payment_date]] &gt; payments_raw[[#This Row],[sub_end_date]]), 1, 0)</f>
        <v>0</v>
      </c>
      <c r="J3174" s="2">
        <f>IF(payments_raw[[#This Row],[amount]] &lt;= 0, 1, 0)</f>
        <v>0</v>
      </c>
      <c r="K31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5" spans="1:11" x14ac:dyDescent="0.3">
      <c r="A3175">
        <v>45736829</v>
      </c>
      <c r="B3175">
        <v>8917395</v>
      </c>
      <c r="C3175" s="1">
        <v>44784</v>
      </c>
      <c r="D3175">
        <v>299</v>
      </c>
      <c r="E3175">
        <f>IF(
  ISNA(
    _xlfn.XLOOKUP(
      payments_raw[[#This Row],[subscription_id]],
      subscriptions[subscription_id],
      subscriptions[subscription_id]
    )
  ),
  0,
  1
)</f>
        <v>1</v>
      </c>
      <c r="F3175" s="1">
        <f>_xlfn.XLOOKUP(payments_raw[[#This Row],[subscription_id]], subscriptions[subscription_id], subscriptions[start_date])</f>
        <v>44748</v>
      </c>
      <c r="G3175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3175" s="2">
        <f>IF(payments_raw[[#This Row],[payment_date]] &lt; payments_raw[[#This Row],[sub_start_date]], 1, 0)</f>
        <v>0</v>
      </c>
      <c r="I3175" s="2">
        <f>IF(AND(payments_raw[[#This Row],[sub_end_date]]&lt;&gt;"", payments_raw[[#This Row],[payment_date]] &gt; payments_raw[[#This Row],[sub_end_date]]), 1, 0)</f>
        <v>0</v>
      </c>
      <c r="J3175" s="2">
        <f>IF(payments_raw[[#This Row],[amount]] &lt;= 0, 1, 0)</f>
        <v>0</v>
      </c>
      <c r="K31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6" spans="1:11" x14ac:dyDescent="0.3">
      <c r="A3176">
        <v>17891837</v>
      </c>
      <c r="B3176">
        <v>1874606</v>
      </c>
      <c r="C3176" s="1">
        <v>45347</v>
      </c>
      <c r="D3176">
        <v>79</v>
      </c>
      <c r="E3176">
        <f>IF(
  ISNA(
    _xlfn.XLOOKUP(
      payments_raw[[#This Row],[subscription_id]],
      subscriptions[subscription_id],
      subscriptions[subscription_id]
    )
  ),
  0,
  1
)</f>
        <v>1</v>
      </c>
      <c r="F3176" s="1">
        <f>_xlfn.XLOOKUP(payments_raw[[#This Row],[subscription_id]], subscriptions[subscription_id], subscriptions[start_date])</f>
        <v>45220</v>
      </c>
      <c r="G31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76" s="2">
        <f>IF(payments_raw[[#This Row],[payment_date]] &lt; payments_raw[[#This Row],[sub_start_date]], 1, 0)</f>
        <v>0</v>
      </c>
      <c r="I3176" s="2">
        <f>IF(AND(payments_raw[[#This Row],[sub_end_date]]&lt;&gt;"", payments_raw[[#This Row],[payment_date]] &gt; payments_raw[[#This Row],[sub_end_date]]), 1, 0)</f>
        <v>0</v>
      </c>
      <c r="J3176" s="2">
        <f>IF(payments_raw[[#This Row],[amount]] &lt;= 0, 1, 0)</f>
        <v>0</v>
      </c>
      <c r="K31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7" spans="1:11" x14ac:dyDescent="0.3">
      <c r="A3177">
        <v>97110687</v>
      </c>
      <c r="B3177">
        <v>2492738</v>
      </c>
      <c r="C3177" s="1">
        <v>45419</v>
      </c>
      <c r="D3177">
        <v>292.5</v>
      </c>
      <c r="E3177">
        <f>IF(
  ISNA(
    _xlfn.XLOOKUP(
      payments_raw[[#This Row],[subscription_id]],
      subscriptions[subscription_id],
      subscriptions[subscription_id]
    )
  ),
  0,
  1
)</f>
        <v>1</v>
      </c>
      <c r="F3177" s="1">
        <f>_xlfn.XLOOKUP(payments_raw[[#This Row],[subscription_id]], subscriptions[subscription_id], subscriptions[start_date])</f>
        <v>45305</v>
      </c>
      <c r="G31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45474</v>
      </c>
      <c r="H3177" s="2">
        <f>IF(payments_raw[[#This Row],[payment_date]] &lt; payments_raw[[#This Row],[sub_start_date]], 1, 0)</f>
        <v>0</v>
      </c>
      <c r="I3177" s="2">
        <f>IF(AND(payments_raw[[#This Row],[sub_end_date]]&lt;&gt;"", payments_raw[[#This Row],[payment_date]] &gt; payments_raw[[#This Row],[sub_end_date]]), 1, 0)</f>
        <v>0</v>
      </c>
      <c r="J3177" s="2">
        <f>IF(payments_raw[[#This Row],[amount]] &lt;= 0, 1, 0)</f>
        <v>0</v>
      </c>
      <c r="K31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8" spans="1:11" x14ac:dyDescent="0.3">
      <c r="A3178">
        <v>42518680</v>
      </c>
      <c r="B3178">
        <v>7355220</v>
      </c>
      <c r="C3178" s="1">
        <v>45493</v>
      </c>
      <c r="D3178">
        <v>149</v>
      </c>
      <c r="E3178">
        <f>IF(
  ISNA(
    _xlfn.XLOOKUP(
      payments_raw[[#This Row],[subscription_id]],
      subscriptions[subscription_id],
      subscriptions[subscription_id]
    )
  ),
  0,
  1
)</f>
        <v>1</v>
      </c>
      <c r="F3178" s="1">
        <f>_xlfn.XLOOKUP(payments_raw[[#This Row],[subscription_id]], subscriptions[subscription_id], subscriptions[start_date])</f>
        <v>45109</v>
      </c>
      <c r="G31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78" s="2">
        <f>IF(payments_raw[[#This Row],[payment_date]] &lt; payments_raw[[#This Row],[sub_start_date]], 1, 0)</f>
        <v>0</v>
      </c>
      <c r="I3178" s="2">
        <f>IF(AND(payments_raw[[#This Row],[sub_end_date]]&lt;&gt;"", payments_raw[[#This Row],[payment_date]] &gt; payments_raw[[#This Row],[sub_end_date]]), 1, 0)</f>
        <v>0</v>
      </c>
      <c r="J3178" s="2">
        <f>IF(payments_raw[[#This Row],[amount]] &lt;= 0, 1, 0)</f>
        <v>0</v>
      </c>
      <c r="K31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79" spans="1:11" x14ac:dyDescent="0.3">
      <c r="A3179">
        <v>51384518</v>
      </c>
      <c r="B3179">
        <v>8980743</v>
      </c>
      <c r="C3179" s="1">
        <v>45523</v>
      </c>
      <c r="D3179">
        <v>149</v>
      </c>
      <c r="E3179">
        <f>IF(
  ISNA(
    _xlfn.XLOOKUP(
      payments_raw[[#This Row],[subscription_id]],
      subscriptions[subscription_id],
      subscriptions[subscription_id]
    )
  ),
  0,
  1
)</f>
        <v>1</v>
      </c>
      <c r="F3179" s="1">
        <f>_xlfn.XLOOKUP(payments_raw[[#This Row],[subscription_id]], subscriptions[subscription_id], subscriptions[start_date])</f>
        <v>45513</v>
      </c>
      <c r="G31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45643</v>
      </c>
      <c r="H3179" s="2">
        <f>IF(payments_raw[[#This Row],[payment_date]] &lt; payments_raw[[#This Row],[sub_start_date]], 1, 0)</f>
        <v>0</v>
      </c>
      <c r="I3179" s="2">
        <f>IF(AND(payments_raw[[#This Row],[sub_end_date]]&lt;&gt;"", payments_raw[[#This Row],[payment_date]] &gt; payments_raw[[#This Row],[sub_end_date]]), 1, 0)</f>
        <v>0</v>
      </c>
      <c r="J3179" s="2">
        <f>IF(payments_raw[[#This Row],[amount]] &lt;= 0, 1, 0)</f>
        <v>0</v>
      </c>
      <c r="K31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0" spans="1:11" x14ac:dyDescent="0.3">
      <c r="A3180">
        <v>39837391</v>
      </c>
      <c r="B3180">
        <v>4322585</v>
      </c>
      <c r="C3180" s="1">
        <v>45339</v>
      </c>
      <c r="D3180">
        <v>790</v>
      </c>
      <c r="E3180">
        <f>IF(
  ISNA(
    _xlfn.XLOOKUP(
      payments_raw[[#This Row],[subscription_id]],
      subscriptions[subscription_id],
      subscriptions[subscription_id]
    )
  ),
  0,
  1
)</f>
        <v>1</v>
      </c>
      <c r="F3180" s="1">
        <f>_xlfn.XLOOKUP(payments_raw[[#This Row],[subscription_id]], subscriptions[subscription_id], subscriptions[start_date])</f>
        <v>45161</v>
      </c>
      <c r="G31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45409</v>
      </c>
      <c r="H3180" s="2">
        <f>IF(payments_raw[[#This Row],[payment_date]] &lt; payments_raw[[#This Row],[sub_start_date]], 1, 0)</f>
        <v>0</v>
      </c>
      <c r="I3180" s="2">
        <f>IF(AND(payments_raw[[#This Row],[sub_end_date]]&lt;&gt;"", payments_raw[[#This Row],[payment_date]] &gt; payments_raw[[#This Row],[sub_end_date]]), 1, 0)</f>
        <v>0</v>
      </c>
      <c r="J3180" s="2">
        <f>IF(payments_raw[[#This Row],[amount]] &lt;= 0, 1, 0)</f>
        <v>0</v>
      </c>
      <c r="K31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1" spans="1:11" x14ac:dyDescent="0.3">
      <c r="A3181">
        <v>44338557</v>
      </c>
      <c r="B3181">
        <v>7337233</v>
      </c>
      <c r="C3181" s="1">
        <v>45330</v>
      </c>
      <c r="D3181">
        <v>190</v>
      </c>
      <c r="E3181">
        <f>IF(
  ISNA(
    _xlfn.XLOOKUP(
      payments_raw[[#This Row],[subscription_id]],
      subscriptions[subscription_id],
      subscriptions[subscription_id]
    )
  ),
  0,
  1
)</f>
        <v>1</v>
      </c>
      <c r="F3181" s="1">
        <f>_xlfn.XLOOKUP(payments_raw[[#This Row],[subscription_id]], subscriptions[subscription_id], subscriptions[start_date])</f>
        <v>44817</v>
      </c>
      <c r="G31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81" s="2">
        <f>IF(payments_raw[[#This Row],[payment_date]] &lt; payments_raw[[#This Row],[sub_start_date]], 1, 0)</f>
        <v>0</v>
      </c>
      <c r="I3181" s="2">
        <f>IF(AND(payments_raw[[#This Row],[sub_end_date]]&lt;&gt;"", payments_raw[[#This Row],[payment_date]] &gt; payments_raw[[#This Row],[sub_end_date]]), 1, 0)</f>
        <v>0</v>
      </c>
      <c r="J3181" s="2">
        <f>IF(payments_raw[[#This Row],[amount]] &lt;= 0, 1, 0)</f>
        <v>0</v>
      </c>
      <c r="K31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2" spans="1:11" x14ac:dyDescent="0.3">
      <c r="A3182">
        <v>81509657</v>
      </c>
      <c r="B3182">
        <v>3601089</v>
      </c>
      <c r="C3182" s="1">
        <v>44794</v>
      </c>
      <c r="D3182">
        <v>19</v>
      </c>
      <c r="E3182">
        <f>IF(
  ISNA(
    _xlfn.XLOOKUP(
      payments_raw[[#This Row],[subscription_id]],
      subscriptions[subscription_id],
      subscriptions[subscription_id]
    )
  ),
  0,
  1
)</f>
        <v>1</v>
      </c>
      <c r="F3182" s="1">
        <f>_xlfn.XLOOKUP(payments_raw[[#This Row],[subscription_id]], subscriptions[subscription_id], subscriptions[start_date])</f>
        <v>44738</v>
      </c>
      <c r="G318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44841</v>
      </c>
      <c r="H3182" s="2">
        <f>IF(payments_raw[[#This Row],[payment_date]] &lt; payments_raw[[#This Row],[sub_start_date]], 1, 0)</f>
        <v>0</v>
      </c>
      <c r="I3182" s="2">
        <f>IF(AND(payments_raw[[#This Row],[sub_end_date]]&lt;&gt;"", payments_raw[[#This Row],[payment_date]] &gt; payments_raw[[#This Row],[sub_end_date]]), 1, 0)</f>
        <v>0</v>
      </c>
      <c r="J3182" s="2">
        <f>IF(payments_raw[[#This Row],[amount]] &lt;= 0, 1, 0)</f>
        <v>0</v>
      </c>
      <c r="K31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3" spans="1:11" x14ac:dyDescent="0.3">
      <c r="A3183">
        <v>47363712</v>
      </c>
      <c r="B3183">
        <v>1757936</v>
      </c>
      <c r="C3183" s="1">
        <v>44630</v>
      </c>
      <c r="D3183">
        <v>299</v>
      </c>
      <c r="E3183">
        <f>IF(
  ISNA(
    _xlfn.XLOOKUP(
      payments_raw[[#This Row],[subscription_id]],
      subscriptions[subscription_id],
      subscriptions[subscription_id]
    )
  ),
  0,
  1
)</f>
        <v>1</v>
      </c>
      <c r="F3183" s="1">
        <f>_xlfn.XLOOKUP(payments_raw[[#This Row],[subscription_id]], subscriptions[subscription_id], subscriptions[start_date])</f>
        <v>44597</v>
      </c>
      <c r="G318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83" s="2">
        <f>IF(payments_raw[[#This Row],[payment_date]] &lt; payments_raw[[#This Row],[sub_start_date]], 1, 0)</f>
        <v>0</v>
      </c>
      <c r="I3183" s="2">
        <f>IF(AND(payments_raw[[#This Row],[sub_end_date]]&lt;&gt;"", payments_raw[[#This Row],[payment_date]] &gt; payments_raw[[#This Row],[sub_end_date]]), 1, 0)</f>
        <v>0</v>
      </c>
      <c r="J3183" s="2">
        <f>IF(payments_raw[[#This Row],[amount]] &lt;= 0, 1, 0)</f>
        <v>0</v>
      </c>
      <c r="K31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4" spans="1:11" x14ac:dyDescent="0.3">
      <c r="A3184">
        <v>63701561</v>
      </c>
      <c r="B3184">
        <v>4272848</v>
      </c>
      <c r="C3184" s="1">
        <v>44994</v>
      </c>
      <c r="D3184">
        <v>2990</v>
      </c>
      <c r="E3184">
        <f>IF(
  ISNA(
    _xlfn.XLOOKUP(
      payments_raw[[#This Row],[subscription_id]],
      subscriptions[subscription_id],
      subscriptions[subscription_id]
    )
  ),
  0,
  1
)</f>
        <v>1</v>
      </c>
      <c r="F3184" s="1">
        <f>_xlfn.XLOOKUP(payments_raw[[#This Row],[subscription_id]], subscriptions[subscription_id], subscriptions[start_date])</f>
        <v>44855</v>
      </c>
      <c r="G318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3184" s="2">
        <f>IF(payments_raw[[#This Row],[payment_date]] &lt; payments_raw[[#This Row],[sub_start_date]], 1, 0)</f>
        <v>0</v>
      </c>
      <c r="I3184" s="2">
        <f>IF(AND(payments_raw[[#This Row],[sub_end_date]]&lt;&gt;"", payments_raw[[#This Row],[payment_date]] &gt; payments_raw[[#This Row],[sub_end_date]]), 1, 0)</f>
        <v>0</v>
      </c>
      <c r="J3184" s="2">
        <f>IF(payments_raw[[#This Row],[amount]] &lt;= 0, 1, 0)</f>
        <v>0</v>
      </c>
      <c r="K31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5" spans="1:11" x14ac:dyDescent="0.3">
      <c r="A3185">
        <v>78453832</v>
      </c>
      <c r="B3185">
        <v>2316088</v>
      </c>
      <c r="C3185" s="1">
        <v>44859</v>
      </c>
      <c r="D3185">
        <v>299</v>
      </c>
      <c r="E3185">
        <f>IF(
  ISNA(
    _xlfn.XLOOKUP(
      payments_raw[[#This Row],[subscription_id]],
      subscriptions[subscription_id],
      subscriptions[subscription_id]
    )
  ),
  0,
  1
)</f>
        <v>1</v>
      </c>
      <c r="F3185" s="1">
        <f>_xlfn.XLOOKUP(payments_raw[[#This Row],[subscription_id]], subscriptions[subscription_id], subscriptions[start_date])</f>
        <v>44720</v>
      </c>
      <c r="G3185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3185" s="2">
        <f>IF(payments_raw[[#This Row],[payment_date]] &lt; payments_raw[[#This Row],[sub_start_date]], 1, 0)</f>
        <v>0</v>
      </c>
      <c r="I3185" s="2">
        <f>IF(AND(payments_raw[[#This Row],[sub_end_date]]&lt;&gt;"", payments_raw[[#This Row],[payment_date]] &gt; payments_raw[[#This Row],[sub_end_date]]), 1, 0)</f>
        <v>0</v>
      </c>
      <c r="J3185" s="2">
        <f>IF(payments_raw[[#This Row],[amount]] &lt;= 0, 1, 0)</f>
        <v>0</v>
      </c>
      <c r="K31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6" spans="1:11" x14ac:dyDescent="0.3">
      <c r="A3186">
        <v>57281975</v>
      </c>
      <c r="B3186">
        <v>8831655</v>
      </c>
      <c r="C3186" s="1">
        <v>44978</v>
      </c>
      <c r="D3186">
        <v>790</v>
      </c>
      <c r="E3186">
        <f>IF(
  ISNA(
    _xlfn.XLOOKUP(
      payments_raw[[#This Row],[subscription_id]],
      subscriptions[subscription_id],
      subscriptions[subscription_id]
    )
  ),
  0,
  1
)</f>
        <v>1</v>
      </c>
      <c r="F3186" s="1">
        <f>_xlfn.XLOOKUP(payments_raw[[#This Row],[subscription_id]], subscriptions[subscription_id], subscriptions[start_date])</f>
        <v>44906</v>
      </c>
      <c r="G3186" s="1">
        <f>IF(_xlfn.XLOOKUP(payments_raw[[#This Row],[subscription_id]], subscriptions[subscription_id], subscriptions[end_date])=0,"",_xlfn.XLOOKUP(payments_raw[[#This Row],[subscription_id]], subscriptions[subscription_id], subscriptions[end_date]))</f>
        <v>44995</v>
      </c>
      <c r="H3186" s="2">
        <f>IF(payments_raw[[#This Row],[payment_date]] &lt; payments_raw[[#This Row],[sub_start_date]], 1, 0)</f>
        <v>0</v>
      </c>
      <c r="I3186" s="2">
        <f>IF(AND(payments_raw[[#This Row],[sub_end_date]]&lt;&gt;"", payments_raw[[#This Row],[payment_date]] &gt; payments_raw[[#This Row],[sub_end_date]]), 1, 0)</f>
        <v>0</v>
      </c>
      <c r="J3186" s="2">
        <f>IF(payments_raw[[#This Row],[amount]] &lt;= 0, 1, 0)</f>
        <v>0</v>
      </c>
      <c r="K31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7" spans="1:11" x14ac:dyDescent="0.3">
      <c r="A3187">
        <v>76895856</v>
      </c>
      <c r="B3187">
        <v>4739473</v>
      </c>
      <c r="C3187" s="1">
        <v>45357</v>
      </c>
      <c r="D3187">
        <v>790</v>
      </c>
      <c r="E3187">
        <f>IF(
  ISNA(
    _xlfn.XLOOKUP(
      payments_raw[[#This Row],[subscription_id]],
      subscriptions[subscription_id],
      subscriptions[subscription_id]
    )
  ),
  0,
  1
)</f>
        <v>1</v>
      </c>
      <c r="F3187" s="1">
        <f>_xlfn.XLOOKUP(payments_raw[[#This Row],[subscription_id]], subscriptions[subscription_id], subscriptions[start_date])</f>
        <v>45230</v>
      </c>
      <c r="G31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87" s="2">
        <f>IF(payments_raw[[#This Row],[payment_date]] &lt; payments_raw[[#This Row],[sub_start_date]], 1, 0)</f>
        <v>0</v>
      </c>
      <c r="I3187" s="2">
        <f>IF(AND(payments_raw[[#This Row],[sub_end_date]]&lt;&gt;"", payments_raw[[#This Row],[payment_date]] &gt; payments_raw[[#This Row],[sub_end_date]]), 1, 0)</f>
        <v>0</v>
      </c>
      <c r="J3187" s="2">
        <f>IF(payments_raw[[#This Row],[amount]] &lt;= 0, 1, 0)</f>
        <v>0</v>
      </c>
      <c r="K31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8" spans="1:11" x14ac:dyDescent="0.3">
      <c r="A3188">
        <v>47103850</v>
      </c>
      <c r="B3188">
        <v>6678849</v>
      </c>
      <c r="C3188" s="1">
        <v>45632</v>
      </c>
      <c r="D3188">
        <v>299</v>
      </c>
      <c r="E3188">
        <f>IF(
  ISNA(
    _xlfn.XLOOKUP(
      payments_raw[[#This Row],[subscription_id]],
      subscriptions[subscription_id],
      subscriptions[subscription_id]
    )
  ),
  0,
  1
)</f>
        <v>1</v>
      </c>
      <c r="F3188" s="1">
        <f>_xlfn.XLOOKUP(payments_raw[[#This Row],[subscription_id]], subscriptions[subscription_id], subscriptions[start_date])</f>
        <v>45450</v>
      </c>
      <c r="G31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3188" s="2">
        <f>IF(payments_raw[[#This Row],[payment_date]] &lt; payments_raw[[#This Row],[sub_start_date]], 1, 0)</f>
        <v>0</v>
      </c>
      <c r="I3188" s="2">
        <f>IF(AND(payments_raw[[#This Row],[sub_end_date]]&lt;&gt;"", payments_raw[[#This Row],[payment_date]] &gt; payments_raw[[#This Row],[sub_end_date]]), 1, 0)</f>
        <v>0</v>
      </c>
      <c r="J3188" s="2">
        <f>IF(payments_raw[[#This Row],[amount]] &lt;= 0, 1, 0)</f>
        <v>0</v>
      </c>
      <c r="K31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89" spans="1:11" x14ac:dyDescent="0.3">
      <c r="A3189">
        <v>30437354</v>
      </c>
      <c r="B3189">
        <v>8352802</v>
      </c>
      <c r="C3189" s="1">
        <v>45266</v>
      </c>
      <c r="D3189">
        <v>299</v>
      </c>
      <c r="E3189">
        <f>IF(
  ISNA(
    _xlfn.XLOOKUP(
      payments_raw[[#This Row],[subscription_id]],
      subscriptions[subscription_id],
      subscriptions[subscription_id]
    )
  ),
  0,
  1
)</f>
        <v>1</v>
      </c>
      <c r="F3189" s="1">
        <f>_xlfn.XLOOKUP(payments_raw[[#This Row],[subscription_id]], subscriptions[subscription_id], subscriptions[start_date])</f>
        <v>45064</v>
      </c>
      <c r="G31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89" s="2">
        <f>IF(payments_raw[[#This Row],[payment_date]] &lt; payments_raw[[#This Row],[sub_start_date]], 1, 0)</f>
        <v>0</v>
      </c>
      <c r="I3189" s="2">
        <f>IF(AND(payments_raw[[#This Row],[sub_end_date]]&lt;&gt;"", payments_raw[[#This Row],[payment_date]] &gt; payments_raw[[#This Row],[sub_end_date]]), 1, 0)</f>
        <v>0</v>
      </c>
      <c r="J3189" s="2">
        <f>IF(payments_raw[[#This Row],[amount]] &lt;= 0, 1, 0)</f>
        <v>0</v>
      </c>
      <c r="K31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0" spans="1:11" x14ac:dyDescent="0.3">
      <c r="A3190">
        <v>40980281</v>
      </c>
      <c r="B3190">
        <v>6556840</v>
      </c>
      <c r="C3190" s="1">
        <v>45502</v>
      </c>
      <c r="D3190">
        <v>111.75</v>
      </c>
      <c r="E3190">
        <f>IF(
  ISNA(
    _xlfn.XLOOKUP(
      payments_raw[[#This Row],[subscription_id]],
      subscriptions[subscription_id],
      subscriptions[subscription_id]
    )
  ),
  0,
  1
)</f>
        <v>1</v>
      </c>
      <c r="F3190" s="1">
        <f>_xlfn.XLOOKUP(payments_raw[[#This Row],[subscription_id]], subscriptions[subscription_id], subscriptions[start_date])</f>
        <v>44626</v>
      </c>
      <c r="G31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90" s="2">
        <f>IF(payments_raw[[#This Row],[payment_date]] &lt; payments_raw[[#This Row],[sub_start_date]], 1, 0)</f>
        <v>0</v>
      </c>
      <c r="I3190" s="2">
        <f>IF(AND(payments_raw[[#This Row],[sub_end_date]]&lt;&gt;"", payments_raw[[#This Row],[payment_date]] &gt; payments_raw[[#This Row],[sub_end_date]]), 1, 0)</f>
        <v>0</v>
      </c>
      <c r="J3190" s="2">
        <f>IF(payments_raw[[#This Row],[amount]] &lt;= 0, 1, 0)</f>
        <v>0</v>
      </c>
      <c r="K31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1" spans="1:11" x14ac:dyDescent="0.3">
      <c r="A3191">
        <v>72222360</v>
      </c>
      <c r="B3191">
        <v>7334348</v>
      </c>
      <c r="C3191" s="1">
        <v>45622</v>
      </c>
      <c r="D3191">
        <v>149</v>
      </c>
      <c r="E3191">
        <f>IF(
  ISNA(
    _xlfn.XLOOKUP(
      payments_raw[[#This Row],[subscription_id]],
      subscriptions[subscription_id],
      subscriptions[subscription_id]
    )
  ),
  0,
  1
)</f>
        <v>1</v>
      </c>
      <c r="F3191" s="1">
        <f>_xlfn.XLOOKUP(payments_raw[[#This Row],[subscription_id]], subscriptions[subscription_id], subscriptions[start_date])</f>
        <v>45004</v>
      </c>
      <c r="G31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91" s="2">
        <f>IF(payments_raw[[#This Row],[payment_date]] &lt; payments_raw[[#This Row],[sub_start_date]], 1, 0)</f>
        <v>0</v>
      </c>
      <c r="I3191" s="2">
        <f>IF(AND(payments_raw[[#This Row],[sub_end_date]]&lt;&gt;"", payments_raw[[#This Row],[payment_date]] &gt; payments_raw[[#This Row],[sub_end_date]]), 1, 0)</f>
        <v>0</v>
      </c>
      <c r="J3191" s="2">
        <f>IF(payments_raw[[#This Row],[amount]] &lt;= 0, 1, 0)</f>
        <v>0</v>
      </c>
      <c r="K31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2" spans="1:11" x14ac:dyDescent="0.3">
      <c r="A3192">
        <v>80993070</v>
      </c>
      <c r="B3192">
        <v>8535120</v>
      </c>
      <c r="C3192" s="1">
        <v>44929</v>
      </c>
      <c r="D3192">
        <v>190</v>
      </c>
      <c r="E3192">
        <f>IF(
  ISNA(
    _xlfn.XLOOKUP(
      payments_raw[[#This Row],[subscription_id]],
      subscriptions[subscription_id],
      subscriptions[subscription_id]
    )
  ),
  0,
  1
)</f>
        <v>1</v>
      </c>
      <c r="F3192" s="1">
        <f>_xlfn.XLOOKUP(payments_raw[[#This Row],[subscription_id]], subscriptions[subscription_id], subscriptions[start_date])</f>
        <v>44825</v>
      </c>
      <c r="G319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44969</v>
      </c>
      <c r="H3192" s="2">
        <f>IF(payments_raw[[#This Row],[payment_date]] &lt; payments_raw[[#This Row],[sub_start_date]], 1, 0)</f>
        <v>0</v>
      </c>
      <c r="I3192" s="2">
        <f>IF(AND(payments_raw[[#This Row],[sub_end_date]]&lt;&gt;"", payments_raw[[#This Row],[payment_date]] &gt; payments_raw[[#This Row],[sub_end_date]]), 1, 0)</f>
        <v>0</v>
      </c>
      <c r="J3192" s="2">
        <f>IF(payments_raw[[#This Row],[amount]] &lt;= 0, 1, 0)</f>
        <v>0</v>
      </c>
      <c r="K31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3" spans="1:11" x14ac:dyDescent="0.3">
      <c r="A3193">
        <v>19890525</v>
      </c>
      <c r="B3193">
        <v>1684054</v>
      </c>
      <c r="C3193" s="1">
        <v>45197</v>
      </c>
      <c r="D3193">
        <v>190</v>
      </c>
      <c r="E3193">
        <f>IF(
  ISNA(
    _xlfn.XLOOKUP(
      payments_raw[[#This Row],[subscription_id]],
      subscriptions[subscription_id],
      subscriptions[subscription_id]
    )
  ),
  0,
  1
)</f>
        <v>1</v>
      </c>
      <c r="F3193" s="1">
        <f>_xlfn.XLOOKUP(payments_raw[[#This Row],[subscription_id]], subscriptions[subscription_id], subscriptions[start_date])</f>
        <v>45065</v>
      </c>
      <c r="G31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93" s="2">
        <f>IF(payments_raw[[#This Row],[payment_date]] &lt; payments_raw[[#This Row],[sub_start_date]], 1, 0)</f>
        <v>0</v>
      </c>
      <c r="I3193" s="2">
        <f>IF(AND(payments_raw[[#This Row],[sub_end_date]]&lt;&gt;"", payments_raw[[#This Row],[payment_date]] &gt; payments_raw[[#This Row],[sub_end_date]]), 1, 0)</f>
        <v>0</v>
      </c>
      <c r="J3193" s="2">
        <f>IF(payments_raw[[#This Row],[amount]] &lt;= 0, 1, 0)</f>
        <v>0</v>
      </c>
      <c r="K31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4" spans="1:11" x14ac:dyDescent="0.3">
      <c r="A3194">
        <v>51662785</v>
      </c>
      <c r="B3194">
        <v>1968122</v>
      </c>
      <c r="C3194" s="1">
        <v>45496</v>
      </c>
      <c r="D3194">
        <v>149</v>
      </c>
      <c r="E3194">
        <f>IF(
  ISNA(
    _xlfn.XLOOKUP(
      payments_raw[[#This Row],[subscription_id]],
      subscriptions[subscription_id],
      subscriptions[subscription_id]
    )
  ),
  0,
  1
)</f>
        <v>1</v>
      </c>
      <c r="F3194" s="1">
        <f>_xlfn.XLOOKUP(payments_raw[[#This Row],[subscription_id]], subscriptions[subscription_id], subscriptions[start_date])</f>
        <v>45351</v>
      </c>
      <c r="G31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45507</v>
      </c>
      <c r="H3194" s="2">
        <f>IF(payments_raw[[#This Row],[payment_date]] &lt; payments_raw[[#This Row],[sub_start_date]], 1, 0)</f>
        <v>0</v>
      </c>
      <c r="I3194" s="2">
        <f>IF(AND(payments_raw[[#This Row],[sub_end_date]]&lt;&gt;"", payments_raw[[#This Row],[payment_date]] &gt; payments_raw[[#This Row],[sub_end_date]]), 1, 0)</f>
        <v>0</v>
      </c>
      <c r="J3194" s="2">
        <f>IF(payments_raw[[#This Row],[amount]] &lt;= 0, 1, 0)</f>
        <v>0</v>
      </c>
      <c r="K31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5" spans="1:11" x14ac:dyDescent="0.3">
      <c r="A3195">
        <v>99466466</v>
      </c>
      <c r="B3195">
        <v>8044465</v>
      </c>
      <c r="C3195" s="1">
        <v>45623</v>
      </c>
      <c r="D3195">
        <v>790</v>
      </c>
      <c r="E3195">
        <f>IF(
  ISNA(
    _xlfn.XLOOKUP(
      payments_raw[[#This Row],[subscription_id]],
      subscriptions[subscription_id],
      subscriptions[subscription_id]
    )
  ),
  0,
  1
)</f>
        <v>1</v>
      </c>
      <c r="F3195" s="1">
        <f>_xlfn.XLOOKUP(payments_raw[[#This Row],[subscription_id]], subscriptions[subscription_id], subscriptions[start_date])</f>
        <v>44697</v>
      </c>
      <c r="G31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195" s="2">
        <f>IF(payments_raw[[#This Row],[payment_date]] &lt; payments_raw[[#This Row],[sub_start_date]], 1, 0)</f>
        <v>0</v>
      </c>
      <c r="I3195" s="2">
        <f>IF(AND(payments_raw[[#This Row],[sub_end_date]]&lt;&gt;"", payments_raw[[#This Row],[payment_date]] &gt; payments_raw[[#This Row],[sub_end_date]]), 1, 0)</f>
        <v>0</v>
      </c>
      <c r="J3195" s="2">
        <f>IF(payments_raw[[#This Row],[amount]] &lt;= 0, 1, 0)</f>
        <v>0</v>
      </c>
      <c r="K31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6" spans="1:11" x14ac:dyDescent="0.3">
      <c r="A3196">
        <v>16777688</v>
      </c>
      <c r="B3196">
        <v>9292055</v>
      </c>
      <c r="C3196" s="1">
        <v>45367</v>
      </c>
      <c r="D3196">
        <v>79</v>
      </c>
      <c r="E3196">
        <f>IF(
  ISNA(
    _xlfn.XLOOKUP(
      payments_raw[[#This Row],[subscription_id]],
      subscriptions[subscription_id],
      subscriptions[subscription_id]
    )
  ),
  0,
  1
)</f>
        <v>1</v>
      </c>
      <c r="F3196" s="1">
        <f>_xlfn.XLOOKUP(payments_raw[[#This Row],[subscription_id]], subscriptions[subscription_id], subscriptions[start_date])</f>
        <v>45302</v>
      </c>
      <c r="G31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45438</v>
      </c>
      <c r="H3196" s="2">
        <f>IF(payments_raw[[#This Row],[payment_date]] &lt; payments_raw[[#This Row],[sub_start_date]], 1, 0)</f>
        <v>0</v>
      </c>
      <c r="I3196" s="2">
        <f>IF(AND(payments_raw[[#This Row],[sub_end_date]]&lt;&gt;"", payments_raw[[#This Row],[payment_date]] &gt; payments_raw[[#This Row],[sub_end_date]]), 1, 0)</f>
        <v>0</v>
      </c>
      <c r="J3196" s="2">
        <f>IF(payments_raw[[#This Row],[amount]] &lt;= 0, 1, 0)</f>
        <v>0</v>
      </c>
      <c r="K31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7" spans="1:11" x14ac:dyDescent="0.3">
      <c r="A3197">
        <v>80388454</v>
      </c>
      <c r="B3197">
        <v>8134419</v>
      </c>
      <c r="C3197" s="1">
        <v>45067</v>
      </c>
      <c r="D3197">
        <v>390</v>
      </c>
      <c r="E3197">
        <f>IF(
  ISNA(
    _xlfn.XLOOKUP(
      payments_raw[[#This Row],[subscription_id]],
      subscriptions[subscription_id],
      subscriptions[subscription_id]
    )
  ),
  0,
  1
)</f>
        <v>1</v>
      </c>
      <c r="F3197" s="1">
        <f>_xlfn.XLOOKUP(payments_raw[[#This Row],[subscription_id]], subscriptions[subscription_id], subscriptions[start_date])</f>
        <v>44869</v>
      </c>
      <c r="G31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45250</v>
      </c>
      <c r="H3197" s="2">
        <f>IF(payments_raw[[#This Row],[payment_date]] &lt; payments_raw[[#This Row],[sub_start_date]], 1, 0)</f>
        <v>0</v>
      </c>
      <c r="I3197" s="2">
        <f>IF(AND(payments_raw[[#This Row],[sub_end_date]]&lt;&gt;"", payments_raw[[#This Row],[payment_date]] &gt; payments_raw[[#This Row],[sub_end_date]]), 1, 0)</f>
        <v>0</v>
      </c>
      <c r="J3197" s="2">
        <f>IF(payments_raw[[#This Row],[amount]] &lt;= 0, 1, 0)</f>
        <v>0</v>
      </c>
      <c r="K31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8" spans="1:11" x14ac:dyDescent="0.3">
      <c r="A3198">
        <v>65127108</v>
      </c>
      <c r="B3198">
        <v>1601759</v>
      </c>
      <c r="C3198" s="1">
        <v>45331</v>
      </c>
      <c r="D3198">
        <v>390</v>
      </c>
      <c r="E3198">
        <f>IF(
  ISNA(
    _xlfn.XLOOKUP(
      payments_raw[[#This Row],[subscription_id]],
      subscriptions[subscription_id],
      subscriptions[subscription_id]
    )
  ),
  0,
  1
)</f>
        <v>1</v>
      </c>
      <c r="F3198" s="1">
        <f>_xlfn.XLOOKUP(payments_raw[[#This Row],[subscription_id]], subscriptions[subscription_id], subscriptions[start_date])</f>
        <v>45043</v>
      </c>
      <c r="G31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45405</v>
      </c>
      <c r="H3198" s="2">
        <f>IF(payments_raw[[#This Row],[payment_date]] &lt; payments_raw[[#This Row],[sub_start_date]], 1, 0)</f>
        <v>0</v>
      </c>
      <c r="I3198" s="2">
        <f>IF(AND(payments_raw[[#This Row],[sub_end_date]]&lt;&gt;"", payments_raw[[#This Row],[payment_date]] &gt; payments_raw[[#This Row],[sub_end_date]]), 1, 0)</f>
        <v>0</v>
      </c>
      <c r="J3198" s="2">
        <f>IF(payments_raw[[#This Row],[amount]] &lt;= 0, 1, 0)</f>
        <v>0</v>
      </c>
      <c r="K31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199" spans="1:11" x14ac:dyDescent="0.3">
      <c r="A3199">
        <v>11487083</v>
      </c>
      <c r="B3199">
        <v>3596701</v>
      </c>
      <c r="C3199" s="1">
        <v>45374</v>
      </c>
      <c r="D3199">
        <v>299</v>
      </c>
      <c r="E3199">
        <f>IF(
  ISNA(
    _xlfn.XLOOKUP(
      payments_raw[[#This Row],[subscription_id]],
      subscriptions[subscription_id],
      subscriptions[subscription_id]
    )
  ),
  0,
  1
)</f>
        <v>1</v>
      </c>
      <c r="F3199" s="1">
        <f>_xlfn.XLOOKUP(payments_raw[[#This Row],[subscription_id]], subscriptions[subscription_id], subscriptions[start_date])</f>
        <v>45178</v>
      </c>
      <c r="G31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3199" s="2">
        <f>IF(payments_raw[[#This Row],[payment_date]] &lt; payments_raw[[#This Row],[sub_start_date]], 1, 0)</f>
        <v>0</v>
      </c>
      <c r="I3199" s="2">
        <f>IF(AND(payments_raw[[#This Row],[sub_end_date]]&lt;&gt;"", payments_raw[[#This Row],[payment_date]] &gt; payments_raw[[#This Row],[sub_end_date]]), 1, 0)</f>
        <v>0</v>
      </c>
      <c r="J3199" s="2">
        <f>IF(payments_raw[[#This Row],[amount]] &lt;= 0, 1, 0)</f>
        <v>0</v>
      </c>
      <c r="K31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0" spans="1:11" x14ac:dyDescent="0.3">
      <c r="A3200">
        <v>19753797</v>
      </c>
      <c r="B3200">
        <v>7994575</v>
      </c>
      <c r="C3200" s="1">
        <v>45577</v>
      </c>
      <c r="D3200">
        <v>390</v>
      </c>
      <c r="E3200">
        <f>IF(
  ISNA(
    _xlfn.XLOOKUP(
      payments_raw[[#This Row],[subscription_id]],
      subscriptions[subscription_id],
      subscriptions[subscription_id]
    )
  ),
  0,
  1
)</f>
        <v>1</v>
      </c>
      <c r="F3200" s="1">
        <f>_xlfn.XLOOKUP(payments_raw[[#This Row],[subscription_id]], subscriptions[subscription_id], subscriptions[start_date])</f>
        <v>45113</v>
      </c>
      <c r="G32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0" s="2">
        <f>IF(payments_raw[[#This Row],[payment_date]] &lt; payments_raw[[#This Row],[sub_start_date]], 1, 0)</f>
        <v>0</v>
      </c>
      <c r="I3200" s="2">
        <f>IF(AND(payments_raw[[#This Row],[sub_end_date]]&lt;&gt;"", payments_raw[[#This Row],[payment_date]] &gt; payments_raw[[#This Row],[sub_end_date]]), 1, 0)</f>
        <v>0</v>
      </c>
      <c r="J3200" s="2">
        <f>IF(payments_raw[[#This Row],[amount]] &lt;= 0, 1, 0)</f>
        <v>0</v>
      </c>
      <c r="K32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1" spans="1:11" x14ac:dyDescent="0.3">
      <c r="A3201">
        <v>86396187</v>
      </c>
      <c r="B3201">
        <v>6251539</v>
      </c>
      <c r="C3201" s="1">
        <v>45641</v>
      </c>
      <c r="D3201">
        <v>390</v>
      </c>
      <c r="E3201">
        <f>IF(
  ISNA(
    _xlfn.XLOOKUP(
      payments_raw[[#This Row],[subscription_id]],
      subscriptions[subscription_id],
      subscriptions[subscription_id]
    )
  ),
  0,
  1
)</f>
        <v>1</v>
      </c>
      <c r="F3201" s="1">
        <f>_xlfn.XLOOKUP(payments_raw[[#This Row],[subscription_id]], subscriptions[subscription_id], subscriptions[start_date])</f>
        <v>45044</v>
      </c>
      <c r="G32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1" s="2">
        <f>IF(payments_raw[[#This Row],[payment_date]] &lt; payments_raw[[#This Row],[sub_start_date]], 1, 0)</f>
        <v>0</v>
      </c>
      <c r="I3201" s="2">
        <f>IF(AND(payments_raw[[#This Row],[sub_end_date]]&lt;&gt;"", payments_raw[[#This Row],[payment_date]] &gt; payments_raw[[#This Row],[sub_end_date]]), 1, 0)</f>
        <v>0</v>
      </c>
      <c r="J3201" s="2">
        <f>IF(payments_raw[[#This Row],[amount]] &lt;= 0, 1, 0)</f>
        <v>0</v>
      </c>
      <c r="K32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2" spans="1:11" x14ac:dyDescent="0.3">
      <c r="A3202">
        <v>35386450</v>
      </c>
      <c r="B3202">
        <v>7213813</v>
      </c>
      <c r="C3202" s="1">
        <v>45553</v>
      </c>
      <c r="D3202">
        <v>79</v>
      </c>
      <c r="E3202">
        <f>IF(
  ISNA(
    _xlfn.XLOOKUP(
      payments_raw[[#This Row],[subscription_id]],
      subscriptions[subscription_id],
      subscriptions[subscription_id]
    )
  ),
  0,
  1
)</f>
        <v>1</v>
      </c>
      <c r="F3202" s="1">
        <f>_xlfn.XLOOKUP(payments_raw[[#This Row],[subscription_id]], subscriptions[subscription_id], subscriptions[start_date])</f>
        <v>44640</v>
      </c>
      <c r="G32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2" s="2">
        <f>IF(payments_raw[[#This Row],[payment_date]] &lt; payments_raw[[#This Row],[sub_start_date]], 1, 0)</f>
        <v>0</v>
      </c>
      <c r="I3202" s="2">
        <f>IF(AND(payments_raw[[#This Row],[sub_end_date]]&lt;&gt;"", payments_raw[[#This Row],[payment_date]] &gt; payments_raw[[#This Row],[sub_end_date]]), 1, 0)</f>
        <v>0</v>
      </c>
      <c r="J3202" s="2">
        <f>IF(payments_raw[[#This Row],[amount]] &lt;= 0, 1, 0)</f>
        <v>0</v>
      </c>
      <c r="K32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3" spans="1:11" x14ac:dyDescent="0.3">
      <c r="A3203">
        <v>91909431</v>
      </c>
      <c r="B3203">
        <v>3146616</v>
      </c>
      <c r="C3203" s="1">
        <v>45484</v>
      </c>
      <c r="D3203">
        <v>79</v>
      </c>
      <c r="E3203">
        <f>IF(
  ISNA(
    _xlfn.XLOOKUP(
      payments_raw[[#This Row],[subscription_id]],
      subscriptions[subscription_id],
      subscriptions[subscription_id]
    )
  ),
  0,
  1
)</f>
        <v>1</v>
      </c>
      <c r="F3203" s="1">
        <f>_xlfn.XLOOKUP(payments_raw[[#This Row],[subscription_id]], subscriptions[subscription_id], subscriptions[start_date])</f>
        <v>44880</v>
      </c>
      <c r="G320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3" s="2">
        <f>IF(payments_raw[[#This Row],[payment_date]] &lt; payments_raw[[#This Row],[sub_start_date]], 1, 0)</f>
        <v>0</v>
      </c>
      <c r="I3203" s="2">
        <f>IF(AND(payments_raw[[#This Row],[sub_end_date]]&lt;&gt;"", payments_raw[[#This Row],[payment_date]] &gt; payments_raw[[#This Row],[sub_end_date]]), 1, 0)</f>
        <v>0</v>
      </c>
      <c r="J3203" s="2">
        <f>IF(payments_raw[[#This Row],[amount]] &lt;= 0, 1, 0)</f>
        <v>0</v>
      </c>
      <c r="K32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4" spans="1:11" x14ac:dyDescent="0.3">
      <c r="A3204">
        <v>90640416</v>
      </c>
      <c r="B3204">
        <v>4860680</v>
      </c>
      <c r="C3204" s="1">
        <v>45428</v>
      </c>
      <c r="D3204">
        <v>2990</v>
      </c>
      <c r="E3204">
        <f>IF(
  ISNA(
    _xlfn.XLOOKUP(
      payments_raw[[#This Row],[subscription_id]],
      subscriptions[subscription_id],
      subscriptions[subscription_id]
    )
  ),
  0,
  1
)</f>
        <v>1</v>
      </c>
      <c r="F3204" s="1">
        <f>_xlfn.XLOOKUP(payments_raw[[#This Row],[subscription_id]], subscriptions[subscription_id], subscriptions[start_date])</f>
        <v>45349</v>
      </c>
      <c r="G32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4" s="2">
        <f>IF(payments_raw[[#This Row],[payment_date]] &lt; payments_raw[[#This Row],[sub_start_date]], 1, 0)</f>
        <v>0</v>
      </c>
      <c r="I3204" s="2">
        <f>IF(AND(payments_raw[[#This Row],[sub_end_date]]&lt;&gt;"", payments_raw[[#This Row],[payment_date]] &gt; payments_raw[[#This Row],[sub_end_date]]), 1, 0)</f>
        <v>0</v>
      </c>
      <c r="J3204" s="2">
        <f>IF(payments_raw[[#This Row],[amount]] &lt;= 0, 1, 0)</f>
        <v>0</v>
      </c>
      <c r="K32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5" spans="1:11" x14ac:dyDescent="0.3">
      <c r="A3205">
        <v>90960465</v>
      </c>
      <c r="B3205">
        <v>3412422</v>
      </c>
      <c r="C3205" s="1">
        <v>45639</v>
      </c>
      <c r="D3205">
        <v>790</v>
      </c>
      <c r="E3205">
        <f>IF(
  ISNA(
    _xlfn.XLOOKUP(
      payments_raw[[#This Row],[subscription_id]],
      subscriptions[subscription_id],
      subscriptions[subscription_id]
    )
  ),
  0,
  1
)</f>
        <v>1</v>
      </c>
      <c r="F3205" s="1">
        <f>_xlfn.XLOOKUP(payments_raw[[#This Row],[subscription_id]], subscriptions[subscription_id], subscriptions[start_date])</f>
        <v>45546</v>
      </c>
      <c r="G32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3205" s="2">
        <f>IF(payments_raw[[#This Row],[payment_date]] &lt; payments_raw[[#This Row],[sub_start_date]], 1, 0)</f>
        <v>0</v>
      </c>
      <c r="I3205" s="2">
        <f>IF(AND(payments_raw[[#This Row],[sub_end_date]]&lt;&gt;"", payments_raw[[#This Row],[payment_date]] &gt; payments_raw[[#This Row],[sub_end_date]]), 1, 0)</f>
        <v>0</v>
      </c>
      <c r="J3205" s="2">
        <f>IF(payments_raw[[#This Row],[amount]] &lt;= 0, 1, 0)</f>
        <v>0</v>
      </c>
      <c r="K32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6" spans="1:11" x14ac:dyDescent="0.3">
      <c r="A3206">
        <v>38901941</v>
      </c>
      <c r="B3206">
        <v>2352134</v>
      </c>
      <c r="C3206" s="1">
        <v>45583</v>
      </c>
      <c r="D3206">
        <v>299</v>
      </c>
      <c r="E3206">
        <f>IF(
  ISNA(
    _xlfn.XLOOKUP(
      payments_raw[[#This Row],[subscription_id]],
      subscriptions[subscription_id],
      subscriptions[subscription_id]
    )
  ),
  0,
  1
)</f>
        <v>1</v>
      </c>
      <c r="F3206" s="1">
        <f>_xlfn.XLOOKUP(payments_raw[[#This Row],[subscription_id]], subscriptions[subscription_id], subscriptions[start_date])</f>
        <v>45542</v>
      </c>
      <c r="G32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45634</v>
      </c>
      <c r="H3206" s="2">
        <f>IF(payments_raw[[#This Row],[payment_date]] &lt; payments_raw[[#This Row],[sub_start_date]], 1, 0)</f>
        <v>0</v>
      </c>
      <c r="I3206" s="2">
        <f>IF(AND(payments_raw[[#This Row],[sub_end_date]]&lt;&gt;"", payments_raw[[#This Row],[payment_date]] &gt; payments_raw[[#This Row],[sub_end_date]]), 1, 0)</f>
        <v>0</v>
      </c>
      <c r="J3206" s="2">
        <f>IF(payments_raw[[#This Row],[amount]] &lt;= 0, 1, 0)</f>
        <v>0</v>
      </c>
      <c r="K32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7" spans="1:11" x14ac:dyDescent="0.3">
      <c r="A3207">
        <v>74083494</v>
      </c>
      <c r="B3207">
        <v>3859007</v>
      </c>
      <c r="C3207" s="1">
        <v>45470</v>
      </c>
      <c r="D3207">
        <v>1490</v>
      </c>
      <c r="E3207">
        <f>IF(
  ISNA(
    _xlfn.XLOOKUP(
      payments_raw[[#This Row],[subscription_id]],
      subscriptions[subscription_id],
      subscriptions[subscription_id]
    )
  ),
  0,
  1
)</f>
        <v>1</v>
      </c>
      <c r="F3207" s="1">
        <f>_xlfn.XLOOKUP(payments_raw[[#This Row],[subscription_id]], subscriptions[subscription_id], subscriptions[start_date])</f>
        <v>45266</v>
      </c>
      <c r="G32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45596</v>
      </c>
      <c r="H3207" s="2">
        <f>IF(payments_raw[[#This Row],[payment_date]] &lt; payments_raw[[#This Row],[sub_start_date]], 1, 0)</f>
        <v>0</v>
      </c>
      <c r="I3207" s="2">
        <f>IF(AND(payments_raw[[#This Row],[sub_end_date]]&lt;&gt;"", payments_raw[[#This Row],[payment_date]] &gt; payments_raw[[#This Row],[sub_end_date]]), 1, 0)</f>
        <v>0</v>
      </c>
      <c r="J3207" s="2">
        <f>IF(payments_raw[[#This Row],[amount]] &lt;= 0, 1, 0)</f>
        <v>0</v>
      </c>
      <c r="K32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8" spans="1:11" x14ac:dyDescent="0.3">
      <c r="A3208">
        <v>72275859</v>
      </c>
      <c r="B3208">
        <v>2818665</v>
      </c>
      <c r="C3208" s="1">
        <v>45502</v>
      </c>
      <c r="D3208">
        <v>299</v>
      </c>
      <c r="E3208">
        <f>IF(
  ISNA(
    _xlfn.XLOOKUP(
      payments_raw[[#This Row],[subscription_id]],
      subscriptions[subscription_id],
      subscriptions[subscription_id]
    )
  ),
  0,
  1
)</f>
        <v>1</v>
      </c>
      <c r="F3208" s="1">
        <f>_xlfn.XLOOKUP(payments_raw[[#This Row],[subscription_id]], subscriptions[subscription_id], subscriptions[start_date])</f>
        <v>44775</v>
      </c>
      <c r="G32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8" s="2">
        <f>IF(payments_raw[[#This Row],[payment_date]] &lt; payments_raw[[#This Row],[sub_start_date]], 1, 0)</f>
        <v>0</v>
      </c>
      <c r="I3208" s="2">
        <f>IF(AND(payments_raw[[#This Row],[sub_end_date]]&lt;&gt;"", payments_raw[[#This Row],[payment_date]] &gt; payments_raw[[#This Row],[sub_end_date]]), 1, 0)</f>
        <v>0</v>
      </c>
      <c r="J3208" s="2">
        <f>IF(payments_raw[[#This Row],[amount]] &lt;= 0, 1, 0)</f>
        <v>0</v>
      </c>
      <c r="K32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09" spans="1:11" x14ac:dyDescent="0.3">
      <c r="A3209">
        <v>91995629</v>
      </c>
      <c r="B3209">
        <v>3277614</v>
      </c>
      <c r="C3209" s="1">
        <v>45592</v>
      </c>
      <c r="D3209">
        <v>39</v>
      </c>
      <c r="E3209">
        <f>IF(
  ISNA(
    _xlfn.XLOOKUP(
      payments_raw[[#This Row],[subscription_id]],
      subscriptions[subscription_id],
      subscriptions[subscription_id]
    )
  ),
  0,
  1
)</f>
        <v>1</v>
      </c>
      <c r="F3209" s="1">
        <f>_xlfn.XLOOKUP(payments_raw[[#This Row],[subscription_id]], subscriptions[subscription_id], subscriptions[start_date])</f>
        <v>45569</v>
      </c>
      <c r="G32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09" s="2">
        <f>IF(payments_raw[[#This Row],[payment_date]] &lt; payments_raw[[#This Row],[sub_start_date]], 1, 0)</f>
        <v>0</v>
      </c>
      <c r="I3209" s="2">
        <f>IF(AND(payments_raw[[#This Row],[sub_end_date]]&lt;&gt;"", payments_raw[[#This Row],[payment_date]] &gt; payments_raw[[#This Row],[sub_end_date]]), 1, 0)</f>
        <v>0</v>
      </c>
      <c r="J3209" s="2">
        <f>IF(payments_raw[[#This Row],[amount]] &lt;= 0, 1, 0)</f>
        <v>0</v>
      </c>
      <c r="K32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0" spans="1:11" x14ac:dyDescent="0.3">
      <c r="A3210">
        <v>68227454</v>
      </c>
      <c r="B3210">
        <v>4179223</v>
      </c>
      <c r="C3210" s="1">
        <v>45562</v>
      </c>
      <c r="D3210">
        <v>390</v>
      </c>
      <c r="E3210">
        <f>IF(
  ISNA(
    _xlfn.XLOOKUP(
      payments_raw[[#This Row],[subscription_id]],
      subscriptions[subscription_id],
      subscriptions[subscription_id]
    )
  ),
  0,
  1
)</f>
        <v>1</v>
      </c>
      <c r="F3210" s="1">
        <f>_xlfn.XLOOKUP(payments_raw[[#This Row],[subscription_id]], subscriptions[subscription_id], subscriptions[start_date])</f>
        <v>45561</v>
      </c>
      <c r="G32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0" s="2">
        <f>IF(payments_raw[[#This Row],[payment_date]] &lt; payments_raw[[#This Row],[sub_start_date]], 1, 0)</f>
        <v>0</v>
      </c>
      <c r="I3210" s="2">
        <f>IF(AND(payments_raw[[#This Row],[sub_end_date]]&lt;&gt;"", payments_raw[[#This Row],[payment_date]] &gt; payments_raw[[#This Row],[sub_end_date]]), 1, 0)</f>
        <v>0</v>
      </c>
      <c r="J3210" s="2">
        <f>IF(payments_raw[[#This Row],[amount]] &lt;= 0, 1, 0)</f>
        <v>0</v>
      </c>
      <c r="K32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1" spans="1:11" x14ac:dyDescent="0.3">
      <c r="A3211">
        <v>43159705</v>
      </c>
      <c r="B3211">
        <v>8729158</v>
      </c>
      <c r="C3211" s="1">
        <v>45067</v>
      </c>
      <c r="D3211">
        <v>790</v>
      </c>
      <c r="E3211">
        <f>IF(
  ISNA(
    _xlfn.XLOOKUP(
      payments_raw[[#This Row],[subscription_id]],
      subscriptions[subscription_id],
      subscriptions[subscription_id]
    )
  ),
  0,
  1
)</f>
        <v>1</v>
      </c>
      <c r="F3211" s="1">
        <f>_xlfn.XLOOKUP(payments_raw[[#This Row],[subscription_id]], subscriptions[subscription_id], subscriptions[start_date])</f>
        <v>44807</v>
      </c>
      <c r="G32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1" s="2">
        <f>IF(payments_raw[[#This Row],[payment_date]] &lt; payments_raw[[#This Row],[sub_start_date]], 1, 0)</f>
        <v>0</v>
      </c>
      <c r="I3211" s="2">
        <f>IF(AND(payments_raw[[#This Row],[sub_end_date]]&lt;&gt;"", payments_raw[[#This Row],[payment_date]] &gt; payments_raw[[#This Row],[sub_end_date]]), 1, 0)</f>
        <v>0</v>
      </c>
      <c r="J3211" s="2">
        <f>IF(payments_raw[[#This Row],[amount]] &lt;= 0, 1, 0)</f>
        <v>0</v>
      </c>
      <c r="K32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2" spans="1:11" x14ac:dyDescent="0.3">
      <c r="A3212">
        <v>16557305</v>
      </c>
      <c r="B3212">
        <v>1802525</v>
      </c>
      <c r="C3212" s="1">
        <v>45654</v>
      </c>
      <c r="D3212">
        <v>299</v>
      </c>
      <c r="E3212">
        <f>IF(
  ISNA(
    _xlfn.XLOOKUP(
      payments_raw[[#This Row],[subscription_id]],
      subscriptions[subscription_id],
      subscriptions[subscription_id]
    )
  ),
  0,
  1
)</f>
        <v>1</v>
      </c>
      <c r="F3212" s="1">
        <f>_xlfn.XLOOKUP(payments_raw[[#This Row],[subscription_id]], subscriptions[subscription_id], subscriptions[start_date])</f>
        <v>44583</v>
      </c>
      <c r="G321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2" s="2">
        <f>IF(payments_raw[[#This Row],[payment_date]] &lt; payments_raw[[#This Row],[sub_start_date]], 1, 0)</f>
        <v>0</v>
      </c>
      <c r="I3212" s="2">
        <f>IF(AND(payments_raw[[#This Row],[sub_end_date]]&lt;&gt;"", payments_raw[[#This Row],[payment_date]] &gt; payments_raw[[#This Row],[sub_end_date]]), 1, 0)</f>
        <v>0</v>
      </c>
      <c r="J3212" s="2">
        <f>IF(payments_raw[[#This Row],[amount]] &lt;= 0, 1, 0)</f>
        <v>0</v>
      </c>
      <c r="K32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3" spans="1:11" x14ac:dyDescent="0.3">
      <c r="A3213">
        <v>43751555</v>
      </c>
      <c r="B3213">
        <v>4771933</v>
      </c>
      <c r="C3213" s="1">
        <v>44662</v>
      </c>
      <c r="D3213">
        <v>745</v>
      </c>
      <c r="E3213">
        <f>IF(
  ISNA(
    _xlfn.XLOOKUP(
      payments_raw[[#This Row],[subscription_id]],
      subscriptions[subscription_id],
      subscriptions[subscription_id]
    )
  ),
  0,
  1
)</f>
        <v>1</v>
      </c>
      <c r="F3213" s="1">
        <f>_xlfn.XLOOKUP(payments_raw[[#This Row],[subscription_id]], subscriptions[subscription_id], subscriptions[start_date])</f>
        <v>44599</v>
      </c>
      <c r="G3213" s="1">
        <f>IF(_xlfn.XLOOKUP(payments_raw[[#This Row],[subscription_id]], subscriptions[subscription_id], subscriptions[end_date])=0,"",_xlfn.XLOOKUP(payments_raw[[#This Row],[subscription_id]], subscriptions[subscription_id], subscriptions[end_date]))</f>
        <v>44742</v>
      </c>
      <c r="H3213" s="2">
        <f>IF(payments_raw[[#This Row],[payment_date]] &lt; payments_raw[[#This Row],[sub_start_date]], 1, 0)</f>
        <v>0</v>
      </c>
      <c r="I3213" s="2">
        <f>IF(AND(payments_raw[[#This Row],[sub_end_date]]&lt;&gt;"", payments_raw[[#This Row],[payment_date]] &gt; payments_raw[[#This Row],[sub_end_date]]), 1, 0)</f>
        <v>0</v>
      </c>
      <c r="J3213" s="2">
        <f>IF(payments_raw[[#This Row],[amount]] &lt;= 0, 1, 0)</f>
        <v>0</v>
      </c>
      <c r="K32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4" spans="1:11" x14ac:dyDescent="0.3">
      <c r="A3214">
        <v>90949736</v>
      </c>
      <c r="B3214">
        <v>1917592</v>
      </c>
      <c r="C3214" s="1">
        <v>45385</v>
      </c>
      <c r="D3214">
        <v>2990</v>
      </c>
      <c r="E3214">
        <f>IF(
  ISNA(
    _xlfn.XLOOKUP(
      payments_raw[[#This Row],[subscription_id]],
      subscriptions[subscription_id],
      subscriptions[subscription_id]
    )
  ),
  0,
  1
)</f>
        <v>1</v>
      </c>
      <c r="F3214" s="1">
        <f>_xlfn.XLOOKUP(payments_raw[[#This Row],[subscription_id]], subscriptions[subscription_id], subscriptions[start_date])</f>
        <v>45115</v>
      </c>
      <c r="G321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3214" s="2">
        <f>IF(payments_raw[[#This Row],[payment_date]] &lt; payments_raw[[#This Row],[sub_start_date]], 1, 0)</f>
        <v>0</v>
      </c>
      <c r="I3214" s="2">
        <f>IF(AND(payments_raw[[#This Row],[sub_end_date]]&lt;&gt;"", payments_raw[[#This Row],[payment_date]] &gt; payments_raw[[#This Row],[sub_end_date]]), 1, 0)</f>
        <v>0</v>
      </c>
      <c r="J3214" s="2">
        <f>IF(payments_raw[[#This Row],[amount]] &lt;= 0, 1, 0)</f>
        <v>0</v>
      </c>
      <c r="K32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5" spans="1:11" x14ac:dyDescent="0.3">
      <c r="A3215">
        <v>90462263</v>
      </c>
      <c r="B3215">
        <v>9118679</v>
      </c>
      <c r="C3215" s="1">
        <v>44745</v>
      </c>
      <c r="D3215">
        <v>19</v>
      </c>
      <c r="E3215">
        <f>IF(
  ISNA(
    _xlfn.XLOOKUP(
      payments_raw[[#This Row],[subscription_id]],
      subscriptions[subscription_id],
      subscriptions[subscription_id]
    )
  ),
  0,
  1
)</f>
        <v>1</v>
      </c>
      <c r="F3215" s="1">
        <f>_xlfn.XLOOKUP(payments_raw[[#This Row],[subscription_id]], subscriptions[subscription_id], subscriptions[start_date])</f>
        <v>44572</v>
      </c>
      <c r="G32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5" s="2">
        <f>IF(payments_raw[[#This Row],[payment_date]] &lt; payments_raw[[#This Row],[sub_start_date]], 1, 0)</f>
        <v>0</v>
      </c>
      <c r="I3215" s="2">
        <f>IF(AND(payments_raw[[#This Row],[sub_end_date]]&lt;&gt;"", payments_raw[[#This Row],[payment_date]] &gt; payments_raw[[#This Row],[sub_end_date]]), 1, 0)</f>
        <v>0</v>
      </c>
      <c r="J3215" s="2">
        <f>IF(payments_raw[[#This Row],[amount]] &lt;= 0, 1, 0)</f>
        <v>0</v>
      </c>
      <c r="K32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6" spans="1:11" x14ac:dyDescent="0.3">
      <c r="A3216">
        <v>26918779</v>
      </c>
      <c r="B3216">
        <v>1153009</v>
      </c>
      <c r="C3216" s="1">
        <v>45298</v>
      </c>
      <c r="D3216">
        <v>9.5</v>
      </c>
      <c r="E3216">
        <f>IF(
  ISNA(
    _xlfn.XLOOKUP(
      payments_raw[[#This Row],[subscription_id]],
      subscriptions[subscription_id],
      subscriptions[subscription_id]
    )
  ),
  0,
  1
)</f>
        <v>1</v>
      </c>
      <c r="F3216" s="1">
        <f>_xlfn.XLOOKUP(payments_raw[[#This Row],[subscription_id]], subscriptions[subscription_id], subscriptions[start_date])</f>
        <v>44886</v>
      </c>
      <c r="G32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6" s="2">
        <f>IF(payments_raw[[#This Row],[payment_date]] &lt; payments_raw[[#This Row],[sub_start_date]], 1, 0)</f>
        <v>0</v>
      </c>
      <c r="I3216" s="2">
        <f>IF(AND(payments_raw[[#This Row],[sub_end_date]]&lt;&gt;"", payments_raw[[#This Row],[payment_date]] &gt; payments_raw[[#This Row],[sub_end_date]]), 1, 0)</f>
        <v>0</v>
      </c>
      <c r="J3216" s="2">
        <f>IF(payments_raw[[#This Row],[amount]] &lt;= 0, 1, 0)</f>
        <v>0</v>
      </c>
      <c r="K32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7" spans="1:11" x14ac:dyDescent="0.3">
      <c r="A3217">
        <v>18925280</v>
      </c>
      <c r="B3217">
        <v>4096510</v>
      </c>
      <c r="C3217" s="1">
        <v>45391</v>
      </c>
      <c r="D3217">
        <v>390</v>
      </c>
      <c r="E3217">
        <f>IF(
  ISNA(
    _xlfn.XLOOKUP(
      payments_raw[[#This Row],[subscription_id]],
      subscriptions[subscription_id],
      subscriptions[subscription_id]
    )
  ),
  0,
  1
)</f>
        <v>1</v>
      </c>
      <c r="F3217" s="1">
        <f>_xlfn.XLOOKUP(payments_raw[[#This Row],[subscription_id]], subscriptions[subscription_id], subscriptions[start_date])</f>
        <v>45095</v>
      </c>
      <c r="G32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7" s="2">
        <f>IF(payments_raw[[#This Row],[payment_date]] &lt; payments_raw[[#This Row],[sub_start_date]], 1, 0)</f>
        <v>0</v>
      </c>
      <c r="I3217" s="2">
        <f>IF(AND(payments_raw[[#This Row],[sub_end_date]]&lt;&gt;"", payments_raw[[#This Row],[payment_date]] &gt; payments_raw[[#This Row],[sub_end_date]]), 1, 0)</f>
        <v>0</v>
      </c>
      <c r="J3217" s="2">
        <f>IF(payments_raw[[#This Row],[amount]] &lt;= 0, 1, 0)</f>
        <v>0</v>
      </c>
      <c r="K32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8" spans="1:11" x14ac:dyDescent="0.3">
      <c r="A3218">
        <v>97559812</v>
      </c>
      <c r="B3218">
        <v>8758476</v>
      </c>
      <c r="C3218" s="1">
        <v>45550</v>
      </c>
      <c r="D3218">
        <v>1490</v>
      </c>
      <c r="E3218">
        <f>IF(
  ISNA(
    _xlfn.XLOOKUP(
      payments_raw[[#This Row],[subscription_id]],
      subscriptions[subscription_id],
      subscriptions[subscription_id]
    )
  ),
  0,
  1
)</f>
        <v>1</v>
      </c>
      <c r="F3218" s="1">
        <f>_xlfn.XLOOKUP(payments_raw[[#This Row],[subscription_id]], subscriptions[subscription_id], subscriptions[start_date])</f>
        <v>45213</v>
      </c>
      <c r="G321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18" s="2">
        <f>IF(payments_raw[[#This Row],[payment_date]] &lt; payments_raw[[#This Row],[sub_start_date]], 1, 0)</f>
        <v>0</v>
      </c>
      <c r="I3218" s="2">
        <f>IF(AND(payments_raw[[#This Row],[sub_end_date]]&lt;&gt;"", payments_raw[[#This Row],[payment_date]] &gt; payments_raw[[#This Row],[sub_end_date]]), 1, 0)</f>
        <v>0</v>
      </c>
      <c r="J3218" s="2">
        <f>IF(payments_raw[[#This Row],[amount]] &lt;= 0, 1, 0)</f>
        <v>0</v>
      </c>
      <c r="K32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19" spans="1:11" x14ac:dyDescent="0.3">
      <c r="A3219">
        <v>63538936</v>
      </c>
      <c r="B3219">
        <v>4338530</v>
      </c>
      <c r="C3219" s="1">
        <v>45561</v>
      </c>
      <c r="D3219">
        <v>2990</v>
      </c>
      <c r="E3219">
        <f>IF(
  ISNA(
    _xlfn.XLOOKUP(
      payments_raw[[#This Row],[subscription_id]],
      subscriptions[subscription_id],
      subscriptions[subscription_id]
    )
  ),
  0,
  1
)</f>
        <v>1</v>
      </c>
      <c r="F3219" s="1">
        <f>_xlfn.XLOOKUP(payments_raw[[#This Row],[subscription_id]], subscriptions[subscription_id], subscriptions[start_date])</f>
        <v>45543</v>
      </c>
      <c r="G32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3219" s="2">
        <f>IF(payments_raw[[#This Row],[payment_date]] &lt; payments_raw[[#This Row],[sub_start_date]], 1, 0)</f>
        <v>0</v>
      </c>
      <c r="I3219" s="2">
        <f>IF(AND(payments_raw[[#This Row],[sub_end_date]]&lt;&gt;"", payments_raw[[#This Row],[payment_date]] &gt; payments_raw[[#This Row],[sub_end_date]]), 1, 0)</f>
        <v>0</v>
      </c>
      <c r="J3219" s="2">
        <f>IF(payments_raw[[#This Row],[amount]] &lt;= 0, 1, 0)</f>
        <v>0</v>
      </c>
      <c r="K32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0" spans="1:11" x14ac:dyDescent="0.3">
      <c r="A3220">
        <v>19038057</v>
      </c>
      <c r="B3220">
        <v>5125653</v>
      </c>
      <c r="C3220" s="1">
        <v>45502</v>
      </c>
      <c r="D3220">
        <v>1490</v>
      </c>
      <c r="E3220">
        <f>IF(
  ISNA(
    _xlfn.XLOOKUP(
      payments_raw[[#This Row],[subscription_id]],
      subscriptions[subscription_id],
      subscriptions[subscription_id]
    )
  ),
  0,
  1
)</f>
        <v>1</v>
      </c>
      <c r="F3220" s="1">
        <f>_xlfn.XLOOKUP(payments_raw[[#This Row],[subscription_id]], subscriptions[subscription_id], subscriptions[start_date])</f>
        <v>45346</v>
      </c>
      <c r="G32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0" s="2">
        <f>IF(payments_raw[[#This Row],[payment_date]] &lt; payments_raw[[#This Row],[sub_start_date]], 1, 0)</f>
        <v>0</v>
      </c>
      <c r="I3220" s="2">
        <f>IF(AND(payments_raw[[#This Row],[sub_end_date]]&lt;&gt;"", payments_raw[[#This Row],[payment_date]] &gt; payments_raw[[#This Row],[sub_end_date]]), 1, 0)</f>
        <v>0</v>
      </c>
      <c r="J3220" s="2">
        <f>IF(payments_raw[[#This Row],[amount]] &lt;= 0, 1, 0)</f>
        <v>0</v>
      </c>
      <c r="K32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1" spans="1:11" x14ac:dyDescent="0.3">
      <c r="A3221">
        <v>98762878</v>
      </c>
      <c r="B3221">
        <v>8253691</v>
      </c>
      <c r="C3221" s="1">
        <v>44890</v>
      </c>
      <c r="D3221">
        <v>39</v>
      </c>
      <c r="E3221">
        <f>IF(
  ISNA(
    _xlfn.XLOOKUP(
      payments_raw[[#This Row],[subscription_id]],
      subscriptions[subscription_id],
      subscriptions[subscription_id]
    )
  ),
  0,
  1
)</f>
        <v>1</v>
      </c>
      <c r="F3221" s="1">
        <f>_xlfn.XLOOKUP(payments_raw[[#This Row],[subscription_id]], subscriptions[subscription_id], subscriptions[start_date])</f>
        <v>44861</v>
      </c>
      <c r="G322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44985</v>
      </c>
      <c r="H3221" s="2">
        <f>IF(payments_raw[[#This Row],[payment_date]] &lt; payments_raw[[#This Row],[sub_start_date]], 1, 0)</f>
        <v>0</v>
      </c>
      <c r="I3221" s="2">
        <f>IF(AND(payments_raw[[#This Row],[sub_end_date]]&lt;&gt;"", payments_raw[[#This Row],[payment_date]] &gt; payments_raw[[#This Row],[sub_end_date]]), 1, 0)</f>
        <v>0</v>
      </c>
      <c r="J3221" s="2">
        <f>IF(payments_raw[[#This Row],[amount]] &lt;= 0, 1, 0)</f>
        <v>0</v>
      </c>
      <c r="K32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2" spans="1:11" x14ac:dyDescent="0.3">
      <c r="A3222">
        <v>48150618</v>
      </c>
      <c r="B3222">
        <v>3412422</v>
      </c>
      <c r="C3222" s="1">
        <v>45639</v>
      </c>
      <c r="D3222">
        <v>790</v>
      </c>
      <c r="E3222">
        <f>IF(
  ISNA(
    _xlfn.XLOOKUP(
      payments_raw[[#This Row],[subscription_id]],
      subscriptions[subscription_id],
      subscriptions[subscription_id]
    )
  ),
  0,
  1
)</f>
        <v>1</v>
      </c>
      <c r="F3222" s="1">
        <f>_xlfn.XLOOKUP(payments_raw[[#This Row],[subscription_id]], subscriptions[subscription_id], subscriptions[start_date])</f>
        <v>45546</v>
      </c>
      <c r="G322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45645</v>
      </c>
      <c r="H3222" s="2">
        <f>IF(payments_raw[[#This Row],[payment_date]] &lt; payments_raw[[#This Row],[sub_start_date]], 1, 0)</f>
        <v>0</v>
      </c>
      <c r="I3222" s="2">
        <f>IF(AND(payments_raw[[#This Row],[sub_end_date]]&lt;&gt;"", payments_raw[[#This Row],[payment_date]] &gt; payments_raw[[#This Row],[sub_end_date]]), 1, 0)</f>
        <v>0</v>
      </c>
      <c r="J3222" s="2">
        <f>IF(payments_raw[[#This Row],[amount]] &lt;= 0, 1, 0)</f>
        <v>0</v>
      </c>
      <c r="K32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3" spans="1:11" x14ac:dyDescent="0.3">
      <c r="A3223">
        <v>19491470</v>
      </c>
      <c r="B3223">
        <v>7192680</v>
      </c>
      <c r="C3223" s="1">
        <v>45216</v>
      </c>
      <c r="D3223">
        <v>790</v>
      </c>
      <c r="E3223">
        <f>IF(
  ISNA(
    _xlfn.XLOOKUP(
      payments_raw[[#This Row],[subscription_id]],
      subscriptions[subscription_id],
      subscriptions[subscription_id]
    )
  ),
  0,
  1
)</f>
        <v>1</v>
      </c>
      <c r="F3223" s="1">
        <f>_xlfn.XLOOKUP(payments_raw[[#This Row],[subscription_id]], subscriptions[subscription_id], subscriptions[start_date])</f>
        <v>45105</v>
      </c>
      <c r="G32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45499</v>
      </c>
      <c r="H3223" s="2">
        <f>IF(payments_raw[[#This Row],[payment_date]] &lt; payments_raw[[#This Row],[sub_start_date]], 1, 0)</f>
        <v>0</v>
      </c>
      <c r="I3223" s="2">
        <f>IF(AND(payments_raw[[#This Row],[sub_end_date]]&lt;&gt;"", payments_raw[[#This Row],[payment_date]] &gt; payments_raw[[#This Row],[sub_end_date]]), 1, 0)</f>
        <v>0</v>
      </c>
      <c r="J3223" s="2">
        <f>IF(payments_raw[[#This Row],[amount]] &lt;= 0, 1, 0)</f>
        <v>0</v>
      </c>
      <c r="K32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4" spans="1:11" x14ac:dyDescent="0.3">
      <c r="A3224">
        <v>12239111</v>
      </c>
      <c r="B3224">
        <v>8077313</v>
      </c>
      <c r="C3224" s="1">
        <v>45063</v>
      </c>
      <c r="D3224">
        <v>190</v>
      </c>
      <c r="E3224">
        <f>IF(
  ISNA(
    _xlfn.XLOOKUP(
      payments_raw[[#This Row],[subscription_id]],
      subscriptions[subscription_id],
      subscriptions[subscription_id]
    )
  ),
  0,
  1
)</f>
        <v>1</v>
      </c>
      <c r="F3224" s="1">
        <f>_xlfn.XLOOKUP(payments_raw[[#This Row],[subscription_id]], subscriptions[subscription_id], subscriptions[start_date])</f>
        <v>45011</v>
      </c>
      <c r="G322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3224" s="2">
        <f>IF(payments_raw[[#This Row],[payment_date]] &lt; payments_raw[[#This Row],[sub_start_date]], 1, 0)</f>
        <v>0</v>
      </c>
      <c r="I3224" s="2">
        <f>IF(AND(payments_raw[[#This Row],[sub_end_date]]&lt;&gt;"", payments_raw[[#This Row],[payment_date]] &gt; payments_raw[[#This Row],[sub_end_date]]), 1, 0)</f>
        <v>0</v>
      </c>
      <c r="J3224" s="2">
        <f>IF(payments_raw[[#This Row],[amount]] &lt;= 0, 1, 0)</f>
        <v>0</v>
      </c>
      <c r="K32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5" spans="1:11" x14ac:dyDescent="0.3">
      <c r="A3225">
        <v>87163353</v>
      </c>
      <c r="B3225">
        <v>4937877</v>
      </c>
      <c r="C3225" s="1">
        <v>45529</v>
      </c>
      <c r="D3225">
        <v>79</v>
      </c>
      <c r="E3225">
        <f>IF(
  ISNA(
    _xlfn.XLOOKUP(
      payments_raw[[#This Row],[subscription_id]],
      subscriptions[subscription_id],
      subscriptions[subscription_id]
    )
  ),
  0,
  1
)</f>
        <v>1</v>
      </c>
      <c r="F3225" s="1">
        <f>_xlfn.XLOOKUP(payments_raw[[#This Row],[subscription_id]], subscriptions[subscription_id], subscriptions[start_date])</f>
        <v>45276</v>
      </c>
      <c r="G32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5" s="2">
        <f>IF(payments_raw[[#This Row],[payment_date]] &lt; payments_raw[[#This Row],[sub_start_date]], 1, 0)</f>
        <v>0</v>
      </c>
      <c r="I3225" s="2">
        <f>IF(AND(payments_raw[[#This Row],[sub_end_date]]&lt;&gt;"", payments_raw[[#This Row],[payment_date]] &gt; payments_raw[[#This Row],[sub_end_date]]), 1, 0)</f>
        <v>0</v>
      </c>
      <c r="J3225" s="2">
        <f>IF(payments_raw[[#This Row],[amount]] &lt;= 0, 1, 0)</f>
        <v>0</v>
      </c>
      <c r="K32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6" spans="1:11" x14ac:dyDescent="0.3">
      <c r="A3226">
        <v>95304463</v>
      </c>
      <c r="B3226">
        <v>9969014</v>
      </c>
      <c r="C3226" s="1">
        <v>45355</v>
      </c>
      <c r="D3226">
        <v>1490</v>
      </c>
      <c r="E3226">
        <f>IF(
  ISNA(
    _xlfn.XLOOKUP(
      payments_raw[[#This Row],[subscription_id]],
      subscriptions[subscription_id],
      subscriptions[subscription_id]
    )
  ),
  0,
  1
)</f>
        <v>1</v>
      </c>
      <c r="F3226" s="1">
        <f>_xlfn.XLOOKUP(payments_raw[[#This Row],[subscription_id]], subscriptions[subscription_id], subscriptions[start_date])</f>
        <v>44799</v>
      </c>
      <c r="G32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6" s="2">
        <f>IF(payments_raw[[#This Row],[payment_date]] &lt; payments_raw[[#This Row],[sub_start_date]], 1, 0)</f>
        <v>0</v>
      </c>
      <c r="I3226" s="2">
        <f>IF(AND(payments_raw[[#This Row],[sub_end_date]]&lt;&gt;"", payments_raw[[#This Row],[payment_date]] &gt; payments_raw[[#This Row],[sub_end_date]]), 1, 0)</f>
        <v>0</v>
      </c>
      <c r="J3226" s="2">
        <f>IF(payments_raw[[#This Row],[amount]] &lt;= 0, 1, 0)</f>
        <v>0</v>
      </c>
      <c r="K32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7" spans="1:11" x14ac:dyDescent="0.3">
      <c r="A3227">
        <v>14452272</v>
      </c>
      <c r="B3227">
        <v>1954349</v>
      </c>
      <c r="C3227" s="1">
        <v>45323</v>
      </c>
      <c r="D3227">
        <v>2990</v>
      </c>
      <c r="E3227">
        <f>IF(
  ISNA(
    _xlfn.XLOOKUP(
      payments_raw[[#This Row],[subscription_id]],
      subscriptions[subscription_id],
      subscriptions[subscription_id]
    )
  ),
  0,
  1
)</f>
        <v>1</v>
      </c>
      <c r="F3227" s="1">
        <f>_xlfn.XLOOKUP(payments_raw[[#This Row],[subscription_id]], subscriptions[subscription_id], subscriptions[start_date])</f>
        <v>44718</v>
      </c>
      <c r="G32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7" s="2">
        <f>IF(payments_raw[[#This Row],[payment_date]] &lt; payments_raw[[#This Row],[sub_start_date]], 1, 0)</f>
        <v>0</v>
      </c>
      <c r="I3227" s="2">
        <f>IF(AND(payments_raw[[#This Row],[sub_end_date]]&lt;&gt;"", payments_raw[[#This Row],[payment_date]] &gt; payments_raw[[#This Row],[sub_end_date]]), 1, 0)</f>
        <v>0</v>
      </c>
      <c r="J3227" s="2">
        <f>IF(payments_raw[[#This Row],[amount]] &lt;= 0, 1, 0)</f>
        <v>0</v>
      </c>
      <c r="K32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8" spans="1:11" x14ac:dyDescent="0.3">
      <c r="A3228">
        <v>68355014</v>
      </c>
      <c r="B3228">
        <v>7416570</v>
      </c>
      <c r="C3228" s="1">
        <v>45657</v>
      </c>
      <c r="D3228">
        <v>1490</v>
      </c>
      <c r="E3228">
        <f>IF(
  ISNA(
    _xlfn.XLOOKUP(
      payments_raw[[#This Row],[subscription_id]],
      subscriptions[subscription_id],
      subscriptions[subscription_id]
    )
  ),
  0,
  1
)</f>
        <v>1</v>
      </c>
      <c r="F3228" s="1">
        <f>_xlfn.XLOOKUP(payments_raw[[#This Row],[subscription_id]], subscriptions[subscription_id], subscriptions[start_date])</f>
        <v>45328</v>
      </c>
      <c r="G32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8" s="2">
        <f>IF(payments_raw[[#This Row],[payment_date]] &lt; payments_raw[[#This Row],[sub_start_date]], 1, 0)</f>
        <v>0</v>
      </c>
      <c r="I3228" s="2">
        <f>IF(AND(payments_raw[[#This Row],[sub_end_date]]&lt;&gt;"", payments_raw[[#This Row],[payment_date]] &gt; payments_raw[[#This Row],[sub_end_date]]), 1, 0)</f>
        <v>0</v>
      </c>
      <c r="J3228" s="2">
        <f>IF(payments_raw[[#This Row],[amount]] &lt;= 0, 1, 0)</f>
        <v>0</v>
      </c>
      <c r="K32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29" spans="1:11" x14ac:dyDescent="0.3">
      <c r="A3229">
        <v>61505306</v>
      </c>
      <c r="B3229">
        <v>4654790</v>
      </c>
      <c r="C3229" s="1">
        <v>45550</v>
      </c>
      <c r="D3229">
        <v>149</v>
      </c>
      <c r="E3229">
        <f>IF(
  ISNA(
    _xlfn.XLOOKUP(
      payments_raw[[#This Row],[subscription_id]],
      subscriptions[subscription_id],
      subscriptions[subscription_id]
    )
  ),
  0,
  1
)</f>
        <v>1</v>
      </c>
      <c r="F3229" s="1">
        <f>_xlfn.XLOOKUP(payments_raw[[#This Row],[subscription_id]], subscriptions[subscription_id], subscriptions[start_date])</f>
        <v>45398</v>
      </c>
      <c r="G322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29" s="2">
        <f>IF(payments_raw[[#This Row],[payment_date]] &lt; payments_raw[[#This Row],[sub_start_date]], 1, 0)</f>
        <v>0</v>
      </c>
      <c r="I3229" s="2">
        <f>IF(AND(payments_raw[[#This Row],[sub_end_date]]&lt;&gt;"", payments_raw[[#This Row],[payment_date]] &gt; payments_raw[[#This Row],[sub_end_date]]), 1, 0)</f>
        <v>0</v>
      </c>
      <c r="J3229" s="2">
        <f>IF(payments_raw[[#This Row],[amount]] &lt;= 0, 1, 0)</f>
        <v>0</v>
      </c>
      <c r="K32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0" spans="1:11" x14ac:dyDescent="0.3">
      <c r="A3230">
        <v>99540581</v>
      </c>
      <c r="B3230">
        <v>3961713</v>
      </c>
      <c r="C3230" s="1">
        <v>45592</v>
      </c>
      <c r="D3230">
        <v>190</v>
      </c>
      <c r="E3230">
        <f>IF(
  ISNA(
    _xlfn.XLOOKUP(
      payments_raw[[#This Row],[subscription_id]],
      subscriptions[subscription_id],
      subscriptions[subscription_id]
    )
  ),
  0,
  1
)</f>
        <v>1</v>
      </c>
      <c r="F3230" s="1">
        <f>_xlfn.XLOOKUP(payments_raw[[#This Row],[subscription_id]], subscriptions[subscription_id], subscriptions[start_date])</f>
        <v>45235</v>
      </c>
      <c r="G32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30" s="2">
        <f>IF(payments_raw[[#This Row],[payment_date]] &lt; payments_raw[[#This Row],[sub_start_date]], 1, 0)</f>
        <v>0</v>
      </c>
      <c r="I3230" s="2">
        <f>IF(AND(payments_raw[[#This Row],[sub_end_date]]&lt;&gt;"", payments_raw[[#This Row],[payment_date]] &gt; payments_raw[[#This Row],[sub_end_date]]), 1, 0)</f>
        <v>0</v>
      </c>
      <c r="J3230" s="2">
        <f>IF(payments_raw[[#This Row],[amount]] &lt;= 0, 1, 0)</f>
        <v>0</v>
      </c>
      <c r="K32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1" spans="1:11" x14ac:dyDescent="0.3">
      <c r="A3231">
        <v>11524247</v>
      </c>
      <c r="B3231">
        <v>1598744</v>
      </c>
      <c r="C3231" s="1">
        <v>45444</v>
      </c>
      <c r="D3231">
        <v>1490</v>
      </c>
      <c r="E3231">
        <f>IF(
  ISNA(
    _xlfn.XLOOKUP(
      payments_raw[[#This Row],[subscription_id]],
      subscriptions[subscription_id],
      subscriptions[subscription_id]
    )
  ),
  0,
  1
)</f>
        <v>1</v>
      </c>
      <c r="F3231" s="1">
        <f>_xlfn.XLOOKUP(payments_raw[[#This Row],[subscription_id]], subscriptions[subscription_id], subscriptions[start_date])</f>
        <v>45107</v>
      </c>
      <c r="G32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31" s="2">
        <f>IF(payments_raw[[#This Row],[payment_date]] &lt; payments_raw[[#This Row],[sub_start_date]], 1, 0)</f>
        <v>0</v>
      </c>
      <c r="I3231" s="2">
        <f>IF(AND(payments_raw[[#This Row],[sub_end_date]]&lt;&gt;"", payments_raw[[#This Row],[payment_date]] &gt; payments_raw[[#This Row],[sub_end_date]]), 1, 0)</f>
        <v>0</v>
      </c>
      <c r="J3231" s="2">
        <f>IF(payments_raw[[#This Row],[amount]] &lt;= 0, 1, 0)</f>
        <v>0</v>
      </c>
      <c r="K32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2" spans="1:11" x14ac:dyDescent="0.3">
      <c r="A3232">
        <v>97102543</v>
      </c>
      <c r="B3232">
        <v>6991611</v>
      </c>
      <c r="C3232" s="1">
        <v>45566</v>
      </c>
      <c r="D3232">
        <v>195</v>
      </c>
      <c r="E3232">
        <f>IF(
  ISNA(
    _xlfn.XLOOKUP(
      payments_raw[[#This Row],[subscription_id]],
      subscriptions[subscription_id],
      subscriptions[subscription_id]
    )
  ),
  0,
  1
)</f>
        <v>1</v>
      </c>
      <c r="F3232" s="1">
        <f>_xlfn.XLOOKUP(payments_raw[[#This Row],[subscription_id]], subscriptions[subscription_id], subscriptions[start_date])</f>
        <v>45547</v>
      </c>
      <c r="G32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32" s="2">
        <f>IF(payments_raw[[#This Row],[payment_date]] &lt; payments_raw[[#This Row],[sub_start_date]], 1, 0)</f>
        <v>0</v>
      </c>
      <c r="I3232" s="2">
        <f>IF(AND(payments_raw[[#This Row],[sub_end_date]]&lt;&gt;"", payments_raw[[#This Row],[payment_date]] &gt; payments_raw[[#This Row],[sub_end_date]]), 1, 0)</f>
        <v>0</v>
      </c>
      <c r="J3232" s="2">
        <f>IF(payments_raw[[#This Row],[amount]] &lt;= 0, 1, 0)</f>
        <v>0</v>
      </c>
      <c r="K32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3" spans="1:11" x14ac:dyDescent="0.3">
      <c r="A3233">
        <v>41344167</v>
      </c>
      <c r="B3233">
        <v>8919821</v>
      </c>
      <c r="C3233" s="1">
        <v>45178</v>
      </c>
      <c r="D3233">
        <v>299</v>
      </c>
      <c r="E3233">
        <f>IF(
  ISNA(
    _xlfn.XLOOKUP(
      payments_raw[[#This Row],[subscription_id]],
      subscriptions[subscription_id],
      subscriptions[subscription_id]
    )
  ),
  0,
  1
)</f>
        <v>1</v>
      </c>
      <c r="F3233" s="1">
        <f>_xlfn.XLOOKUP(payments_raw[[#This Row],[subscription_id]], subscriptions[subscription_id], subscriptions[start_date])</f>
        <v>45135</v>
      </c>
      <c r="G323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45216</v>
      </c>
      <c r="H3233" s="2">
        <f>IF(payments_raw[[#This Row],[payment_date]] &lt; payments_raw[[#This Row],[sub_start_date]], 1, 0)</f>
        <v>0</v>
      </c>
      <c r="I3233" s="2">
        <f>IF(AND(payments_raw[[#This Row],[sub_end_date]]&lt;&gt;"", payments_raw[[#This Row],[payment_date]] &gt; payments_raw[[#This Row],[sub_end_date]]), 1, 0)</f>
        <v>0</v>
      </c>
      <c r="J3233" s="2">
        <f>IF(payments_raw[[#This Row],[amount]] &lt;= 0, 1, 0)</f>
        <v>0</v>
      </c>
      <c r="K32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4" spans="1:11" x14ac:dyDescent="0.3">
      <c r="A3234">
        <v>14158097</v>
      </c>
      <c r="B3234">
        <v>2497768</v>
      </c>
      <c r="C3234" s="1">
        <v>45103</v>
      </c>
      <c r="D3234">
        <v>390</v>
      </c>
      <c r="E3234">
        <f>IF(
  ISNA(
    _xlfn.XLOOKUP(
      payments_raw[[#This Row],[subscription_id]],
      subscriptions[subscription_id],
      subscriptions[subscription_id]
    )
  ),
  0,
  1
)</f>
        <v>1</v>
      </c>
      <c r="F3234" s="1">
        <f>_xlfn.XLOOKUP(payments_raw[[#This Row],[subscription_id]], subscriptions[subscription_id], subscriptions[start_date])</f>
        <v>44958</v>
      </c>
      <c r="G3234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45181</v>
      </c>
      <c r="H3234" s="2">
        <f>IF(payments_raw[[#This Row],[payment_date]] &lt; payments_raw[[#This Row],[sub_start_date]], 1, 0)</f>
        <v>0</v>
      </c>
      <c r="I3234" s="2">
        <f>IF(AND(payments_raw[[#This Row],[sub_end_date]]&lt;&gt;"", payments_raw[[#This Row],[payment_date]] &gt; payments_raw[[#This Row],[sub_end_date]]), 1, 0)</f>
        <v>0</v>
      </c>
      <c r="J3234" s="2">
        <f>IF(payments_raw[[#This Row],[amount]] &lt;= 0, 1, 0)</f>
        <v>0</v>
      </c>
      <c r="K32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5" spans="1:11" x14ac:dyDescent="0.3">
      <c r="A3235">
        <v>67260792</v>
      </c>
      <c r="B3235">
        <v>2548634</v>
      </c>
      <c r="C3235" s="1">
        <v>45568</v>
      </c>
      <c r="D3235">
        <v>79</v>
      </c>
      <c r="E3235">
        <f>IF(
  ISNA(
    _xlfn.XLOOKUP(
      payments_raw[[#This Row],[subscription_id]],
      subscriptions[subscription_id],
      subscriptions[subscription_id]
    )
  ),
  0,
  1
)</f>
        <v>1</v>
      </c>
      <c r="F3235" s="1">
        <f>_xlfn.XLOOKUP(payments_raw[[#This Row],[subscription_id]], subscriptions[subscription_id], subscriptions[start_date])</f>
        <v>45349</v>
      </c>
      <c r="G32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35" s="2">
        <f>IF(payments_raw[[#This Row],[payment_date]] &lt; payments_raw[[#This Row],[sub_start_date]], 1, 0)</f>
        <v>0</v>
      </c>
      <c r="I3235" s="2">
        <f>IF(AND(payments_raw[[#This Row],[sub_end_date]]&lt;&gt;"", payments_raw[[#This Row],[payment_date]] &gt; payments_raw[[#This Row],[sub_end_date]]), 1, 0)</f>
        <v>0</v>
      </c>
      <c r="J3235" s="2">
        <f>IF(payments_raw[[#This Row],[amount]] &lt;= 0, 1, 0)</f>
        <v>0</v>
      </c>
      <c r="K32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6" spans="1:11" x14ac:dyDescent="0.3">
      <c r="A3236">
        <v>23731131</v>
      </c>
      <c r="B3236">
        <v>5269818</v>
      </c>
      <c r="C3236" s="1">
        <v>45448</v>
      </c>
      <c r="D3236">
        <v>79</v>
      </c>
      <c r="E3236">
        <f>IF(
  ISNA(
    _xlfn.XLOOKUP(
      payments_raw[[#This Row],[subscription_id]],
      subscriptions[subscription_id],
      subscriptions[subscription_id]
    )
  ),
  0,
  1
)</f>
        <v>1</v>
      </c>
      <c r="F3236" s="1">
        <f>_xlfn.XLOOKUP(payments_raw[[#This Row],[subscription_id]], subscriptions[subscription_id], subscriptions[start_date])</f>
        <v>44811</v>
      </c>
      <c r="G32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36" s="2">
        <f>IF(payments_raw[[#This Row],[payment_date]] &lt; payments_raw[[#This Row],[sub_start_date]], 1, 0)</f>
        <v>0</v>
      </c>
      <c r="I3236" s="2">
        <f>IF(AND(payments_raw[[#This Row],[sub_end_date]]&lt;&gt;"", payments_raw[[#This Row],[payment_date]] &gt; payments_raw[[#This Row],[sub_end_date]]), 1, 0)</f>
        <v>0</v>
      </c>
      <c r="J3236" s="2">
        <f>IF(payments_raw[[#This Row],[amount]] &lt;= 0, 1, 0)</f>
        <v>0</v>
      </c>
      <c r="K32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7" spans="1:11" x14ac:dyDescent="0.3">
      <c r="A3237">
        <v>84987352</v>
      </c>
      <c r="B3237">
        <v>6665383</v>
      </c>
      <c r="C3237" s="1">
        <v>45087</v>
      </c>
      <c r="D3237">
        <v>190</v>
      </c>
      <c r="E3237">
        <f>IF(
  ISNA(
    _xlfn.XLOOKUP(
      payments_raw[[#This Row],[subscription_id]],
      subscriptions[subscription_id],
      subscriptions[subscription_id]
    )
  ),
  0,
  1
)</f>
        <v>1</v>
      </c>
      <c r="F3237" s="1">
        <f>_xlfn.XLOOKUP(payments_raw[[#This Row],[subscription_id]], subscriptions[subscription_id], subscriptions[start_date])</f>
        <v>44882</v>
      </c>
      <c r="G32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45176</v>
      </c>
      <c r="H3237" s="2">
        <f>IF(payments_raw[[#This Row],[payment_date]] &lt; payments_raw[[#This Row],[sub_start_date]], 1, 0)</f>
        <v>0</v>
      </c>
      <c r="I3237" s="2">
        <f>IF(AND(payments_raw[[#This Row],[sub_end_date]]&lt;&gt;"", payments_raw[[#This Row],[payment_date]] &gt; payments_raw[[#This Row],[sub_end_date]]), 1, 0)</f>
        <v>0</v>
      </c>
      <c r="J3237" s="2">
        <f>IF(payments_raw[[#This Row],[amount]] &lt;= 0, 1, 0)</f>
        <v>0</v>
      </c>
      <c r="K32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8" spans="1:11" x14ac:dyDescent="0.3">
      <c r="A3238">
        <v>86287347</v>
      </c>
      <c r="B3238">
        <v>8375951</v>
      </c>
      <c r="C3238" s="1">
        <v>45025</v>
      </c>
      <c r="D3238">
        <v>1490</v>
      </c>
      <c r="E3238">
        <f>IF(
  ISNA(
    _xlfn.XLOOKUP(
      payments_raw[[#This Row],[subscription_id]],
      subscriptions[subscription_id],
      subscriptions[subscription_id]
    )
  ),
  0,
  1
)</f>
        <v>1</v>
      </c>
      <c r="F3238" s="1">
        <f>_xlfn.XLOOKUP(payments_raw[[#This Row],[subscription_id]], subscriptions[subscription_id], subscriptions[start_date])</f>
        <v>44814</v>
      </c>
      <c r="G32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45036</v>
      </c>
      <c r="H3238" s="2">
        <f>IF(payments_raw[[#This Row],[payment_date]] &lt; payments_raw[[#This Row],[sub_start_date]], 1, 0)</f>
        <v>0</v>
      </c>
      <c r="I3238" s="2">
        <f>IF(AND(payments_raw[[#This Row],[sub_end_date]]&lt;&gt;"", payments_raw[[#This Row],[payment_date]] &gt; payments_raw[[#This Row],[sub_end_date]]), 1, 0)</f>
        <v>0</v>
      </c>
      <c r="J3238" s="2">
        <f>IF(payments_raw[[#This Row],[amount]] &lt;= 0, 1, 0)</f>
        <v>0</v>
      </c>
      <c r="K32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39" spans="1:11" x14ac:dyDescent="0.3">
      <c r="A3239">
        <v>14557393</v>
      </c>
      <c r="B3239">
        <v>2422629</v>
      </c>
      <c r="C3239" s="1">
        <v>45297</v>
      </c>
      <c r="D3239">
        <v>790</v>
      </c>
      <c r="E3239">
        <f>IF(
  ISNA(
    _xlfn.XLOOKUP(
      payments_raw[[#This Row],[subscription_id]],
      subscriptions[subscription_id],
      subscriptions[subscription_id]
    )
  ),
  0,
  1
)</f>
        <v>1</v>
      </c>
      <c r="F3239" s="1">
        <f>_xlfn.XLOOKUP(payments_raw[[#This Row],[subscription_id]], subscriptions[subscription_id], subscriptions[start_date])</f>
        <v>45214</v>
      </c>
      <c r="G3239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45302</v>
      </c>
      <c r="H3239" s="2">
        <f>IF(payments_raw[[#This Row],[payment_date]] &lt; payments_raw[[#This Row],[sub_start_date]], 1, 0)</f>
        <v>0</v>
      </c>
      <c r="I3239" s="2">
        <f>IF(AND(payments_raw[[#This Row],[sub_end_date]]&lt;&gt;"", payments_raw[[#This Row],[payment_date]] &gt; payments_raw[[#This Row],[sub_end_date]]), 1, 0)</f>
        <v>0</v>
      </c>
      <c r="J3239" s="2">
        <f>IF(payments_raw[[#This Row],[amount]] &lt;= 0, 1, 0)</f>
        <v>0</v>
      </c>
      <c r="K32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0" spans="1:11" x14ac:dyDescent="0.3">
      <c r="A3240">
        <v>59663454</v>
      </c>
      <c r="B3240">
        <v>7833312</v>
      </c>
      <c r="C3240" s="1">
        <v>45291</v>
      </c>
      <c r="D3240">
        <v>39</v>
      </c>
      <c r="E3240">
        <f>IF(
  ISNA(
    _xlfn.XLOOKUP(
      payments_raw[[#This Row],[subscription_id]],
      subscriptions[subscription_id],
      subscriptions[subscription_id]
    )
  ),
  0,
  1
)</f>
        <v>1</v>
      </c>
      <c r="F3240" s="1">
        <f>_xlfn.XLOOKUP(payments_raw[[#This Row],[subscription_id]], subscriptions[subscription_id], subscriptions[start_date])</f>
        <v>45189</v>
      </c>
      <c r="G3240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45337</v>
      </c>
      <c r="H3240" s="2">
        <f>IF(payments_raw[[#This Row],[payment_date]] &lt; payments_raw[[#This Row],[sub_start_date]], 1, 0)</f>
        <v>0</v>
      </c>
      <c r="I3240" s="2">
        <f>IF(AND(payments_raw[[#This Row],[sub_end_date]]&lt;&gt;"", payments_raw[[#This Row],[payment_date]] &gt; payments_raw[[#This Row],[sub_end_date]]), 1, 0)</f>
        <v>0</v>
      </c>
      <c r="J3240" s="2">
        <f>IF(payments_raw[[#This Row],[amount]] &lt;= 0, 1, 0)</f>
        <v>0</v>
      </c>
      <c r="K32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1" spans="1:11" x14ac:dyDescent="0.3">
      <c r="A3241">
        <v>10578994</v>
      </c>
      <c r="B3241">
        <v>6540763</v>
      </c>
      <c r="C3241" s="1">
        <v>44854</v>
      </c>
      <c r="D3241">
        <v>299</v>
      </c>
      <c r="E3241">
        <f>IF(
  ISNA(
    _xlfn.XLOOKUP(
      payments_raw[[#This Row],[subscription_id]],
      subscriptions[subscription_id],
      subscriptions[subscription_id]
    )
  ),
  0,
  1
)</f>
        <v>1</v>
      </c>
      <c r="F3241" s="1">
        <f>_xlfn.XLOOKUP(payments_raw[[#This Row],[subscription_id]], subscriptions[subscription_id], subscriptions[start_date])</f>
        <v>44767</v>
      </c>
      <c r="G32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1" s="2">
        <f>IF(payments_raw[[#This Row],[payment_date]] &lt; payments_raw[[#This Row],[sub_start_date]], 1, 0)</f>
        <v>0</v>
      </c>
      <c r="I3241" s="2">
        <f>IF(AND(payments_raw[[#This Row],[sub_end_date]]&lt;&gt;"", payments_raw[[#This Row],[payment_date]] &gt; payments_raw[[#This Row],[sub_end_date]]), 1, 0)</f>
        <v>0</v>
      </c>
      <c r="J3241" s="2">
        <f>IF(payments_raw[[#This Row],[amount]] &lt;= 0, 1, 0)</f>
        <v>0</v>
      </c>
      <c r="K32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2" spans="1:11" x14ac:dyDescent="0.3">
      <c r="A3242">
        <v>58921737</v>
      </c>
      <c r="B3242">
        <v>3954562</v>
      </c>
      <c r="C3242" s="1">
        <v>44984</v>
      </c>
      <c r="D3242">
        <v>299</v>
      </c>
      <c r="E3242">
        <f>IF(
  ISNA(
    _xlfn.XLOOKUP(
      payments_raw[[#This Row],[subscription_id]],
      subscriptions[subscription_id],
      subscriptions[subscription_id]
    )
  ),
  0,
  1
)</f>
        <v>1</v>
      </c>
      <c r="F3242" s="1">
        <f>_xlfn.XLOOKUP(payments_raw[[#This Row],[subscription_id]], subscriptions[subscription_id], subscriptions[start_date])</f>
        <v>44733</v>
      </c>
      <c r="G32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2" s="2">
        <f>IF(payments_raw[[#This Row],[payment_date]] &lt; payments_raw[[#This Row],[sub_start_date]], 1, 0)</f>
        <v>0</v>
      </c>
      <c r="I3242" s="2">
        <f>IF(AND(payments_raw[[#This Row],[sub_end_date]]&lt;&gt;"", payments_raw[[#This Row],[payment_date]] &gt; payments_raw[[#This Row],[sub_end_date]]), 1, 0)</f>
        <v>0</v>
      </c>
      <c r="J3242" s="2">
        <f>IF(payments_raw[[#This Row],[amount]] &lt;= 0, 1, 0)</f>
        <v>0</v>
      </c>
      <c r="K32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3" spans="1:11" x14ac:dyDescent="0.3">
      <c r="A3243">
        <v>10372877</v>
      </c>
      <c r="B3243">
        <v>9007468</v>
      </c>
      <c r="C3243" s="1">
        <v>45626</v>
      </c>
      <c r="D3243">
        <v>1490</v>
      </c>
      <c r="E3243">
        <f>IF(
  ISNA(
    _xlfn.XLOOKUP(
      payments_raw[[#This Row],[subscription_id]],
      subscriptions[subscription_id],
      subscriptions[subscription_id]
    )
  ),
  0,
  1
)</f>
        <v>1</v>
      </c>
      <c r="F3243" s="1">
        <f>_xlfn.XLOOKUP(payments_raw[[#This Row],[subscription_id]], subscriptions[subscription_id], subscriptions[start_date])</f>
        <v>45512</v>
      </c>
      <c r="G32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3" s="2">
        <f>IF(payments_raw[[#This Row],[payment_date]] &lt; payments_raw[[#This Row],[sub_start_date]], 1, 0)</f>
        <v>0</v>
      </c>
      <c r="I3243" s="2">
        <f>IF(AND(payments_raw[[#This Row],[sub_end_date]]&lt;&gt;"", payments_raw[[#This Row],[payment_date]] &gt; payments_raw[[#This Row],[sub_end_date]]), 1, 0)</f>
        <v>0</v>
      </c>
      <c r="J3243" s="2">
        <f>IF(payments_raw[[#This Row],[amount]] &lt;= 0, 1, 0)</f>
        <v>0</v>
      </c>
      <c r="K32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4" spans="1:11" x14ac:dyDescent="0.3">
      <c r="A3244">
        <v>64900439</v>
      </c>
      <c r="B3244">
        <v>8680384</v>
      </c>
      <c r="C3244" s="1">
        <v>45038</v>
      </c>
      <c r="D3244">
        <v>79</v>
      </c>
      <c r="E3244">
        <f>IF(
  ISNA(
    _xlfn.XLOOKUP(
      payments_raw[[#This Row],[subscription_id]],
      subscriptions[subscription_id],
      subscriptions[subscription_id]
    )
  ),
  0,
  1
)</f>
        <v>1</v>
      </c>
      <c r="F3244" s="1">
        <f>_xlfn.XLOOKUP(payments_raw[[#This Row],[subscription_id]], subscriptions[subscription_id], subscriptions[start_date])</f>
        <v>44936</v>
      </c>
      <c r="G32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4" s="2">
        <f>IF(payments_raw[[#This Row],[payment_date]] &lt; payments_raw[[#This Row],[sub_start_date]], 1, 0)</f>
        <v>0</v>
      </c>
      <c r="I3244" s="2">
        <f>IF(AND(payments_raw[[#This Row],[sub_end_date]]&lt;&gt;"", payments_raw[[#This Row],[payment_date]] &gt; payments_raw[[#This Row],[sub_end_date]]), 1, 0)</f>
        <v>0</v>
      </c>
      <c r="J3244" s="2">
        <f>IF(payments_raw[[#This Row],[amount]] &lt;= 0, 1, 0)</f>
        <v>0</v>
      </c>
      <c r="K32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5" spans="1:11" x14ac:dyDescent="0.3">
      <c r="A3245">
        <v>67795956</v>
      </c>
      <c r="B3245">
        <v>4207115</v>
      </c>
      <c r="C3245" s="1">
        <v>45273</v>
      </c>
      <c r="D3245">
        <v>190</v>
      </c>
      <c r="E3245">
        <f>IF(
  ISNA(
    _xlfn.XLOOKUP(
      payments_raw[[#This Row],[subscription_id]],
      subscriptions[subscription_id],
      subscriptions[subscription_id]
    )
  ),
  0,
  1
)</f>
        <v>1</v>
      </c>
      <c r="F3245" s="1">
        <f>_xlfn.XLOOKUP(payments_raw[[#This Row],[subscription_id]], subscriptions[subscription_id], subscriptions[start_date])</f>
        <v>44591</v>
      </c>
      <c r="G32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5" s="2">
        <f>IF(payments_raw[[#This Row],[payment_date]] &lt; payments_raw[[#This Row],[sub_start_date]], 1, 0)</f>
        <v>0</v>
      </c>
      <c r="I3245" s="2">
        <f>IF(AND(payments_raw[[#This Row],[sub_end_date]]&lt;&gt;"", payments_raw[[#This Row],[payment_date]] &gt; payments_raw[[#This Row],[sub_end_date]]), 1, 0)</f>
        <v>0</v>
      </c>
      <c r="J3245" s="2">
        <f>IF(payments_raw[[#This Row],[amount]] &lt;= 0, 1, 0)</f>
        <v>0</v>
      </c>
      <c r="K32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6" spans="1:11" x14ac:dyDescent="0.3">
      <c r="A3246">
        <v>30526614</v>
      </c>
      <c r="B3246">
        <v>5777999</v>
      </c>
      <c r="C3246" s="1">
        <v>45568</v>
      </c>
      <c r="D3246">
        <v>790</v>
      </c>
      <c r="E3246">
        <f>IF(
  ISNA(
    _xlfn.XLOOKUP(
      payments_raw[[#This Row],[subscription_id]],
      subscriptions[subscription_id],
      subscriptions[subscription_id]
    )
  ),
  0,
  1
)</f>
        <v>1</v>
      </c>
      <c r="F3246" s="1">
        <f>_xlfn.XLOOKUP(payments_raw[[#This Row],[subscription_id]], subscriptions[subscription_id], subscriptions[start_date])</f>
        <v>44901</v>
      </c>
      <c r="G32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6" s="2">
        <f>IF(payments_raw[[#This Row],[payment_date]] &lt; payments_raw[[#This Row],[sub_start_date]], 1, 0)</f>
        <v>0</v>
      </c>
      <c r="I3246" s="2">
        <f>IF(AND(payments_raw[[#This Row],[sub_end_date]]&lt;&gt;"", payments_raw[[#This Row],[payment_date]] &gt; payments_raw[[#This Row],[sub_end_date]]), 1, 0)</f>
        <v>0</v>
      </c>
      <c r="J3246" s="2">
        <f>IF(payments_raw[[#This Row],[amount]] &lt;= 0, 1, 0)</f>
        <v>0</v>
      </c>
      <c r="K32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7" spans="1:11" x14ac:dyDescent="0.3">
      <c r="A3247">
        <v>96161779</v>
      </c>
      <c r="B3247">
        <v>5978445</v>
      </c>
      <c r="C3247" s="1">
        <v>45561</v>
      </c>
      <c r="D3247">
        <v>149</v>
      </c>
      <c r="E3247">
        <f>IF(
  ISNA(
    _xlfn.XLOOKUP(
      payments_raw[[#This Row],[subscription_id]],
      subscriptions[subscription_id],
      subscriptions[subscription_id]
    )
  ),
  0,
  1
)</f>
        <v>1</v>
      </c>
      <c r="F3247" s="1">
        <f>_xlfn.XLOOKUP(payments_raw[[#This Row],[subscription_id]], subscriptions[subscription_id], subscriptions[start_date])</f>
        <v>44772</v>
      </c>
      <c r="G32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47" s="2">
        <f>IF(payments_raw[[#This Row],[payment_date]] &lt; payments_raw[[#This Row],[sub_start_date]], 1, 0)</f>
        <v>0</v>
      </c>
      <c r="I3247" s="2">
        <f>IF(AND(payments_raw[[#This Row],[sub_end_date]]&lt;&gt;"", payments_raw[[#This Row],[payment_date]] &gt; payments_raw[[#This Row],[sub_end_date]]), 1, 0)</f>
        <v>0</v>
      </c>
      <c r="J3247" s="2">
        <f>IF(payments_raw[[#This Row],[amount]] &lt;= 0, 1, 0)</f>
        <v>0</v>
      </c>
      <c r="K32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8" spans="1:11" x14ac:dyDescent="0.3">
      <c r="A3248">
        <v>10902958</v>
      </c>
      <c r="B3248">
        <v>5488496</v>
      </c>
      <c r="C3248" s="1">
        <v>45373</v>
      </c>
      <c r="D3248">
        <v>190</v>
      </c>
      <c r="E3248">
        <f>IF(
  ISNA(
    _xlfn.XLOOKUP(
      payments_raw[[#This Row],[subscription_id]],
      subscriptions[subscription_id],
      subscriptions[subscription_id]
    )
  ),
  0,
  1
)</f>
        <v>1</v>
      </c>
      <c r="F3248" s="1">
        <f>_xlfn.XLOOKUP(payments_raw[[#This Row],[subscription_id]], subscriptions[subscription_id], subscriptions[start_date])</f>
        <v>45215</v>
      </c>
      <c r="G324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45502</v>
      </c>
      <c r="H3248" s="2">
        <f>IF(payments_raw[[#This Row],[payment_date]] &lt; payments_raw[[#This Row],[sub_start_date]], 1, 0)</f>
        <v>0</v>
      </c>
      <c r="I3248" s="2">
        <f>IF(AND(payments_raw[[#This Row],[sub_end_date]]&lt;&gt;"", payments_raw[[#This Row],[payment_date]] &gt; payments_raw[[#This Row],[sub_end_date]]), 1, 0)</f>
        <v>0</v>
      </c>
      <c r="J3248" s="2">
        <f>IF(payments_raw[[#This Row],[amount]] &lt;= 0, 1, 0)</f>
        <v>0</v>
      </c>
      <c r="K32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49" spans="1:11" x14ac:dyDescent="0.3">
      <c r="A3249">
        <v>51252304</v>
      </c>
      <c r="B3249">
        <v>3799814</v>
      </c>
      <c r="C3249" s="1">
        <v>44919</v>
      </c>
      <c r="D3249">
        <v>19</v>
      </c>
      <c r="E3249">
        <f>IF(
  ISNA(
    _xlfn.XLOOKUP(
      payments_raw[[#This Row],[subscription_id]],
      subscriptions[subscription_id],
      subscriptions[subscription_id]
    )
  ),
  0,
  1
)</f>
        <v>1</v>
      </c>
      <c r="F3249" s="1">
        <f>_xlfn.XLOOKUP(payments_raw[[#This Row],[subscription_id]], subscriptions[subscription_id], subscriptions[start_date])</f>
        <v>44668</v>
      </c>
      <c r="G32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45056</v>
      </c>
      <c r="H3249" s="2">
        <f>IF(payments_raw[[#This Row],[payment_date]] &lt; payments_raw[[#This Row],[sub_start_date]], 1, 0)</f>
        <v>0</v>
      </c>
      <c r="I3249" s="2">
        <f>IF(AND(payments_raw[[#This Row],[sub_end_date]]&lt;&gt;"", payments_raw[[#This Row],[payment_date]] &gt; payments_raw[[#This Row],[sub_end_date]]), 1, 0)</f>
        <v>0</v>
      </c>
      <c r="J3249" s="2">
        <f>IF(payments_raw[[#This Row],[amount]] &lt;= 0, 1, 0)</f>
        <v>0</v>
      </c>
      <c r="K32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0" spans="1:11" x14ac:dyDescent="0.3">
      <c r="A3250">
        <v>31926720</v>
      </c>
      <c r="B3250">
        <v>8654679</v>
      </c>
      <c r="C3250" s="1">
        <v>45214</v>
      </c>
      <c r="D3250">
        <v>2990</v>
      </c>
      <c r="E3250">
        <f>IF(
  ISNA(
    _xlfn.XLOOKUP(
      payments_raw[[#This Row],[subscription_id]],
      subscriptions[subscription_id],
      subscriptions[subscription_id]
    )
  ),
  0,
  1
)</f>
        <v>1</v>
      </c>
      <c r="F3250" s="1">
        <f>_xlfn.XLOOKUP(payments_raw[[#This Row],[subscription_id]], subscriptions[subscription_id], subscriptions[start_date])</f>
        <v>44563</v>
      </c>
      <c r="G325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0" s="2">
        <f>IF(payments_raw[[#This Row],[payment_date]] &lt; payments_raw[[#This Row],[sub_start_date]], 1, 0)</f>
        <v>0</v>
      </c>
      <c r="I3250" s="2">
        <f>IF(AND(payments_raw[[#This Row],[sub_end_date]]&lt;&gt;"", payments_raw[[#This Row],[payment_date]] &gt; payments_raw[[#This Row],[sub_end_date]]), 1, 0)</f>
        <v>0</v>
      </c>
      <c r="J3250" s="2">
        <f>IF(payments_raw[[#This Row],[amount]] &lt;= 0, 1, 0)</f>
        <v>0</v>
      </c>
      <c r="K32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1" spans="1:11" x14ac:dyDescent="0.3">
      <c r="A3251">
        <v>19736503</v>
      </c>
      <c r="B3251">
        <v>8229326</v>
      </c>
      <c r="C3251" s="1">
        <v>44979</v>
      </c>
      <c r="D3251">
        <v>79</v>
      </c>
      <c r="E3251">
        <f>IF(
  ISNA(
    _xlfn.XLOOKUP(
      payments_raw[[#This Row],[subscription_id]],
      subscriptions[subscription_id],
      subscriptions[subscription_id]
    )
  ),
  0,
  1
)</f>
        <v>1</v>
      </c>
      <c r="F3251" s="1">
        <f>_xlfn.XLOOKUP(payments_raw[[#This Row],[subscription_id]], subscriptions[subscription_id], subscriptions[start_date])</f>
        <v>44643</v>
      </c>
      <c r="G32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45022</v>
      </c>
      <c r="H3251" s="2">
        <f>IF(payments_raw[[#This Row],[payment_date]] &lt; payments_raw[[#This Row],[sub_start_date]], 1, 0)</f>
        <v>0</v>
      </c>
      <c r="I3251" s="2">
        <f>IF(AND(payments_raw[[#This Row],[sub_end_date]]&lt;&gt;"", payments_raw[[#This Row],[payment_date]] &gt; payments_raw[[#This Row],[sub_end_date]]), 1, 0)</f>
        <v>0</v>
      </c>
      <c r="J3251" s="2">
        <f>IF(payments_raw[[#This Row],[amount]] &lt;= 0, 1, 0)</f>
        <v>0</v>
      </c>
      <c r="K32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2" spans="1:11" x14ac:dyDescent="0.3">
      <c r="A3252">
        <v>98647608</v>
      </c>
      <c r="B3252">
        <v>5811186</v>
      </c>
      <c r="C3252" s="1">
        <v>45422</v>
      </c>
      <c r="D3252">
        <v>39</v>
      </c>
      <c r="E3252">
        <f>IF(
  ISNA(
    _xlfn.XLOOKUP(
      payments_raw[[#This Row],[subscription_id]],
      subscriptions[subscription_id],
      subscriptions[subscription_id]
    )
  ),
  0,
  1
)</f>
        <v>1</v>
      </c>
      <c r="F3252" s="1">
        <f>_xlfn.XLOOKUP(payments_raw[[#This Row],[subscription_id]], subscriptions[subscription_id], subscriptions[start_date])</f>
        <v>44789</v>
      </c>
      <c r="G325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2" s="2">
        <f>IF(payments_raw[[#This Row],[payment_date]] &lt; payments_raw[[#This Row],[sub_start_date]], 1, 0)</f>
        <v>0</v>
      </c>
      <c r="I3252" s="2">
        <f>IF(AND(payments_raw[[#This Row],[sub_end_date]]&lt;&gt;"", payments_raw[[#This Row],[payment_date]] &gt; payments_raw[[#This Row],[sub_end_date]]), 1, 0)</f>
        <v>0</v>
      </c>
      <c r="J3252" s="2">
        <f>IF(payments_raw[[#This Row],[amount]] &lt;= 0, 1, 0)</f>
        <v>0</v>
      </c>
      <c r="K32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3" spans="1:11" x14ac:dyDescent="0.3">
      <c r="A3253">
        <v>64318477</v>
      </c>
      <c r="B3253">
        <v>4860680</v>
      </c>
      <c r="C3253" s="1">
        <v>45398</v>
      </c>
      <c r="D3253">
        <v>2242.5</v>
      </c>
      <c r="E3253">
        <f>IF(
  ISNA(
    _xlfn.XLOOKUP(
      payments_raw[[#This Row],[subscription_id]],
      subscriptions[subscription_id],
      subscriptions[subscription_id]
    )
  ),
  0,
  1
)</f>
        <v>1</v>
      </c>
      <c r="F3253" s="1">
        <f>_xlfn.XLOOKUP(payments_raw[[#This Row],[subscription_id]], subscriptions[subscription_id], subscriptions[start_date])</f>
        <v>45349</v>
      </c>
      <c r="G32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3" s="2">
        <f>IF(payments_raw[[#This Row],[payment_date]] &lt; payments_raw[[#This Row],[sub_start_date]], 1, 0)</f>
        <v>0</v>
      </c>
      <c r="I3253" s="2">
        <f>IF(AND(payments_raw[[#This Row],[sub_end_date]]&lt;&gt;"", payments_raw[[#This Row],[payment_date]] &gt; payments_raw[[#This Row],[sub_end_date]]), 1, 0)</f>
        <v>0</v>
      </c>
      <c r="J3253" s="2">
        <f>IF(payments_raw[[#This Row],[amount]] &lt;= 0, 1, 0)</f>
        <v>0</v>
      </c>
      <c r="K32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4" spans="1:11" x14ac:dyDescent="0.3">
      <c r="A3254">
        <v>75792454</v>
      </c>
      <c r="B3254">
        <v>1057394</v>
      </c>
      <c r="C3254" s="1">
        <v>44934</v>
      </c>
      <c r="D3254">
        <v>390</v>
      </c>
      <c r="E3254">
        <f>IF(
  ISNA(
    _xlfn.XLOOKUP(
      payments_raw[[#This Row],[subscription_id]],
      subscriptions[subscription_id],
      subscriptions[subscription_id]
    )
  ),
  0,
  1
)</f>
        <v>1</v>
      </c>
      <c r="F3254" s="1">
        <f>_xlfn.XLOOKUP(payments_raw[[#This Row],[subscription_id]], subscriptions[subscription_id], subscriptions[start_date])</f>
        <v>44681</v>
      </c>
      <c r="G32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45001</v>
      </c>
      <c r="H3254" s="2">
        <f>IF(payments_raw[[#This Row],[payment_date]] &lt; payments_raw[[#This Row],[sub_start_date]], 1, 0)</f>
        <v>0</v>
      </c>
      <c r="I3254" s="2">
        <f>IF(AND(payments_raw[[#This Row],[sub_end_date]]&lt;&gt;"", payments_raw[[#This Row],[payment_date]] &gt; payments_raw[[#This Row],[sub_end_date]]), 1, 0)</f>
        <v>0</v>
      </c>
      <c r="J3254" s="2">
        <f>IF(payments_raw[[#This Row],[amount]] &lt;= 0, 1, 0)</f>
        <v>0</v>
      </c>
      <c r="K32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5" spans="1:11" x14ac:dyDescent="0.3">
      <c r="A3255">
        <v>32757725</v>
      </c>
      <c r="B3255">
        <v>9098468</v>
      </c>
      <c r="C3255" s="1">
        <v>45099</v>
      </c>
      <c r="D3255">
        <v>39</v>
      </c>
      <c r="E3255">
        <f>IF(
  ISNA(
    _xlfn.XLOOKUP(
      payments_raw[[#This Row],[subscription_id]],
      subscriptions[subscription_id],
      subscriptions[subscription_id]
    )
  ),
  0,
  1
)</f>
        <v>1</v>
      </c>
      <c r="F3255" s="1">
        <f>_xlfn.XLOOKUP(payments_raw[[#This Row],[subscription_id]], subscriptions[subscription_id], subscriptions[start_date])</f>
        <v>45024</v>
      </c>
      <c r="G32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5" s="2">
        <f>IF(payments_raw[[#This Row],[payment_date]] &lt; payments_raw[[#This Row],[sub_start_date]], 1, 0)</f>
        <v>0</v>
      </c>
      <c r="I3255" s="2">
        <f>IF(AND(payments_raw[[#This Row],[sub_end_date]]&lt;&gt;"", payments_raw[[#This Row],[payment_date]] &gt; payments_raw[[#This Row],[sub_end_date]]), 1, 0)</f>
        <v>0</v>
      </c>
      <c r="J3255" s="2">
        <f>IF(payments_raw[[#This Row],[amount]] &lt;= 0, 1, 0)</f>
        <v>0</v>
      </c>
      <c r="K32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6" spans="1:11" x14ac:dyDescent="0.3">
      <c r="A3256">
        <v>56924109</v>
      </c>
      <c r="B3256">
        <v>8727379</v>
      </c>
      <c r="C3256" s="1">
        <v>44578</v>
      </c>
      <c r="D3256">
        <v>19</v>
      </c>
      <c r="E3256">
        <f>IF(
  ISNA(
    _xlfn.XLOOKUP(
      payments_raw[[#This Row],[subscription_id]],
      subscriptions[subscription_id],
      subscriptions[subscription_id]
    )
  ),
  0,
  1
)</f>
        <v>1</v>
      </c>
      <c r="F3256" s="1">
        <f>_xlfn.XLOOKUP(payments_raw[[#This Row],[subscription_id]], subscriptions[subscription_id], subscriptions[start_date])</f>
        <v>44563</v>
      </c>
      <c r="G3256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44695</v>
      </c>
      <c r="H3256" s="2">
        <f>IF(payments_raw[[#This Row],[payment_date]] &lt; payments_raw[[#This Row],[sub_start_date]], 1, 0)</f>
        <v>0</v>
      </c>
      <c r="I3256" s="2">
        <f>IF(AND(payments_raw[[#This Row],[sub_end_date]]&lt;&gt;"", payments_raw[[#This Row],[payment_date]] &gt; payments_raw[[#This Row],[sub_end_date]]), 1, 0)</f>
        <v>0</v>
      </c>
      <c r="J3256" s="2">
        <f>IF(payments_raw[[#This Row],[amount]] &lt;= 0, 1, 0)</f>
        <v>0</v>
      </c>
      <c r="K32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7" spans="1:11" x14ac:dyDescent="0.3">
      <c r="A3257">
        <v>21564332</v>
      </c>
      <c r="B3257">
        <v>8861463</v>
      </c>
      <c r="C3257" s="1">
        <v>45161</v>
      </c>
      <c r="D3257">
        <v>39</v>
      </c>
      <c r="E3257">
        <f>IF(
  ISNA(
    _xlfn.XLOOKUP(
      payments_raw[[#This Row],[subscription_id]],
      subscriptions[subscription_id],
      subscriptions[subscription_id]
    )
  ),
  0,
  1
)</f>
        <v>1</v>
      </c>
      <c r="F3257" s="1">
        <f>_xlfn.XLOOKUP(payments_raw[[#This Row],[subscription_id]], subscriptions[subscription_id], subscriptions[start_date])</f>
        <v>45065</v>
      </c>
      <c r="G3257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45161</v>
      </c>
      <c r="H3257" s="2">
        <f>IF(payments_raw[[#This Row],[payment_date]] &lt; payments_raw[[#This Row],[sub_start_date]], 1, 0)</f>
        <v>0</v>
      </c>
      <c r="I3257" s="2">
        <f>IF(AND(payments_raw[[#This Row],[sub_end_date]]&lt;&gt;"", payments_raw[[#This Row],[payment_date]] &gt; payments_raw[[#This Row],[sub_end_date]]), 1, 0)</f>
        <v>0</v>
      </c>
      <c r="J3257" s="2">
        <f>IF(payments_raw[[#This Row],[amount]] &lt;= 0, 1, 0)</f>
        <v>0</v>
      </c>
      <c r="K32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8" spans="1:11" x14ac:dyDescent="0.3">
      <c r="A3258">
        <v>99018687</v>
      </c>
      <c r="B3258">
        <v>2025218</v>
      </c>
      <c r="C3258" s="1">
        <v>45566</v>
      </c>
      <c r="D3258">
        <v>299</v>
      </c>
      <c r="E3258">
        <f>IF(
  ISNA(
    _xlfn.XLOOKUP(
      payments_raw[[#This Row],[subscription_id]],
      subscriptions[subscription_id],
      subscriptions[subscription_id]
    )
  ),
  0,
  1
)</f>
        <v>1</v>
      </c>
      <c r="F3258" s="1">
        <f>_xlfn.XLOOKUP(payments_raw[[#This Row],[subscription_id]], subscriptions[subscription_id], subscriptions[start_date])</f>
        <v>45521</v>
      </c>
      <c r="G32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8" s="2">
        <f>IF(payments_raw[[#This Row],[payment_date]] &lt; payments_raw[[#This Row],[sub_start_date]], 1, 0)</f>
        <v>0</v>
      </c>
      <c r="I3258" s="2">
        <f>IF(AND(payments_raw[[#This Row],[sub_end_date]]&lt;&gt;"", payments_raw[[#This Row],[payment_date]] &gt; payments_raw[[#This Row],[sub_end_date]]), 1, 0)</f>
        <v>0</v>
      </c>
      <c r="J3258" s="2">
        <f>IF(payments_raw[[#This Row],[amount]] &lt;= 0, 1, 0)</f>
        <v>0</v>
      </c>
      <c r="K32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59" spans="1:11" x14ac:dyDescent="0.3">
      <c r="A3259">
        <v>29678030</v>
      </c>
      <c r="B3259">
        <v>1831808</v>
      </c>
      <c r="C3259" s="1">
        <v>45379</v>
      </c>
      <c r="D3259">
        <v>1490</v>
      </c>
      <c r="E3259">
        <f>IF(
  ISNA(
    _xlfn.XLOOKUP(
      payments_raw[[#This Row],[subscription_id]],
      subscriptions[subscription_id],
      subscriptions[subscription_id]
    )
  ),
  0,
  1
)</f>
        <v>1</v>
      </c>
      <c r="F3259" s="1">
        <f>_xlfn.XLOOKUP(payments_raw[[#This Row],[subscription_id]], subscriptions[subscription_id], subscriptions[start_date])</f>
        <v>45038</v>
      </c>
      <c r="G32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59" s="2">
        <f>IF(payments_raw[[#This Row],[payment_date]] &lt; payments_raw[[#This Row],[sub_start_date]], 1, 0)</f>
        <v>0</v>
      </c>
      <c r="I3259" s="2">
        <f>IF(AND(payments_raw[[#This Row],[sub_end_date]]&lt;&gt;"", payments_raw[[#This Row],[payment_date]] &gt; payments_raw[[#This Row],[sub_end_date]]), 1, 0)</f>
        <v>0</v>
      </c>
      <c r="J3259" s="2">
        <f>IF(payments_raw[[#This Row],[amount]] &lt;= 0, 1, 0)</f>
        <v>0</v>
      </c>
      <c r="K32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0" spans="1:11" x14ac:dyDescent="0.3">
      <c r="A3260">
        <v>88360154</v>
      </c>
      <c r="B3260">
        <v>1526365</v>
      </c>
      <c r="C3260" s="1">
        <v>45134</v>
      </c>
      <c r="D3260">
        <v>149</v>
      </c>
      <c r="E3260">
        <f>IF(
  ISNA(
    _xlfn.XLOOKUP(
      payments_raw[[#This Row],[subscription_id]],
      subscriptions[subscription_id],
      subscriptions[subscription_id]
    )
  ),
  0,
  1
)</f>
        <v>1</v>
      </c>
      <c r="F3260" s="1">
        <f>_xlfn.XLOOKUP(payments_raw[[#This Row],[subscription_id]], subscriptions[subscription_id], subscriptions[start_date])</f>
        <v>44829</v>
      </c>
      <c r="G32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45178</v>
      </c>
      <c r="H3260" s="2">
        <f>IF(payments_raw[[#This Row],[payment_date]] &lt; payments_raw[[#This Row],[sub_start_date]], 1, 0)</f>
        <v>0</v>
      </c>
      <c r="I3260" s="2">
        <f>IF(AND(payments_raw[[#This Row],[sub_end_date]]&lt;&gt;"", payments_raw[[#This Row],[payment_date]] &gt; payments_raw[[#This Row],[sub_end_date]]), 1, 0)</f>
        <v>0</v>
      </c>
      <c r="J3260" s="2">
        <f>IF(payments_raw[[#This Row],[amount]] &lt;= 0, 1, 0)</f>
        <v>0</v>
      </c>
      <c r="K32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1" spans="1:11" x14ac:dyDescent="0.3">
      <c r="A3261">
        <v>89293994</v>
      </c>
      <c r="B3261">
        <v>7805792</v>
      </c>
      <c r="C3261" s="1">
        <v>45537</v>
      </c>
      <c r="D3261">
        <v>79</v>
      </c>
      <c r="E3261">
        <f>IF(
  ISNA(
    _xlfn.XLOOKUP(
      payments_raw[[#This Row],[subscription_id]],
      subscriptions[subscription_id],
      subscriptions[subscription_id]
    )
  ),
  0,
  1
)</f>
        <v>1</v>
      </c>
      <c r="F3261" s="1">
        <f>_xlfn.XLOOKUP(payments_raw[[#This Row],[subscription_id]], subscriptions[subscription_id], subscriptions[start_date])</f>
        <v>45487</v>
      </c>
      <c r="G32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3261" s="2">
        <f>IF(payments_raw[[#This Row],[payment_date]] &lt; payments_raw[[#This Row],[sub_start_date]], 1, 0)</f>
        <v>0</v>
      </c>
      <c r="I3261" s="2">
        <f>IF(AND(payments_raw[[#This Row],[sub_end_date]]&lt;&gt;"", payments_raw[[#This Row],[payment_date]] &gt; payments_raw[[#This Row],[sub_end_date]]), 1, 0)</f>
        <v>0</v>
      </c>
      <c r="J3261" s="2">
        <f>IF(payments_raw[[#This Row],[amount]] &lt;= 0, 1, 0)</f>
        <v>0</v>
      </c>
      <c r="K32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2" spans="1:11" x14ac:dyDescent="0.3">
      <c r="A3262">
        <v>35954518</v>
      </c>
      <c r="B3262">
        <v>7416570</v>
      </c>
      <c r="C3262" s="1">
        <v>45435</v>
      </c>
      <c r="D3262">
        <v>1490</v>
      </c>
      <c r="E3262">
        <f>IF(
  ISNA(
    _xlfn.XLOOKUP(
      payments_raw[[#This Row],[subscription_id]],
      subscriptions[subscription_id],
      subscriptions[subscription_id]
    )
  ),
  0,
  1
)</f>
        <v>1</v>
      </c>
      <c r="F3262" s="1">
        <f>_xlfn.XLOOKUP(payments_raw[[#This Row],[subscription_id]], subscriptions[subscription_id], subscriptions[start_date])</f>
        <v>45328</v>
      </c>
      <c r="G32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2" s="2">
        <f>IF(payments_raw[[#This Row],[payment_date]] &lt; payments_raw[[#This Row],[sub_start_date]], 1, 0)</f>
        <v>0</v>
      </c>
      <c r="I3262" s="2">
        <f>IF(AND(payments_raw[[#This Row],[sub_end_date]]&lt;&gt;"", payments_raw[[#This Row],[payment_date]] &gt; payments_raw[[#This Row],[sub_end_date]]), 1, 0)</f>
        <v>0</v>
      </c>
      <c r="J3262" s="2">
        <f>IF(payments_raw[[#This Row],[amount]] &lt;= 0, 1, 0)</f>
        <v>0</v>
      </c>
      <c r="K32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3" spans="1:11" x14ac:dyDescent="0.3">
      <c r="A3263">
        <v>35484900</v>
      </c>
      <c r="B3263">
        <v>4096967</v>
      </c>
      <c r="C3263" s="1">
        <v>45121</v>
      </c>
      <c r="D3263">
        <v>149</v>
      </c>
      <c r="E3263">
        <f>IF(
  ISNA(
    _xlfn.XLOOKUP(
      payments_raw[[#This Row],[subscription_id]],
      subscriptions[subscription_id],
      subscriptions[subscription_id]
    )
  ),
  0,
  1
)</f>
        <v>1</v>
      </c>
      <c r="F3263" s="1">
        <f>_xlfn.XLOOKUP(payments_raw[[#This Row],[subscription_id]], subscriptions[subscription_id], subscriptions[start_date])</f>
        <v>45045</v>
      </c>
      <c r="G32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45298</v>
      </c>
      <c r="H3263" s="2">
        <f>IF(payments_raw[[#This Row],[payment_date]] &lt; payments_raw[[#This Row],[sub_start_date]], 1, 0)</f>
        <v>0</v>
      </c>
      <c r="I3263" s="2">
        <f>IF(AND(payments_raw[[#This Row],[sub_end_date]]&lt;&gt;"", payments_raw[[#This Row],[payment_date]] &gt; payments_raw[[#This Row],[sub_end_date]]), 1, 0)</f>
        <v>0</v>
      </c>
      <c r="J3263" s="2">
        <f>IF(payments_raw[[#This Row],[amount]] &lt;= 0, 1, 0)</f>
        <v>0</v>
      </c>
      <c r="K32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4" spans="1:11" x14ac:dyDescent="0.3">
      <c r="A3264">
        <v>49449705</v>
      </c>
      <c r="B3264">
        <v>8063586</v>
      </c>
      <c r="C3264" s="1">
        <v>45615</v>
      </c>
      <c r="D3264">
        <v>190</v>
      </c>
      <c r="E3264">
        <f>IF(
  ISNA(
    _xlfn.XLOOKUP(
      payments_raw[[#This Row],[subscription_id]],
      subscriptions[subscription_id],
      subscriptions[subscription_id]
    )
  ),
  0,
  1
)</f>
        <v>1</v>
      </c>
      <c r="F3264" s="1">
        <f>_xlfn.XLOOKUP(payments_raw[[#This Row],[subscription_id]], subscriptions[subscription_id], subscriptions[start_date])</f>
        <v>45596</v>
      </c>
      <c r="G32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3264" s="2">
        <f>IF(payments_raw[[#This Row],[payment_date]] &lt; payments_raw[[#This Row],[sub_start_date]], 1, 0)</f>
        <v>0</v>
      </c>
      <c r="I3264" s="2">
        <f>IF(AND(payments_raw[[#This Row],[sub_end_date]]&lt;&gt;"", payments_raw[[#This Row],[payment_date]] &gt; payments_raw[[#This Row],[sub_end_date]]), 1, 0)</f>
        <v>0</v>
      </c>
      <c r="J3264" s="2">
        <f>IF(payments_raw[[#This Row],[amount]] &lt;= 0, 1, 0)</f>
        <v>0</v>
      </c>
      <c r="K32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5" spans="1:11" x14ac:dyDescent="0.3">
      <c r="A3265">
        <v>70203892</v>
      </c>
      <c r="B3265">
        <v>6265434</v>
      </c>
      <c r="C3265" s="1">
        <v>45096</v>
      </c>
      <c r="D3265">
        <v>149</v>
      </c>
      <c r="E3265">
        <f>IF(
  ISNA(
    _xlfn.XLOOKUP(
      payments_raw[[#This Row],[subscription_id]],
      subscriptions[subscription_id],
      subscriptions[subscription_id]
    )
  ),
  0,
  1
)</f>
        <v>1</v>
      </c>
      <c r="F3265" s="1">
        <f>_xlfn.XLOOKUP(payments_raw[[#This Row],[subscription_id]], subscriptions[subscription_id], subscriptions[start_date])</f>
        <v>44803</v>
      </c>
      <c r="G32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5" s="2">
        <f>IF(payments_raw[[#This Row],[payment_date]] &lt; payments_raw[[#This Row],[sub_start_date]], 1, 0)</f>
        <v>0</v>
      </c>
      <c r="I3265" s="2">
        <f>IF(AND(payments_raw[[#This Row],[sub_end_date]]&lt;&gt;"", payments_raw[[#This Row],[payment_date]] &gt; payments_raw[[#This Row],[sub_end_date]]), 1, 0)</f>
        <v>0</v>
      </c>
      <c r="J3265" s="2">
        <f>IF(payments_raw[[#This Row],[amount]] &lt;= 0, 1, 0)</f>
        <v>0</v>
      </c>
      <c r="K32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6" spans="1:11" x14ac:dyDescent="0.3">
      <c r="A3266">
        <v>10011465</v>
      </c>
      <c r="B3266">
        <v>2463496</v>
      </c>
      <c r="C3266" s="1">
        <v>45577</v>
      </c>
      <c r="D3266">
        <v>190</v>
      </c>
      <c r="E3266">
        <f>IF(
  ISNA(
    _xlfn.XLOOKUP(
      payments_raw[[#This Row],[subscription_id]],
      subscriptions[subscription_id],
      subscriptions[subscription_id]
    )
  ),
  0,
  1
)</f>
        <v>1</v>
      </c>
      <c r="F3266" s="1">
        <f>_xlfn.XLOOKUP(payments_raw[[#This Row],[subscription_id]], subscriptions[subscription_id], subscriptions[start_date])</f>
        <v>44779</v>
      </c>
      <c r="G32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6" s="2">
        <f>IF(payments_raw[[#This Row],[payment_date]] &lt; payments_raw[[#This Row],[sub_start_date]], 1, 0)</f>
        <v>0</v>
      </c>
      <c r="I3266" s="2">
        <f>IF(AND(payments_raw[[#This Row],[sub_end_date]]&lt;&gt;"", payments_raw[[#This Row],[payment_date]] &gt; payments_raw[[#This Row],[sub_end_date]]), 1, 0)</f>
        <v>0</v>
      </c>
      <c r="J3266" s="2">
        <f>IF(payments_raw[[#This Row],[amount]] &lt;= 0, 1, 0)</f>
        <v>0</v>
      </c>
      <c r="K32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7" spans="1:11" x14ac:dyDescent="0.3">
      <c r="A3267">
        <v>67881652</v>
      </c>
      <c r="B3267">
        <v>2685367</v>
      </c>
      <c r="C3267" s="1">
        <v>45363</v>
      </c>
      <c r="D3267">
        <v>190</v>
      </c>
      <c r="E3267">
        <f>IF(
  ISNA(
    _xlfn.XLOOKUP(
      payments_raw[[#This Row],[subscription_id]],
      subscriptions[subscription_id],
      subscriptions[subscription_id]
    )
  ),
  0,
  1
)</f>
        <v>1</v>
      </c>
      <c r="F3267" s="1">
        <f>_xlfn.XLOOKUP(payments_raw[[#This Row],[subscription_id]], subscriptions[subscription_id], subscriptions[start_date])</f>
        <v>45350</v>
      </c>
      <c r="G32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7" s="2">
        <f>IF(payments_raw[[#This Row],[payment_date]] &lt; payments_raw[[#This Row],[sub_start_date]], 1, 0)</f>
        <v>0</v>
      </c>
      <c r="I3267" s="2">
        <f>IF(AND(payments_raw[[#This Row],[sub_end_date]]&lt;&gt;"", payments_raw[[#This Row],[payment_date]] &gt; payments_raw[[#This Row],[sub_end_date]]), 1, 0)</f>
        <v>0</v>
      </c>
      <c r="J3267" s="2">
        <f>IF(payments_raw[[#This Row],[amount]] &lt;= 0, 1, 0)</f>
        <v>0</v>
      </c>
      <c r="K32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8" spans="1:11" x14ac:dyDescent="0.3">
      <c r="A3268">
        <v>81745429</v>
      </c>
      <c r="B3268">
        <v>3481016</v>
      </c>
      <c r="C3268" s="1">
        <v>44745</v>
      </c>
      <c r="D3268">
        <v>299</v>
      </c>
      <c r="E3268">
        <f>IF(
  ISNA(
    _xlfn.XLOOKUP(
      payments_raw[[#This Row],[subscription_id]],
      subscriptions[subscription_id],
      subscriptions[subscription_id]
    )
  ),
  0,
  1
)</f>
        <v>1</v>
      </c>
      <c r="F3268" s="1">
        <f>_xlfn.XLOOKUP(payments_raw[[#This Row],[subscription_id]], subscriptions[subscription_id], subscriptions[start_date])</f>
        <v>44692</v>
      </c>
      <c r="G326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44755</v>
      </c>
      <c r="H3268" s="2">
        <f>IF(payments_raw[[#This Row],[payment_date]] &lt; payments_raw[[#This Row],[sub_start_date]], 1, 0)</f>
        <v>0</v>
      </c>
      <c r="I3268" s="2">
        <f>IF(AND(payments_raw[[#This Row],[sub_end_date]]&lt;&gt;"", payments_raw[[#This Row],[payment_date]] &gt; payments_raw[[#This Row],[sub_end_date]]), 1, 0)</f>
        <v>0</v>
      </c>
      <c r="J3268" s="2">
        <f>IF(payments_raw[[#This Row],[amount]] &lt;= 0, 1, 0)</f>
        <v>0</v>
      </c>
      <c r="K32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69" spans="1:11" x14ac:dyDescent="0.3">
      <c r="A3269">
        <v>40265112</v>
      </c>
      <c r="B3269">
        <v>3038057</v>
      </c>
      <c r="C3269" s="1">
        <v>45224</v>
      </c>
      <c r="D3269">
        <v>19</v>
      </c>
      <c r="E3269">
        <f>IF(
  ISNA(
    _xlfn.XLOOKUP(
      payments_raw[[#This Row],[subscription_id]],
      subscriptions[subscription_id],
      subscriptions[subscription_id]
    )
  ),
  0,
  1
)</f>
        <v>1</v>
      </c>
      <c r="F3269" s="1">
        <f>_xlfn.XLOOKUP(payments_raw[[#This Row],[subscription_id]], subscriptions[subscription_id], subscriptions[start_date])</f>
        <v>44902</v>
      </c>
      <c r="G32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69" s="2">
        <f>IF(payments_raw[[#This Row],[payment_date]] &lt; payments_raw[[#This Row],[sub_start_date]], 1, 0)</f>
        <v>0</v>
      </c>
      <c r="I3269" s="2">
        <f>IF(AND(payments_raw[[#This Row],[sub_end_date]]&lt;&gt;"", payments_raw[[#This Row],[payment_date]] &gt; payments_raw[[#This Row],[sub_end_date]]), 1, 0)</f>
        <v>0</v>
      </c>
      <c r="J3269" s="2">
        <f>IF(payments_raw[[#This Row],[amount]] &lt;= 0, 1, 0)</f>
        <v>0</v>
      </c>
      <c r="K32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0" spans="1:11" x14ac:dyDescent="0.3">
      <c r="A3270">
        <v>10689646</v>
      </c>
      <c r="B3270">
        <v>3146616</v>
      </c>
      <c r="C3270" s="1">
        <v>45588</v>
      </c>
      <c r="D3270">
        <v>79</v>
      </c>
      <c r="E3270">
        <f>IF(
  ISNA(
    _xlfn.XLOOKUP(
      payments_raw[[#This Row],[subscription_id]],
      subscriptions[subscription_id],
      subscriptions[subscription_id]
    )
  ),
  0,
  1
)</f>
        <v>1</v>
      </c>
      <c r="F3270" s="1">
        <f>_xlfn.XLOOKUP(payments_raw[[#This Row],[subscription_id]], subscriptions[subscription_id], subscriptions[start_date])</f>
        <v>44880</v>
      </c>
      <c r="G32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0" s="2">
        <f>IF(payments_raw[[#This Row],[payment_date]] &lt; payments_raw[[#This Row],[sub_start_date]], 1, 0)</f>
        <v>0</v>
      </c>
      <c r="I3270" s="2">
        <f>IF(AND(payments_raw[[#This Row],[sub_end_date]]&lt;&gt;"", payments_raw[[#This Row],[payment_date]] &gt; payments_raw[[#This Row],[sub_end_date]]), 1, 0)</f>
        <v>0</v>
      </c>
      <c r="J3270" s="2">
        <f>IF(payments_raw[[#This Row],[amount]] &lt;= 0, 1, 0)</f>
        <v>0</v>
      </c>
      <c r="K32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1" spans="1:11" x14ac:dyDescent="0.3">
      <c r="A3271">
        <v>65504245</v>
      </c>
      <c r="B3271">
        <v>9286653</v>
      </c>
      <c r="C3271" s="1">
        <v>45286</v>
      </c>
      <c r="D3271">
        <v>351</v>
      </c>
      <c r="E3271">
        <f>IF(
  ISNA(
    _xlfn.XLOOKUP(
      payments_raw[[#This Row],[subscription_id]],
      subscriptions[subscription_id],
      subscriptions[subscription_id]
    )
  ),
  0,
  1
)</f>
        <v>1</v>
      </c>
      <c r="F3271" s="1">
        <f>_xlfn.XLOOKUP(payments_raw[[#This Row],[subscription_id]], subscriptions[subscription_id], subscriptions[start_date])</f>
        <v>45266</v>
      </c>
      <c r="G32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45326</v>
      </c>
      <c r="H3271" s="2">
        <f>IF(payments_raw[[#This Row],[payment_date]] &lt; payments_raw[[#This Row],[sub_start_date]], 1, 0)</f>
        <v>0</v>
      </c>
      <c r="I3271" s="2">
        <f>IF(AND(payments_raw[[#This Row],[sub_end_date]]&lt;&gt;"", payments_raw[[#This Row],[payment_date]] &gt; payments_raw[[#This Row],[sub_end_date]]), 1, 0)</f>
        <v>0</v>
      </c>
      <c r="J3271" s="2">
        <f>IF(payments_raw[[#This Row],[amount]] &lt;= 0, 1, 0)</f>
        <v>0</v>
      </c>
      <c r="K32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2" spans="1:11" x14ac:dyDescent="0.3">
      <c r="A3272">
        <v>19568709</v>
      </c>
      <c r="B3272">
        <v>1202445</v>
      </c>
      <c r="C3272" s="1">
        <v>45575</v>
      </c>
      <c r="D3272">
        <v>2990</v>
      </c>
      <c r="E3272">
        <f>IF(
  ISNA(
    _xlfn.XLOOKUP(
      payments_raw[[#This Row],[subscription_id]],
      subscriptions[subscription_id],
      subscriptions[subscription_id]
    )
  ),
  0,
  1
)</f>
        <v>1</v>
      </c>
      <c r="F3272" s="1">
        <f>_xlfn.XLOOKUP(payments_raw[[#This Row],[subscription_id]], subscriptions[subscription_id], subscriptions[start_date])</f>
        <v>45093</v>
      </c>
      <c r="G327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2" s="2">
        <f>IF(payments_raw[[#This Row],[payment_date]] &lt; payments_raw[[#This Row],[sub_start_date]], 1, 0)</f>
        <v>0</v>
      </c>
      <c r="I3272" s="2">
        <f>IF(AND(payments_raw[[#This Row],[sub_end_date]]&lt;&gt;"", payments_raw[[#This Row],[payment_date]] &gt; payments_raw[[#This Row],[sub_end_date]]), 1, 0)</f>
        <v>0</v>
      </c>
      <c r="J3272" s="2">
        <f>IF(payments_raw[[#This Row],[amount]] &lt;= 0, 1, 0)</f>
        <v>0</v>
      </c>
      <c r="K32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3" spans="1:11" x14ac:dyDescent="0.3">
      <c r="A3273">
        <v>84808012</v>
      </c>
      <c r="B3273">
        <v>6707004</v>
      </c>
      <c r="C3273" s="1">
        <v>45468</v>
      </c>
      <c r="D3273">
        <v>35.1</v>
      </c>
      <c r="E3273">
        <f>IF(
  ISNA(
    _xlfn.XLOOKUP(
      payments_raw[[#This Row],[subscription_id]],
      subscriptions[subscription_id],
      subscriptions[subscription_id]
    )
  ),
  0,
  1
)</f>
        <v>1</v>
      </c>
      <c r="F3273" s="1">
        <f>_xlfn.XLOOKUP(payments_raw[[#This Row],[subscription_id]], subscriptions[subscription_id], subscriptions[start_date])</f>
        <v>45286</v>
      </c>
      <c r="G32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3" s="2">
        <f>IF(payments_raw[[#This Row],[payment_date]] &lt; payments_raw[[#This Row],[sub_start_date]], 1, 0)</f>
        <v>0</v>
      </c>
      <c r="I3273" s="2">
        <f>IF(AND(payments_raw[[#This Row],[sub_end_date]]&lt;&gt;"", payments_raw[[#This Row],[payment_date]] &gt; payments_raw[[#This Row],[sub_end_date]]), 1, 0)</f>
        <v>0</v>
      </c>
      <c r="J3273" s="2">
        <f>IF(payments_raw[[#This Row],[amount]] &lt;= 0, 1, 0)</f>
        <v>0</v>
      </c>
      <c r="K32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4" spans="1:11" x14ac:dyDescent="0.3">
      <c r="A3274">
        <v>42063578</v>
      </c>
      <c r="B3274">
        <v>6012276</v>
      </c>
      <c r="C3274" s="1">
        <v>44918</v>
      </c>
      <c r="D3274">
        <v>299</v>
      </c>
      <c r="E3274">
        <f>IF(
  ISNA(
    _xlfn.XLOOKUP(
      payments_raw[[#This Row],[subscription_id]],
      subscriptions[subscription_id],
      subscriptions[subscription_id]
    )
  ),
  0,
  1
)</f>
        <v>1</v>
      </c>
      <c r="F3274" s="1">
        <f>_xlfn.XLOOKUP(payments_raw[[#This Row],[subscription_id]], subscriptions[subscription_id], subscriptions[start_date])</f>
        <v>44582</v>
      </c>
      <c r="G327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44949</v>
      </c>
      <c r="H3274" s="2">
        <f>IF(payments_raw[[#This Row],[payment_date]] &lt; payments_raw[[#This Row],[sub_start_date]], 1, 0)</f>
        <v>0</v>
      </c>
      <c r="I3274" s="2">
        <f>IF(AND(payments_raw[[#This Row],[sub_end_date]]&lt;&gt;"", payments_raw[[#This Row],[payment_date]] &gt; payments_raw[[#This Row],[sub_end_date]]), 1, 0)</f>
        <v>0</v>
      </c>
      <c r="J3274" s="2">
        <f>IF(payments_raw[[#This Row],[amount]] &lt;= 0, 1, 0)</f>
        <v>0</v>
      </c>
      <c r="K32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5" spans="1:11" x14ac:dyDescent="0.3">
      <c r="A3275">
        <v>82237712</v>
      </c>
      <c r="B3275">
        <v>2092722</v>
      </c>
      <c r="C3275" s="1">
        <v>45578</v>
      </c>
      <c r="D3275">
        <v>14.25</v>
      </c>
      <c r="E3275">
        <f>IF(
  ISNA(
    _xlfn.XLOOKUP(
      payments_raw[[#This Row],[subscription_id]],
      subscriptions[subscription_id],
      subscriptions[subscription_id]
    )
  ),
  0,
  1
)</f>
        <v>1</v>
      </c>
      <c r="F3275" s="1">
        <f>_xlfn.XLOOKUP(payments_raw[[#This Row],[subscription_id]], subscriptions[subscription_id], subscriptions[start_date])</f>
        <v>45401</v>
      </c>
      <c r="G327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5" s="2">
        <f>IF(payments_raw[[#This Row],[payment_date]] &lt; payments_raw[[#This Row],[sub_start_date]], 1, 0)</f>
        <v>0</v>
      </c>
      <c r="I3275" s="2">
        <f>IF(AND(payments_raw[[#This Row],[sub_end_date]]&lt;&gt;"", payments_raw[[#This Row],[payment_date]] &gt; payments_raw[[#This Row],[sub_end_date]]), 1, 0)</f>
        <v>0</v>
      </c>
      <c r="J3275" s="2">
        <f>IF(payments_raw[[#This Row],[amount]] &lt;= 0, 1, 0)</f>
        <v>0</v>
      </c>
      <c r="K32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6" spans="1:11" x14ac:dyDescent="0.3">
      <c r="A3276">
        <v>61476077</v>
      </c>
      <c r="B3276">
        <v>3929930</v>
      </c>
      <c r="C3276" s="1">
        <v>44970</v>
      </c>
      <c r="D3276">
        <v>190</v>
      </c>
      <c r="E3276">
        <f>IF(
  ISNA(
    _xlfn.XLOOKUP(
      payments_raw[[#This Row],[subscription_id]],
      subscriptions[subscription_id],
      subscriptions[subscription_id]
    )
  ),
  0,
  1
)</f>
        <v>1</v>
      </c>
      <c r="F3276" s="1">
        <f>_xlfn.XLOOKUP(payments_raw[[#This Row],[subscription_id]], subscriptions[subscription_id], subscriptions[start_date])</f>
        <v>44872</v>
      </c>
      <c r="G32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45244</v>
      </c>
      <c r="H3276" s="2">
        <f>IF(payments_raw[[#This Row],[payment_date]] &lt; payments_raw[[#This Row],[sub_start_date]], 1, 0)</f>
        <v>0</v>
      </c>
      <c r="I3276" s="2">
        <f>IF(AND(payments_raw[[#This Row],[sub_end_date]]&lt;&gt;"", payments_raw[[#This Row],[payment_date]] &gt; payments_raw[[#This Row],[sub_end_date]]), 1, 0)</f>
        <v>0</v>
      </c>
      <c r="J3276" s="2">
        <f>IF(payments_raw[[#This Row],[amount]] &lt;= 0, 1, 0)</f>
        <v>0</v>
      </c>
      <c r="K32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7" spans="1:11" x14ac:dyDescent="0.3">
      <c r="A3277">
        <v>14971344</v>
      </c>
      <c r="B3277">
        <v>8727379</v>
      </c>
      <c r="C3277" s="1">
        <v>44581</v>
      </c>
      <c r="D3277">
        <v>19</v>
      </c>
      <c r="E3277">
        <f>IF(
  ISNA(
    _xlfn.XLOOKUP(
      payments_raw[[#This Row],[subscription_id]],
      subscriptions[subscription_id],
      subscriptions[subscription_id]
    )
  ),
  0,
  1
)</f>
        <v>1</v>
      </c>
      <c r="F3277" s="1">
        <f>_xlfn.XLOOKUP(payments_raw[[#This Row],[subscription_id]], subscriptions[subscription_id], subscriptions[start_date])</f>
        <v>44563</v>
      </c>
      <c r="G3277" s="1">
        <f>IF(_xlfn.XLOOKUP(payments_raw[[#This Row],[subscription_id]], subscriptions[subscription_id], subscriptions[end_date])=0,"",_xlfn.XLOOKUP(payments_raw[[#This Row],[subscription_id]], subscriptions[subscription_id], subscriptions[end_date]))</f>
        <v>44695</v>
      </c>
      <c r="H3277" s="2">
        <f>IF(payments_raw[[#This Row],[payment_date]] &lt; payments_raw[[#This Row],[sub_start_date]], 1, 0)</f>
        <v>0</v>
      </c>
      <c r="I3277" s="2">
        <f>IF(AND(payments_raw[[#This Row],[sub_end_date]]&lt;&gt;"", payments_raw[[#This Row],[payment_date]] &gt; payments_raw[[#This Row],[sub_end_date]]), 1, 0)</f>
        <v>0</v>
      </c>
      <c r="J3277" s="2">
        <f>IF(payments_raw[[#This Row],[amount]] &lt;= 0, 1, 0)</f>
        <v>0</v>
      </c>
      <c r="K32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8" spans="1:11" x14ac:dyDescent="0.3">
      <c r="A3278">
        <v>57515456</v>
      </c>
      <c r="B3278">
        <v>6701061</v>
      </c>
      <c r="C3278" s="1">
        <v>45621</v>
      </c>
      <c r="D3278">
        <v>14.25</v>
      </c>
      <c r="E3278">
        <f>IF(
  ISNA(
    _xlfn.XLOOKUP(
      payments_raw[[#This Row],[subscription_id]],
      subscriptions[subscription_id],
      subscriptions[subscription_id]
    )
  ),
  0,
  1
)</f>
        <v>1</v>
      </c>
      <c r="F3278" s="1">
        <f>_xlfn.XLOOKUP(payments_raw[[#This Row],[subscription_id]], subscriptions[subscription_id], subscriptions[start_date])</f>
        <v>45491</v>
      </c>
      <c r="G32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8" s="2">
        <f>IF(payments_raw[[#This Row],[payment_date]] &lt; payments_raw[[#This Row],[sub_start_date]], 1, 0)</f>
        <v>0</v>
      </c>
      <c r="I3278" s="2">
        <f>IF(AND(payments_raw[[#This Row],[sub_end_date]]&lt;&gt;"", payments_raw[[#This Row],[payment_date]] &gt; payments_raw[[#This Row],[sub_end_date]]), 1, 0)</f>
        <v>0</v>
      </c>
      <c r="J3278" s="2">
        <f>IF(payments_raw[[#This Row],[amount]] &lt;= 0, 1, 0)</f>
        <v>0</v>
      </c>
      <c r="K32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79" spans="1:11" x14ac:dyDescent="0.3">
      <c r="A3279">
        <v>83096187</v>
      </c>
      <c r="B3279">
        <v>6655862</v>
      </c>
      <c r="C3279" s="1">
        <v>45170</v>
      </c>
      <c r="D3279">
        <v>19</v>
      </c>
      <c r="E3279">
        <f>IF(
  ISNA(
    _xlfn.XLOOKUP(
      payments_raw[[#This Row],[subscription_id]],
      subscriptions[subscription_id],
      subscriptions[subscription_id]
    )
  ),
  0,
  1
)</f>
        <v>1</v>
      </c>
      <c r="F3279" s="1">
        <f>_xlfn.XLOOKUP(payments_raw[[#This Row],[subscription_id]], subscriptions[subscription_id], subscriptions[start_date])</f>
        <v>45090</v>
      </c>
      <c r="G327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79" s="2">
        <f>IF(payments_raw[[#This Row],[payment_date]] &lt; payments_raw[[#This Row],[sub_start_date]], 1, 0)</f>
        <v>0</v>
      </c>
      <c r="I3279" s="2">
        <f>IF(AND(payments_raw[[#This Row],[sub_end_date]]&lt;&gt;"", payments_raw[[#This Row],[payment_date]] &gt; payments_raw[[#This Row],[sub_end_date]]), 1, 0)</f>
        <v>0</v>
      </c>
      <c r="J3279" s="2">
        <f>IF(payments_raw[[#This Row],[amount]] &lt;= 0, 1, 0)</f>
        <v>0</v>
      </c>
      <c r="K32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0" spans="1:11" x14ac:dyDescent="0.3">
      <c r="A3280">
        <v>22809228</v>
      </c>
      <c r="B3280">
        <v>4192453</v>
      </c>
      <c r="C3280" s="1">
        <v>45357</v>
      </c>
      <c r="D3280">
        <v>149</v>
      </c>
      <c r="E3280">
        <f>IF(
  ISNA(
    _xlfn.XLOOKUP(
      payments_raw[[#This Row],[subscription_id]],
      subscriptions[subscription_id],
      subscriptions[subscription_id]
    )
  ),
  0,
  1
)</f>
        <v>1</v>
      </c>
      <c r="F3280" s="1">
        <f>_xlfn.XLOOKUP(payments_raw[[#This Row],[subscription_id]], subscriptions[subscription_id], subscriptions[start_date])</f>
        <v>45029</v>
      </c>
      <c r="G328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0" s="2">
        <f>IF(payments_raw[[#This Row],[payment_date]] &lt; payments_raw[[#This Row],[sub_start_date]], 1, 0)</f>
        <v>0</v>
      </c>
      <c r="I3280" s="2">
        <f>IF(AND(payments_raw[[#This Row],[sub_end_date]]&lt;&gt;"", payments_raw[[#This Row],[payment_date]] &gt; payments_raw[[#This Row],[sub_end_date]]), 1, 0)</f>
        <v>0</v>
      </c>
      <c r="J3280" s="2">
        <f>IF(payments_raw[[#This Row],[amount]] &lt;= 0, 1, 0)</f>
        <v>0</v>
      </c>
      <c r="K32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1" spans="1:11" x14ac:dyDescent="0.3">
      <c r="A3281">
        <v>70651881</v>
      </c>
      <c r="B3281">
        <v>2696557</v>
      </c>
      <c r="C3281" s="1">
        <v>45477</v>
      </c>
      <c r="D3281">
        <v>790</v>
      </c>
      <c r="E3281">
        <f>IF(
  ISNA(
    _xlfn.XLOOKUP(
      payments_raw[[#This Row],[subscription_id]],
      subscriptions[subscription_id],
      subscriptions[subscription_id]
    )
  ),
  0,
  1
)</f>
        <v>1</v>
      </c>
      <c r="F3281" s="1">
        <f>_xlfn.XLOOKUP(payments_raw[[#This Row],[subscription_id]], subscriptions[subscription_id], subscriptions[start_date])</f>
        <v>45344</v>
      </c>
      <c r="G32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1" s="2">
        <f>IF(payments_raw[[#This Row],[payment_date]] &lt; payments_raw[[#This Row],[sub_start_date]], 1, 0)</f>
        <v>0</v>
      </c>
      <c r="I3281" s="2">
        <f>IF(AND(payments_raw[[#This Row],[sub_end_date]]&lt;&gt;"", payments_raw[[#This Row],[payment_date]] &gt; payments_raw[[#This Row],[sub_end_date]]), 1, 0)</f>
        <v>0</v>
      </c>
      <c r="J3281" s="2">
        <f>IF(payments_raw[[#This Row],[amount]] &lt;= 0, 1, 0)</f>
        <v>0</v>
      </c>
      <c r="K32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2" spans="1:11" x14ac:dyDescent="0.3">
      <c r="A3282">
        <v>93101517</v>
      </c>
      <c r="B3282">
        <v>4056477</v>
      </c>
      <c r="C3282" s="1">
        <v>45610</v>
      </c>
      <c r="D3282">
        <v>1490</v>
      </c>
      <c r="E3282">
        <f>IF(
  ISNA(
    _xlfn.XLOOKUP(
      payments_raw[[#This Row],[subscription_id]],
      subscriptions[subscription_id],
      subscriptions[subscription_id]
    )
  ),
  0,
  1
)</f>
        <v>1</v>
      </c>
      <c r="F3282" s="1">
        <f>_xlfn.XLOOKUP(payments_raw[[#This Row],[subscription_id]], subscriptions[subscription_id], subscriptions[start_date])</f>
        <v>45560</v>
      </c>
      <c r="G32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2" s="2">
        <f>IF(payments_raw[[#This Row],[payment_date]] &lt; payments_raw[[#This Row],[sub_start_date]], 1, 0)</f>
        <v>0</v>
      </c>
      <c r="I3282" s="2">
        <f>IF(AND(payments_raw[[#This Row],[sub_end_date]]&lt;&gt;"", payments_raw[[#This Row],[payment_date]] &gt; payments_raw[[#This Row],[sub_end_date]]), 1, 0)</f>
        <v>0</v>
      </c>
      <c r="J3282" s="2">
        <f>IF(payments_raw[[#This Row],[amount]] &lt;= 0, 1, 0)</f>
        <v>0</v>
      </c>
      <c r="K32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3" spans="1:11" x14ac:dyDescent="0.3">
      <c r="A3283">
        <v>43403619</v>
      </c>
      <c r="B3283">
        <v>4291258</v>
      </c>
      <c r="C3283" s="1">
        <v>45376</v>
      </c>
      <c r="D3283">
        <v>299</v>
      </c>
      <c r="E3283">
        <f>IF(
  ISNA(
    _xlfn.XLOOKUP(
      payments_raw[[#This Row],[subscription_id]],
      subscriptions[subscription_id],
      subscriptions[subscription_id]
    )
  ),
  0,
  1
)</f>
        <v>1</v>
      </c>
      <c r="F3283" s="1">
        <f>_xlfn.XLOOKUP(payments_raw[[#This Row],[subscription_id]], subscriptions[subscription_id], subscriptions[start_date])</f>
        <v>45338</v>
      </c>
      <c r="G32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45377</v>
      </c>
      <c r="H3283" s="2">
        <f>IF(payments_raw[[#This Row],[payment_date]] &lt; payments_raw[[#This Row],[sub_start_date]], 1, 0)</f>
        <v>0</v>
      </c>
      <c r="I3283" s="2">
        <f>IF(AND(payments_raw[[#This Row],[sub_end_date]]&lt;&gt;"", payments_raw[[#This Row],[payment_date]] &gt; payments_raw[[#This Row],[sub_end_date]]), 1, 0)</f>
        <v>0</v>
      </c>
      <c r="J3283" s="2">
        <f>IF(payments_raw[[#This Row],[amount]] &lt;= 0, 1, 0)</f>
        <v>0</v>
      </c>
      <c r="K32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4" spans="1:11" x14ac:dyDescent="0.3">
      <c r="A3284">
        <v>63468541</v>
      </c>
      <c r="B3284">
        <v>7500351</v>
      </c>
      <c r="C3284" s="1">
        <v>45420</v>
      </c>
      <c r="D3284">
        <v>790</v>
      </c>
      <c r="E3284">
        <f>IF(
  ISNA(
    _xlfn.XLOOKUP(
      payments_raw[[#This Row],[subscription_id]],
      subscriptions[subscription_id],
      subscriptions[subscription_id]
    )
  ),
  0,
  1
)</f>
        <v>1</v>
      </c>
      <c r="F3284" s="1">
        <f>_xlfn.XLOOKUP(payments_raw[[#This Row],[subscription_id]], subscriptions[subscription_id], subscriptions[start_date])</f>
        <v>45396</v>
      </c>
      <c r="G32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4" s="2">
        <f>IF(payments_raw[[#This Row],[payment_date]] &lt; payments_raw[[#This Row],[sub_start_date]], 1, 0)</f>
        <v>0</v>
      </c>
      <c r="I3284" s="2">
        <f>IF(AND(payments_raw[[#This Row],[sub_end_date]]&lt;&gt;"", payments_raw[[#This Row],[payment_date]] &gt; payments_raw[[#This Row],[sub_end_date]]), 1, 0)</f>
        <v>0</v>
      </c>
      <c r="J3284" s="2">
        <f>IF(payments_raw[[#This Row],[amount]] &lt;= 0, 1, 0)</f>
        <v>0</v>
      </c>
      <c r="K32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5" spans="1:11" x14ac:dyDescent="0.3">
      <c r="A3285">
        <v>73457455</v>
      </c>
      <c r="B3285">
        <v>1417616</v>
      </c>
      <c r="C3285" s="1">
        <v>45376</v>
      </c>
      <c r="D3285">
        <v>195</v>
      </c>
      <c r="E3285">
        <f>IF(
  ISNA(
    _xlfn.XLOOKUP(
      payments_raw[[#This Row],[subscription_id]],
      subscriptions[subscription_id],
      subscriptions[subscription_id]
    )
  ),
  0,
  1
)</f>
        <v>1</v>
      </c>
      <c r="F3285" s="1">
        <f>_xlfn.XLOOKUP(payments_raw[[#This Row],[subscription_id]], subscriptions[subscription_id], subscriptions[start_date])</f>
        <v>45375</v>
      </c>
      <c r="G328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285" s="2">
        <f>IF(payments_raw[[#This Row],[payment_date]] &lt; payments_raw[[#This Row],[sub_start_date]], 1, 0)</f>
        <v>0</v>
      </c>
      <c r="I3285" s="2">
        <f>IF(AND(payments_raw[[#This Row],[sub_end_date]]&lt;&gt;"", payments_raw[[#This Row],[payment_date]] &gt; payments_raw[[#This Row],[sub_end_date]]), 1, 0)</f>
        <v>0</v>
      </c>
      <c r="J3285" s="2">
        <f>IF(payments_raw[[#This Row],[amount]] &lt;= 0, 1, 0)</f>
        <v>0</v>
      </c>
      <c r="K32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6" spans="1:11" x14ac:dyDescent="0.3">
      <c r="A3286">
        <v>88897503</v>
      </c>
      <c r="B3286">
        <v>2923507</v>
      </c>
      <c r="C3286" s="1">
        <v>44992</v>
      </c>
      <c r="D3286">
        <v>190</v>
      </c>
      <c r="E3286">
        <f>IF(
  ISNA(
    _xlfn.XLOOKUP(
      payments_raw[[#This Row],[subscription_id]],
      subscriptions[subscription_id],
      subscriptions[subscription_id]
    )
  ),
  0,
  1
)</f>
        <v>1</v>
      </c>
      <c r="F3286" s="1">
        <f>_xlfn.XLOOKUP(payments_raw[[#This Row],[subscription_id]], subscriptions[subscription_id], subscriptions[start_date])</f>
        <v>44930</v>
      </c>
      <c r="G32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45179</v>
      </c>
      <c r="H3286" s="2">
        <f>IF(payments_raw[[#This Row],[payment_date]] &lt; payments_raw[[#This Row],[sub_start_date]], 1, 0)</f>
        <v>0</v>
      </c>
      <c r="I3286" s="2">
        <f>IF(AND(payments_raw[[#This Row],[sub_end_date]]&lt;&gt;"", payments_raw[[#This Row],[payment_date]] &gt; payments_raw[[#This Row],[sub_end_date]]), 1, 0)</f>
        <v>0</v>
      </c>
      <c r="J3286" s="2">
        <f>IF(payments_raw[[#This Row],[amount]] &lt;= 0, 1, 0)</f>
        <v>0</v>
      </c>
      <c r="K32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7" spans="1:11" x14ac:dyDescent="0.3">
      <c r="A3287">
        <v>11691339</v>
      </c>
      <c r="B3287">
        <v>7916943</v>
      </c>
      <c r="C3287" s="1">
        <v>45464</v>
      </c>
      <c r="D3287">
        <v>19</v>
      </c>
      <c r="E3287">
        <f>IF(
  ISNA(
    _xlfn.XLOOKUP(
      payments_raw[[#This Row],[subscription_id]],
      subscriptions[subscription_id],
      subscriptions[subscription_id]
    )
  ),
  0,
  1
)</f>
        <v>1</v>
      </c>
      <c r="F3287" s="1">
        <f>_xlfn.XLOOKUP(payments_raw[[#This Row],[subscription_id]], subscriptions[subscription_id], subscriptions[start_date])</f>
        <v>45146</v>
      </c>
      <c r="G32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7" s="2">
        <f>IF(payments_raw[[#This Row],[payment_date]] &lt; payments_raw[[#This Row],[sub_start_date]], 1, 0)</f>
        <v>0</v>
      </c>
      <c r="I3287" s="2">
        <f>IF(AND(payments_raw[[#This Row],[sub_end_date]]&lt;&gt;"", payments_raw[[#This Row],[payment_date]] &gt; payments_raw[[#This Row],[sub_end_date]]), 1, 0)</f>
        <v>0</v>
      </c>
      <c r="J3287" s="2">
        <f>IF(payments_raw[[#This Row],[amount]] &lt;= 0, 1, 0)</f>
        <v>0</v>
      </c>
      <c r="K32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8" spans="1:11" x14ac:dyDescent="0.3">
      <c r="A3288">
        <v>51843482</v>
      </c>
      <c r="B3288">
        <v>3483052</v>
      </c>
      <c r="C3288" s="1">
        <v>45438</v>
      </c>
      <c r="D3288">
        <v>2990</v>
      </c>
      <c r="E3288">
        <f>IF(
  ISNA(
    _xlfn.XLOOKUP(
      payments_raw[[#This Row],[subscription_id]],
      subscriptions[subscription_id],
      subscriptions[subscription_id]
    )
  ),
  0,
  1
)</f>
        <v>1</v>
      </c>
      <c r="F3288" s="1">
        <f>_xlfn.XLOOKUP(payments_raw[[#This Row],[subscription_id]], subscriptions[subscription_id], subscriptions[start_date])</f>
        <v>45408</v>
      </c>
      <c r="G32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45654</v>
      </c>
      <c r="H3288" s="2">
        <f>IF(payments_raw[[#This Row],[payment_date]] &lt; payments_raw[[#This Row],[sub_start_date]], 1, 0)</f>
        <v>0</v>
      </c>
      <c r="I3288" s="2">
        <f>IF(AND(payments_raw[[#This Row],[sub_end_date]]&lt;&gt;"", payments_raw[[#This Row],[payment_date]] &gt; payments_raw[[#This Row],[sub_end_date]]), 1, 0)</f>
        <v>0</v>
      </c>
      <c r="J3288" s="2">
        <f>IF(payments_raw[[#This Row],[amount]] &lt;= 0, 1, 0)</f>
        <v>0</v>
      </c>
      <c r="K32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89" spans="1:11" x14ac:dyDescent="0.3">
      <c r="A3289">
        <v>12466248</v>
      </c>
      <c r="B3289">
        <v>8161079</v>
      </c>
      <c r="C3289" s="1">
        <v>45623</v>
      </c>
      <c r="D3289">
        <v>39</v>
      </c>
      <c r="E3289">
        <f>IF(
  ISNA(
    _xlfn.XLOOKUP(
      payments_raw[[#This Row],[subscription_id]],
      subscriptions[subscription_id],
      subscriptions[subscription_id]
    )
  ),
  0,
  1
)</f>
        <v>1</v>
      </c>
      <c r="F3289" s="1">
        <f>_xlfn.XLOOKUP(payments_raw[[#This Row],[subscription_id]], subscriptions[subscription_id], subscriptions[start_date])</f>
        <v>44844</v>
      </c>
      <c r="G32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89" s="2">
        <f>IF(payments_raw[[#This Row],[payment_date]] &lt; payments_raw[[#This Row],[sub_start_date]], 1, 0)</f>
        <v>0</v>
      </c>
      <c r="I3289" s="2">
        <f>IF(AND(payments_raw[[#This Row],[sub_end_date]]&lt;&gt;"", payments_raw[[#This Row],[payment_date]] &gt; payments_raw[[#This Row],[sub_end_date]]), 1, 0)</f>
        <v>0</v>
      </c>
      <c r="J3289" s="2">
        <f>IF(payments_raw[[#This Row],[amount]] &lt;= 0, 1, 0)</f>
        <v>0</v>
      </c>
      <c r="K32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0" spans="1:11" x14ac:dyDescent="0.3">
      <c r="A3290">
        <v>83273712</v>
      </c>
      <c r="B3290">
        <v>7785940</v>
      </c>
      <c r="C3290" s="1">
        <v>44893</v>
      </c>
      <c r="D3290">
        <v>39</v>
      </c>
      <c r="E3290">
        <f>IF(
  ISNA(
    _xlfn.XLOOKUP(
      payments_raw[[#This Row],[subscription_id]],
      subscriptions[subscription_id],
      subscriptions[subscription_id]
    )
  ),
  0,
  1
)</f>
        <v>1</v>
      </c>
      <c r="F3290" s="1">
        <f>_xlfn.XLOOKUP(payments_raw[[#This Row],[subscription_id]], subscriptions[subscription_id], subscriptions[start_date])</f>
        <v>44587</v>
      </c>
      <c r="G32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0" s="2">
        <f>IF(payments_raw[[#This Row],[payment_date]] &lt; payments_raw[[#This Row],[sub_start_date]], 1, 0)</f>
        <v>0</v>
      </c>
      <c r="I3290" s="2">
        <f>IF(AND(payments_raw[[#This Row],[sub_end_date]]&lt;&gt;"", payments_raw[[#This Row],[payment_date]] &gt; payments_raw[[#This Row],[sub_end_date]]), 1, 0)</f>
        <v>0</v>
      </c>
      <c r="J3290" s="2">
        <f>IF(payments_raw[[#This Row],[amount]] &lt;= 0, 1, 0)</f>
        <v>0</v>
      </c>
      <c r="K32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1" spans="1:11" x14ac:dyDescent="0.3">
      <c r="A3291">
        <v>82427597</v>
      </c>
      <c r="B3291">
        <v>8155068</v>
      </c>
      <c r="C3291" s="1">
        <v>45165</v>
      </c>
      <c r="D3291">
        <v>790</v>
      </c>
      <c r="E3291">
        <f>IF(
  ISNA(
    _xlfn.XLOOKUP(
      payments_raw[[#This Row],[subscription_id]],
      subscriptions[subscription_id],
      subscriptions[subscription_id]
    )
  ),
  0,
  1
)</f>
        <v>1</v>
      </c>
      <c r="F3291" s="1">
        <f>_xlfn.XLOOKUP(payments_raw[[#This Row],[subscription_id]], subscriptions[subscription_id], subscriptions[start_date])</f>
        <v>45141</v>
      </c>
      <c r="G32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1" s="2">
        <f>IF(payments_raw[[#This Row],[payment_date]] &lt; payments_raw[[#This Row],[sub_start_date]], 1, 0)</f>
        <v>0</v>
      </c>
      <c r="I3291" s="2">
        <f>IF(AND(payments_raw[[#This Row],[sub_end_date]]&lt;&gt;"", payments_raw[[#This Row],[payment_date]] &gt; payments_raw[[#This Row],[sub_end_date]]), 1, 0)</f>
        <v>0</v>
      </c>
      <c r="J3291" s="2">
        <f>IF(payments_raw[[#This Row],[amount]] &lt;= 0, 1, 0)</f>
        <v>0</v>
      </c>
      <c r="K32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2" spans="1:11" x14ac:dyDescent="0.3">
      <c r="A3292">
        <v>88996038</v>
      </c>
      <c r="B3292">
        <v>3770138</v>
      </c>
      <c r="C3292" s="1">
        <v>45070</v>
      </c>
      <c r="D3292">
        <v>19</v>
      </c>
      <c r="E3292">
        <f>IF(
  ISNA(
    _xlfn.XLOOKUP(
      payments_raw[[#This Row],[subscription_id]],
      subscriptions[subscription_id],
      subscriptions[subscription_id]
    )
  ),
  0,
  1
)</f>
        <v>1</v>
      </c>
      <c r="F3292" s="1">
        <f>_xlfn.XLOOKUP(payments_raw[[#This Row],[subscription_id]], subscriptions[subscription_id], subscriptions[start_date])</f>
        <v>44679</v>
      </c>
      <c r="G32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2" s="2">
        <f>IF(payments_raw[[#This Row],[payment_date]] &lt; payments_raw[[#This Row],[sub_start_date]], 1, 0)</f>
        <v>0</v>
      </c>
      <c r="I3292" s="2">
        <f>IF(AND(payments_raw[[#This Row],[sub_end_date]]&lt;&gt;"", payments_raw[[#This Row],[payment_date]] &gt; payments_raw[[#This Row],[sub_end_date]]), 1, 0)</f>
        <v>0</v>
      </c>
      <c r="J3292" s="2">
        <f>IF(payments_raw[[#This Row],[amount]] &lt;= 0, 1, 0)</f>
        <v>0</v>
      </c>
      <c r="K32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3" spans="1:11" x14ac:dyDescent="0.3">
      <c r="A3293">
        <v>31517603</v>
      </c>
      <c r="B3293">
        <v>8275548</v>
      </c>
      <c r="C3293" s="1">
        <v>45565</v>
      </c>
      <c r="D3293">
        <v>790</v>
      </c>
      <c r="E3293">
        <f>IF(
  ISNA(
    _xlfn.XLOOKUP(
      payments_raw[[#This Row],[subscription_id]],
      subscriptions[subscription_id],
      subscriptions[subscription_id]
    )
  ),
  0,
  1
)</f>
        <v>1</v>
      </c>
      <c r="F3293" s="1">
        <f>_xlfn.XLOOKUP(payments_raw[[#This Row],[subscription_id]], subscriptions[subscription_id], subscriptions[start_date])</f>
        <v>45173</v>
      </c>
      <c r="G32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3" s="2">
        <f>IF(payments_raw[[#This Row],[payment_date]] &lt; payments_raw[[#This Row],[sub_start_date]], 1, 0)</f>
        <v>0</v>
      </c>
      <c r="I3293" s="2">
        <f>IF(AND(payments_raw[[#This Row],[sub_end_date]]&lt;&gt;"", payments_raw[[#This Row],[payment_date]] &gt; payments_raw[[#This Row],[sub_end_date]]), 1, 0)</f>
        <v>0</v>
      </c>
      <c r="J3293" s="2">
        <f>IF(payments_raw[[#This Row],[amount]] &lt;= 0, 1, 0)</f>
        <v>0</v>
      </c>
      <c r="K32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4" spans="1:11" x14ac:dyDescent="0.3">
      <c r="A3294">
        <v>15356036</v>
      </c>
      <c r="B3294">
        <v>5979872</v>
      </c>
      <c r="C3294" s="1">
        <v>45254</v>
      </c>
      <c r="D3294">
        <v>79</v>
      </c>
      <c r="E3294">
        <f>IF(
  ISNA(
    _xlfn.XLOOKUP(
      payments_raw[[#This Row],[subscription_id]],
      subscriptions[subscription_id],
      subscriptions[subscription_id]
    )
  ),
  0,
  1
)</f>
        <v>1</v>
      </c>
      <c r="F3294" s="1">
        <f>_xlfn.XLOOKUP(payments_raw[[#This Row],[subscription_id]], subscriptions[subscription_id], subscriptions[start_date])</f>
        <v>45010</v>
      </c>
      <c r="G32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4" s="2">
        <f>IF(payments_raw[[#This Row],[payment_date]] &lt; payments_raw[[#This Row],[sub_start_date]], 1, 0)</f>
        <v>0</v>
      </c>
      <c r="I3294" s="2">
        <f>IF(AND(payments_raw[[#This Row],[sub_end_date]]&lt;&gt;"", payments_raw[[#This Row],[payment_date]] &gt; payments_raw[[#This Row],[sub_end_date]]), 1, 0)</f>
        <v>0</v>
      </c>
      <c r="J3294" s="2">
        <f>IF(payments_raw[[#This Row],[amount]] &lt;= 0, 1, 0)</f>
        <v>0</v>
      </c>
      <c r="K32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5" spans="1:11" x14ac:dyDescent="0.3">
      <c r="A3295">
        <v>83012855</v>
      </c>
      <c r="B3295">
        <v>9949336</v>
      </c>
      <c r="C3295" s="1">
        <v>44925</v>
      </c>
      <c r="D3295">
        <v>2990</v>
      </c>
      <c r="E3295">
        <f>IF(
  ISNA(
    _xlfn.XLOOKUP(
      payments_raw[[#This Row],[subscription_id]],
      subscriptions[subscription_id],
      subscriptions[subscription_id]
    )
  ),
  0,
  1
)</f>
        <v>1</v>
      </c>
      <c r="F3295" s="1">
        <f>_xlfn.XLOOKUP(payments_raw[[#This Row],[subscription_id]], subscriptions[subscription_id], subscriptions[start_date])</f>
        <v>44642</v>
      </c>
      <c r="G329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3295" s="2">
        <f>IF(payments_raw[[#This Row],[payment_date]] &lt; payments_raw[[#This Row],[sub_start_date]], 1, 0)</f>
        <v>0</v>
      </c>
      <c r="I3295" s="2">
        <f>IF(AND(payments_raw[[#This Row],[sub_end_date]]&lt;&gt;"", payments_raw[[#This Row],[payment_date]] &gt; payments_raw[[#This Row],[sub_end_date]]), 1, 0)</f>
        <v>0</v>
      </c>
      <c r="J3295" s="2">
        <f>IF(payments_raw[[#This Row],[amount]] &lt;= 0, 1, 0)</f>
        <v>0</v>
      </c>
      <c r="K32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6" spans="1:11" x14ac:dyDescent="0.3">
      <c r="A3296">
        <v>47406640</v>
      </c>
      <c r="B3296">
        <v>3555942</v>
      </c>
      <c r="C3296" s="1">
        <v>45084</v>
      </c>
      <c r="D3296">
        <v>39</v>
      </c>
      <c r="E3296">
        <f>IF(
  ISNA(
    _xlfn.XLOOKUP(
      payments_raw[[#This Row],[subscription_id]],
      subscriptions[subscription_id],
      subscriptions[subscription_id]
    )
  ),
  0,
  1
)</f>
        <v>1</v>
      </c>
      <c r="F3296" s="1">
        <f>_xlfn.XLOOKUP(payments_raw[[#This Row],[subscription_id]], subscriptions[subscription_id], subscriptions[start_date])</f>
        <v>45004</v>
      </c>
      <c r="G3296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45092</v>
      </c>
      <c r="H3296" s="2">
        <f>IF(payments_raw[[#This Row],[payment_date]] &lt; payments_raw[[#This Row],[sub_start_date]], 1, 0)</f>
        <v>0</v>
      </c>
      <c r="I3296" s="2">
        <f>IF(AND(payments_raw[[#This Row],[sub_end_date]]&lt;&gt;"", payments_raw[[#This Row],[payment_date]] &gt; payments_raw[[#This Row],[sub_end_date]]), 1, 0)</f>
        <v>0</v>
      </c>
      <c r="J3296" s="2">
        <f>IF(payments_raw[[#This Row],[amount]] &lt;= 0, 1, 0)</f>
        <v>0</v>
      </c>
      <c r="K32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7" spans="1:11" x14ac:dyDescent="0.3">
      <c r="A3297">
        <v>12824176</v>
      </c>
      <c r="B3297">
        <v>8344546</v>
      </c>
      <c r="C3297" s="1">
        <v>45386</v>
      </c>
      <c r="D3297">
        <v>299</v>
      </c>
      <c r="E3297">
        <f>IF(
  ISNA(
    _xlfn.XLOOKUP(
      payments_raw[[#This Row],[subscription_id]],
      subscriptions[subscription_id],
      subscriptions[subscription_id]
    )
  ),
  0,
  1
)</f>
        <v>1</v>
      </c>
      <c r="F3297" s="1">
        <f>_xlfn.XLOOKUP(payments_raw[[#This Row],[subscription_id]], subscriptions[subscription_id], subscriptions[start_date])</f>
        <v>45302</v>
      </c>
      <c r="G329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45418</v>
      </c>
      <c r="H3297" s="2">
        <f>IF(payments_raw[[#This Row],[payment_date]] &lt; payments_raw[[#This Row],[sub_start_date]], 1, 0)</f>
        <v>0</v>
      </c>
      <c r="I3297" s="2">
        <f>IF(AND(payments_raw[[#This Row],[sub_end_date]]&lt;&gt;"", payments_raw[[#This Row],[payment_date]] &gt; payments_raw[[#This Row],[sub_end_date]]), 1, 0)</f>
        <v>0</v>
      </c>
      <c r="J3297" s="2">
        <f>IF(payments_raw[[#This Row],[amount]] &lt;= 0, 1, 0)</f>
        <v>0</v>
      </c>
      <c r="K32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8" spans="1:11" x14ac:dyDescent="0.3">
      <c r="A3298">
        <v>82542655</v>
      </c>
      <c r="B3298">
        <v>6980829</v>
      </c>
      <c r="C3298" s="1">
        <v>44847</v>
      </c>
      <c r="D3298">
        <v>390</v>
      </c>
      <c r="E3298">
        <f>IF(
  ISNA(
    _xlfn.XLOOKUP(
      payments_raw[[#This Row],[subscription_id]],
      subscriptions[subscription_id],
      subscriptions[subscription_id]
    )
  ),
  0,
  1
)</f>
        <v>1</v>
      </c>
      <c r="F3298" s="1">
        <f>_xlfn.XLOOKUP(payments_raw[[#This Row],[subscription_id]], subscriptions[subscription_id], subscriptions[start_date])</f>
        <v>44844</v>
      </c>
      <c r="G329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45098</v>
      </c>
      <c r="H3298" s="2">
        <f>IF(payments_raw[[#This Row],[payment_date]] &lt; payments_raw[[#This Row],[sub_start_date]], 1, 0)</f>
        <v>0</v>
      </c>
      <c r="I3298" s="2">
        <f>IF(AND(payments_raw[[#This Row],[sub_end_date]]&lt;&gt;"", payments_raw[[#This Row],[payment_date]] &gt; payments_raw[[#This Row],[sub_end_date]]), 1, 0)</f>
        <v>0</v>
      </c>
      <c r="J3298" s="2">
        <f>IF(payments_raw[[#This Row],[amount]] &lt;= 0, 1, 0)</f>
        <v>0</v>
      </c>
      <c r="K32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299" spans="1:11" x14ac:dyDescent="0.3">
      <c r="A3299">
        <v>53177299</v>
      </c>
      <c r="B3299">
        <v>5370124</v>
      </c>
      <c r="C3299" s="1">
        <v>44828</v>
      </c>
      <c r="D3299">
        <v>190</v>
      </c>
      <c r="E3299">
        <f>IF(
  ISNA(
    _xlfn.XLOOKUP(
      payments_raw[[#This Row],[subscription_id]],
      subscriptions[subscription_id],
      subscriptions[subscription_id]
    )
  ),
  0,
  1
)</f>
        <v>1</v>
      </c>
      <c r="F3299" s="1">
        <f>_xlfn.XLOOKUP(payments_raw[[#This Row],[subscription_id]], subscriptions[subscription_id], subscriptions[start_date])</f>
        <v>44667</v>
      </c>
      <c r="G329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299" s="2">
        <f>IF(payments_raw[[#This Row],[payment_date]] &lt; payments_raw[[#This Row],[sub_start_date]], 1, 0)</f>
        <v>0</v>
      </c>
      <c r="I3299" s="2">
        <f>IF(AND(payments_raw[[#This Row],[sub_end_date]]&lt;&gt;"", payments_raw[[#This Row],[payment_date]] &gt; payments_raw[[#This Row],[sub_end_date]]), 1, 0)</f>
        <v>0</v>
      </c>
      <c r="J3299" s="2">
        <f>IF(payments_raw[[#This Row],[amount]] &lt;= 0, 1, 0)</f>
        <v>0</v>
      </c>
      <c r="K32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0" spans="1:11" x14ac:dyDescent="0.3">
      <c r="A3300">
        <v>55358363</v>
      </c>
      <c r="B3300">
        <v>5767876</v>
      </c>
      <c r="C3300" s="1">
        <v>45457</v>
      </c>
      <c r="D3300">
        <v>190</v>
      </c>
      <c r="E3300">
        <f>IF(
  ISNA(
    _xlfn.XLOOKUP(
      payments_raw[[#This Row],[subscription_id]],
      subscriptions[subscription_id],
      subscriptions[subscription_id]
    )
  ),
  0,
  1
)</f>
        <v>1</v>
      </c>
      <c r="F3300" s="1">
        <f>_xlfn.XLOOKUP(payments_raw[[#This Row],[subscription_id]], subscriptions[subscription_id], subscriptions[start_date])</f>
        <v>45434</v>
      </c>
      <c r="G33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0" s="2">
        <f>IF(payments_raw[[#This Row],[payment_date]] &lt; payments_raw[[#This Row],[sub_start_date]], 1, 0)</f>
        <v>0</v>
      </c>
      <c r="I3300" s="2">
        <f>IF(AND(payments_raw[[#This Row],[sub_end_date]]&lt;&gt;"", payments_raw[[#This Row],[payment_date]] &gt; payments_raw[[#This Row],[sub_end_date]]), 1, 0)</f>
        <v>0</v>
      </c>
      <c r="J3300" s="2">
        <f>IF(payments_raw[[#This Row],[amount]] &lt;= 0, 1, 0)</f>
        <v>0</v>
      </c>
      <c r="K33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1" spans="1:11" x14ac:dyDescent="0.3">
      <c r="A3301">
        <v>61289497</v>
      </c>
      <c r="B3301">
        <v>7951217</v>
      </c>
      <c r="C3301" s="1">
        <v>45116</v>
      </c>
      <c r="D3301">
        <v>390</v>
      </c>
      <c r="E3301">
        <f>IF(
  ISNA(
    _xlfn.XLOOKUP(
      payments_raw[[#This Row],[subscription_id]],
      subscriptions[subscription_id],
      subscriptions[subscription_id]
    )
  ),
  0,
  1
)</f>
        <v>1</v>
      </c>
      <c r="F3301" s="1">
        <f>_xlfn.XLOOKUP(payments_raw[[#This Row],[subscription_id]], subscriptions[subscription_id], subscriptions[start_date])</f>
        <v>44827</v>
      </c>
      <c r="G33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1" s="2">
        <f>IF(payments_raw[[#This Row],[payment_date]] &lt; payments_raw[[#This Row],[sub_start_date]], 1, 0)</f>
        <v>0</v>
      </c>
      <c r="I3301" s="2">
        <f>IF(AND(payments_raw[[#This Row],[sub_end_date]]&lt;&gt;"", payments_raw[[#This Row],[payment_date]] &gt; payments_raw[[#This Row],[sub_end_date]]), 1, 0)</f>
        <v>0</v>
      </c>
      <c r="J3301" s="2">
        <f>IF(payments_raw[[#This Row],[amount]] &lt;= 0, 1, 0)</f>
        <v>0</v>
      </c>
      <c r="K33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2" spans="1:11" x14ac:dyDescent="0.3">
      <c r="A3302">
        <v>90572667</v>
      </c>
      <c r="B3302">
        <v>7502411</v>
      </c>
      <c r="C3302" s="1">
        <v>45036</v>
      </c>
      <c r="D3302">
        <v>19</v>
      </c>
      <c r="E3302">
        <f>IF(
  ISNA(
    _xlfn.XLOOKUP(
      payments_raw[[#This Row],[subscription_id]],
      subscriptions[subscription_id],
      subscriptions[subscription_id]
    )
  ),
  0,
  1
)</f>
        <v>1</v>
      </c>
      <c r="F3302" s="1">
        <f>_xlfn.XLOOKUP(payments_raw[[#This Row],[subscription_id]], subscriptions[subscription_id], subscriptions[start_date])</f>
        <v>44825</v>
      </c>
      <c r="G33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2" s="2">
        <f>IF(payments_raw[[#This Row],[payment_date]] &lt; payments_raw[[#This Row],[sub_start_date]], 1, 0)</f>
        <v>0</v>
      </c>
      <c r="I3302" s="2">
        <f>IF(AND(payments_raw[[#This Row],[sub_end_date]]&lt;&gt;"", payments_raw[[#This Row],[payment_date]] &gt; payments_raw[[#This Row],[sub_end_date]]), 1, 0)</f>
        <v>0</v>
      </c>
      <c r="J3302" s="2">
        <f>IF(payments_raw[[#This Row],[amount]] &lt;= 0, 1, 0)</f>
        <v>0</v>
      </c>
      <c r="K33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3" spans="1:11" x14ac:dyDescent="0.3">
      <c r="A3303">
        <v>41773361</v>
      </c>
      <c r="B3303">
        <v>1768056</v>
      </c>
      <c r="C3303" s="1">
        <v>44679</v>
      </c>
      <c r="D3303">
        <v>149</v>
      </c>
      <c r="E3303">
        <f>IF(
  ISNA(
    _xlfn.XLOOKUP(
      payments_raw[[#This Row],[subscription_id]],
      subscriptions[subscription_id],
      subscriptions[subscription_id]
    )
  ),
  0,
  1
)</f>
        <v>1</v>
      </c>
      <c r="F3303" s="1">
        <f>_xlfn.XLOOKUP(payments_raw[[#This Row],[subscription_id]], subscriptions[subscription_id], subscriptions[start_date])</f>
        <v>44592</v>
      </c>
      <c r="G3303" s="1">
        <f>IF(_xlfn.XLOOKUP(payments_raw[[#This Row],[subscription_id]], subscriptions[subscription_id], subscriptions[end_date])=0,"",_xlfn.XLOOKUP(payments_raw[[#This Row],[subscription_id]], subscriptions[subscription_id], subscriptions[end_date]))</f>
        <v>44749</v>
      </c>
      <c r="H3303" s="2">
        <f>IF(payments_raw[[#This Row],[payment_date]] &lt; payments_raw[[#This Row],[sub_start_date]], 1, 0)</f>
        <v>0</v>
      </c>
      <c r="I3303" s="2">
        <f>IF(AND(payments_raw[[#This Row],[sub_end_date]]&lt;&gt;"", payments_raw[[#This Row],[payment_date]] &gt; payments_raw[[#This Row],[sub_end_date]]), 1, 0)</f>
        <v>0</v>
      </c>
      <c r="J3303" s="2">
        <f>IF(payments_raw[[#This Row],[amount]] &lt;= 0, 1, 0)</f>
        <v>0</v>
      </c>
      <c r="K33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4" spans="1:11" x14ac:dyDescent="0.3">
      <c r="A3304">
        <v>27737027</v>
      </c>
      <c r="B3304">
        <v>4006246</v>
      </c>
      <c r="C3304" s="1">
        <v>45556</v>
      </c>
      <c r="D3304">
        <v>9.5</v>
      </c>
      <c r="E3304">
        <f>IF(
  ISNA(
    _xlfn.XLOOKUP(
      payments_raw[[#This Row],[subscription_id]],
      subscriptions[subscription_id],
      subscriptions[subscription_id]
    )
  ),
  0,
  1
)</f>
        <v>1</v>
      </c>
      <c r="F3304" s="1">
        <f>_xlfn.XLOOKUP(payments_raw[[#This Row],[subscription_id]], subscriptions[subscription_id], subscriptions[start_date])</f>
        <v>45505</v>
      </c>
      <c r="G33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4" s="2">
        <f>IF(payments_raw[[#This Row],[payment_date]] &lt; payments_raw[[#This Row],[sub_start_date]], 1, 0)</f>
        <v>0</v>
      </c>
      <c r="I3304" s="2">
        <f>IF(AND(payments_raw[[#This Row],[sub_end_date]]&lt;&gt;"", payments_raw[[#This Row],[payment_date]] &gt; payments_raw[[#This Row],[sub_end_date]]), 1, 0)</f>
        <v>0</v>
      </c>
      <c r="J3304" s="2">
        <f>IF(payments_raw[[#This Row],[amount]] &lt;= 0, 1, 0)</f>
        <v>0</v>
      </c>
      <c r="K33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5" spans="1:11" x14ac:dyDescent="0.3">
      <c r="A3305">
        <v>91188491</v>
      </c>
      <c r="B3305">
        <v>7781989</v>
      </c>
      <c r="C3305" s="1">
        <v>45572</v>
      </c>
      <c r="D3305">
        <v>390</v>
      </c>
      <c r="E3305">
        <f>IF(
  ISNA(
    _xlfn.XLOOKUP(
      payments_raw[[#This Row],[subscription_id]],
      subscriptions[subscription_id],
      subscriptions[subscription_id]
    )
  ),
  0,
  1
)</f>
        <v>1</v>
      </c>
      <c r="F3305" s="1">
        <f>_xlfn.XLOOKUP(payments_raw[[#This Row],[subscription_id]], subscriptions[subscription_id], subscriptions[start_date])</f>
        <v>45453</v>
      </c>
      <c r="G330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5" s="2">
        <f>IF(payments_raw[[#This Row],[payment_date]] &lt; payments_raw[[#This Row],[sub_start_date]], 1, 0)</f>
        <v>0</v>
      </c>
      <c r="I3305" s="2">
        <f>IF(AND(payments_raw[[#This Row],[sub_end_date]]&lt;&gt;"", payments_raw[[#This Row],[payment_date]] &gt; payments_raw[[#This Row],[sub_end_date]]), 1, 0)</f>
        <v>0</v>
      </c>
      <c r="J3305" s="2">
        <f>IF(payments_raw[[#This Row],[amount]] &lt;= 0, 1, 0)</f>
        <v>0</v>
      </c>
      <c r="K33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6" spans="1:11" x14ac:dyDescent="0.3">
      <c r="A3306">
        <v>12773612</v>
      </c>
      <c r="B3306">
        <v>8114847</v>
      </c>
      <c r="C3306" s="1">
        <v>45012</v>
      </c>
      <c r="D3306">
        <v>39</v>
      </c>
      <c r="E3306">
        <f>IF(
  ISNA(
    _xlfn.XLOOKUP(
      payments_raw[[#This Row],[subscription_id]],
      subscriptions[subscription_id],
      subscriptions[subscription_id]
    )
  ),
  0,
  1
)</f>
        <v>1</v>
      </c>
      <c r="F3306" s="1">
        <f>_xlfn.XLOOKUP(payments_raw[[#This Row],[subscription_id]], subscriptions[subscription_id], subscriptions[start_date])</f>
        <v>44999</v>
      </c>
      <c r="G3306" s="1">
        <f>IF(_xlfn.XLOOKUP(payments_raw[[#This Row],[subscription_id]], subscriptions[subscription_id], subscriptions[end_date])=0,"",_xlfn.XLOOKUP(payments_raw[[#This Row],[subscription_id]], subscriptions[subscription_id], subscriptions[end_date]))</f>
        <v>45126</v>
      </c>
      <c r="H3306" s="2">
        <f>IF(payments_raw[[#This Row],[payment_date]] &lt; payments_raw[[#This Row],[sub_start_date]], 1, 0)</f>
        <v>0</v>
      </c>
      <c r="I3306" s="2">
        <f>IF(AND(payments_raw[[#This Row],[sub_end_date]]&lt;&gt;"", payments_raw[[#This Row],[payment_date]] &gt; payments_raw[[#This Row],[sub_end_date]]), 1, 0)</f>
        <v>0</v>
      </c>
      <c r="J3306" s="2">
        <f>IF(payments_raw[[#This Row],[amount]] &lt;= 0, 1, 0)</f>
        <v>0</v>
      </c>
      <c r="K33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7" spans="1:11" x14ac:dyDescent="0.3">
      <c r="A3307">
        <v>67982400</v>
      </c>
      <c r="B3307">
        <v>3112852</v>
      </c>
      <c r="C3307" s="1">
        <v>45636</v>
      </c>
      <c r="D3307">
        <v>17.100000000000001</v>
      </c>
      <c r="E3307">
        <f>IF(
  ISNA(
    _xlfn.XLOOKUP(
      payments_raw[[#This Row],[subscription_id]],
      subscriptions[subscription_id],
      subscriptions[subscription_id]
    )
  ),
  0,
  1
)</f>
        <v>1</v>
      </c>
      <c r="F3307" s="1">
        <f>_xlfn.XLOOKUP(payments_raw[[#This Row],[subscription_id]], subscriptions[subscription_id], subscriptions[start_date])</f>
        <v>45387</v>
      </c>
      <c r="G33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3307" s="2">
        <f>IF(payments_raw[[#This Row],[payment_date]] &lt; payments_raw[[#This Row],[sub_start_date]], 1, 0)</f>
        <v>0</v>
      </c>
      <c r="I3307" s="2">
        <f>IF(AND(payments_raw[[#This Row],[sub_end_date]]&lt;&gt;"", payments_raw[[#This Row],[payment_date]] &gt; payments_raw[[#This Row],[sub_end_date]]), 1, 0)</f>
        <v>0</v>
      </c>
      <c r="J3307" s="2">
        <f>IF(payments_raw[[#This Row],[amount]] &lt;= 0, 1, 0)</f>
        <v>0</v>
      </c>
      <c r="K33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8" spans="1:11" x14ac:dyDescent="0.3">
      <c r="A3308">
        <v>91217712</v>
      </c>
      <c r="B3308">
        <v>8651518</v>
      </c>
      <c r="C3308" s="1">
        <v>45496</v>
      </c>
      <c r="D3308">
        <v>299</v>
      </c>
      <c r="E3308">
        <f>IF(
  ISNA(
    _xlfn.XLOOKUP(
      payments_raw[[#This Row],[subscription_id]],
      subscriptions[subscription_id],
      subscriptions[subscription_id]
    )
  ),
  0,
  1
)</f>
        <v>1</v>
      </c>
      <c r="F3308" s="1">
        <f>_xlfn.XLOOKUP(payments_raw[[#This Row],[subscription_id]], subscriptions[subscription_id], subscriptions[start_date])</f>
        <v>44925</v>
      </c>
      <c r="G330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8" s="2">
        <f>IF(payments_raw[[#This Row],[payment_date]] &lt; payments_raw[[#This Row],[sub_start_date]], 1, 0)</f>
        <v>0</v>
      </c>
      <c r="I3308" s="2">
        <f>IF(AND(payments_raw[[#This Row],[sub_end_date]]&lt;&gt;"", payments_raw[[#This Row],[payment_date]] &gt; payments_raw[[#This Row],[sub_end_date]]), 1, 0)</f>
        <v>0</v>
      </c>
      <c r="J3308" s="2">
        <f>IF(payments_raw[[#This Row],[amount]] &lt;= 0, 1, 0)</f>
        <v>0</v>
      </c>
      <c r="K33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09" spans="1:11" x14ac:dyDescent="0.3">
      <c r="A3309">
        <v>15712322</v>
      </c>
      <c r="B3309">
        <v>2649587</v>
      </c>
      <c r="C3309" s="1">
        <v>45652</v>
      </c>
      <c r="D3309">
        <v>149</v>
      </c>
      <c r="E3309">
        <f>IF(
  ISNA(
    _xlfn.XLOOKUP(
      payments_raw[[#This Row],[subscription_id]],
      subscriptions[subscription_id],
      subscriptions[subscription_id]
    )
  ),
  0,
  1
)</f>
        <v>1</v>
      </c>
      <c r="F3309" s="1">
        <f>_xlfn.XLOOKUP(payments_raw[[#This Row],[subscription_id]], subscriptions[subscription_id], subscriptions[start_date])</f>
        <v>45347</v>
      </c>
      <c r="G330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09" s="2">
        <f>IF(payments_raw[[#This Row],[payment_date]] &lt; payments_raw[[#This Row],[sub_start_date]], 1, 0)</f>
        <v>0</v>
      </c>
      <c r="I3309" s="2">
        <f>IF(AND(payments_raw[[#This Row],[sub_end_date]]&lt;&gt;"", payments_raw[[#This Row],[payment_date]] &gt; payments_raw[[#This Row],[sub_end_date]]), 1, 0)</f>
        <v>0</v>
      </c>
      <c r="J3309" s="2">
        <f>IF(payments_raw[[#This Row],[amount]] &lt;= 0, 1, 0)</f>
        <v>0</v>
      </c>
      <c r="K33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0" spans="1:11" x14ac:dyDescent="0.3">
      <c r="A3310">
        <v>25768498</v>
      </c>
      <c r="B3310">
        <v>1527651</v>
      </c>
      <c r="C3310" s="1">
        <v>44955</v>
      </c>
      <c r="D3310">
        <v>299</v>
      </c>
      <c r="E3310">
        <f>IF(
  ISNA(
    _xlfn.XLOOKUP(
      payments_raw[[#This Row],[subscription_id]],
      subscriptions[subscription_id],
      subscriptions[subscription_id]
    )
  ),
  0,
  1
)</f>
        <v>1</v>
      </c>
      <c r="F3310" s="1">
        <f>_xlfn.XLOOKUP(payments_raw[[#This Row],[subscription_id]], subscriptions[subscription_id], subscriptions[start_date])</f>
        <v>44802</v>
      </c>
      <c r="G3310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45009</v>
      </c>
      <c r="H3310" s="2">
        <f>IF(payments_raw[[#This Row],[payment_date]] &lt; payments_raw[[#This Row],[sub_start_date]], 1, 0)</f>
        <v>0</v>
      </c>
      <c r="I3310" s="2">
        <f>IF(AND(payments_raw[[#This Row],[sub_end_date]]&lt;&gt;"", payments_raw[[#This Row],[payment_date]] &gt; payments_raw[[#This Row],[sub_end_date]]), 1, 0)</f>
        <v>0</v>
      </c>
      <c r="J3310" s="2">
        <f>IF(payments_raw[[#This Row],[amount]] &lt;= 0, 1, 0)</f>
        <v>0</v>
      </c>
      <c r="K33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1" spans="1:11" x14ac:dyDescent="0.3">
      <c r="A3311">
        <v>22436134</v>
      </c>
      <c r="B3311">
        <v>3705563</v>
      </c>
      <c r="C3311" s="1">
        <v>45247</v>
      </c>
      <c r="D3311">
        <v>190</v>
      </c>
      <c r="E3311">
        <f>IF(
  ISNA(
    _xlfn.XLOOKUP(
      payments_raw[[#This Row],[subscription_id]],
      subscriptions[subscription_id],
      subscriptions[subscription_id]
    )
  ),
  0,
  1
)</f>
        <v>1</v>
      </c>
      <c r="F3311" s="1">
        <f>_xlfn.XLOOKUP(payments_raw[[#This Row],[subscription_id]], subscriptions[subscription_id], subscriptions[start_date])</f>
        <v>44694</v>
      </c>
      <c r="G33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1" s="2">
        <f>IF(payments_raw[[#This Row],[payment_date]] &lt; payments_raw[[#This Row],[sub_start_date]], 1, 0)</f>
        <v>0</v>
      </c>
      <c r="I3311" s="2">
        <f>IF(AND(payments_raw[[#This Row],[sub_end_date]]&lt;&gt;"", payments_raw[[#This Row],[payment_date]] &gt; payments_raw[[#This Row],[sub_end_date]]), 1, 0)</f>
        <v>0</v>
      </c>
      <c r="J3311" s="2">
        <f>IF(payments_raw[[#This Row],[amount]] &lt;= 0, 1, 0)</f>
        <v>0</v>
      </c>
      <c r="K33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2" spans="1:11" x14ac:dyDescent="0.3">
      <c r="A3312">
        <v>94449992</v>
      </c>
      <c r="B3312">
        <v>7848595</v>
      </c>
      <c r="C3312" s="1">
        <v>45401</v>
      </c>
      <c r="D3312">
        <v>149</v>
      </c>
      <c r="E3312">
        <f>IF(
  ISNA(
    _xlfn.XLOOKUP(
      payments_raw[[#This Row],[subscription_id]],
      subscriptions[subscription_id],
      subscriptions[subscription_id]
    )
  ),
  0,
  1
)</f>
        <v>1</v>
      </c>
      <c r="F3312" s="1">
        <f>_xlfn.XLOOKUP(payments_raw[[#This Row],[subscription_id]], subscriptions[subscription_id], subscriptions[start_date])</f>
        <v>45329</v>
      </c>
      <c r="G33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3312" s="2">
        <f>IF(payments_raw[[#This Row],[payment_date]] &lt; payments_raw[[#This Row],[sub_start_date]], 1, 0)</f>
        <v>0</v>
      </c>
      <c r="I3312" s="2">
        <f>IF(AND(payments_raw[[#This Row],[sub_end_date]]&lt;&gt;"", payments_raw[[#This Row],[payment_date]] &gt; payments_raw[[#This Row],[sub_end_date]]), 1, 0)</f>
        <v>0</v>
      </c>
      <c r="J3312" s="2">
        <f>IF(payments_raw[[#This Row],[amount]] &lt;= 0, 1, 0)</f>
        <v>0</v>
      </c>
      <c r="K33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3" spans="1:11" x14ac:dyDescent="0.3">
      <c r="A3313">
        <v>20584513</v>
      </c>
      <c r="B3313">
        <v>7426442</v>
      </c>
      <c r="C3313" s="1">
        <v>45464</v>
      </c>
      <c r="D3313">
        <v>2990</v>
      </c>
      <c r="E3313">
        <f>IF(
  ISNA(
    _xlfn.XLOOKUP(
      payments_raw[[#This Row],[subscription_id]],
      subscriptions[subscription_id],
      subscriptions[subscription_id]
    )
  ),
  0,
  1
)</f>
        <v>1</v>
      </c>
      <c r="F3313" s="1">
        <f>_xlfn.XLOOKUP(payments_raw[[#This Row],[subscription_id]], subscriptions[subscription_id], subscriptions[start_date])</f>
        <v>45441</v>
      </c>
      <c r="G33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3" s="2">
        <f>IF(payments_raw[[#This Row],[payment_date]] &lt; payments_raw[[#This Row],[sub_start_date]], 1, 0)</f>
        <v>0</v>
      </c>
      <c r="I3313" s="2">
        <f>IF(AND(payments_raw[[#This Row],[sub_end_date]]&lt;&gt;"", payments_raw[[#This Row],[payment_date]] &gt; payments_raw[[#This Row],[sub_end_date]]), 1, 0)</f>
        <v>0</v>
      </c>
      <c r="J3313" s="2">
        <f>IF(payments_raw[[#This Row],[amount]] &lt;= 0, 1, 0)</f>
        <v>0</v>
      </c>
      <c r="K33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4" spans="1:11" x14ac:dyDescent="0.3">
      <c r="A3314">
        <v>29496391</v>
      </c>
      <c r="B3314">
        <v>2155782</v>
      </c>
      <c r="C3314" s="1">
        <v>45323</v>
      </c>
      <c r="D3314">
        <v>790</v>
      </c>
      <c r="E3314">
        <f>IF(
  ISNA(
    _xlfn.XLOOKUP(
      payments_raw[[#This Row],[subscription_id]],
      subscriptions[subscription_id],
      subscriptions[subscription_id]
    )
  ),
  0,
  1
)</f>
        <v>1</v>
      </c>
      <c r="F3314" s="1">
        <f>_xlfn.XLOOKUP(payments_raw[[#This Row],[subscription_id]], subscriptions[subscription_id], subscriptions[start_date])</f>
        <v>44924</v>
      </c>
      <c r="G33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4" s="2">
        <f>IF(payments_raw[[#This Row],[payment_date]] &lt; payments_raw[[#This Row],[sub_start_date]], 1, 0)</f>
        <v>0</v>
      </c>
      <c r="I3314" s="2">
        <f>IF(AND(payments_raw[[#This Row],[sub_end_date]]&lt;&gt;"", payments_raw[[#This Row],[payment_date]] &gt; payments_raw[[#This Row],[sub_end_date]]), 1, 0)</f>
        <v>0</v>
      </c>
      <c r="J3314" s="2">
        <f>IF(payments_raw[[#This Row],[amount]] &lt;= 0, 1, 0)</f>
        <v>0</v>
      </c>
      <c r="K33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5" spans="1:11" x14ac:dyDescent="0.3">
      <c r="A3315">
        <v>22918256</v>
      </c>
      <c r="B3315">
        <v>8379665</v>
      </c>
      <c r="C3315" s="1">
        <v>45336</v>
      </c>
      <c r="D3315">
        <v>299</v>
      </c>
      <c r="E3315">
        <f>IF(
  ISNA(
    _xlfn.XLOOKUP(
      payments_raw[[#This Row],[subscription_id]],
      subscriptions[subscription_id],
      subscriptions[subscription_id]
    )
  ),
  0,
  1
)</f>
        <v>1</v>
      </c>
      <c r="F3315" s="1">
        <f>_xlfn.XLOOKUP(payments_raw[[#This Row],[subscription_id]], subscriptions[subscription_id], subscriptions[start_date])</f>
        <v>45165</v>
      </c>
      <c r="G331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5" s="2">
        <f>IF(payments_raw[[#This Row],[payment_date]] &lt; payments_raw[[#This Row],[sub_start_date]], 1, 0)</f>
        <v>0</v>
      </c>
      <c r="I3315" s="2">
        <f>IF(AND(payments_raw[[#This Row],[sub_end_date]]&lt;&gt;"", payments_raw[[#This Row],[payment_date]] &gt; payments_raw[[#This Row],[sub_end_date]]), 1, 0)</f>
        <v>0</v>
      </c>
      <c r="J3315" s="2">
        <f>IF(payments_raw[[#This Row],[amount]] &lt;= 0, 1, 0)</f>
        <v>0</v>
      </c>
      <c r="K33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6" spans="1:11" x14ac:dyDescent="0.3">
      <c r="A3316">
        <v>84295529</v>
      </c>
      <c r="B3316">
        <v>2422629</v>
      </c>
      <c r="C3316" s="1">
        <v>45257</v>
      </c>
      <c r="D3316">
        <v>790</v>
      </c>
      <c r="E3316">
        <f>IF(
  ISNA(
    _xlfn.XLOOKUP(
      payments_raw[[#This Row],[subscription_id]],
      subscriptions[subscription_id],
      subscriptions[subscription_id]
    )
  ),
  0,
  1
)</f>
        <v>1</v>
      </c>
      <c r="F3316" s="1">
        <f>_xlfn.XLOOKUP(payments_raw[[#This Row],[subscription_id]], subscriptions[subscription_id], subscriptions[start_date])</f>
        <v>45214</v>
      </c>
      <c r="G331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45302</v>
      </c>
      <c r="H3316" s="2">
        <f>IF(payments_raw[[#This Row],[payment_date]] &lt; payments_raw[[#This Row],[sub_start_date]], 1, 0)</f>
        <v>0</v>
      </c>
      <c r="I3316" s="2">
        <f>IF(AND(payments_raw[[#This Row],[sub_end_date]]&lt;&gt;"", payments_raw[[#This Row],[payment_date]] &gt; payments_raw[[#This Row],[sub_end_date]]), 1, 0)</f>
        <v>0</v>
      </c>
      <c r="J3316" s="2">
        <f>IF(payments_raw[[#This Row],[amount]] &lt;= 0, 1, 0)</f>
        <v>0</v>
      </c>
      <c r="K33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7" spans="1:11" x14ac:dyDescent="0.3">
      <c r="A3317">
        <v>56024631</v>
      </c>
      <c r="B3317">
        <v>9442389</v>
      </c>
      <c r="C3317" s="1">
        <v>45159</v>
      </c>
      <c r="D3317">
        <v>39</v>
      </c>
      <c r="E3317">
        <f>IF(
  ISNA(
    _xlfn.XLOOKUP(
      payments_raw[[#This Row],[subscription_id]],
      subscriptions[subscription_id],
      subscriptions[subscription_id]
    )
  ),
  0,
  1
)</f>
        <v>1</v>
      </c>
      <c r="F3317" s="1">
        <f>_xlfn.XLOOKUP(payments_raw[[#This Row],[subscription_id]], subscriptions[subscription_id], subscriptions[start_date])</f>
        <v>44993</v>
      </c>
      <c r="G331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7" s="2">
        <f>IF(payments_raw[[#This Row],[payment_date]] &lt; payments_raw[[#This Row],[sub_start_date]], 1, 0)</f>
        <v>0</v>
      </c>
      <c r="I3317" s="2">
        <f>IF(AND(payments_raw[[#This Row],[sub_end_date]]&lt;&gt;"", payments_raw[[#This Row],[payment_date]] &gt; payments_raw[[#This Row],[sub_end_date]]), 1, 0)</f>
        <v>0</v>
      </c>
      <c r="J3317" s="2">
        <f>IF(payments_raw[[#This Row],[amount]] &lt;= 0, 1, 0)</f>
        <v>0</v>
      </c>
      <c r="K33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8" spans="1:11" x14ac:dyDescent="0.3">
      <c r="A3318">
        <v>42342288</v>
      </c>
      <c r="B3318">
        <v>6787425</v>
      </c>
      <c r="C3318" s="1">
        <v>44637</v>
      </c>
      <c r="D3318">
        <v>39</v>
      </c>
      <c r="E3318">
        <f>IF(
  ISNA(
    _xlfn.XLOOKUP(
      payments_raw[[#This Row],[subscription_id]],
      subscriptions[subscription_id],
      subscriptions[subscription_id]
    )
  ),
  0,
  1
)</f>
        <v>1</v>
      </c>
      <c r="F3318" s="1">
        <f>_xlfn.XLOOKUP(payments_raw[[#This Row],[subscription_id]], subscriptions[subscription_id], subscriptions[start_date])</f>
        <v>44590</v>
      </c>
      <c r="G3318" s="1">
        <f>IF(_xlfn.XLOOKUP(payments_raw[[#This Row],[subscription_id]], subscriptions[subscription_id], subscriptions[end_date])=0,"",_xlfn.XLOOKUP(payments_raw[[#This Row],[subscription_id]], subscriptions[subscription_id], subscriptions[end_date]))</f>
        <v>44760</v>
      </c>
      <c r="H3318" s="2">
        <f>IF(payments_raw[[#This Row],[payment_date]] &lt; payments_raw[[#This Row],[sub_start_date]], 1, 0)</f>
        <v>0</v>
      </c>
      <c r="I3318" s="2">
        <f>IF(AND(payments_raw[[#This Row],[sub_end_date]]&lt;&gt;"", payments_raw[[#This Row],[payment_date]] &gt; payments_raw[[#This Row],[sub_end_date]]), 1, 0)</f>
        <v>0</v>
      </c>
      <c r="J3318" s="2">
        <f>IF(payments_raw[[#This Row],[amount]] &lt;= 0, 1, 0)</f>
        <v>0</v>
      </c>
      <c r="K33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19" spans="1:11" x14ac:dyDescent="0.3">
      <c r="A3319">
        <v>24957006</v>
      </c>
      <c r="B3319">
        <v>9445000</v>
      </c>
      <c r="C3319" s="1">
        <v>45334</v>
      </c>
      <c r="D3319">
        <v>19</v>
      </c>
      <c r="E3319">
        <f>IF(
  ISNA(
    _xlfn.XLOOKUP(
      payments_raw[[#This Row],[subscription_id]],
      subscriptions[subscription_id],
      subscriptions[subscription_id]
    )
  ),
  0,
  1
)</f>
        <v>1</v>
      </c>
      <c r="F3319" s="1">
        <f>_xlfn.XLOOKUP(payments_raw[[#This Row],[subscription_id]], subscriptions[subscription_id], subscriptions[start_date])</f>
        <v>44726</v>
      </c>
      <c r="G331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19" s="2">
        <f>IF(payments_raw[[#This Row],[payment_date]] &lt; payments_raw[[#This Row],[sub_start_date]], 1, 0)</f>
        <v>0</v>
      </c>
      <c r="I3319" s="2">
        <f>IF(AND(payments_raw[[#This Row],[sub_end_date]]&lt;&gt;"", payments_raw[[#This Row],[payment_date]] &gt; payments_raw[[#This Row],[sub_end_date]]), 1, 0)</f>
        <v>0</v>
      </c>
      <c r="J3319" s="2">
        <f>IF(payments_raw[[#This Row],[amount]] &lt;= 0, 1, 0)</f>
        <v>0</v>
      </c>
      <c r="K33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0" spans="1:11" x14ac:dyDescent="0.3">
      <c r="A3320">
        <v>14341749</v>
      </c>
      <c r="B3320">
        <v>7012792</v>
      </c>
      <c r="C3320" s="1">
        <v>45361</v>
      </c>
      <c r="D3320">
        <v>299</v>
      </c>
      <c r="E3320">
        <f>IF(
  ISNA(
    _xlfn.XLOOKUP(
      payments_raw[[#This Row],[subscription_id]],
      subscriptions[subscription_id],
      subscriptions[subscription_id]
    )
  ),
  0,
  1
)</f>
        <v>1</v>
      </c>
      <c r="F3320" s="1">
        <f>_xlfn.XLOOKUP(payments_raw[[#This Row],[subscription_id]], subscriptions[subscription_id], subscriptions[start_date])</f>
        <v>45210</v>
      </c>
      <c r="G332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0" s="2">
        <f>IF(payments_raw[[#This Row],[payment_date]] &lt; payments_raw[[#This Row],[sub_start_date]], 1, 0)</f>
        <v>0</v>
      </c>
      <c r="I3320" s="2">
        <f>IF(AND(payments_raw[[#This Row],[sub_end_date]]&lt;&gt;"", payments_raw[[#This Row],[payment_date]] &gt; payments_raw[[#This Row],[sub_end_date]]), 1, 0)</f>
        <v>0</v>
      </c>
      <c r="J3320" s="2">
        <f>IF(payments_raw[[#This Row],[amount]] &lt;= 0, 1, 0)</f>
        <v>0</v>
      </c>
      <c r="K33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1" spans="1:11" x14ac:dyDescent="0.3">
      <c r="A3321">
        <v>31331521</v>
      </c>
      <c r="B3321">
        <v>4157447</v>
      </c>
      <c r="C3321" s="1">
        <v>44982</v>
      </c>
      <c r="D3321">
        <v>95</v>
      </c>
      <c r="E3321">
        <f>IF(
  ISNA(
    _xlfn.XLOOKUP(
      payments_raw[[#This Row],[subscription_id]],
      subscriptions[subscription_id],
      subscriptions[subscription_id]
    )
  ),
  0,
  1
)</f>
        <v>1</v>
      </c>
      <c r="F3321" s="1">
        <f>_xlfn.XLOOKUP(payments_raw[[#This Row],[subscription_id]], subscriptions[subscription_id], subscriptions[start_date])</f>
        <v>44945</v>
      </c>
      <c r="G332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45091</v>
      </c>
      <c r="H3321" s="2">
        <f>IF(payments_raw[[#This Row],[payment_date]] &lt; payments_raw[[#This Row],[sub_start_date]], 1, 0)</f>
        <v>0</v>
      </c>
      <c r="I3321" s="2">
        <f>IF(AND(payments_raw[[#This Row],[sub_end_date]]&lt;&gt;"", payments_raw[[#This Row],[payment_date]] &gt; payments_raw[[#This Row],[sub_end_date]]), 1, 0)</f>
        <v>0</v>
      </c>
      <c r="J3321" s="2">
        <f>IF(payments_raw[[#This Row],[amount]] &lt;= 0, 1, 0)</f>
        <v>0</v>
      </c>
      <c r="K33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2" spans="1:11" x14ac:dyDescent="0.3">
      <c r="A3322">
        <v>90613810</v>
      </c>
      <c r="B3322">
        <v>4347443</v>
      </c>
      <c r="C3322" s="1">
        <v>45641</v>
      </c>
      <c r="D3322">
        <v>190</v>
      </c>
      <c r="E3322">
        <f>IF(
  ISNA(
    _xlfn.XLOOKUP(
      payments_raw[[#This Row],[subscription_id]],
      subscriptions[subscription_id],
      subscriptions[subscription_id]
    )
  ),
  0,
  1
)</f>
        <v>1</v>
      </c>
      <c r="F3322" s="1">
        <f>_xlfn.XLOOKUP(payments_raw[[#This Row],[subscription_id]], subscriptions[subscription_id], subscriptions[start_date])</f>
        <v>45178</v>
      </c>
      <c r="G33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2" s="2">
        <f>IF(payments_raw[[#This Row],[payment_date]] &lt; payments_raw[[#This Row],[sub_start_date]], 1, 0)</f>
        <v>0</v>
      </c>
      <c r="I3322" s="2">
        <f>IF(AND(payments_raw[[#This Row],[sub_end_date]]&lt;&gt;"", payments_raw[[#This Row],[payment_date]] &gt; payments_raw[[#This Row],[sub_end_date]]), 1, 0)</f>
        <v>0</v>
      </c>
      <c r="J3322" s="2">
        <f>IF(payments_raw[[#This Row],[amount]] &lt;= 0, 1, 0)</f>
        <v>0</v>
      </c>
      <c r="K33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3" spans="1:11" x14ac:dyDescent="0.3">
      <c r="A3323">
        <v>10940923</v>
      </c>
      <c r="B3323">
        <v>3724178</v>
      </c>
      <c r="C3323" s="1">
        <v>45597</v>
      </c>
      <c r="D3323">
        <v>149</v>
      </c>
      <c r="E3323">
        <f>IF(
  ISNA(
    _xlfn.XLOOKUP(
      payments_raw[[#This Row],[subscription_id]],
      subscriptions[subscription_id],
      subscriptions[subscription_id]
    )
  ),
  0,
  1
)</f>
        <v>1</v>
      </c>
      <c r="F3323" s="1">
        <f>_xlfn.XLOOKUP(payments_raw[[#This Row],[subscription_id]], subscriptions[subscription_id], subscriptions[start_date])</f>
        <v>44623</v>
      </c>
      <c r="G332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3" s="2">
        <f>IF(payments_raw[[#This Row],[payment_date]] &lt; payments_raw[[#This Row],[sub_start_date]], 1, 0)</f>
        <v>0</v>
      </c>
      <c r="I3323" s="2">
        <f>IF(AND(payments_raw[[#This Row],[sub_end_date]]&lt;&gt;"", payments_raw[[#This Row],[payment_date]] &gt; payments_raw[[#This Row],[sub_end_date]]), 1, 0)</f>
        <v>0</v>
      </c>
      <c r="J3323" s="2">
        <f>IF(payments_raw[[#This Row],[amount]] &lt;= 0, 1, 0)</f>
        <v>0</v>
      </c>
      <c r="K33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4" spans="1:11" x14ac:dyDescent="0.3">
      <c r="A3324">
        <v>46592694</v>
      </c>
      <c r="B3324">
        <v>6539453</v>
      </c>
      <c r="C3324" s="1">
        <v>45211</v>
      </c>
      <c r="D3324">
        <v>299</v>
      </c>
      <c r="E3324">
        <f>IF(
  ISNA(
    _xlfn.XLOOKUP(
      payments_raw[[#This Row],[subscription_id]],
      subscriptions[subscription_id],
      subscriptions[subscription_id]
    )
  ),
  0,
  1
)</f>
        <v>1</v>
      </c>
      <c r="F3324" s="1">
        <f>_xlfn.XLOOKUP(payments_raw[[#This Row],[subscription_id]], subscriptions[subscription_id], subscriptions[start_date])</f>
        <v>44839</v>
      </c>
      <c r="G33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4" s="2">
        <f>IF(payments_raw[[#This Row],[payment_date]] &lt; payments_raw[[#This Row],[sub_start_date]], 1, 0)</f>
        <v>0</v>
      </c>
      <c r="I3324" s="2">
        <f>IF(AND(payments_raw[[#This Row],[sub_end_date]]&lt;&gt;"", payments_raw[[#This Row],[payment_date]] &gt; payments_raw[[#This Row],[sub_end_date]]), 1, 0)</f>
        <v>0</v>
      </c>
      <c r="J3324" s="2">
        <f>IF(payments_raw[[#This Row],[amount]] &lt;= 0, 1, 0)</f>
        <v>0</v>
      </c>
      <c r="K33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5" spans="1:11" x14ac:dyDescent="0.3">
      <c r="A3325">
        <v>49764133</v>
      </c>
      <c r="B3325">
        <v>2517205</v>
      </c>
      <c r="C3325" s="1">
        <v>45638</v>
      </c>
      <c r="D3325">
        <v>299</v>
      </c>
      <c r="E3325">
        <f>IF(
  ISNA(
    _xlfn.XLOOKUP(
      payments_raw[[#This Row],[subscription_id]],
      subscriptions[subscription_id],
      subscriptions[subscription_id]
    )
  ),
  0,
  1
)</f>
        <v>1</v>
      </c>
      <c r="F3325" s="1">
        <f>_xlfn.XLOOKUP(payments_raw[[#This Row],[subscription_id]], subscriptions[subscription_id], subscriptions[start_date])</f>
        <v>45393</v>
      </c>
      <c r="G332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5" s="2">
        <f>IF(payments_raw[[#This Row],[payment_date]] &lt; payments_raw[[#This Row],[sub_start_date]], 1, 0)</f>
        <v>0</v>
      </c>
      <c r="I3325" s="2">
        <f>IF(AND(payments_raw[[#This Row],[sub_end_date]]&lt;&gt;"", payments_raw[[#This Row],[payment_date]] &gt; payments_raw[[#This Row],[sub_end_date]]), 1, 0)</f>
        <v>0</v>
      </c>
      <c r="J3325" s="2">
        <f>IF(payments_raw[[#This Row],[amount]] &lt;= 0, 1, 0)</f>
        <v>0</v>
      </c>
      <c r="K33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6" spans="1:11" x14ac:dyDescent="0.3">
      <c r="A3326">
        <v>17610836</v>
      </c>
      <c r="B3326">
        <v>9694382</v>
      </c>
      <c r="C3326" s="1">
        <v>44916</v>
      </c>
      <c r="D3326">
        <v>79</v>
      </c>
      <c r="E3326">
        <f>IF(
  ISNA(
    _xlfn.XLOOKUP(
      payments_raw[[#This Row],[subscription_id]],
      subscriptions[subscription_id],
      subscriptions[subscription_id]
    )
  ),
  0,
  1
)</f>
        <v>1</v>
      </c>
      <c r="F3326" s="1">
        <f>_xlfn.XLOOKUP(payments_raw[[#This Row],[subscription_id]], subscriptions[subscription_id], subscriptions[start_date])</f>
        <v>44635</v>
      </c>
      <c r="G33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6" s="2">
        <f>IF(payments_raw[[#This Row],[payment_date]] &lt; payments_raw[[#This Row],[sub_start_date]], 1, 0)</f>
        <v>0</v>
      </c>
      <c r="I3326" s="2">
        <f>IF(AND(payments_raw[[#This Row],[sub_end_date]]&lt;&gt;"", payments_raw[[#This Row],[payment_date]] &gt; payments_raw[[#This Row],[sub_end_date]]), 1, 0)</f>
        <v>0</v>
      </c>
      <c r="J3326" s="2">
        <f>IF(payments_raw[[#This Row],[amount]] &lt;= 0, 1, 0)</f>
        <v>0</v>
      </c>
      <c r="K33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7" spans="1:11" x14ac:dyDescent="0.3">
      <c r="A3327">
        <v>36398791</v>
      </c>
      <c r="B3327">
        <v>3251636</v>
      </c>
      <c r="C3327" s="1">
        <v>45085</v>
      </c>
      <c r="D3327">
        <v>149</v>
      </c>
      <c r="E3327">
        <f>IF(
  ISNA(
    _xlfn.XLOOKUP(
      payments_raw[[#This Row],[subscription_id]],
      subscriptions[subscription_id],
      subscriptions[subscription_id]
    )
  ),
  0,
  1
)</f>
        <v>1</v>
      </c>
      <c r="F3327" s="1">
        <f>_xlfn.XLOOKUP(payments_raw[[#This Row],[subscription_id]], subscriptions[subscription_id], subscriptions[start_date])</f>
        <v>45004</v>
      </c>
      <c r="G33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7" s="2">
        <f>IF(payments_raw[[#This Row],[payment_date]] &lt; payments_raw[[#This Row],[sub_start_date]], 1, 0)</f>
        <v>0</v>
      </c>
      <c r="I3327" s="2">
        <f>IF(AND(payments_raw[[#This Row],[sub_end_date]]&lt;&gt;"", payments_raw[[#This Row],[payment_date]] &gt; payments_raw[[#This Row],[sub_end_date]]), 1, 0)</f>
        <v>0</v>
      </c>
      <c r="J3327" s="2">
        <f>IF(payments_raw[[#This Row],[amount]] &lt;= 0, 1, 0)</f>
        <v>0</v>
      </c>
      <c r="K33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8" spans="1:11" x14ac:dyDescent="0.3">
      <c r="A3328">
        <v>18525970</v>
      </c>
      <c r="B3328">
        <v>1443289</v>
      </c>
      <c r="C3328" s="1">
        <v>45498</v>
      </c>
      <c r="D3328">
        <v>149</v>
      </c>
      <c r="E3328">
        <f>IF(
  ISNA(
    _xlfn.XLOOKUP(
      payments_raw[[#This Row],[subscription_id]],
      subscriptions[subscription_id],
      subscriptions[subscription_id]
    )
  ),
  0,
  1
)</f>
        <v>1</v>
      </c>
      <c r="F3328" s="1">
        <f>_xlfn.XLOOKUP(payments_raw[[#This Row],[subscription_id]], subscriptions[subscription_id], subscriptions[start_date])</f>
        <v>45424</v>
      </c>
      <c r="G33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28" s="2">
        <f>IF(payments_raw[[#This Row],[payment_date]] &lt; payments_raw[[#This Row],[sub_start_date]], 1, 0)</f>
        <v>0</v>
      </c>
      <c r="I3328" s="2">
        <f>IF(AND(payments_raw[[#This Row],[sub_end_date]]&lt;&gt;"", payments_raw[[#This Row],[payment_date]] &gt; payments_raw[[#This Row],[sub_end_date]]), 1, 0)</f>
        <v>0</v>
      </c>
      <c r="J3328" s="2">
        <f>IF(payments_raw[[#This Row],[amount]] &lt;= 0, 1, 0)</f>
        <v>0</v>
      </c>
      <c r="K33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29" spans="1:11" x14ac:dyDescent="0.3">
      <c r="A3329">
        <v>19855438</v>
      </c>
      <c r="B3329">
        <v>1261602</v>
      </c>
      <c r="C3329" s="1">
        <v>44740</v>
      </c>
      <c r="D3329">
        <v>39</v>
      </c>
      <c r="E3329">
        <f>IF(
  ISNA(
    _xlfn.XLOOKUP(
      payments_raw[[#This Row],[subscription_id]],
      subscriptions[subscription_id],
      subscriptions[subscription_id]
    )
  ),
  0,
  1
)</f>
        <v>1</v>
      </c>
      <c r="F3329" s="1">
        <f>_xlfn.XLOOKUP(payments_raw[[#This Row],[subscription_id]], subscriptions[subscription_id], subscriptions[start_date])</f>
        <v>44654</v>
      </c>
      <c r="G3329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44789</v>
      </c>
      <c r="H3329" s="2">
        <f>IF(payments_raw[[#This Row],[payment_date]] &lt; payments_raw[[#This Row],[sub_start_date]], 1, 0)</f>
        <v>0</v>
      </c>
      <c r="I3329" s="2">
        <f>IF(AND(payments_raw[[#This Row],[sub_end_date]]&lt;&gt;"", payments_raw[[#This Row],[payment_date]] &gt; payments_raw[[#This Row],[sub_end_date]]), 1, 0)</f>
        <v>0</v>
      </c>
      <c r="J3329" s="2">
        <f>IF(payments_raw[[#This Row],[amount]] &lt;= 0, 1, 0)</f>
        <v>0</v>
      </c>
      <c r="K33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0" spans="1:11" x14ac:dyDescent="0.3">
      <c r="A3330">
        <v>87387135</v>
      </c>
      <c r="B3330">
        <v>6744099</v>
      </c>
      <c r="C3330" s="1">
        <v>45378</v>
      </c>
      <c r="D3330">
        <v>2990</v>
      </c>
      <c r="E3330">
        <f>IF(
  ISNA(
    _xlfn.XLOOKUP(
      payments_raw[[#This Row],[subscription_id]],
      subscriptions[subscription_id],
      subscriptions[subscription_id]
    )
  ),
  0,
  1
)</f>
        <v>1</v>
      </c>
      <c r="F3330" s="1">
        <f>_xlfn.XLOOKUP(payments_raw[[#This Row],[subscription_id]], subscriptions[subscription_id], subscriptions[start_date])</f>
        <v>45100</v>
      </c>
      <c r="G33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30" s="2">
        <f>IF(payments_raw[[#This Row],[payment_date]] &lt; payments_raw[[#This Row],[sub_start_date]], 1, 0)</f>
        <v>0</v>
      </c>
      <c r="I3330" s="2">
        <f>IF(AND(payments_raw[[#This Row],[sub_end_date]]&lt;&gt;"", payments_raw[[#This Row],[payment_date]] &gt; payments_raw[[#This Row],[sub_end_date]]), 1, 0)</f>
        <v>0</v>
      </c>
      <c r="J3330" s="2">
        <f>IF(payments_raw[[#This Row],[amount]] &lt;= 0, 1, 0)</f>
        <v>0</v>
      </c>
      <c r="K33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1" spans="1:11" x14ac:dyDescent="0.3">
      <c r="A3331">
        <v>75218753</v>
      </c>
      <c r="B3331">
        <v>6531182</v>
      </c>
      <c r="C3331" s="1">
        <v>44850</v>
      </c>
      <c r="D3331">
        <v>790</v>
      </c>
      <c r="E3331">
        <f>IF(
  ISNA(
    _xlfn.XLOOKUP(
      payments_raw[[#This Row],[subscription_id]],
      subscriptions[subscription_id],
      subscriptions[subscription_id]
    )
  ),
  0,
  1
)</f>
        <v>1</v>
      </c>
      <c r="F3331" s="1">
        <f>_xlfn.XLOOKUP(payments_raw[[#This Row],[subscription_id]], subscriptions[subscription_id], subscriptions[start_date])</f>
        <v>44826</v>
      </c>
      <c r="G3331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44866</v>
      </c>
      <c r="H3331" s="2">
        <f>IF(payments_raw[[#This Row],[payment_date]] &lt; payments_raw[[#This Row],[sub_start_date]], 1, 0)</f>
        <v>0</v>
      </c>
      <c r="I3331" s="2">
        <f>IF(AND(payments_raw[[#This Row],[sub_end_date]]&lt;&gt;"", payments_raw[[#This Row],[payment_date]] &gt; payments_raw[[#This Row],[sub_end_date]]), 1, 0)</f>
        <v>0</v>
      </c>
      <c r="J3331" s="2">
        <f>IF(payments_raw[[#This Row],[amount]] &lt;= 0, 1, 0)</f>
        <v>0</v>
      </c>
      <c r="K33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2" spans="1:11" x14ac:dyDescent="0.3">
      <c r="A3332">
        <v>27753048</v>
      </c>
      <c r="B3332">
        <v>1805615</v>
      </c>
      <c r="C3332" s="1">
        <v>44993</v>
      </c>
      <c r="D3332">
        <v>19</v>
      </c>
      <c r="E3332">
        <f>IF(
  ISNA(
    _xlfn.XLOOKUP(
      payments_raw[[#This Row],[subscription_id]],
      subscriptions[subscription_id],
      subscriptions[subscription_id]
    )
  ),
  0,
  1
)</f>
        <v>1</v>
      </c>
      <c r="F3332" s="1">
        <f>_xlfn.XLOOKUP(payments_raw[[#This Row],[subscription_id]], subscriptions[subscription_id], subscriptions[start_date])</f>
        <v>44967</v>
      </c>
      <c r="G3332" s="1">
        <f>IF(_xlfn.XLOOKUP(payments_raw[[#This Row],[subscription_id]], subscriptions[subscription_id], subscriptions[end_date])=0,"",_xlfn.XLOOKUP(payments_raw[[#This Row],[subscription_id]], subscriptions[subscription_id], subscriptions[end_date]))</f>
        <v>45004</v>
      </c>
      <c r="H3332" s="2">
        <f>IF(payments_raw[[#This Row],[payment_date]] &lt; payments_raw[[#This Row],[sub_start_date]], 1, 0)</f>
        <v>0</v>
      </c>
      <c r="I3332" s="2">
        <f>IF(AND(payments_raw[[#This Row],[sub_end_date]]&lt;&gt;"", payments_raw[[#This Row],[payment_date]] &gt; payments_raw[[#This Row],[sub_end_date]]), 1, 0)</f>
        <v>0</v>
      </c>
      <c r="J3332" s="2">
        <f>IF(payments_raw[[#This Row],[amount]] &lt;= 0, 1, 0)</f>
        <v>0</v>
      </c>
      <c r="K33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3" spans="1:11" x14ac:dyDescent="0.3">
      <c r="A3333">
        <v>53851194</v>
      </c>
      <c r="B3333">
        <v>2151576</v>
      </c>
      <c r="C3333" s="1">
        <v>45515</v>
      </c>
      <c r="D3333">
        <v>149</v>
      </c>
      <c r="E3333">
        <f>IF(
  ISNA(
    _xlfn.XLOOKUP(
      payments_raw[[#This Row],[subscription_id]],
      subscriptions[subscription_id],
      subscriptions[subscription_id]
    )
  ),
  0,
  1
)</f>
        <v>1</v>
      </c>
      <c r="F3333" s="1">
        <f>_xlfn.XLOOKUP(payments_raw[[#This Row],[subscription_id]], subscriptions[subscription_id], subscriptions[start_date])</f>
        <v>45131</v>
      </c>
      <c r="G333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33" s="2">
        <f>IF(payments_raw[[#This Row],[payment_date]] &lt; payments_raw[[#This Row],[sub_start_date]], 1, 0)</f>
        <v>0</v>
      </c>
      <c r="I3333" s="2">
        <f>IF(AND(payments_raw[[#This Row],[sub_end_date]]&lt;&gt;"", payments_raw[[#This Row],[payment_date]] &gt; payments_raw[[#This Row],[sub_end_date]]), 1, 0)</f>
        <v>0</v>
      </c>
      <c r="J3333" s="2">
        <f>IF(payments_raw[[#This Row],[amount]] &lt;= 0, 1, 0)</f>
        <v>0</v>
      </c>
      <c r="K33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4" spans="1:11" x14ac:dyDescent="0.3">
      <c r="A3334">
        <v>58761580</v>
      </c>
      <c r="B3334">
        <v>4349462</v>
      </c>
      <c r="C3334" s="1">
        <v>44807</v>
      </c>
      <c r="D3334">
        <v>19</v>
      </c>
      <c r="E3334">
        <f>IF(
  ISNA(
    _xlfn.XLOOKUP(
      payments_raw[[#This Row],[subscription_id]],
      subscriptions[subscription_id],
      subscriptions[subscription_id]
    )
  ),
  0,
  1
)</f>
        <v>1</v>
      </c>
      <c r="F3334" s="1">
        <f>_xlfn.XLOOKUP(payments_raw[[#This Row],[subscription_id]], subscriptions[subscription_id], subscriptions[start_date])</f>
        <v>44748</v>
      </c>
      <c r="G333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44972</v>
      </c>
      <c r="H3334" s="2">
        <f>IF(payments_raw[[#This Row],[payment_date]] &lt; payments_raw[[#This Row],[sub_start_date]], 1, 0)</f>
        <v>0</v>
      </c>
      <c r="I3334" s="2">
        <f>IF(AND(payments_raw[[#This Row],[sub_end_date]]&lt;&gt;"", payments_raw[[#This Row],[payment_date]] &gt; payments_raw[[#This Row],[sub_end_date]]), 1, 0)</f>
        <v>0</v>
      </c>
      <c r="J3334" s="2">
        <f>IF(payments_raw[[#This Row],[amount]] &lt;= 0, 1, 0)</f>
        <v>0</v>
      </c>
      <c r="K33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5" spans="1:11" x14ac:dyDescent="0.3">
      <c r="A3335">
        <v>28504315</v>
      </c>
      <c r="B3335">
        <v>5627541</v>
      </c>
      <c r="C3335" s="1">
        <v>45629</v>
      </c>
      <c r="D3335">
        <v>390</v>
      </c>
      <c r="E3335">
        <f>IF(
  ISNA(
    _xlfn.XLOOKUP(
      payments_raw[[#This Row],[subscription_id]],
      subscriptions[subscription_id],
      subscriptions[subscription_id]
    )
  ),
  0,
  1
)</f>
        <v>1</v>
      </c>
      <c r="F3335" s="1">
        <f>_xlfn.XLOOKUP(payments_raw[[#This Row],[subscription_id]], subscriptions[subscription_id], subscriptions[start_date])</f>
        <v>45438</v>
      </c>
      <c r="G333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35" s="2">
        <f>IF(payments_raw[[#This Row],[payment_date]] &lt; payments_raw[[#This Row],[sub_start_date]], 1, 0)</f>
        <v>0</v>
      </c>
      <c r="I3335" s="2">
        <f>IF(AND(payments_raw[[#This Row],[sub_end_date]]&lt;&gt;"", payments_raw[[#This Row],[payment_date]] &gt; payments_raw[[#This Row],[sub_end_date]]), 1, 0)</f>
        <v>0</v>
      </c>
      <c r="J3335" s="2">
        <f>IF(payments_raw[[#This Row],[amount]] &lt;= 0, 1, 0)</f>
        <v>0</v>
      </c>
      <c r="K33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6" spans="1:11" x14ac:dyDescent="0.3">
      <c r="A3336">
        <v>81755558</v>
      </c>
      <c r="B3336">
        <v>8358018</v>
      </c>
      <c r="C3336" s="1">
        <v>45538</v>
      </c>
      <c r="D3336">
        <v>292.5</v>
      </c>
      <c r="E3336">
        <f>IF(
  ISNA(
    _xlfn.XLOOKUP(
      payments_raw[[#This Row],[subscription_id]],
      subscriptions[subscription_id],
      subscriptions[subscription_id]
    )
  ),
  0,
  1
)</f>
        <v>1</v>
      </c>
      <c r="F3336" s="1">
        <f>_xlfn.XLOOKUP(payments_raw[[#This Row],[subscription_id]], subscriptions[subscription_id], subscriptions[start_date])</f>
        <v>45461</v>
      </c>
      <c r="G33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36" s="2">
        <f>IF(payments_raw[[#This Row],[payment_date]] &lt; payments_raw[[#This Row],[sub_start_date]], 1, 0)</f>
        <v>0</v>
      </c>
      <c r="I3336" s="2">
        <f>IF(AND(payments_raw[[#This Row],[sub_end_date]]&lt;&gt;"", payments_raw[[#This Row],[payment_date]] &gt; payments_raw[[#This Row],[sub_end_date]]), 1, 0)</f>
        <v>0</v>
      </c>
      <c r="J3336" s="2">
        <f>IF(payments_raw[[#This Row],[amount]] &lt;= 0, 1, 0)</f>
        <v>0</v>
      </c>
      <c r="K33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7" spans="1:11" x14ac:dyDescent="0.3">
      <c r="A3337">
        <v>75251533</v>
      </c>
      <c r="B3337">
        <v>4626151</v>
      </c>
      <c r="C3337" s="1">
        <v>45624</v>
      </c>
      <c r="D3337">
        <v>39</v>
      </c>
      <c r="E3337">
        <f>IF(
  ISNA(
    _xlfn.XLOOKUP(
      payments_raw[[#This Row],[subscription_id]],
      subscriptions[subscription_id],
      subscriptions[subscription_id]
    )
  ),
  0,
  1
)</f>
        <v>1</v>
      </c>
      <c r="F3337" s="1">
        <f>_xlfn.XLOOKUP(payments_raw[[#This Row],[subscription_id]], subscriptions[subscription_id], subscriptions[start_date])</f>
        <v>45520</v>
      </c>
      <c r="G3337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45646</v>
      </c>
      <c r="H3337" s="2">
        <f>IF(payments_raw[[#This Row],[payment_date]] &lt; payments_raw[[#This Row],[sub_start_date]], 1, 0)</f>
        <v>0</v>
      </c>
      <c r="I3337" s="2">
        <f>IF(AND(payments_raw[[#This Row],[sub_end_date]]&lt;&gt;"", payments_raw[[#This Row],[payment_date]] &gt; payments_raw[[#This Row],[sub_end_date]]), 1, 0)</f>
        <v>0</v>
      </c>
      <c r="J3337" s="2">
        <f>IF(payments_raw[[#This Row],[amount]] &lt;= 0, 1, 0)</f>
        <v>0</v>
      </c>
      <c r="K33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8" spans="1:11" x14ac:dyDescent="0.3">
      <c r="A3338">
        <v>70186498</v>
      </c>
      <c r="B3338">
        <v>6270157</v>
      </c>
      <c r="C3338" s="1">
        <v>45279</v>
      </c>
      <c r="D3338">
        <v>19</v>
      </c>
      <c r="E3338">
        <f>IF(
  ISNA(
    _xlfn.XLOOKUP(
      payments_raw[[#This Row],[subscription_id]],
      subscriptions[subscription_id],
      subscriptions[subscription_id]
    )
  ),
  0,
  1
)</f>
        <v>1</v>
      </c>
      <c r="F3338" s="1">
        <f>_xlfn.XLOOKUP(payments_raw[[#This Row],[subscription_id]], subscriptions[subscription_id], subscriptions[start_date])</f>
        <v>45278</v>
      </c>
      <c r="G33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45433</v>
      </c>
      <c r="H3338" s="2">
        <f>IF(payments_raw[[#This Row],[payment_date]] &lt; payments_raw[[#This Row],[sub_start_date]], 1, 0)</f>
        <v>0</v>
      </c>
      <c r="I3338" s="2">
        <f>IF(AND(payments_raw[[#This Row],[sub_end_date]]&lt;&gt;"", payments_raw[[#This Row],[payment_date]] &gt; payments_raw[[#This Row],[sub_end_date]]), 1, 0)</f>
        <v>0</v>
      </c>
      <c r="J3338" s="2">
        <f>IF(payments_raw[[#This Row],[amount]] &lt;= 0, 1, 0)</f>
        <v>0</v>
      </c>
      <c r="K33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39" spans="1:11" x14ac:dyDescent="0.3">
      <c r="A3339">
        <v>62111591</v>
      </c>
      <c r="B3339">
        <v>9770547</v>
      </c>
      <c r="C3339" s="1">
        <v>44902</v>
      </c>
      <c r="D3339">
        <v>39</v>
      </c>
      <c r="E3339">
        <f>IF(
  ISNA(
    _xlfn.XLOOKUP(
      payments_raw[[#This Row],[subscription_id]],
      subscriptions[subscription_id],
      subscriptions[subscription_id]
    )
  ),
  0,
  1
)</f>
        <v>1</v>
      </c>
      <c r="F3339" s="1">
        <f>_xlfn.XLOOKUP(payments_raw[[#This Row],[subscription_id]], subscriptions[subscription_id], subscriptions[start_date])</f>
        <v>44638</v>
      </c>
      <c r="G3339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44989</v>
      </c>
      <c r="H3339" s="2">
        <f>IF(payments_raw[[#This Row],[payment_date]] &lt; payments_raw[[#This Row],[sub_start_date]], 1, 0)</f>
        <v>0</v>
      </c>
      <c r="I3339" s="2">
        <f>IF(AND(payments_raw[[#This Row],[sub_end_date]]&lt;&gt;"", payments_raw[[#This Row],[payment_date]] &gt; payments_raw[[#This Row],[sub_end_date]]), 1, 0)</f>
        <v>0</v>
      </c>
      <c r="J3339" s="2">
        <f>IF(payments_raw[[#This Row],[amount]] &lt;= 0, 1, 0)</f>
        <v>0</v>
      </c>
      <c r="K33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0" spans="1:11" x14ac:dyDescent="0.3">
      <c r="A3340">
        <v>54378299</v>
      </c>
      <c r="B3340">
        <v>6059400</v>
      </c>
      <c r="C3340" s="1">
        <v>45624</v>
      </c>
      <c r="D3340">
        <v>19</v>
      </c>
      <c r="E3340">
        <f>IF(
  ISNA(
    _xlfn.XLOOKUP(
      payments_raw[[#This Row],[subscription_id]],
      subscriptions[subscription_id],
      subscriptions[subscription_id]
    )
  ),
  0,
  1
)</f>
        <v>1</v>
      </c>
      <c r="F3340" s="1">
        <f>_xlfn.XLOOKUP(payments_raw[[#This Row],[subscription_id]], subscriptions[subscription_id], subscriptions[start_date])</f>
        <v>45149</v>
      </c>
      <c r="G334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0" s="2">
        <f>IF(payments_raw[[#This Row],[payment_date]] &lt; payments_raw[[#This Row],[sub_start_date]], 1, 0)</f>
        <v>0</v>
      </c>
      <c r="I3340" s="2">
        <f>IF(AND(payments_raw[[#This Row],[sub_end_date]]&lt;&gt;"", payments_raw[[#This Row],[payment_date]] &gt; payments_raw[[#This Row],[sub_end_date]]), 1, 0)</f>
        <v>0</v>
      </c>
      <c r="J3340" s="2">
        <f>IF(payments_raw[[#This Row],[amount]] &lt;= 0, 1, 0)</f>
        <v>0</v>
      </c>
      <c r="K33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1" spans="1:11" x14ac:dyDescent="0.3">
      <c r="A3341">
        <v>62797325</v>
      </c>
      <c r="B3341">
        <v>3999685</v>
      </c>
      <c r="C3341" s="1">
        <v>44817</v>
      </c>
      <c r="D3341">
        <v>1117.5</v>
      </c>
      <c r="E3341">
        <f>IF(
  ISNA(
    _xlfn.XLOOKUP(
      payments_raw[[#This Row],[subscription_id]],
      subscriptions[subscription_id],
      subscriptions[subscription_id]
    )
  ),
  0,
  1
)</f>
        <v>1</v>
      </c>
      <c r="F3341" s="1">
        <f>_xlfn.XLOOKUP(payments_raw[[#This Row],[subscription_id]], subscriptions[subscription_id], subscriptions[start_date])</f>
        <v>44696</v>
      </c>
      <c r="G334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45070</v>
      </c>
      <c r="H3341" s="2">
        <f>IF(payments_raw[[#This Row],[payment_date]] &lt; payments_raw[[#This Row],[sub_start_date]], 1, 0)</f>
        <v>0</v>
      </c>
      <c r="I3341" s="2">
        <f>IF(AND(payments_raw[[#This Row],[sub_end_date]]&lt;&gt;"", payments_raw[[#This Row],[payment_date]] &gt; payments_raw[[#This Row],[sub_end_date]]), 1, 0)</f>
        <v>0</v>
      </c>
      <c r="J3341" s="2">
        <f>IF(payments_raw[[#This Row],[amount]] &lt;= 0, 1, 0)</f>
        <v>0</v>
      </c>
      <c r="K33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2" spans="1:11" x14ac:dyDescent="0.3">
      <c r="A3342">
        <v>42038577</v>
      </c>
      <c r="B3342">
        <v>3708302</v>
      </c>
      <c r="C3342" s="1">
        <v>45475</v>
      </c>
      <c r="D3342">
        <v>79</v>
      </c>
      <c r="E3342">
        <f>IF(
  ISNA(
    _xlfn.XLOOKUP(
      payments_raw[[#This Row],[subscription_id]],
      subscriptions[subscription_id],
      subscriptions[subscription_id]
    )
  ),
  0,
  1
)</f>
        <v>1</v>
      </c>
      <c r="F3342" s="1">
        <f>_xlfn.XLOOKUP(payments_raw[[#This Row],[subscription_id]], subscriptions[subscription_id], subscriptions[start_date])</f>
        <v>44587</v>
      </c>
      <c r="G334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2" s="2">
        <f>IF(payments_raw[[#This Row],[payment_date]] &lt; payments_raw[[#This Row],[sub_start_date]], 1, 0)</f>
        <v>0</v>
      </c>
      <c r="I3342" s="2">
        <f>IF(AND(payments_raw[[#This Row],[sub_end_date]]&lt;&gt;"", payments_raw[[#This Row],[payment_date]] &gt; payments_raw[[#This Row],[sub_end_date]]), 1, 0)</f>
        <v>0</v>
      </c>
      <c r="J3342" s="2">
        <f>IF(payments_raw[[#This Row],[amount]] &lt;= 0, 1, 0)</f>
        <v>0</v>
      </c>
      <c r="K33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3" spans="1:11" x14ac:dyDescent="0.3">
      <c r="A3343">
        <v>59790022</v>
      </c>
      <c r="B3343">
        <v>3017925</v>
      </c>
      <c r="C3343" s="1">
        <v>45189</v>
      </c>
      <c r="D3343">
        <v>2990</v>
      </c>
      <c r="E3343">
        <f>IF(
  ISNA(
    _xlfn.XLOOKUP(
      payments_raw[[#This Row],[subscription_id]],
      subscriptions[subscription_id],
      subscriptions[subscription_id]
    )
  ),
  0,
  1
)</f>
        <v>1</v>
      </c>
      <c r="F3343" s="1">
        <f>_xlfn.XLOOKUP(payments_raw[[#This Row],[subscription_id]], subscriptions[subscription_id], subscriptions[start_date])</f>
        <v>45167</v>
      </c>
      <c r="G334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3" s="2">
        <f>IF(payments_raw[[#This Row],[payment_date]] &lt; payments_raw[[#This Row],[sub_start_date]], 1, 0)</f>
        <v>0</v>
      </c>
      <c r="I3343" s="2">
        <f>IF(AND(payments_raw[[#This Row],[sub_end_date]]&lt;&gt;"", payments_raw[[#This Row],[payment_date]] &gt; payments_raw[[#This Row],[sub_end_date]]), 1, 0)</f>
        <v>0</v>
      </c>
      <c r="J3343" s="2">
        <f>IF(payments_raw[[#This Row],[amount]] &lt;= 0, 1, 0)</f>
        <v>0</v>
      </c>
      <c r="K33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4" spans="1:11" x14ac:dyDescent="0.3">
      <c r="A3344">
        <v>81256437</v>
      </c>
      <c r="B3344">
        <v>1950399</v>
      </c>
      <c r="C3344" s="1">
        <v>45445</v>
      </c>
      <c r="D3344">
        <v>134.1</v>
      </c>
      <c r="E3344">
        <f>IF(
  ISNA(
    _xlfn.XLOOKUP(
      payments_raw[[#This Row],[subscription_id]],
      subscriptions[subscription_id],
      subscriptions[subscription_id]
    )
  ),
  0,
  1
)</f>
        <v>1</v>
      </c>
      <c r="F3344" s="1">
        <f>_xlfn.XLOOKUP(payments_raw[[#This Row],[subscription_id]], subscriptions[subscription_id], subscriptions[start_date])</f>
        <v>44789</v>
      </c>
      <c r="G334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4" s="2">
        <f>IF(payments_raw[[#This Row],[payment_date]] &lt; payments_raw[[#This Row],[sub_start_date]], 1, 0)</f>
        <v>0</v>
      </c>
      <c r="I3344" s="2">
        <f>IF(AND(payments_raw[[#This Row],[sub_end_date]]&lt;&gt;"", payments_raw[[#This Row],[payment_date]] &gt; payments_raw[[#This Row],[sub_end_date]]), 1, 0)</f>
        <v>0</v>
      </c>
      <c r="J3344" s="2">
        <f>IF(payments_raw[[#This Row],[amount]] &lt;= 0, 1, 0)</f>
        <v>0</v>
      </c>
      <c r="K33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5" spans="1:11" x14ac:dyDescent="0.3">
      <c r="A3345">
        <v>67570655</v>
      </c>
      <c r="B3345">
        <v>4026890</v>
      </c>
      <c r="C3345" s="1">
        <v>45040</v>
      </c>
      <c r="D3345">
        <v>299</v>
      </c>
      <c r="E3345">
        <f>IF(
  ISNA(
    _xlfn.XLOOKUP(
      payments_raw[[#This Row],[subscription_id]],
      subscriptions[subscription_id],
      subscriptions[subscription_id]
    )
  ),
  0,
  1
)</f>
        <v>1</v>
      </c>
      <c r="F3345" s="1">
        <f>_xlfn.XLOOKUP(payments_raw[[#This Row],[subscription_id]], subscriptions[subscription_id], subscriptions[start_date])</f>
        <v>44904</v>
      </c>
      <c r="G334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45188</v>
      </c>
      <c r="H3345" s="2">
        <f>IF(payments_raw[[#This Row],[payment_date]] &lt; payments_raw[[#This Row],[sub_start_date]], 1, 0)</f>
        <v>0</v>
      </c>
      <c r="I3345" s="2">
        <f>IF(AND(payments_raw[[#This Row],[sub_end_date]]&lt;&gt;"", payments_raw[[#This Row],[payment_date]] &gt; payments_raw[[#This Row],[sub_end_date]]), 1, 0)</f>
        <v>0</v>
      </c>
      <c r="J3345" s="2">
        <f>IF(payments_raw[[#This Row],[amount]] &lt;= 0, 1, 0)</f>
        <v>0</v>
      </c>
      <c r="K33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6" spans="1:11" x14ac:dyDescent="0.3">
      <c r="A3346">
        <v>93730965</v>
      </c>
      <c r="B3346">
        <v>5968479</v>
      </c>
      <c r="C3346" s="1">
        <v>44857</v>
      </c>
      <c r="D3346">
        <v>745</v>
      </c>
      <c r="E3346">
        <f>IF(
  ISNA(
    _xlfn.XLOOKUP(
      payments_raw[[#This Row],[subscription_id]],
      subscriptions[subscription_id],
      subscriptions[subscription_id]
    )
  ),
  0,
  1
)</f>
        <v>1</v>
      </c>
      <c r="F3346" s="1">
        <f>_xlfn.XLOOKUP(payments_raw[[#This Row],[subscription_id]], subscriptions[subscription_id], subscriptions[start_date])</f>
        <v>44610</v>
      </c>
      <c r="G33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6" s="2">
        <f>IF(payments_raw[[#This Row],[payment_date]] &lt; payments_raw[[#This Row],[sub_start_date]], 1, 0)</f>
        <v>0</v>
      </c>
      <c r="I3346" s="2">
        <f>IF(AND(payments_raw[[#This Row],[sub_end_date]]&lt;&gt;"", payments_raw[[#This Row],[payment_date]] &gt; payments_raw[[#This Row],[sub_end_date]]), 1, 0)</f>
        <v>0</v>
      </c>
      <c r="J3346" s="2">
        <f>IF(payments_raw[[#This Row],[amount]] &lt;= 0, 1, 0)</f>
        <v>0</v>
      </c>
      <c r="K33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7" spans="1:11" x14ac:dyDescent="0.3">
      <c r="A3347">
        <v>88737711</v>
      </c>
      <c r="B3347">
        <v>7355220</v>
      </c>
      <c r="C3347" s="1">
        <v>45153</v>
      </c>
      <c r="D3347">
        <v>149</v>
      </c>
      <c r="E3347">
        <f>IF(
  ISNA(
    _xlfn.XLOOKUP(
      payments_raw[[#This Row],[subscription_id]],
      subscriptions[subscription_id],
      subscriptions[subscription_id]
    )
  ),
  0,
  1
)</f>
        <v>1</v>
      </c>
      <c r="F3347" s="1">
        <f>_xlfn.XLOOKUP(payments_raw[[#This Row],[subscription_id]], subscriptions[subscription_id], subscriptions[start_date])</f>
        <v>45109</v>
      </c>
      <c r="G33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7" s="2">
        <f>IF(payments_raw[[#This Row],[payment_date]] &lt; payments_raw[[#This Row],[sub_start_date]], 1, 0)</f>
        <v>0</v>
      </c>
      <c r="I3347" s="2">
        <f>IF(AND(payments_raw[[#This Row],[sub_end_date]]&lt;&gt;"", payments_raw[[#This Row],[payment_date]] &gt; payments_raw[[#This Row],[sub_end_date]]), 1, 0)</f>
        <v>0</v>
      </c>
      <c r="J3347" s="2">
        <f>IF(payments_raw[[#This Row],[amount]] &lt;= 0, 1, 0)</f>
        <v>0</v>
      </c>
      <c r="K33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8" spans="1:11" x14ac:dyDescent="0.3">
      <c r="A3348">
        <v>32133685</v>
      </c>
      <c r="B3348">
        <v>6806635</v>
      </c>
      <c r="C3348" s="1">
        <v>45516</v>
      </c>
      <c r="D3348">
        <v>390</v>
      </c>
      <c r="E3348">
        <f>IF(
  ISNA(
    _xlfn.XLOOKUP(
      payments_raw[[#This Row],[subscription_id]],
      subscriptions[subscription_id],
      subscriptions[subscription_id]
    )
  ),
  0,
  1
)</f>
        <v>1</v>
      </c>
      <c r="F3348" s="1">
        <f>_xlfn.XLOOKUP(payments_raw[[#This Row],[subscription_id]], subscriptions[subscription_id], subscriptions[start_date])</f>
        <v>45501</v>
      </c>
      <c r="G33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8" s="2">
        <f>IF(payments_raw[[#This Row],[payment_date]] &lt; payments_raw[[#This Row],[sub_start_date]], 1, 0)</f>
        <v>0</v>
      </c>
      <c r="I3348" s="2">
        <f>IF(AND(payments_raw[[#This Row],[sub_end_date]]&lt;&gt;"", payments_raw[[#This Row],[payment_date]] &gt; payments_raw[[#This Row],[sub_end_date]]), 1, 0)</f>
        <v>0</v>
      </c>
      <c r="J3348" s="2">
        <f>IF(payments_raw[[#This Row],[amount]] &lt;= 0, 1, 0)</f>
        <v>0</v>
      </c>
      <c r="K33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49" spans="1:11" x14ac:dyDescent="0.3">
      <c r="A3349">
        <v>41844175</v>
      </c>
      <c r="B3349">
        <v>6655862</v>
      </c>
      <c r="C3349" s="1">
        <v>45119</v>
      </c>
      <c r="D3349">
        <v>19</v>
      </c>
      <c r="E3349">
        <f>IF(
  ISNA(
    _xlfn.XLOOKUP(
      payments_raw[[#This Row],[subscription_id]],
      subscriptions[subscription_id],
      subscriptions[subscription_id]
    )
  ),
  0,
  1
)</f>
        <v>1</v>
      </c>
      <c r="F3349" s="1">
        <f>_xlfn.XLOOKUP(payments_raw[[#This Row],[subscription_id]], subscriptions[subscription_id], subscriptions[start_date])</f>
        <v>45090</v>
      </c>
      <c r="G334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49" s="2">
        <f>IF(payments_raw[[#This Row],[payment_date]] &lt; payments_raw[[#This Row],[sub_start_date]], 1, 0)</f>
        <v>0</v>
      </c>
      <c r="I3349" s="2">
        <f>IF(AND(payments_raw[[#This Row],[sub_end_date]]&lt;&gt;"", payments_raw[[#This Row],[payment_date]] &gt; payments_raw[[#This Row],[sub_end_date]]), 1, 0)</f>
        <v>0</v>
      </c>
      <c r="J3349" s="2">
        <f>IF(payments_raw[[#This Row],[amount]] &lt;= 0, 1, 0)</f>
        <v>0</v>
      </c>
      <c r="K33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0" spans="1:11" x14ac:dyDescent="0.3">
      <c r="A3350">
        <v>28153701</v>
      </c>
      <c r="B3350">
        <v>8626616</v>
      </c>
      <c r="C3350" s="1">
        <v>45573</v>
      </c>
      <c r="D3350">
        <v>149</v>
      </c>
      <c r="E3350">
        <f>IF(
  ISNA(
    _xlfn.XLOOKUP(
      payments_raw[[#This Row],[subscription_id]],
      subscriptions[subscription_id],
      subscriptions[subscription_id]
    )
  ),
  0,
  1
)</f>
        <v>1</v>
      </c>
      <c r="F3350" s="1">
        <f>_xlfn.XLOOKUP(payments_raw[[#This Row],[subscription_id]], subscriptions[subscription_id], subscriptions[start_date])</f>
        <v>45572</v>
      </c>
      <c r="G335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45631</v>
      </c>
      <c r="H3350" s="2">
        <f>IF(payments_raw[[#This Row],[payment_date]] &lt; payments_raw[[#This Row],[sub_start_date]], 1, 0)</f>
        <v>0</v>
      </c>
      <c r="I3350" s="2">
        <f>IF(AND(payments_raw[[#This Row],[sub_end_date]]&lt;&gt;"", payments_raw[[#This Row],[payment_date]] &gt; payments_raw[[#This Row],[sub_end_date]]), 1, 0)</f>
        <v>0</v>
      </c>
      <c r="J3350" s="2">
        <f>IF(payments_raw[[#This Row],[amount]] &lt;= 0, 1, 0)</f>
        <v>0</v>
      </c>
      <c r="K33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1" spans="1:11" x14ac:dyDescent="0.3">
      <c r="A3351">
        <v>55495302</v>
      </c>
      <c r="B3351">
        <v>2657259</v>
      </c>
      <c r="C3351" s="1">
        <v>44788</v>
      </c>
      <c r="D3351">
        <v>79</v>
      </c>
      <c r="E3351">
        <f>IF(
  ISNA(
    _xlfn.XLOOKUP(
      payments_raw[[#This Row],[subscription_id]],
      subscriptions[subscription_id],
      subscriptions[subscription_id]
    )
  ),
  0,
  1
)</f>
        <v>1</v>
      </c>
      <c r="F3351" s="1">
        <f>_xlfn.XLOOKUP(payments_raw[[#This Row],[subscription_id]], subscriptions[subscription_id], subscriptions[start_date])</f>
        <v>44748</v>
      </c>
      <c r="G335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44942</v>
      </c>
      <c r="H3351" s="2">
        <f>IF(payments_raw[[#This Row],[payment_date]] &lt; payments_raw[[#This Row],[sub_start_date]], 1, 0)</f>
        <v>0</v>
      </c>
      <c r="I3351" s="2">
        <f>IF(AND(payments_raw[[#This Row],[sub_end_date]]&lt;&gt;"", payments_raw[[#This Row],[payment_date]] &gt; payments_raw[[#This Row],[sub_end_date]]), 1, 0)</f>
        <v>0</v>
      </c>
      <c r="J3351" s="2">
        <f>IF(payments_raw[[#This Row],[amount]] &lt;= 0, 1, 0)</f>
        <v>0</v>
      </c>
      <c r="K33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2" spans="1:11" x14ac:dyDescent="0.3">
      <c r="A3352">
        <v>71749286</v>
      </c>
      <c r="B3352">
        <v>8831655</v>
      </c>
      <c r="C3352" s="1">
        <v>44953</v>
      </c>
      <c r="D3352">
        <v>790</v>
      </c>
      <c r="E3352">
        <f>IF(
  ISNA(
    _xlfn.XLOOKUP(
      payments_raw[[#This Row],[subscription_id]],
      subscriptions[subscription_id],
      subscriptions[subscription_id]
    )
  ),
  0,
  1
)</f>
        <v>1</v>
      </c>
      <c r="F3352" s="1">
        <f>_xlfn.XLOOKUP(payments_raw[[#This Row],[subscription_id]], subscriptions[subscription_id], subscriptions[start_date])</f>
        <v>44906</v>
      </c>
      <c r="G3352" s="1">
        <f>IF(_xlfn.XLOOKUP(payments_raw[[#This Row],[subscription_id]], subscriptions[subscription_id], subscriptions[end_date])=0,"",_xlfn.XLOOKUP(payments_raw[[#This Row],[subscription_id]], subscriptions[subscription_id], subscriptions[end_date]))</f>
        <v>44995</v>
      </c>
      <c r="H3352" s="2">
        <f>IF(payments_raw[[#This Row],[payment_date]] &lt; payments_raw[[#This Row],[sub_start_date]], 1, 0)</f>
        <v>0</v>
      </c>
      <c r="I3352" s="2">
        <f>IF(AND(payments_raw[[#This Row],[sub_end_date]]&lt;&gt;"", payments_raw[[#This Row],[payment_date]] &gt; payments_raw[[#This Row],[sub_end_date]]), 1, 0)</f>
        <v>0</v>
      </c>
      <c r="J3352" s="2">
        <f>IF(payments_raw[[#This Row],[amount]] &lt;= 0, 1, 0)</f>
        <v>0</v>
      </c>
      <c r="K33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3" spans="1:11" x14ac:dyDescent="0.3">
      <c r="A3353">
        <v>90189161</v>
      </c>
      <c r="B3353">
        <v>4264878</v>
      </c>
      <c r="C3353" s="1">
        <v>45493</v>
      </c>
      <c r="D3353">
        <v>149</v>
      </c>
      <c r="E3353">
        <f>IF(
  ISNA(
    _xlfn.XLOOKUP(
      payments_raw[[#This Row],[subscription_id]],
      subscriptions[subscription_id],
      subscriptions[subscription_id]
    )
  ),
  0,
  1
)</f>
        <v>1</v>
      </c>
      <c r="F3353" s="1">
        <f>_xlfn.XLOOKUP(payments_raw[[#This Row],[subscription_id]], subscriptions[subscription_id], subscriptions[start_date])</f>
        <v>45306</v>
      </c>
      <c r="G335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45616</v>
      </c>
      <c r="H3353" s="2">
        <f>IF(payments_raw[[#This Row],[payment_date]] &lt; payments_raw[[#This Row],[sub_start_date]], 1, 0)</f>
        <v>0</v>
      </c>
      <c r="I3353" s="2">
        <f>IF(AND(payments_raw[[#This Row],[sub_end_date]]&lt;&gt;"", payments_raw[[#This Row],[payment_date]] &gt; payments_raw[[#This Row],[sub_end_date]]), 1, 0)</f>
        <v>0</v>
      </c>
      <c r="J3353" s="2">
        <f>IF(payments_raw[[#This Row],[amount]] &lt;= 0, 1, 0)</f>
        <v>0</v>
      </c>
      <c r="K33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4" spans="1:11" x14ac:dyDescent="0.3">
      <c r="A3354">
        <v>25047673</v>
      </c>
      <c r="B3354">
        <v>3751899</v>
      </c>
      <c r="C3354" s="1">
        <v>45196</v>
      </c>
      <c r="D3354">
        <v>79</v>
      </c>
      <c r="E3354">
        <f>IF(
  ISNA(
    _xlfn.XLOOKUP(
      payments_raw[[#This Row],[subscription_id]],
      subscriptions[subscription_id],
      subscriptions[subscription_id]
    )
  ),
  0,
  1
)</f>
        <v>1</v>
      </c>
      <c r="F3354" s="1">
        <f>_xlfn.XLOOKUP(payments_raw[[#This Row],[subscription_id]], subscriptions[subscription_id], subscriptions[start_date])</f>
        <v>44902</v>
      </c>
      <c r="G33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3354" s="2">
        <f>IF(payments_raw[[#This Row],[payment_date]] &lt; payments_raw[[#This Row],[sub_start_date]], 1, 0)</f>
        <v>0</v>
      </c>
      <c r="I3354" s="2">
        <f>IF(AND(payments_raw[[#This Row],[sub_end_date]]&lt;&gt;"", payments_raw[[#This Row],[payment_date]] &gt; payments_raw[[#This Row],[sub_end_date]]), 1, 0)</f>
        <v>0</v>
      </c>
      <c r="J3354" s="2">
        <f>IF(payments_raw[[#This Row],[amount]] &lt;= 0, 1, 0)</f>
        <v>0</v>
      </c>
      <c r="K33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5" spans="1:11" x14ac:dyDescent="0.3">
      <c r="A3355">
        <v>35054816</v>
      </c>
      <c r="B3355">
        <v>3948283</v>
      </c>
      <c r="C3355" s="1">
        <v>45389</v>
      </c>
      <c r="D3355">
        <v>269.10000000000002</v>
      </c>
      <c r="E3355">
        <f>IF(
  ISNA(
    _xlfn.XLOOKUP(
      payments_raw[[#This Row],[subscription_id]],
      subscriptions[subscription_id],
      subscriptions[subscription_id]
    )
  ),
  0,
  1
)</f>
        <v>1</v>
      </c>
      <c r="F3355" s="1">
        <f>_xlfn.XLOOKUP(payments_raw[[#This Row],[subscription_id]], subscriptions[subscription_id], subscriptions[start_date])</f>
        <v>45189</v>
      </c>
      <c r="G33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55" s="2">
        <f>IF(payments_raw[[#This Row],[payment_date]] &lt; payments_raw[[#This Row],[sub_start_date]], 1, 0)</f>
        <v>0</v>
      </c>
      <c r="I3355" s="2">
        <f>IF(AND(payments_raw[[#This Row],[sub_end_date]]&lt;&gt;"", payments_raw[[#This Row],[payment_date]] &gt; payments_raw[[#This Row],[sub_end_date]]), 1, 0)</f>
        <v>0</v>
      </c>
      <c r="J3355" s="2">
        <f>IF(payments_raw[[#This Row],[amount]] &lt;= 0, 1, 0)</f>
        <v>0</v>
      </c>
      <c r="K33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6" spans="1:11" x14ac:dyDescent="0.3">
      <c r="A3356">
        <v>81597931</v>
      </c>
      <c r="B3356">
        <v>6819465</v>
      </c>
      <c r="C3356" s="1">
        <v>45617</v>
      </c>
      <c r="D3356">
        <v>224.25</v>
      </c>
      <c r="E3356">
        <f>IF(
  ISNA(
    _xlfn.XLOOKUP(
      payments_raw[[#This Row],[subscription_id]],
      subscriptions[subscription_id],
      subscriptions[subscription_id]
    )
  ),
  0,
  1
)</f>
        <v>1</v>
      </c>
      <c r="F3356" s="1">
        <f>_xlfn.XLOOKUP(payments_raw[[#This Row],[subscription_id]], subscriptions[subscription_id], subscriptions[start_date])</f>
        <v>45562</v>
      </c>
      <c r="G335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3356" s="2">
        <f>IF(payments_raw[[#This Row],[payment_date]] &lt; payments_raw[[#This Row],[sub_start_date]], 1, 0)</f>
        <v>0</v>
      </c>
      <c r="I3356" s="2">
        <f>IF(AND(payments_raw[[#This Row],[sub_end_date]]&lt;&gt;"", payments_raw[[#This Row],[payment_date]] &gt; payments_raw[[#This Row],[sub_end_date]]), 1, 0)</f>
        <v>0</v>
      </c>
      <c r="J3356" s="2">
        <f>IF(payments_raw[[#This Row],[amount]] &lt;= 0, 1, 0)</f>
        <v>0</v>
      </c>
      <c r="K33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7" spans="1:11" x14ac:dyDescent="0.3">
      <c r="A3357">
        <v>56817408</v>
      </c>
      <c r="B3357">
        <v>8950226</v>
      </c>
      <c r="C3357" s="1">
        <v>45591</v>
      </c>
      <c r="D3357">
        <v>790</v>
      </c>
      <c r="E3357">
        <f>IF(
  ISNA(
    _xlfn.XLOOKUP(
      payments_raw[[#This Row],[subscription_id]],
      subscriptions[subscription_id],
      subscriptions[subscription_id]
    )
  ),
  0,
  1
)</f>
        <v>1</v>
      </c>
      <c r="F3357" s="1">
        <f>_xlfn.XLOOKUP(payments_raw[[#This Row],[subscription_id]], subscriptions[subscription_id], subscriptions[start_date])</f>
        <v>44582</v>
      </c>
      <c r="G33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57" s="2">
        <f>IF(payments_raw[[#This Row],[payment_date]] &lt; payments_raw[[#This Row],[sub_start_date]], 1, 0)</f>
        <v>0</v>
      </c>
      <c r="I3357" s="2">
        <f>IF(AND(payments_raw[[#This Row],[sub_end_date]]&lt;&gt;"", payments_raw[[#This Row],[payment_date]] &gt; payments_raw[[#This Row],[sub_end_date]]), 1, 0)</f>
        <v>0</v>
      </c>
      <c r="J3357" s="2">
        <f>IF(payments_raw[[#This Row],[amount]] &lt;= 0, 1, 0)</f>
        <v>0</v>
      </c>
      <c r="K33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8" spans="1:11" x14ac:dyDescent="0.3">
      <c r="A3358">
        <v>98796599</v>
      </c>
      <c r="B3358">
        <v>8220257</v>
      </c>
      <c r="C3358" s="1">
        <v>45407</v>
      </c>
      <c r="D3358">
        <v>190</v>
      </c>
      <c r="E3358">
        <f>IF(
  ISNA(
    _xlfn.XLOOKUP(
      payments_raw[[#This Row],[subscription_id]],
      subscriptions[subscription_id],
      subscriptions[subscription_id]
    )
  ),
  0,
  1
)</f>
        <v>1</v>
      </c>
      <c r="F3358" s="1">
        <f>_xlfn.XLOOKUP(payments_raw[[#This Row],[subscription_id]], subscriptions[subscription_id], subscriptions[start_date])</f>
        <v>45078</v>
      </c>
      <c r="G33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58" s="2">
        <f>IF(payments_raw[[#This Row],[payment_date]] &lt; payments_raw[[#This Row],[sub_start_date]], 1, 0)</f>
        <v>0</v>
      </c>
      <c r="I3358" s="2">
        <f>IF(AND(payments_raw[[#This Row],[sub_end_date]]&lt;&gt;"", payments_raw[[#This Row],[payment_date]] &gt; payments_raw[[#This Row],[sub_end_date]]), 1, 0)</f>
        <v>0</v>
      </c>
      <c r="J3358" s="2">
        <f>IF(payments_raw[[#This Row],[amount]] &lt;= 0, 1, 0)</f>
        <v>0</v>
      </c>
      <c r="K33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59" spans="1:11" x14ac:dyDescent="0.3">
      <c r="A3359">
        <v>46688997</v>
      </c>
      <c r="B3359">
        <v>4056477</v>
      </c>
      <c r="C3359" s="1">
        <v>45640</v>
      </c>
      <c r="D3359">
        <v>1490</v>
      </c>
      <c r="E3359">
        <f>IF(
  ISNA(
    _xlfn.XLOOKUP(
      payments_raw[[#This Row],[subscription_id]],
      subscriptions[subscription_id],
      subscriptions[subscription_id]
    )
  ),
  0,
  1
)</f>
        <v>1</v>
      </c>
      <c r="F3359" s="1">
        <f>_xlfn.XLOOKUP(payments_raw[[#This Row],[subscription_id]], subscriptions[subscription_id], subscriptions[start_date])</f>
        <v>45560</v>
      </c>
      <c r="G33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59" s="2">
        <f>IF(payments_raw[[#This Row],[payment_date]] &lt; payments_raw[[#This Row],[sub_start_date]], 1, 0)</f>
        <v>0</v>
      </c>
      <c r="I3359" s="2">
        <f>IF(AND(payments_raw[[#This Row],[sub_end_date]]&lt;&gt;"", payments_raw[[#This Row],[payment_date]] &gt; payments_raw[[#This Row],[sub_end_date]]), 1, 0)</f>
        <v>0</v>
      </c>
      <c r="J3359" s="2">
        <f>IF(payments_raw[[#This Row],[amount]] &lt;= 0, 1, 0)</f>
        <v>0</v>
      </c>
      <c r="K33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0" spans="1:11" x14ac:dyDescent="0.3">
      <c r="A3360">
        <v>28396177</v>
      </c>
      <c r="B3360">
        <v>8029723</v>
      </c>
      <c r="C3360" s="1">
        <v>45595</v>
      </c>
      <c r="D3360">
        <v>190</v>
      </c>
      <c r="E3360">
        <f>IF(
  ISNA(
    _xlfn.XLOOKUP(
      payments_raw[[#This Row],[subscription_id]],
      subscriptions[subscription_id],
      subscriptions[subscription_id]
    )
  ),
  0,
  1
)</f>
        <v>1</v>
      </c>
      <c r="F3360" s="1">
        <f>_xlfn.XLOOKUP(payments_raw[[#This Row],[subscription_id]], subscriptions[subscription_id], subscriptions[start_date])</f>
        <v>45593</v>
      </c>
      <c r="G33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45638</v>
      </c>
      <c r="H3360" s="2">
        <f>IF(payments_raw[[#This Row],[payment_date]] &lt; payments_raw[[#This Row],[sub_start_date]], 1, 0)</f>
        <v>0</v>
      </c>
      <c r="I3360" s="2">
        <f>IF(AND(payments_raw[[#This Row],[sub_end_date]]&lt;&gt;"", payments_raw[[#This Row],[payment_date]] &gt; payments_raw[[#This Row],[sub_end_date]]), 1, 0)</f>
        <v>0</v>
      </c>
      <c r="J3360" s="2">
        <f>IF(payments_raw[[#This Row],[amount]] &lt;= 0, 1, 0)</f>
        <v>0</v>
      </c>
      <c r="K33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1" spans="1:11" x14ac:dyDescent="0.3">
      <c r="A3361">
        <v>84737376</v>
      </c>
      <c r="B3361">
        <v>1426542</v>
      </c>
      <c r="C3361" s="1">
        <v>45543</v>
      </c>
      <c r="D3361">
        <v>149</v>
      </c>
      <c r="E3361">
        <f>IF(
  ISNA(
    _xlfn.XLOOKUP(
      payments_raw[[#This Row],[subscription_id]],
      subscriptions[subscription_id],
      subscriptions[subscription_id]
    )
  ),
  0,
  1
)</f>
        <v>1</v>
      </c>
      <c r="F3361" s="1">
        <f>_xlfn.XLOOKUP(payments_raw[[#This Row],[subscription_id]], subscriptions[subscription_id], subscriptions[start_date])</f>
        <v>45471</v>
      </c>
      <c r="G33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45607</v>
      </c>
      <c r="H3361" s="2">
        <f>IF(payments_raw[[#This Row],[payment_date]] &lt; payments_raw[[#This Row],[sub_start_date]], 1, 0)</f>
        <v>0</v>
      </c>
      <c r="I3361" s="2">
        <f>IF(AND(payments_raw[[#This Row],[sub_end_date]]&lt;&gt;"", payments_raw[[#This Row],[payment_date]] &gt; payments_raw[[#This Row],[sub_end_date]]), 1, 0)</f>
        <v>0</v>
      </c>
      <c r="J3361" s="2">
        <f>IF(payments_raw[[#This Row],[amount]] &lt;= 0, 1, 0)</f>
        <v>0</v>
      </c>
      <c r="K33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2" spans="1:11" x14ac:dyDescent="0.3">
      <c r="A3362">
        <v>54208322</v>
      </c>
      <c r="B3362">
        <v>1863674</v>
      </c>
      <c r="C3362" s="1">
        <v>45354</v>
      </c>
      <c r="D3362">
        <v>1490</v>
      </c>
      <c r="E3362">
        <f>IF(
  ISNA(
    _xlfn.XLOOKUP(
      payments_raw[[#This Row],[subscription_id]],
      subscriptions[subscription_id],
      subscriptions[subscription_id]
    )
  ),
  0,
  1
)</f>
        <v>1</v>
      </c>
      <c r="F3362" s="1">
        <f>_xlfn.XLOOKUP(payments_raw[[#This Row],[subscription_id]], subscriptions[subscription_id], subscriptions[start_date])</f>
        <v>45239</v>
      </c>
      <c r="G33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2" s="2">
        <f>IF(payments_raw[[#This Row],[payment_date]] &lt; payments_raw[[#This Row],[sub_start_date]], 1, 0)</f>
        <v>0</v>
      </c>
      <c r="I3362" s="2">
        <f>IF(AND(payments_raw[[#This Row],[sub_end_date]]&lt;&gt;"", payments_raw[[#This Row],[payment_date]] &gt; payments_raw[[#This Row],[sub_end_date]]), 1, 0)</f>
        <v>0</v>
      </c>
      <c r="J3362" s="2">
        <f>IF(payments_raw[[#This Row],[amount]] &lt;= 0, 1, 0)</f>
        <v>0</v>
      </c>
      <c r="K33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3" spans="1:11" x14ac:dyDescent="0.3">
      <c r="A3363">
        <v>26690742</v>
      </c>
      <c r="B3363">
        <v>7576872</v>
      </c>
      <c r="C3363" s="1">
        <v>45165</v>
      </c>
      <c r="D3363">
        <v>17.100000000000001</v>
      </c>
      <c r="E3363">
        <f>IF(
  ISNA(
    _xlfn.XLOOKUP(
      payments_raw[[#This Row],[subscription_id]],
      subscriptions[subscription_id],
      subscriptions[subscription_id]
    )
  ),
  0,
  1
)</f>
        <v>1</v>
      </c>
      <c r="F3363" s="1">
        <f>_xlfn.XLOOKUP(payments_raw[[#This Row],[subscription_id]], subscriptions[subscription_id], subscriptions[start_date])</f>
        <v>45094</v>
      </c>
      <c r="G336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45205</v>
      </c>
      <c r="H3363" s="2">
        <f>IF(payments_raw[[#This Row],[payment_date]] &lt; payments_raw[[#This Row],[sub_start_date]], 1, 0)</f>
        <v>0</v>
      </c>
      <c r="I3363" s="2">
        <f>IF(AND(payments_raw[[#This Row],[sub_end_date]]&lt;&gt;"", payments_raw[[#This Row],[payment_date]] &gt; payments_raw[[#This Row],[sub_end_date]]), 1, 0)</f>
        <v>0</v>
      </c>
      <c r="J3363" s="2">
        <f>IF(payments_raw[[#This Row],[amount]] &lt;= 0, 1, 0)</f>
        <v>0</v>
      </c>
      <c r="K33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4" spans="1:11" x14ac:dyDescent="0.3">
      <c r="A3364">
        <v>26210228</v>
      </c>
      <c r="B3364">
        <v>4515255</v>
      </c>
      <c r="C3364" s="1">
        <v>45401</v>
      </c>
      <c r="D3364">
        <v>19</v>
      </c>
      <c r="E3364">
        <f>IF(
  ISNA(
    _xlfn.XLOOKUP(
      payments_raw[[#This Row],[subscription_id]],
      subscriptions[subscription_id],
      subscriptions[subscription_id]
    )
  ),
  0,
  1
)</f>
        <v>1</v>
      </c>
      <c r="F3364" s="1">
        <f>_xlfn.XLOOKUP(payments_raw[[#This Row],[subscription_id]], subscriptions[subscription_id], subscriptions[start_date])</f>
        <v>45377</v>
      </c>
      <c r="G336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45410</v>
      </c>
      <c r="H3364" s="2">
        <f>IF(payments_raw[[#This Row],[payment_date]] &lt; payments_raw[[#This Row],[sub_start_date]], 1, 0)</f>
        <v>0</v>
      </c>
      <c r="I3364" s="2">
        <f>IF(AND(payments_raw[[#This Row],[sub_end_date]]&lt;&gt;"", payments_raw[[#This Row],[payment_date]] &gt; payments_raw[[#This Row],[sub_end_date]]), 1, 0)</f>
        <v>0</v>
      </c>
      <c r="J3364" s="2">
        <f>IF(payments_raw[[#This Row],[amount]] &lt;= 0, 1, 0)</f>
        <v>0</v>
      </c>
      <c r="K33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5" spans="1:11" x14ac:dyDescent="0.3">
      <c r="A3365">
        <v>57028681</v>
      </c>
      <c r="B3365">
        <v>3760410</v>
      </c>
      <c r="C3365" s="1">
        <v>45510</v>
      </c>
      <c r="D3365">
        <v>390</v>
      </c>
      <c r="E3365">
        <f>IF(
  ISNA(
    _xlfn.XLOOKUP(
      payments_raw[[#This Row],[subscription_id]],
      subscriptions[subscription_id],
      subscriptions[subscription_id]
    )
  ),
  0,
  1
)</f>
        <v>1</v>
      </c>
      <c r="F3365" s="1">
        <f>_xlfn.XLOOKUP(payments_raw[[#This Row],[subscription_id]], subscriptions[subscription_id], subscriptions[start_date])</f>
        <v>44968</v>
      </c>
      <c r="G33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5" s="2">
        <f>IF(payments_raw[[#This Row],[payment_date]] &lt; payments_raw[[#This Row],[sub_start_date]], 1, 0)</f>
        <v>0</v>
      </c>
      <c r="I3365" s="2">
        <f>IF(AND(payments_raw[[#This Row],[sub_end_date]]&lt;&gt;"", payments_raw[[#This Row],[payment_date]] &gt; payments_raw[[#This Row],[sub_end_date]]), 1, 0)</f>
        <v>0</v>
      </c>
      <c r="J3365" s="2">
        <f>IF(payments_raw[[#This Row],[amount]] &lt;= 0, 1, 0)</f>
        <v>0</v>
      </c>
      <c r="K33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6" spans="1:11" x14ac:dyDescent="0.3">
      <c r="A3366">
        <v>47982292</v>
      </c>
      <c r="B3366">
        <v>4318696</v>
      </c>
      <c r="C3366" s="1">
        <v>45650</v>
      </c>
      <c r="D3366">
        <v>190</v>
      </c>
      <c r="E3366">
        <f>IF(
  ISNA(
    _xlfn.XLOOKUP(
      payments_raw[[#This Row],[subscription_id]],
      subscriptions[subscription_id],
      subscriptions[subscription_id]
    )
  ),
  0,
  1
)</f>
        <v>1</v>
      </c>
      <c r="F3366" s="1">
        <f>_xlfn.XLOOKUP(payments_raw[[#This Row],[subscription_id]], subscriptions[subscription_id], subscriptions[start_date])</f>
        <v>44870</v>
      </c>
      <c r="G336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6" s="2">
        <f>IF(payments_raw[[#This Row],[payment_date]] &lt; payments_raw[[#This Row],[sub_start_date]], 1, 0)</f>
        <v>0</v>
      </c>
      <c r="I3366" s="2">
        <f>IF(AND(payments_raw[[#This Row],[sub_end_date]]&lt;&gt;"", payments_raw[[#This Row],[payment_date]] &gt; payments_raw[[#This Row],[sub_end_date]]), 1, 0)</f>
        <v>0</v>
      </c>
      <c r="J3366" s="2">
        <f>IF(payments_raw[[#This Row],[amount]] &lt;= 0, 1, 0)</f>
        <v>0</v>
      </c>
      <c r="K33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7" spans="1:11" x14ac:dyDescent="0.3">
      <c r="A3367">
        <v>64511783</v>
      </c>
      <c r="B3367">
        <v>6293212</v>
      </c>
      <c r="C3367" s="1">
        <v>45516</v>
      </c>
      <c r="D3367">
        <v>299</v>
      </c>
      <c r="E3367">
        <f>IF(
  ISNA(
    _xlfn.XLOOKUP(
      payments_raw[[#This Row],[subscription_id]],
      subscriptions[subscription_id],
      subscriptions[subscription_id]
    )
  ),
  0,
  1
)</f>
        <v>1</v>
      </c>
      <c r="F3367" s="1">
        <f>_xlfn.XLOOKUP(payments_raw[[#This Row],[subscription_id]], subscriptions[subscription_id], subscriptions[start_date])</f>
        <v>45476</v>
      </c>
      <c r="G33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7" s="2">
        <f>IF(payments_raw[[#This Row],[payment_date]] &lt; payments_raw[[#This Row],[sub_start_date]], 1, 0)</f>
        <v>0</v>
      </c>
      <c r="I3367" s="2">
        <f>IF(AND(payments_raw[[#This Row],[sub_end_date]]&lt;&gt;"", payments_raw[[#This Row],[payment_date]] &gt; payments_raw[[#This Row],[sub_end_date]]), 1, 0)</f>
        <v>0</v>
      </c>
      <c r="J3367" s="2">
        <f>IF(payments_raw[[#This Row],[amount]] &lt;= 0, 1, 0)</f>
        <v>0</v>
      </c>
      <c r="K33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8" spans="1:11" x14ac:dyDescent="0.3">
      <c r="A3368">
        <v>90143816</v>
      </c>
      <c r="B3368">
        <v>3728089</v>
      </c>
      <c r="C3368" s="1">
        <v>45589</v>
      </c>
      <c r="D3368">
        <v>79</v>
      </c>
      <c r="E3368">
        <f>IF(
  ISNA(
    _xlfn.XLOOKUP(
      payments_raw[[#This Row],[subscription_id]],
      subscriptions[subscription_id],
      subscriptions[subscription_id]
    )
  ),
  0,
  1
)</f>
        <v>1</v>
      </c>
      <c r="F3368" s="1">
        <f>_xlfn.XLOOKUP(payments_raw[[#This Row],[subscription_id]], subscriptions[subscription_id], subscriptions[start_date])</f>
        <v>45183</v>
      </c>
      <c r="G33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8" s="2">
        <f>IF(payments_raw[[#This Row],[payment_date]] &lt; payments_raw[[#This Row],[sub_start_date]], 1, 0)</f>
        <v>0</v>
      </c>
      <c r="I3368" s="2">
        <f>IF(AND(payments_raw[[#This Row],[sub_end_date]]&lt;&gt;"", payments_raw[[#This Row],[payment_date]] &gt; payments_raw[[#This Row],[sub_end_date]]), 1, 0)</f>
        <v>0</v>
      </c>
      <c r="J3368" s="2">
        <f>IF(payments_raw[[#This Row],[amount]] &lt;= 0, 1, 0)</f>
        <v>0</v>
      </c>
      <c r="K33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69" spans="1:11" x14ac:dyDescent="0.3">
      <c r="A3369">
        <v>30053210</v>
      </c>
      <c r="B3369">
        <v>1546929</v>
      </c>
      <c r="C3369" s="1">
        <v>44995</v>
      </c>
      <c r="D3369">
        <v>39</v>
      </c>
      <c r="E3369">
        <f>IF(
  ISNA(
    _xlfn.XLOOKUP(
      payments_raw[[#This Row],[subscription_id]],
      subscriptions[subscription_id],
      subscriptions[subscription_id]
    )
  ),
  0,
  1
)</f>
        <v>1</v>
      </c>
      <c r="F3369" s="1">
        <f>_xlfn.XLOOKUP(payments_raw[[#This Row],[subscription_id]], subscriptions[subscription_id], subscriptions[start_date])</f>
        <v>44869</v>
      </c>
      <c r="G33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69" s="2">
        <f>IF(payments_raw[[#This Row],[payment_date]] &lt; payments_raw[[#This Row],[sub_start_date]], 1, 0)</f>
        <v>0</v>
      </c>
      <c r="I3369" s="2">
        <f>IF(AND(payments_raw[[#This Row],[sub_end_date]]&lt;&gt;"", payments_raw[[#This Row],[payment_date]] &gt; payments_raw[[#This Row],[sub_end_date]]), 1, 0)</f>
        <v>0</v>
      </c>
      <c r="J3369" s="2">
        <f>IF(payments_raw[[#This Row],[amount]] &lt;= 0, 1, 0)</f>
        <v>0</v>
      </c>
      <c r="K33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0" spans="1:11" x14ac:dyDescent="0.3">
      <c r="A3370">
        <v>76443354</v>
      </c>
      <c r="B3370">
        <v>7831393</v>
      </c>
      <c r="C3370" s="1">
        <v>45039</v>
      </c>
      <c r="D3370">
        <v>790</v>
      </c>
      <c r="E3370">
        <f>IF(
  ISNA(
    _xlfn.XLOOKUP(
      payments_raw[[#This Row],[subscription_id]],
      subscriptions[subscription_id],
      subscriptions[subscription_id]
    )
  ),
  0,
  1
)</f>
        <v>1</v>
      </c>
      <c r="F3370" s="1">
        <f>_xlfn.XLOOKUP(payments_raw[[#This Row],[subscription_id]], subscriptions[subscription_id], subscriptions[start_date])</f>
        <v>44986</v>
      </c>
      <c r="G33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0" s="2">
        <f>IF(payments_raw[[#This Row],[payment_date]] &lt; payments_raw[[#This Row],[sub_start_date]], 1, 0)</f>
        <v>0</v>
      </c>
      <c r="I3370" s="2">
        <f>IF(AND(payments_raw[[#This Row],[sub_end_date]]&lt;&gt;"", payments_raw[[#This Row],[payment_date]] &gt; payments_raw[[#This Row],[sub_end_date]]), 1, 0)</f>
        <v>0</v>
      </c>
      <c r="J3370" s="2">
        <f>IF(payments_raw[[#This Row],[amount]] &lt;= 0, 1, 0)</f>
        <v>0</v>
      </c>
      <c r="K33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1" spans="1:11" x14ac:dyDescent="0.3">
      <c r="A3371">
        <v>64680466</v>
      </c>
      <c r="B3371">
        <v>8539737</v>
      </c>
      <c r="C3371" s="1">
        <v>45098</v>
      </c>
      <c r="D3371">
        <v>224.25</v>
      </c>
      <c r="E3371">
        <f>IF(
  ISNA(
    _xlfn.XLOOKUP(
      payments_raw[[#This Row],[subscription_id]],
      subscriptions[subscription_id],
      subscriptions[subscription_id]
    )
  ),
  0,
  1
)</f>
        <v>1</v>
      </c>
      <c r="F3371" s="1">
        <f>_xlfn.XLOOKUP(payments_raw[[#This Row],[subscription_id]], subscriptions[subscription_id], subscriptions[start_date])</f>
        <v>44904</v>
      </c>
      <c r="G33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45195</v>
      </c>
      <c r="H3371" s="2">
        <f>IF(payments_raw[[#This Row],[payment_date]] &lt; payments_raw[[#This Row],[sub_start_date]], 1, 0)</f>
        <v>0</v>
      </c>
      <c r="I3371" s="2">
        <f>IF(AND(payments_raw[[#This Row],[sub_end_date]]&lt;&gt;"", payments_raw[[#This Row],[payment_date]] &gt; payments_raw[[#This Row],[sub_end_date]]), 1, 0)</f>
        <v>0</v>
      </c>
      <c r="J3371" s="2">
        <f>IF(payments_raw[[#This Row],[amount]] &lt;= 0, 1, 0)</f>
        <v>0</v>
      </c>
      <c r="K33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2" spans="1:11" x14ac:dyDescent="0.3">
      <c r="A3372">
        <v>23763883</v>
      </c>
      <c r="B3372">
        <v>4810540</v>
      </c>
      <c r="C3372" s="1">
        <v>45614</v>
      </c>
      <c r="D3372">
        <v>790</v>
      </c>
      <c r="E3372">
        <f>IF(
  ISNA(
    _xlfn.XLOOKUP(
      payments_raw[[#This Row],[subscription_id]],
      subscriptions[subscription_id],
      subscriptions[subscription_id]
    )
  ),
  0,
  1
)</f>
        <v>1</v>
      </c>
      <c r="F3372" s="1">
        <f>_xlfn.XLOOKUP(payments_raw[[#This Row],[subscription_id]], subscriptions[subscription_id], subscriptions[start_date])</f>
        <v>45407</v>
      </c>
      <c r="G337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45639</v>
      </c>
      <c r="H3372" s="2">
        <f>IF(payments_raw[[#This Row],[payment_date]] &lt; payments_raw[[#This Row],[sub_start_date]], 1, 0)</f>
        <v>0</v>
      </c>
      <c r="I3372" s="2">
        <f>IF(AND(payments_raw[[#This Row],[sub_end_date]]&lt;&gt;"", payments_raw[[#This Row],[payment_date]] &gt; payments_raw[[#This Row],[sub_end_date]]), 1, 0)</f>
        <v>0</v>
      </c>
      <c r="J3372" s="2">
        <f>IF(payments_raw[[#This Row],[amount]] &lt;= 0, 1, 0)</f>
        <v>0</v>
      </c>
      <c r="K33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3" spans="1:11" x14ac:dyDescent="0.3">
      <c r="A3373">
        <v>28728710</v>
      </c>
      <c r="B3373">
        <v>6801971</v>
      </c>
      <c r="C3373" s="1">
        <v>45539</v>
      </c>
      <c r="D3373">
        <v>39</v>
      </c>
      <c r="E3373">
        <f>IF(
  ISNA(
    _xlfn.XLOOKUP(
      payments_raw[[#This Row],[subscription_id]],
      subscriptions[subscription_id],
      subscriptions[subscription_id]
    )
  ),
  0,
  1
)</f>
        <v>1</v>
      </c>
      <c r="F3373" s="1">
        <f>_xlfn.XLOOKUP(payments_raw[[#This Row],[subscription_id]], subscriptions[subscription_id], subscriptions[start_date])</f>
        <v>45381</v>
      </c>
      <c r="G337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3" s="2">
        <f>IF(payments_raw[[#This Row],[payment_date]] &lt; payments_raw[[#This Row],[sub_start_date]], 1, 0)</f>
        <v>0</v>
      </c>
      <c r="I3373" s="2">
        <f>IF(AND(payments_raw[[#This Row],[sub_end_date]]&lt;&gt;"", payments_raw[[#This Row],[payment_date]] &gt; payments_raw[[#This Row],[sub_end_date]]), 1, 0)</f>
        <v>0</v>
      </c>
      <c r="J3373" s="2">
        <f>IF(payments_raw[[#This Row],[amount]] &lt;= 0, 1, 0)</f>
        <v>0</v>
      </c>
      <c r="K33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4" spans="1:11" x14ac:dyDescent="0.3">
      <c r="A3374">
        <v>14091407</v>
      </c>
      <c r="B3374">
        <v>3029740</v>
      </c>
      <c r="C3374" s="1">
        <v>45526</v>
      </c>
      <c r="D3374">
        <v>14.25</v>
      </c>
      <c r="E3374">
        <f>IF(
  ISNA(
    _xlfn.XLOOKUP(
      payments_raw[[#This Row],[subscription_id]],
      subscriptions[subscription_id],
      subscriptions[subscription_id]
    )
  ),
  0,
  1
)</f>
        <v>1</v>
      </c>
      <c r="F3374" s="1">
        <f>_xlfn.XLOOKUP(payments_raw[[#This Row],[subscription_id]], subscriptions[subscription_id], subscriptions[start_date])</f>
        <v>44610</v>
      </c>
      <c r="G337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4" s="2">
        <f>IF(payments_raw[[#This Row],[payment_date]] &lt; payments_raw[[#This Row],[sub_start_date]], 1, 0)</f>
        <v>0</v>
      </c>
      <c r="I3374" s="2">
        <f>IF(AND(payments_raw[[#This Row],[sub_end_date]]&lt;&gt;"", payments_raw[[#This Row],[payment_date]] &gt; payments_raw[[#This Row],[sub_end_date]]), 1, 0)</f>
        <v>0</v>
      </c>
      <c r="J3374" s="2">
        <f>IF(payments_raw[[#This Row],[amount]] &lt;= 0, 1, 0)</f>
        <v>0</v>
      </c>
      <c r="K33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5" spans="1:11" x14ac:dyDescent="0.3">
      <c r="A3375">
        <v>95945916</v>
      </c>
      <c r="B3375">
        <v>7758043</v>
      </c>
      <c r="C3375" s="1">
        <v>44715</v>
      </c>
      <c r="D3375">
        <v>299</v>
      </c>
      <c r="E3375">
        <f>IF(
  ISNA(
    _xlfn.XLOOKUP(
      payments_raw[[#This Row],[subscription_id]],
      subscriptions[subscription_id],
      subscriptions[subscription_id]
    )
  ),
  0,
  1
)</f>
        <v>1</v>
      </c>
      <c r="F3375" s="1">
        <f>_xlfn.XLOOKUP(payments_raw[[#This Row],[subscription_id]], subscriptions[subscription_id], subscriptions[start_date])</f>
        <v>44637</v>
      </c>
      <c r="G337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44937</v>
      </c>
      <c r="H3375" s="2">
        <f>IF(payments_raw[[#This Row],[payment_date]] &lt; payments_raw[[#This Row],[sub_start_date]], 1, 0)</f>
        <v>0</v>
      </c>
      <c r="I3375" s="2">
        <f>IF(AND(payments_raw[[#This Row],[sub_end_date]]&lt;&gt;"", payments_raw[[#This Row],[payment_date]] &gt; payments_raw[[#This Row],[sub_end_date]]), 1, 0)</f>
        <v>0</v>
      </c>
      <c r="J3375" s="2">
        <f>IF(payments_raw[[#This Row],[amount]] &lt;= 0, 1, 0)</f>
        <v>0</v>
      </c>
      <c r="K33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6" spans="1:11" x14ac:dyDescent="0.3">
      <c r="A3376">
        <v>64506494</v>
      </c>
      <c r="B3376">
        <v>4026182</v>
      </c>
      <c r="C3376" s="1">
        <v>45108</v>
      </c>
      <c r="D3376">
        <v>1490</v>
      </c>
      <c r="E3376">
        <f>IF(
  ISNA(
    _xlfn.XLOOKUP(
      payments_raw[[#This Row],[subscription_id]],
      subscriptions[subscription_id],
      subscriptions[subscription_id]
    )
  ),
  0,
  1
)</f>
        <v>1</v>
      </c>
      <c r="F3376" s="1">
        <f>_xlfn.XLOOKUP(payments_raw[[#This Row],[subscription_id]], subscriptions[subscription_id], subscriptions[start_date])</f>
        <v>45092</v>
      </c>
      <c r="G337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6" s="2">
        <f>IF(payments_raw[[#This Row],[payment_date]] &lt; payments_raw[[#This Row],[sub_start_date]], 1, 0)</f>
        <v>0</v>
      </c>
      <c r="I3376" s="2">
        <f>IF(AND(payments_raw[[#This Row],[sub_end_date]]&lt;&gt;"", payments_raw[[#This Row],[payment_date]] &gt; payments_raw[[#This Row],[sub_end_date]]), 1, 0)</f>
        <v>0</v>
      </c>
      <c r="J3376" s="2">
        <f>IF(payments_raw[[#This Row],[amount]] &lt;= 0, 1, 0)</f>
        <v>0</v>
      </c>
      <c r="K33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7" spans="1:11" x14ac:dyDescent="0.3">
      <c r="A3377">
        <v>57421735</v>
      </c>
      <c r="B3377">
        <v>2402500</v>
      </c>
      <c r="C3377" s="1">
        <v>45174</v>
      </c>
      <c r="D3377">
        <v>1490</v>
      </c>
      <c r="E3377">
        <f>IF(
  ISNA(
    _xlfn.XLOOKUP(
      payments_raw[[#This Row],[subscription_id]],
      subscriptions[subscription_id],
      subscriptions[subscription_id]
    )
  ),
  0,
  1
)</f>
        <v>1</v>
      </c>
      <c r="F3377" s="1">
        <f>_xlfn.XLOOKUP(payments_raw[[#This Row],[subscription_id]], subscriptions[subscription_id], subscriptions[start_date])</f>
        <v>45110</v>
      </c>
      <c r="G337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7" s="2">
        <f>IF(payments_raw[[#This Row],[payment_date]] &lt; payments_raw[[#This Row],[sub_start_date]], 1, 0)</f>
        <v>0</v>
      </c>
      <c r="I3377" s="2">
        <f>IF(AND(payments_raw[[#This Row],[sub_end_date]]&lt;&gt;"", payments_raw[[#This Row],[payment_date]] &gt; payments_raw[[#This Row],[sub_end_date]]), 1, 0)</f>
        <v>0</v>
      </c>
      <c r="J3377" s="2">
        <f>IF(payments_raw[[#This Row],[amount]] &lt;= 0, 1, 0)</f>
        <v>0</v>
      </c>
      <c r="K33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8" spans="1:11" x14ac:dyDescent="0.3">
      <c r="A3378">
        <v>59011741</v>
      </c>
      <c r="B3378">
        <v>6337250</v>
      </c>
      <c r="C3378" s="1">
        <v>44913</v>
      </c>
      <c r="D3378">
        <v>9.5</v>
      </c>
      <c r="E3378">
        <f>IF(
  ISNA(
    _xlfn.XLOOKUP(
      payments_raw[[#This Row],[subscription_id]],
      subscriptions[subscription_id],
      subscriptions[subscription_id]
    )
  ),
  0,
  1
)</f>
        <v>1</v>
      </c>
      <c r="F3378" s="1">
        <f>_xlfn.XLOOKUP(payments_raw[[#This Row],[subscription_id]], subscriptions[subscription_id], subscriptions[start_date])</f>
        <v>44886</v>
      </c>
      <c r="G337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78" s="2">
        <f>IF(payments_raw[[#This Row],[payment_date]] &lt; payments_raw[[#This Row],[sub_start_date]], 1, 0)</f>
        <v>0</v>
      </c>
      <c r="I3378" s="2">
        <f>IF(AND(payments_raw[[#This Row],[sub_end_date]]&lt;&gt;"", payments_raw[[#This Row],[payment_date]] &gt; payments_raw[[#This Row],[sub_end_date]]), 1, 0)</f>
        <v>0</v>
      </c>
      <c r="J3378" s="2">
        <f>IF(payments_raw[[#This Row],[amount]] &lt;= 0, 1, 0)</f>
        <v>0</v>
      </c>
      <c r="K33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79" spans="1:11" x14ac:dyDescent="0.3">
      <c r="A3379">
        <v>10586267</v>
      </c>
      <c r="B3379">
        <v>3596701</v>
      </c>
      <c r="C3379" s="1">
        <v>45212</v>
      </c>
      <c r="D3379">
        <v>299</v>
      </c>
      <c r="E3379">
        <f>IF(
  ISNA(
    _xlfn.XLOOKUP(
      payments_raw[[#This Row],[subscription_id]],
      subscriptions[subscription_id],
      subscriptions[subscription_id]
    )
  ),
  0,
  1
)</f>
        <v>1</v>
      </c>
      <c r="F3379" s="1">
        <f>_xlfn.XLOOKUP(payments_raw[[#This Row],[subscription_id]], subscriptions[subscription_id], subscriptions[start_date])</f>
        <v>45178</v>
      </c>
      <c r="G33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45576</v>
      </c>
      <c r="H3379" s="2">
        <f>IF(payments_raw[[#This Row],[payment_date]] &lt; payments_raw[[#This Row],[sub_start_date]], 1, 0)</f>
        <v>0</v>
      </c>
      <c r="I3379" s="2">
        <f>IF(AND(payments_raw[[#This Row],[sub_end_date]]&lt;&gt;"", payments_raw[[#This Row],[payment_date]] &gt; payments_raw[[#This Row],[sub_end_date]]), 1, 0)</f>
        <v>0</v>
      </c>
      <c r="J3379" s="2">
        <f>IF(payments_raw[[#This Row],[amount]] &lt;= 0, 1, 0)</f>
        <v>0</v>
      </c>
      <c r="K33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0" spans="1:11" x14ac:dyDescent="0.3">
      <c r="A3380">
        <v>95202538</v>
      </c>
      <c r="B3380">
        <v>9770547</v>
      </c>
      <c r="C3380" s="1">
        <v>44684</v>
      </c>
      <c r="D3380">
        <v>39</v>
      </c>
      <c r="E3380">
        <f>IF(
  ISNA(
    _xlfn.XLOOKUP(
      payments_raw[[#This Row],[subscription_id]],
      subscriptions[subscription_id],
      subscriptions[subscription_id]
    )
  ),
  0,
  1
)</f>
        <v>1</v>
      </c>
      <c r="F3380" s="1">
        <f>_xlfn.XLOOKUP(payments_raw[[#This Row],[subscription_id]], subscriptions[subscription_id], subscriptions[start_date])</f>
        <v>44638</v>
      </c>
      <c r="G338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44989</v>
      </c>
      <c r="H3380" s="2">
        <f>IF(payments_raw[[#This Row],[payment_date]] &lt; payments_raw[[#This Row],[sub_start_date]], 1, 0)</f>
        <v>0</v>
      </c>
      <c r="I3380" s="2">
        <f>IF(AND(payments_raw[[#This Row],[sub_end_date]]&lt;&gt;"", payments_raw[[#This Row],[payment_date]] &gt; payments_raw[[#This Row],[sub_end_date]]), 1, 0)</f>
        <v>0</v>
      </c>
      <c r="J3380" s="2">
        <f>IF(payments_raw[[#This Row],[amount]] &lt;= 0, 1, 0)</f>
        <v>0</v>
      </c>
      <c r="K33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1" spans="1:11" x14ac:dyDescent="0.3">
      <c r="A3381">
        <v>22601623</v>
      </c>
      <c r="B3381">
        <v>8651518</v>
      </c>
      <c r="C3381" s="1">
        <v>45248</v>
      </c>
      <c r="D3381">
        <v>299</v>
      </c>
      <c r="E3381">
        <f>IF(
  ISNA(
    _xlfn.XLOOKUP(
      payments_raw[[#This Row],[subscription_id]],
      subscriptions[subscription_id],
      subscriptions[subscription_id]
    )
  ),
  0,
  1
)</f>
        <v>1</v>
      </c>
      <c r="F3381" s="1">
        <f>_xlfn.XLOOKUP(payments_raw[[#This Row],[subscription_id]], subscriptions[subscription_id], subscriptions[start_date])</f>
        <v>44925</v>
      </c>
      <c r="G33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1" s="2">
        <f>IF(payments_raw[[#This Row],[payment_date]] &lt; payments_raw[[#This Row],[sub_start_date]], 1, 0)</f>
        <v>0</v>
      </c>
      <c r="I3381" s="2">
        <f>IF(AND(payments_raw[[#This Row],[sub_end_date]]&lt;&gt;"", payments_raw[[#This Row],[payment_date]] &gt; payments_raw[[#This Row],[sub_end_date]]), 1, 0)</f>
        <v>0</v>
      </c>
      <c r="J3381" s="2">
        <f>IF(payments_raw[[#This Row],[amount]] &lt;= 0, 1, 0)</f>
        <v>0</v>
      </c>
      <c r="K33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2" spans="1:11" x14ac:dyDescent="0.3">
      <c r="A3382">
        <v>56554895</v>
      </c>
      <c r="B3382">
        <v>7230376</v>
      </c>
      <c r="C3382" s="1">
        <v>45547</v>
      </c>
      <c r="D3382">
        <v>19</v>
      </c>
      <c r="E3382">
        <f>IF(
  ISNA(
    _xlfn.XLOOKUP(
      payments_raw[[#This Row],[subscription_id]],
      subscriptions[subscription_id],
      subscriptions[subscription_id]
    )
  ),
  0,
  1
)</f>
        <v>1</v>
      </c>
      <c r="F3382" s="1">
        <f>_xlfn.XLOOKUP(payments_raw[[#This Row],[subscription_id]], subscriptions[subscription_id], subscriptions[start_date])</f>
        <v>45413</v>
      </c>
      <c r="G338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2" s="2">
        <f>IF(payments_raw[[#This Row],[payment_date]] &lt; payments_raw[[#This Row],[sub_start_date]], 1, 0)</f>
        <v>0</v>
      </c>
      <c r="I3382" s="2">
        <f>IF(AND(payments_raw[[#This Row],[sub_end_date]]&lt;&gt;"", payments_raw[[#This Row],[payment_date]] &gt; payments_raw[[#This Row],[sub_end_date]]), 1, 0)</f>
        <v>0</v>
      </c>
      <c r="J3382" s="2">
        <f>IF(payments_raw[[#This Row],[amount]] &lt;= 0, 1, 0)</f>
        <v>0</v>
      </c>
      <c r="K33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3" spans="1:11" x14ac:dyDescent="0.3">
      <c r="A3383">
        <v>18299806</v>
      </c>
      <c r="B3383">
        <v>3337125</v>
      </c>
      <c r="C3383" s="1">
        <v>45615</v>
      </c>
      <c r="D3383">
        <v>790</v>
      </c>
      <c r="E3383">
        <f>IF(
  ISNA(
    _xlfn.XLOOKUP(
      payments_raw[[#This Row],[subscription_id]],
      subscriptions[subscription_id],
      subscriptions[subscription_id]
    )
  ),
  0,
  1
)</f>
        <v>1</v>
      </c>
      <c r="F3383" s="1">
        <f>_xlfn.XLOOKUP(payments_raw[[#This Row],[subscription_id]], subscriptions[subscription_id], subscriptions[start_date])</f>
        <v>45520</v>
      </c>
      <c r="G33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45649</v>
      </c>
      <c r="H3383" s="2">
        <f>IF(payments_raw[[#This Row],[payment_date]] &lt; payments_raw[[#This Row],[sub_start_date]], 1, 0)</f>
        <v>0</v>
      </c>
      <c r="I3383" s="2">
        <f>IF(AND(payments_raw[[#This Row],[sub_end_date]]&lt;&gt;"", payments_raw[[#This Row],[payment_date]] &gt; payments_raw[[#This Row],[sub_end_date]]), 1, 0)</f>
        <v>0</v>
      </c>
      <c r="J3383" s="2">
        <f>IF(payments_raw[[#This Row],[amount]] &lt;= 0, 1, 0)</f>
        <v>0</v>
      </c>
      <c r="K33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4" spans="1:11" x14ac:dyDescent="0.3">
      <c r="A3384">
        <v>44314112</v>
      </c>
      <c r="B3384">
        <v>8950226</v>
      </c>
      <c r="C3384" s="1">
        <v>45200</v>
      </c>
      <c r="D3384">
        <v>395</v>
      </c>
      <c r="E3384">
        <f>IF(
  ISNA(
    _xlfn.XLOOKUP(
      payments_raw[[#This Row],[subscription_id]],
      subscriptions[subscription_id],
      subscriptions[subscription_id]
    )
  ),
  0,
  1
)</f>
        <v>1</v>
      </c>
      <c r="F3384" s="1">
        <f>_xlfn.XLOOKUP(payments_raw[[#This Row],[subscription_id]], subscriptions[subscription_id], subscriptions[start_date])</f>
        <v>44582</v>
      </c>
      <c r="G33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4" s="2">
        <f>IF(payments_raw[[#This Row],[payment_date]] &lt; payments_raw[[#This Row],[sub_start_date]], 1, 0)</f>
        <v>0</v>
      </c>
      <c r="I3384" s="2">
        <f>IF(AND(payments_raw[[#This Row],[sub_end_date]]&lt;&gt;"", payments_raw[[#This Row],[payment_date]] &gt; payments_raw[[#This Row],[sub_end_date]]), 1, 0)</f>
        <v>0</v>
      </c>
      <c r="J3384" s="2">
        <f>IF(payments_raw[[#This Row],[amount]] &lt;= 0, 1, 0)</f>
        <v>0</v>
      </c>
      <c r="K33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5" spans="1:11" x14ac:dyDescent="0.3">
      <c r="A3385">
        <v>89286521</v>
      </c>
      <c r="B3385">
        <v>6628280</v>
      </c>
      <c r="C3385" s="1">
        <v>45287</v>
      </c>
      <c r="D3385">
        <v>39</v>
      </c>
      <c r="E3385">
        <f>IF(
  ISNA(
    _xlfn.XLOOKUP(
      payments_raw[[#This Row],[subscription_id]],
      subscriptions[subscription_id],
      subscriptions[subscription_id]
    )
  ),
  0,
  1
)</f>
        <v>1</v>
      </c>
      <c r="F3385" s="1">
        <f>_xlfn.XLOOKUP(payments_raw[[#This Row],[subscription_id]], subscriptions[subscription_id], subscriptions[start_date])</f>
        <v>44619</v>
      </c>
      <c r="G33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5" s="2">
        <f>IF(payments_raw[[#This Row],[payment_date]] &lt; payments_raw[[#This Row],[sub_start_date]], 1, 0)</f>
        <v>0</v>
      </c>
      <c r="I3385" s="2">
        <f>IF(AND(payments_raw[[#This Row],[sub_end_date]]&lt;&gt;"", payments_raw[[#This Row],[payment_date]] &gt; payments_raw[[#This Row],[sub_end_date]]), 1, 0)</f>
        <v>0</v>
      </c>
      <c r="J3385" s="2">
        <f>IF(payments_raw[[#This Row],[amount]] &lt;= 0, 1, 0)</f>
        <v>0</v>
      </c>
      <c r="K33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6" spans="1:11" x14ac:dyDescent="0.3">
      <c r="A3386">
        <v>86123950</v>
      </c>
      <c r="B3386">
        <v>7397002</v>
      </c>
      <c r="C3386" s="1">
        <v>45586</v>
      </c>
      <c r="D3386">
        <v>59.25</v>
      </c>
      <c r="E3386">
        <f>IF(
  ISNA(
    _xlfn.XLOOKUP(
      payments_raw[[#This Row],[subscription_id]],
      subscriptions[subscription_id],
      subscriptions[subscription_id]
    )
  ),
  0,
  1
)</f>
        <v>1</v>
      </c>
      <c r="F3386" s="1">
        <f>_xlfn.XLOOKUP(payments_raw[[#This Row],[subscription_id]], subscriptions[subscription_id], subscriptions[start_date])</f>
        <v>45519</v>
      </c>
      <c r="G338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45653</v>
      </c>
      <c r="H3386" s="2">
        <f>IF(payments_raw[[#This Row],[payment_date]] &lt; payments_raw[[#This Row],[sub_start_date]], 1, 0)</f>
        <v>0</v>
      </c>
      <c r="I3386" s="2">
        <f>IF(AND(payments_raw[[#This Row],[sub_end_date]]&lt;&gt;"", payments_raw[[#This Row],[payment_date]] &gt; payments_raw[[#This Row],[sub_end_date]]), 1, 0)</f>
        <v>0</v>
      </c>
      <c r="J3386" s="2">
        <f>IF(payments_raw[[#This Row],[amount]] &lt;= 0, 1, 0)</f>
        <v>0</v>
      </c>
      <c r="K33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7" spans="1:11" x14ac:dyDescent="0.3">
      <c r="A3387">
        <v>45462260</v>
      </c>
      <c r="B3387">
        <v>7463257</v>
      </c>
      <c r="C3387" s="1">
        <v>44867</v>
      </c>
      <c r="D3387">
        <v>790</v>
      </c>
      <c r="E3387">
        <f>IF(
  ISNA(
    _xlfn.XLOOKUP(
      payments_raw[[#This Row],[subscription_id]],
      subscriptions[subscription_id],
      subscriptions[subscription_id]
    )
  ),
  0,
  1
)</f>
        <v>1</v>
      </c>
      <c r="F3387" s="1">
        <f>_xlfn.XLOOKUP(payments_raw[[#This Row],[subscription_id]], subscriptions[subscription_id], subscriptions[start_date])</f>
        <v>44774</v>
      </c>
      <c r="G3387" s="1">
        <f>IF(_xlfn.XLOOKUP(payments_raw[[#This Row],[subscription_id]], subscriptions[subscription_id], subscriptions[end_date])=0,"",_xlfn.XLOOKUP(payments_raw[[#This Row],[subscription_id]], subscriptions[subscription_id], subscriptions[end_date]))</f>
        <v>44954</v>
      </c>
      <c r="H3387" s="2">
        <f>IF(payments_raw[[#This Row],[payment_date]] &lt; payments_raw[[#This Row],[sub_start_date]], 1, 0)</f>
        <v>0</v>
      </c>
      <c r="I3387" s="2">
        <f>IF(AND(payments_raw[[#This Row],[sub_end_date]]&lt;&gt;"", payments_raw[[#This Row],[payment_date]] &gt; payments_raw[[#This Row],[sub_end_date]]), 1, 0)</f>
        <v>0</v>
      </c>
      <c r="J3387" s="2">
        <f>IF(payments_raw[[#This Row],[amount]] &lt;= 0, 1, 0)</f>
        <v>0</v>
      </c>
      <c r="K33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8" spans="1:11" x14ac:dyDescent="0.3">
      <c r="A3388">
        <v>52932757</v>
      </c>
      <c r="B3388">
        <v>7848595</v>
      </c>
      <c r="C3388" s="1">
        <v>45448</v>
      </c>
      <c r="D3388">
        <v>149</v>
      </c>
      <c r="E3388">
        <f>IF(
  ISNA(
    _xlfn.XLOOKUP(
      payments_raw[[#This Row],[subscription_id]],
      subscriptions[subscription_id],
      subscriptions[subscription_id]
    )
  ),
  0,
  1
)</f>
        <v>1</v>
      </c>
      <c r="F3388" s="1">
        <f>_xlfn.XLOOKUP(payments_raw[[#This Row],[subscription_id]], subscriptions[subscription_id], subscriptions[start_date])</f>
        <v>45329</v>
      </c>
      <c r="G3388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3388" s="2">
        <f>IF(payments_raw[[#This Row],[payment_date]] &lt; payments_raw[[#This Row],[sub_start_date]], 1, 0)</f>
        <v>0</v>
      </c>
      <c r="I3388" s="2">
        <f>IF(AND(payments_raw[[#This Row],[sub_end_date]]&lt;&gt;"", payments_raw[[#This Row],[payment_date]] &gt; payments_raw[[#This Row],[sub_end_date]]), 1, 0)</f>
        <v>0</v>
      </c>
      <c r="J3388" s="2">
        <f>IF(payments_raw[[#This Row],[amount]] &lt;= 0, 1, 0)</f>
        <v>0</v>
      </c>
      <c r="K33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89" spans="1:11" x14ac:dyDescent="0.3">
      <c r="A3389">
        <v>52858123</v>
      </c>
      <c r="B3389">
        <v>5767876</v>
      </c>
      <c r="C3389" s="1">
        <v>45619</v>
      </c>
      <c r="D3389">
        <v>190</v>
      </c>
      <c r="E3389">
        <f>IF(
  ISNA(
    _xlfn.XLOOKUP(
      payments_raw[[#This Row],[subscription_id]],
      subscriptions[subscription_id],
      subscriptions[subscription_id]
    )
  ),
  0,
  1
)</f>
        <v>1</v>
      </c>
      <c r="F3389" s="1">
        <f>_xlfn.XLOOKUP(payments_raw[[#This Row],[subscription_id]], subscriptions[subscription_id], subscriptions[start_date])</f>
        <v>45434</v>
      </c>
      <c r="G338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89" s="2">
        <f>IF(payments_raw[[#This Row],[payment_date]] &lt; payments_raw[[#This Row],[sub_start_date]], 1, 0)</f>
        <v>0</v>
      </c>
      <c r="I3389" s="2">
        <f>IF(AND(payments_raw[[#This Row],[sub_end_date]]&lt;&gt;"", payments_raw[[#This Row],[payment_date]] &gt; payments_raw[[#This Row],[sub_end_date]]), 1, 0)</f>
        <v>0</v>
      </c>
      <c r="J3389" s="2">
        <f>IF(payments_raw[[#This Row],[amount]] &lt;= 0, 1, 0)</f>
        <v>0</v>
      </c>
      <c r="K33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0" spans="1:11" x14ac:dyDescent="0.3">
      <c r="A3390">
        <v>86862400</v>
      </c>
      <c r="B3390">
        <v>3436404</v>
      </c>
      <c r="C3390" s="1">
        <v>44820</v>
      </c>
      <c r="D3390">
        <v>2691</v>
      </c>
      <c r="E3390">
        <f>IF(
  ISNA(
    _xlfn.XLOOKUP(
      payments_raw[[#This Row],[subscription_id]],
      subscriptions[subscription_id],
      subscriptions[subscription_id]
    )
  ),
  0,
  1
)</f>
        <v>1</v>
      </c>
      <c r="F3390" s="1">
        <f>_xlfn.XLOOKUP(payments_raw[[#This Row],[subscription_id]], subscriptions[subscription_id], subscriptions[start_date])</f>
        <v>44632</v>
      </c>
      <c r="G339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44859</v>
      </c>
      <c r="H3390" s="2">
        <f>IF(payments_raw[[#This Row],[payment_date]] &lt; payments_raw[[#This Row],[sub_start_date]], 1, 0)</f>
        <v>0</v>
      </c>
      <c r="I3390" s="2">
        <f>IF(AND(payments_raw[[#This Row],[sub_end_date]]&lt;&gt;"", payments_raw[[#This Row],[payment_date]] &gt; payments_raw[[#This Row],[sub_end_date]]), 1, 0)</f>
        <v>0</v>
      </c>
      <c r="J3390" s="2">
        <f>IF(payments_raw[[#This Row],[amount]] &lt;= 0, 1, 0)</f>
        <v>0</v>
      </c>
      <c r="K33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1" spans="1:11" x14ac:dyDescent="0.3">
      <c r="A3391">
        <v>80425765</v>
      </c>
      <c r="B3391">
        <v>9532750</v>
      </c>
      <c r="C3391" s="1">
        <v>45596</v>
      </c>
      <c r="D3391">
        <v>149</v>
      </c>
      <c r="E3391">
        <f>IF(
  ISNA(
    _xlfn.XLOOKUP(
      payments_raw[[#This Row],[subscription_id]],
      subscriptions[subscription_id],
      subscriptions[subscription_id]
    )
  ),
  0,
  1
)</f>
        <v>1</v>
      </c>
      <c r="F3391" s="1">
        <f>_xlfn.XLOOKUP(payments_raw[[#This Row],[subscription_id]], subscriptions[subscription_id], subscriptions[start_date])</f>
        <v>45393</v>
      </c>
      <c r="G339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1" s="2">
        <f>IF(payments_raw[[#This Row],[payment_date]] &lt; payments_raw[[#This Row],[sub_start_date]], 1, 0)</f>
        <v>0</v>
      </c>
      <c r="I3391" s="2">
        <f>IF(AND(payments_raw[[#This Row],[sub_end_date]]&lt;&gt;"", payments_raw[[#This Row],[payment_date]] &gt; payments_raw[[#This Row],[sub_end_date]]), 1, 0)</f>
        <v>0</v>
      </c>
      <c r="J3391" s="2">
        <f>IF(payments_raw[[#This Row],[amount]] &lt;= 0, 1, 0)</f>
        <v>0</v>
      </c>
      <c r="K33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2" spans="1:11" x14ac:dyDescent="0.3">
      <c r="A3392">
        <v>50311520</v>
      </c>
      <c r="B3392">
        <v>2089834</v>
      </c>
      <c r="C3392" s="1">
        <v>45612</v>
      </c>
      <c r="D3392">
        <v>1490</v>
      </c>
      <c r="E3392">
        <f>IF(
  ISNA(
    _xlfn.XLOOKUP(
      payments_raw[[#This Row],[subscription_id]],
      subscriptions[subscription_id],
      subscriptions[subscription_id]
    )
  ),
  0,
  1
)</f>
        <v>1</v>
      </c>
      <c r="F3392" s="1">
        <f>_xlfn.XLOOKUP(payments_raw[[#This Row],[subscription_id]], subscriptions[subscription_id], subscriptions[start_date])</f>
        <v>44877</v>
      </c>
      <c r="G339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2" s="2">
        <f>IF(payments_raw[[#This Row],[payment_date]] &lt; payments_raw[[#This Row],[sub_start_date]], 1, 0)</f>
        <v>0</v>
      </c>
      <c r="I3392" s="2">
        <f>IF(AND(payments_raw[[#This Row],[sub_end_date]]&lt;&gt;"", payments_raw[[#This Row],[payment_date]] &gt; payments_raw[[#This Row],[sub_end_date]]), 1, 0)</f>
        <v>0</v>
      </c>
      <c r="J3392" s="2">
        <f>IF(payments_raw[[#This Row],[amount]] &lt;= 0, 1, 0)</f>
        <v>0</v>
      </c>
      <c r="K33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3" spans="1:11" x14ac:dyDescent="0.3">
      <c r="A3393">
        <v>38831052</v>
      </c>
      <c r="B3393">
        <v>4158126</v>
      </c>
      <c r="C3393" s="1">
        <v>45309</v>
      </c>
      <c r="D3393">
        <v>19</v>
      </c>
      <c r="E3393">
        <f>IF(
  ISNA(
    _xlfn.XLOOKUP(
      payments_raw[[#This Row],[subscription_id]],
      subscriptions[subscription_id],
      subscriptions[subscription_id]
    )
  ),
  0,
  1
)</f>
        <v>1</v>
      </c>
      <c r="F3393" s="1">
        <f>_xlfn.XLOOKUP(payments_raw[[#This Row],[subscription_id]], subscriptions[subscription_id], subscriptions[start_date])</f>
        <v>45282</v>
      </c>
      <c r="G3393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45338</v>
      </c>
      <c r="H3393" s="2">
        <f>IF(payments_raw[[#This Row],[payment_date]] &lt; payments_raw[[#This Row],[sub_start_date]], 1, 0)</f>
        <v>0</v>
      </c>
      <c r="I3393" s="2">
        <f>IF(AND(payments_raw[[#This Row],[sub_end_date]]&lt;&gt;"", payments_raw[[#This Row],[payment_date]] &gt; payments_raw[[#This Row],[sub_end_date]]), 1, 0)</f>
        <v>0</v>
      </c>
      <c r="J3393" s="2">
        <f>IF(payments_raw[[#This Row],[amount]] &lt;= 0, 1, 0)</f>
        <v>0</v>
      </c>
      <c r="K33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4" spans="1:11" x14ac:dyDescent="0.3">
      <c r="A3394">
        <v>26516208</v>
      </c>
      <c r="B3394">
        <v>9234422</v>
      </c>
      <c r="C3394" s="1">
        <v>45514</v>
      </c>
      <c r="D3394">
        <v>299</v>
      </c>
      <c r="E3394">
        <f>IF(
  ISNA(
    _xlfn.XLOOKUP(
      payments_raw[[#This Row],[subscription_id]],
      subscriptions[subscription_id],
      subscriptions[subscription_id]
    )
  ),
  0,
  1
)</f>
        <v>1</v>
      </c>
      <c r="F3394" s="1">
        <f>_xlfn.XLOOKUP(payments_raw[[#This Row],[subscription_id]], subscriptions[subscription_id], subscriptions[start_date])</f>
        <v>45444</v>
      </c>
      <c r="G3394" s="1">
        <f>IF(_xlfn.XLOOKUP(payments_raw[[#This Row],[subscription_id]], subscriptions[subscription_id], subscriptions[end_date])=0,"",_xlfn.XLOOKUP(payments_raw[[#This Row],[subscription_id]], subscriptions[subscription_id], subscriptions[end_date]))</f>
        <v>45542</v>
      </c>
      <c r="H3394" s="2">
        <f>IF(payments_raw[[#This Row],[payment_date]] &lt; payments_raw[[#This Row],[sub_start_date]], 1, 0)</f>
        <v>0</v>
      </c>
      <c r="I3394" s="2">
        <f>IF(AND(payments_raw[[#This Row],[sub_end_date]]&lt;&gt;"", payments_raw[[#This Row],[payment_date]] &gt; payments_raw[[#This Row],[sub_end_date]]), 1, 0)</f>
        <v>0</v>
      </c>
      <c r="J3394" s="2">
        <f>IF(payments_raw[[#This Row],[amount]] &lt;= 0, 1, 0)</f>
        <v>0</v>
      </c>
      <c r="K33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5" spans="1:11" x14ac:dyDescent="0.3">
      <c r="A3395">
        <v>53254231</v>
      </c>
      <c r="B3395">
        <v>5264422</v>
      </c>
      <c r="C3395" s="1">
        <v>45524</v>
      </c>
      <c r="D3395">
        <v>790</v>
      </c>
      <c r="E3395">
        <f>IF(
  ISNA(
    _xlfn.XLOOKUP(
      payments_raw[[#This Row],[subscription_id]],
      subscriptions[subscription_id],
      subscriptions[subscription_id]
    )
  ),
  0,
  1
)</f>
        <v>1</v>
      </c>
      <c r="F3395" s="1">
        <f>_xlfn.XLOOKUP(payments_raw[[#This Row],[subscription_id]], subscriptions[subscription_id], subscriptions[start_date])</f>
        <v>45433</v>
      </c>
      <c r="G3395" s="1">
        <f>IF(_xlfn.XLOOKUP(payments_raw[[#This Row],[subscription_id]], subscriptions[subscription_id], subscriptions[end_date])=0,"",_xlfn.XLOOKUP(payments_raw[[#This Row],[subscription_id]], subscriptions[subscription_id], subscriptions[end_date]))</f>
        <v>45536</v>
      </c>
      <c r="H3395" s="2">
        <f>IF(payments_raw[[#This Row],[payment_date]] &lt; payments_raw[[#This Row],[sub_start_date]], 1, 0)</f>
        <v>0</v>
      </c>
      <c r="I3395" s="2">
        <f>IF(AND(payments_raw[[#This Row],[sub_end_date]]&lt;&gt;"", payments_raw[[#This Row],[payment_date]] &gt; payments_raw[[#This Row],[sub_end_date]]), 1, 0)</f>
        <v>0</v>
      </c>
      <c r="J3395" s="2">
        <f>IF(payments_raw[[#This Row],[amount]] &lt;= 0, 1, 0)</f>
        <v>0</v>
      </c>
      <c r="K33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6" spans="1:11" x14ac:dyDescent="0.3">
      <c r="A3396">
        <v>45412428</v>
      </c>
      <c r="B3396">
        <v>5413298</v>
      </c>
      <c r="C3396" s="1">
        <v>45565</v>
      </c>
      <c r="D3396">
        <v>2990</v>
      </c>
      <c r="E3396">
        <f>IF(
  ISNA(
    _xlfn.XLOOKUP(
      payments_raw[[#This Row],[subscription_id]],
      subscriptions[subscription_id],
      subscriptions[subscription_id]
    )
  ),
  0,
  1
)</f>
        <v>1</v>
      </c>
      <c r="F3396" s="1">
        <f>_xlfn.XLOOKUP(payments_raw[[#This Row],[subscription_id]], subscriptions[subscription_id], subscriptions[start_date])</f>
        <v>44623</v>
      </c>
      <c r="G33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6" s="2">
        <f>IF(payments_raw[[#This Row],[payment_date]] &lt; payments_raw[[#This Row],[sub_start_date]], 1, 0)</f>
        <v>0</v>
      </c>
      <c r="I3396" s="2">
        <f>IF(AND(payments_raw[[#This Row],[sub_end_date]]&lt;&gt;"", payments_raw[[#This Row],[payment_date]] &gt; payments_raw[[#This Row],[sub_end_date]]), 1, 0)</f>
        <v>0</v>
      </c>
      <c r="J3396" s="2">
        <f>IF(payments_raw[[#This Row],[amount]] &lt;= 0, 1, 0)</f>
        <v>0</v>
      </c>
      <c r="K33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7" spans="1:11" x14ac:dyDescent="0.3">
      <c r="A3397">
        <v>10928192</v>
      </c>
      <c r="B3397">
        <v>1004141</v>
      </c>
      <c r="C3397" s="1">
        <v>45415</v>
      </c>
      <c r="D3397">
        <v>149</v>
      </c>
      <c r="E3397">
        <f>IF(
  ISNA(
    _xlfn.XLOOKUP(
      payments_raw[[#This Row],[subscription_id]],
      subscriptions[subscription_id],
      subscriptions[subscription_id]
    )
  ),
  0,
  1
)</f>
        <v>1</v>
      </c>
      <c r="F3397" s="1">
        <f>_xlfn.XLOOKUP(payments_raw[[#This Row],[subscription_id]], subscriptions[subscription_id], subscriptions[start_date])</f>
        <v>45224</v>
      </c>
      <c r="G33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7" s="2">
        <f>IF(payments_raw[[#This Row],[payment_date]] &lt; payments_raw[[#This Row],[sub_start_date]], 1, 0)</f>
        <v>0</v>
      </c>
      <c r="I3397" s="2">
        <f>IF(AND(payments_raw[[#This Row],[sub_end_date]]&lt;&gt;"", payments_raw[[#This Row],[payment_date]] &gt; payments_raw[[#This Row],[sub_end_date]]), 1, 0)</f>
        <v>0</v>
      </c>
      <c r="J3397" s="2">
        <f>IF(payments_raw[[#This Row],[amount]] &lt;= 0, 1, 0)</f>
        <v>0</v>
      </c>
      <c r="K33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8" spans="1:11" x14ac:dyDescent="0.3">
      <c r="A3398">
        <v>16600294</v>
      </c>
      <c r="B3398">
        <v>2536556</v>
      </c>
      <c r="C3398" s="1">
        <v>44949</v>
      </c>
      <c r="D3398">
        <v>790</v>
      </c>
      <c r="E3398">
        <f>IF(
  ISNA(
    _xlfn.XLOOKUP(
      payments_raw[[#This Row],[subscription_id]],
      subscriptions[subscription_id],
      subscriptions[subscription_id]
    )
  ),
  0,
  1
)</f>
        <v>1</v>
      </c>
      <c r="F3398" s="1">
        <f>_xlfn.XLOOKUP(payments_raw[[#This Row],[subscription_id]], subscriptions[subscription_id], subscriptions[start_date])</f>
        <v>44569</v>
      </c>
      <c r="G33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398" s="2">
        <f>IF(payments_raw[[#This Row],[payment_date]] &lt; payments_raw[[#This Row],[sub_start_date]], 1, 0)</f>
        <v>0</v>
      </c>
      <c r="I3398" s="2">
        <f>IF(AND(payments_raw[[#This Row],[sub_end_date]]&lt;&gt;"", payments_raw[[#This Row],[payment_date]] &gt; payments_raw[[#This Row],[sub_end_date]]), 1, 0)</f>
        <v>0</v>
      </c>
      <c r="J3398" s="2">
        <f>IF(payments_raw[[#This Row],[amount]] &lt;= 0, 1, 0)</f>
        <v>0</v>
      </c>
      <c r="K33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399" spans="1:11" x14ac:dyDescent="0.3">
      <c r="A3399">
        <v>74192137</v>
      </c>
      <c r="B3399">
        <v>6594616</v>
      </c>
      <c r="C3399" s="1">
        <v>45087</v>
      </c>
      <c r="D3399">
        <v>190</v>
      </c>
      <c r="E3399">
        <f>IF(
  ISNA(
    _xlfn.XLOOKUP(
      payments_raw[[#This Row],[subscription_id]],
      subscriptions[subscription_id],
      subscriptions[subscription_id]
    )
  ),
  0,
  1
)</f>
        <v>1</v>
      </c>
      <c r="F3399" s="1">
        <f>_xlfn.XLOOKUP(payments_raw[[#This Row],[subscription_id]], subscriptions[subscription_id], subscriptions[start_date])</f>
        <v>44845</v>
      </c>
      <c r="G33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45209</v>
      </c>
      <c r="H3399" s="2">
        <f>IF(payments_raw[[#This Row],[payment_date]] &lt; payments_raw[[#This Row],[sub_start_date]], 1, 0)</f>
        <v>0</v>
      </c>
      <c r="I3399" s="2">
        <f>IF(AND(payments_raw[[#This Row],[sub_end_date]]&lt;&gt;"", payments_raw[[#This Row],[payment_date]] &gt; payments_raw[[#This Row],[sub_end_date]]), 1, 0)</f>
        <v>0</v>
      </c>
      <c r="J3399" s="2">
        <f>IF(payments_raw[[#This Row],[amount]] &lt;= 0, 1, 0)</f>
        <v>0</v>
      </c>
      <c r="K33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0" spans="1:11" x14ac:dyDescent="0.3">
      <c r="A3400">
        <v>21905405</v>
      </c>
      <c r="B3400">
        <v>4593496</v>
      </c>
      <c r="C3400" s="1">
        <v>45111</v>
      </c>
      <c r="D3400">
        <v>149</v>
      </c>
      <c r="E3400">
        <f>IF(
  ISNA(
    _xlfn.XLOOKUP(
      payments_raw[[#This Row],[subscription_id]],
      subscriptions[subscription_id],
      subscriptions[subscription_id]
    )
  ),
  0,
  1
)</f>
        <v>1</v>
      </c>
      <c r="F3400" s="1">
        <f>_xlfn.XLOOKUP(payments_raw[[#This Row],[subscription_id]], subscriptions[subscription_id], subscriptions[start_date])</f>
        <v>44568</v>
      </c>
      <c r="G340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00" s="2">
        <f>IF(payments_raw[[#This Row],[payment_date]] &lt; payments_raw[[#This Row],[sub_start_date]], 1, 0)</f>
        <v>0</v>
      </c>
      <c r="I3400" s="2">
        <f>IF(AND(payments_raw[[#This Row],[sub_end_date]]&lt;&gt;"", payments_raw[[#This Row],[payment_date]] &gt; payments_raw[[#This Row],[sub_end_date]]), 1, 0)</f>
        <v>0</v>
      </c>
      <c r="J3400" s="2">
        <f>IF(payments_raw[[#This Row],[amount]] &lt;= 0, 1, 0)</f>
        <v>0</v>
      </c>
      <c r="K34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1" spans="1:11" x14ac:dyDescent="0.3">
      <c r="A3401">
        <v>10802510</v>
      </c>
      <c r="B3401">
        <v>9949336</v>
      </c>
      <c r="C3401" s="1">
        <v>44693</v>
      </c>
      <c r="D3401">
        <v>2990</v>
      </c>
      <c r="E3401">
        <f>IF(
  ISNA(
    _xlfn.XLOOKUP(
      payments_raw[[#This Row],[subscription_id]],
      subscriptions[subscription_id],
      subscriptions[subscription_id]
    )
  ),
  0,
  1
)</f>
        <v>1</v>
      </c>
      <c r="F3401" s="1">
        <f>_xlfn.XLOOKUP(payments_raw[[#This Row],[subscription_id]], subscriptions[subscription_id], subscriptions[start_date])</f>
        <v>44642</v>
      </c>
      <c r="G3401" s="1">
        <f>IF(_xlfn.XLOOKUP(payments_raw[[#This Row],[subscription_id]], subscriptions[subscription_id], subscriptions[end_date])=0,"",_xlfn.XLOOKUP(payments_raw[[#This Row],[subscription_id]], subscriptions[subscription_id], subscriptions[end_date]))</f>
        <v>44948</v>
      </c>
      <c r="H3401" s="2">
        <f>IF(payments_raw[[#This Row],[payment_date]] &lt; payments_raw[[#This Row],[sub_start_date]], 1, 0)</f>
        <v>0</v>
      </c>
      <c r="I3401" s="2">
        <f>IF(AND(payments_raw[[#This Row],[sub_end_date]]&lt;&gt;"", payments_raw[[#This Row],[payment_date]] &gt; payments_raw[[#This Row],[sub_end_date]]), 1, 0)</f>
        <v>0</v>
      </c>
      <c r="J3401" s="2">
        <f>IF(payments_raw[[#This Row],[amount]] &lt;= 0, 1, 0)</f>
        <v>0</v>
      </c>
      <c r="K34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2" spans="1:11" x14ac:dyDescent="0.3">
      <c r="A3402">
        <v>32003977</v>
      </c>
      <c r="B3402">
        <v>5593405</v>
      </c>
      <c r="C3402" s="1">
        <v>44667</v>
      </c>
      <c r="D3402">
        <v>19</v>
      </c>
      <c r="E3402">
        <f>IF(
  ISNA(
    _xlfn.XLOOKUP(
      payments_raw[[#This Row],[subscription_id]],
      subscriptions[subscription_id],
      subscriptions[subscription_id]
    )
  ),
  0,
  1
)</f>
        <v>1</v>
      </c>
      <c r="F3402" s="1">
        <f>_xlfn.XLOOKUP(payments_raw[[#This Row],[subscription_id]], subscriptions[subscription_id], subscriptions[start_date])</f>
        <v>44615</v>
      </c>
      <c r="G340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02" s="2">
        <f>IF(payments_raw[[#This Row],[payment_date]] &lt; payments_raw[[#This Row],[sub_start_date]], 1, 0)</f>
        <v>0</v>
      </c>
      <c r="I3402" s="2">
        <f>IF(AND(payments_raw[[#This Row],[sub_end_date]]&lt;&gt;"", payments_raw[[#This Row],[payment_date]] &gt; payments_raw[[#This Row],[sub_end_date]]), 1, 0)</f>
        <v>0</v>
      </c>
      <c r="J3402" s="2">
        <f>IF(payments_raw[[#This Row],[amount]] &lt;= 0, 1, 0)</f>
        <v>0</v>
      </c>
      <c r="K340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3" spans="1:11" x14ac:dyDescent="0.3">
      <c r="A3403">
        <v>68047375</v>
      </c>
      <c r="B3403">
        <v>7848595</v>
      </c>
      <c r="C3403" s="1">
        <v>45454</v>
      </c>
      <c r="D3403">
        <v>149</v>
      </c>
      <c r="E3403">
        <f>IF(
  ISNA(
    _xlfn.XLOOKUP(
      payments_raw[[#This Row],[subscription_id]],
      subscriptions[subscription_id],
      subscriptions[subscription_id]
    )
  ),
  0,
  1
)</f>
        <v>1</v>
      </c>
      <c r="F3403" s="1">
        <f>_xlfn.XLOOKUP(payments_raw[[#This Row],[subscription_id]], subscriptions[subscription_id], subscriptions[start_date])</f>
        <v>45329</v>
      </c>
      <c r="G3403" s="1">
        <f>IF(_xlfn.XLOOKUP(payments_raw[[#This Row],[subscription_id]], subscriptions[subscription_id], subscriptions[end_date])=0,"",_xlfn.XLOOKUP(payments_raw[[#This Row],[subscription_id]], subscriptions[subscription_id], subscriptions[end_date]))</f>
        <v>45468</v>
      </c>
      <c r="H3403" s="2">
        <f>IF(payments_raw[[#This Row],[payment_date]] &lt; payments_raw[[#This Row],[sub_start_date]], 1, 0)</f>
        <v>0</v>
      </c>
      <c r="I3403" s="2">
        <f>IF(AND(payments_raw[[#This Row],[sub_end_date]]&lt;&gt;"", payments_raw[[#This Row],[payment_date]] &gt; payments_raw[[#This Row],[sub_end_date]]), 1, 0)</f>
        <v>0</v>
      </c>
      <c r="J3403" s="2">
        <f>IF(payments_raw[[#This Row],[amount]] &lt;= 0, 1, 0)</f>
        <v>0</v>
      </c>
      <c r="K340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4" spans="1:11" x14ac:dyDescent="0.3">
      <c r="A3404">
        <v>35454891</v>
      </c>
      <c r="B3404">
        <v>2180827</v>
      </c>
      <c r="C3404" s="1">
        <v>45028</v>
      </c>
      <c r="D3404">
        <v>1490</v>
      </c>
      <c r="E3404">
        <f>IF(
  ISNA(
    _xlfn.XLOOKUP(
      payments_raw[[#This Row],[subscription_id]],
      subscriptions[subscription_id],
      subscriptions[subscription_id]
    )
  ),
  0,
  1
)</f>
        <v>1</v>
      </c>
      <c r="F3404" s="1">
        <f>_xlfn.XLOOKUP(payments_raw[[#This Row],[subscription_id]], subscriptions[subscription_id], subscriptions[start_date])</f>
        <v>44881</v>
      </c>
      <c r="G340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04" s="2">
        <f>IF(payments_raw[[#This Row],[payment_date]] &lt; payments_raw[[#This Row],[sub_start_date]], 1, 0)</f>
        <v>0</v>
      </c>
      <c r="I3404" s="2">
        <f>IF(AND(payments_raw[[#This Row],[sub_end_date]]&lt;&gt;"", payments_raw[[#This Row],[payment_date]] &gt; payments_raw[[#This Row],[sub_end_date]]), 1, 0)</f>
        <v>0</v>
      </c>
      <c r="J3404" s="2">
        <f>IF(payments_raw[[#This Row],[amount]] &lt;= 0, 1, 0)</f>
        <v>0</v>
      </c>
      <c r="K340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5" spans="1:11" x14ac:dyDescent="0.3">
      <c r="A3405">
        <v>91027831</v>
      </c>
      <c r="B3405">
        <v>7311740</v>
      </c>
      <c r="C3405" s="1">
        <v>45134</v>
      </c>
      <c r="D3405">
        <v>19</v>
      </c>
      <c r="E3405">
        <f>IF(
  ISNA(
    _xlfn.XLOOKUP(
      payments_raw[[#This Row],[subscription_id]],
      subscriptions[subscription_id],
      subscriptions[subscription_id]
    )
  ),
  0,
  1
)</f>
        <v>1</v>
      </c>
      <c r="F3405" s="1">
        <f>_xlfn.XLOOKUP(payments_raw[[#This Row],[subscription_id]], subscriptions[subscription_id], subscriptions[start_date])</f>
        <v>45012</v>
      </c>
      <c r="G3405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3405" s="2">
        <f>IF(payments_raw[[#This Row],[payment_date]] &lt; payments_raw[[#This Row],[sub_start_date]], 1, 0)</f>
        <v>0</v>
      </c>
      <c r="I3405" s="2">
        <f>IF(AND(payments_raw[[#This Row],[sub_end_date]]&lt;&gt;"", payments_raw[[#This Row],[payment_date]] &gt; payments_raw[[#This Row],[sub_end_date]]), 1, 0)</f>
        <v>0</v>
      </c>
      <c r="J3405" s="2">
        <f>IF(payments_raw[[#This Row],[amount]] &lt;= 0, 1, 0)</f>
        <v>0</v>
      </c>
      <c r="K340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6" spans="1:11" x14ac:dyDescent="0.3">
      <c r="A3406">
        <v>27886045</v>
      </c>
      <c r="B3406">
        <v>8537488</v>
      </c>
      <c r="C3406" s="1">
        <v>45135</v>
      </c>
      <c r="D3406">
        <v>39</v>
      </c>
      <c r="E3406">
        <f>IF(
  ISNA(
    _xlfn.XLOOKUP(
      payments_raw[[#This Row],[subscription_id]],
      subscriptions[subscription_id],
      subscriptions[subscription_id]
    )
  ),
  0,
  1
)</f>
        <v>1</v>
      </c>
      <c r="F3406" s="1">
        <f>_xlfn.XLOOKUP(payments_raw[[#This Row],[subscription_id]], subscriptions[subscription_id], subscriptions[start_date])</f>
        <v>44920</v>
      </c>
      <c r="G340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06" s="2">
        <f>IF(payments_raw[[#This Row],[payment_date]] &lt; payments_raw[[#This Row],[sub_start_date]], 1, 0)</f>
        <v>0</v>
      </c>
      <c r="I3406" s="2">
        <f>IF(AND(payments_raw[[#This Row],[sub_end_date]]&lt;&gt;"", payments_raw[[#This Row],[payment_date]] &gt; payments_raw[[#This Row],[sub_end_date]]), 1, 0)</f>
        <v>0</v>
      </c>
      <c r="J3406" s="2">
        <f>IF(payments_raw[[#This Row],[amount]] &lt;= 0, 1, 0)</f>
        <v>0</v>
      </c>
      <c r="K340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7" spans="1:11" x14ac:dyDescent="0.3">
      <c r="A3407">
        <v>64341068</v>
      </c>
      <c r="B3407">
        <v>8919821</v>
      </c>
      <c r="C3407" s="1">
        <v>45172</v>
      </c>
      <c r="D3407">
        <v>299</v>
      </c>
      <c r="E3407">
        <f>IF(
  ISNA(
    _xlfn.XLOOKUP(
      payments_raw[[#This Row],[subscription_id]],
      subscriptions[subscription_id],
      subscriptions[subscription_id]
    )
  ),
  0,
  1
)</f>
        <v>1</v>
      </c>
      <c r="F3407" s="1">
        <f>_xlfn.XLOOKUP(payments_raw[[#This Row],[subscription_id]], subscriptions[subscription_id], subscriptions[start_date])</f>
        <v>45135</v>
      </c>
      <c r="G3407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45216</v>
      </c>
      <c r="H3407" s="2">
        <f>IF(payments_raw[[#This Row],[payment_date]] &lt; payments_raw[[#This Row],[sub_start_date]], 1, 0)</f>
        <v>0</v>
      </c>
      <c r="I3407" s="2">
        <f>IF(AND(payments_raw[[#This Row],[sub_end_date]]&lt;&gt;"", payments_raw[[#This Row],[payment_date]] &gt; payments_raw[[#This Row],[sub_end_date]]), 1, 0)</f>
        <v>0</v>
      </c>
      <c r="J3407" s="2">
        <f>IF(payments_raw[[#This Row],[amount]] &lt;= 0, 1, 0)</f>
        <v>0</v>
      </c>
      <c r="K340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8" spans="1:11" x14ac:dyDescent="0.3">
      <c r="A3408">
        <v>34970308</v>
      </c>
      <c r="B3408">
        <v>6591646</v>
      </c>
      <c r="C3408" s="1">
        <v>45571</v>
      </c>
      <c r="D3408">
        <v>39</v>
      </c>
      <c r="E3408">
        <f>IF(
  ISNA(
    _xlfn.XLOOKUP(
      payments_raw[[#This Row],[subscription_id]],
      subscriptions[subscription_id],
      subscriptions[subscription_id]
    )
  ),
  0,
  1
)</f>
        <v>1</v>
      </c>
      <c r="F3408" s="1">
        <f>_xlfn.XLOOKUP(payments_raw[[#This Row],[subscription_id]], subscriptions[subscription_id], subscriptions[start_date])</f>
        <v>45284</v>
      </c>
      <c r="G340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45597</v>
      </c>
      <c r="H3408" s="2">
        <f>IF(payments_raw[[#This Row],[payment_date]] &lt; payments_raw[[#This Row],[sub_start_date]], 1, 0)</f>
        <v>0</v>
      </c>
      <c r="I3408" s="2">
        <f>IF(AND(payments_raw[[#This Row],[sub_end_date]]&lt;&gt;"", payments_raw[[#This Row],[payment_date]] &gt; payments_raw[[#This Row],[sub_end_date]]), 1, 0)</f>
        <v>0</v>
      </c>
      <c r="J3408" s="2">
        <f>IF(payments_raw[[#This Row],[amount]] &lt;= 0, 1, 0)</f>
        <v>0</v>
      </c>
      <c r="K340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09" spans="1:11" x14ac:dyDescent="0.3">
      <c r="A3409">
        <v>53239585</v>
      </c>
      <c r="B3409">
        <v>4272848</v>
      </c>
      <c r="C3409" s="1">
        <v>44977</v>
      </c>
      <c r="D3409">
        <v>2990</v>
      </c>
      <c r="E3409">
        <f>IF(
  ISNA(
    _xlfn.XLOOKUP(
      payments_raw[[#This Row],[subscription_id]],
      subscriptions[subscription_id],
      subscriptions[subscription_id]
    )
  ),
  0,
  1
)</f>
        <v>1</v>
      </c>
      <c r="F3409" s="1">
        <f>_xlfn.XLOOKUP(payments_raw[[#This Row],[subscription_id]], subscriptions[subscription_id], subscriptions[start_date])</f>
        <v>44855</v>
      </c>
      <c r="G340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45177</v>
      </c>
      <c r="H3409" s="2">
        <f>IF(payments_raw[[#This Row],[payment_date]] &lt; payments_raw[[#This Row],[sub_start_date]], 1, 0)</f>
        <v>0</v>
      </c>
      <c r="I3409" s="2">
        <f>IF(AND(payments_raw[[#This Row],[sub_end_date]]&lt;&gt;"", payments_raw[[#This Row],[payment_date]] &gt; payments_raw[[#This Row],[sub_end_date]]), 1, 0)</f>
        <v>0</v>
      </c>
      <c r="J3409" s="2">
        <f>IF(payments_raw[[#This Row],[amount]] &lt;= 0, 1, 0)</f>
        <v>0</v>
      </c>
      <c r="K340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0" spans="1:11" x14ac:dyDescent="0.3">
      <c r="A3410">
        <v>62986889</v>
      </c>
      <c r="B3410">
        <v>5245703</v>
      </c>
      <c r="C3410" s="1">
        <v>45636</v>
      </c>
      <c r="D3410">
        <v>79</v>
      </c>
      <c r="E3410">
        <f>IF(
  ISNA(
    _xlfn.XLOOKUP(
      payments_raw[[#This Row],[subscription_id]],
      subscriptions[subscription_id],
      subscriptions[subscription_id]
    )
  ),
  0,
  1
)</f>
        <v>1</v>
      </c>
      <c r="F3410" s="1">
        <f>_xlfn.XLOOKUP(payments_raw[[#This Row],[subscription_id]], subscriptions[subscription_id], subscriptions[start_date])</f>
        <v>45401</v>
      </c>
      <c r="G341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0" s="2">
        <f>IF(payments_raw[[#This Row],[payment_date]] &lt; payments_raw[[#This Row],[sub_start_date]], 1, 0)</f>
        <v>0</v>
      </c>
      <c r="I3410" s="2">
        <f>IF(AND(payments_raw[[#This Row],[sub_end_date]]&lt;&gt;"", payments_raw[[#This Row],[payment_date]] &gt; payments_raw[[#This Row],[sub_end_date]]), 1, 0)</f>
        <v>0</v>
      </c>
      <c r="J3410" s="2">
        <f>IF(payments_raw[[#This Row],[amount]] &lt;= 0, 1, 0)</f>
        <v>0</v>
      </c>
      <c r="K341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1" spans="1:11" x14ac:dyDescent="0.3">
      <c r="A3411">
        <v>89690342</v>
      </c>
      <c r="B3411">
        <v>1627774</v>
      </c>
      <c r="C3411" s="1">
        <v>45379</v>
      </c>
      <c r="D3411">
        <v>299</v>
      </c>
      <c r="E3411">
        <f>IF(
  ISNA(
    _xlfn.XLOOKUP(
      payments_raw[[#This Row],[subscription_id]],
      subscriptions[subscription_id],
      subscriptions[subscription_id]
    )
  ),
  0,
  1
)</f>
        <v>1</v>
      </c>
      <c r="F3411" s="1">
        <f>_xlfn.XLOOKUP(payments_raw[[#This Row],[subscription_id]], subscriptions[subscription_id], subscriptions[start_date])</f>
        <v>44711</v>
      </c>
      <c r="G341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1" s="2">
        <f>IF(payments_raw[[#This Row],[payment_date]] &lt; payments_raw[[#This Row],[sub_start_date]], 1, 0)</f>
        <v>0</v>
      </c>
      <c r="I3411" s="2">
        <f>IF(AND(payments_raw[[#This Row],[sub_end_date]]&lt;&gt;"", payments_raw[[#This Row],[payment_date]] &gt; payments_raw[[#This Row],[sub_end_date]]), 1, 0)</f>
        <v>0</v>
      </c>
      <c r="J3411" s="2">
        <f>IF(payments_raw[[#This Row],[amount]] &lt;= 0, 1, 0)</f>
        <v>0</v>
      </c>
      <c r="K341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2" spans="1:11" x14ac:dyDescent="0.3">
      <c r="A3412">
        <v>32191277</v>
      </c>
      <c r="B3412">
        <v>1885043</v>
      </c>
      <c r="C3412" s="1">
        <v>45352</v>
      </c>
      <c r="D3412">
        <v>149</v>
      </c>
      <c r="E3412">
        <f>IF(
  ISNA(
    _xlfn.XLOOKUP(
      payments_raw[[#This Row],[subscription_id]],
      subscriptions[subscription_id],
      subscriptions[subscription_id]
    )
  ),
  0,
  1
)</f>
        <v>1</v>
      </c>
      <c r="F3412" s="1">
        <f>_xlfn.XLOOKUP(payments_raw[[#This Row],[subscription_id]], subscriptions[subscription_id], subscriptions[start_date])</f>
        <v>45240</v>
      </c>
      <c r="G341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3412" s="2">
        <f>IF(payments_raw[[#This Row],[payment_date]] &lt; payments_raw[[#This Row],[sub_start_date]], 1, 0)</f>
        <v>0</v>
      </c>
      <c r="I3412" s="2">
        <f>IF(AND(payments_raw[[#This Row],[sub_end_date]]&lt;&gt;"", payments_raw[[#This Row],[payment_date]] &gt; payments_raw[[#This Row],[sub_end_date]]), 1, 0)</f>
        <v>0</v>
      </c>
      <c r="J3412" s="2">
        <f>IF(payments_raw[[#This Row],[amount]] &lt;= 0, 1, 0)</f>
        <v>0</v>
      </c>
      <c r="K341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3" spans="1:11" x14ac:dyDescent="0.3">
      <c r="A3413">
        <v>41776998</v>
      </c>
      <c r="B3413">
        <v>5049993</v>
      </c>
      <c r="C3413" s="1">
        <v>45606</v>
      </c>
      <c r="D3413">
        <v>1490</v>
      </c>
      <c r="E3413">
        <f>IF(
  ISNA(
    _xlfn.XLOOKUP(
      payments_raw[[#This Row],[subscription_id]],
      subscriptions[subscription_id],
      subscriptions[subscription_id]
    )
  ),
  0,
  1
)</f>
        <v>1</v>
      </c>
      <c r="F3413" s="1">
        <f>_xlfn.XLOOKUP(payments_raw[[#This Row],[subscription_id]], subscriptions[subscription_id], subscriptions[start_date])</f>
        <v>45586</v>
      </c>
      <c r="G341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3" s="2">
        <f>IF(payments_raw[[#This Row],[payment_date]] &lt; payments_raw[[#This Row],[sub_start_date]], 1, 0)</f>
        <v>0</v>
      </c>
      <c r="I3413" s="2">
        <f>IF(AND(payments_raw[[#This Row],[sub_end_date]]&lt;&gt;"", payments_raw[[#This Row],[payment_date]] &gt; payments_raw[[#This Row],[sub_end_date]]), 1, 0)</f>
        <v>0</v>
      </c>
      <c r="J3413" s="2">
        <f>IF(payments_raw[[#This Row],[amount]] &lt;= 0, 1, 0)</f>
        <v>0</v>
      </c>
      <c r="K341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4" spans="1:11" x14ac:dyDescent="0.3">
      <c r="A3414">
        <v>81795409</v>
      </c>
      <c r="B3414">
        <v>7877413</v>
      </c>
      <c r="C3414" s="1">
        <v>45476</v>
      </c>
      <c r="D3414">
        <v>149</v>
      </c>
      <c r="E3414">
        <f>IF(
  ISNA(
    _xlfn.XLOOKUP(
      payments_raw[[#This Row],[subscription_id]],
      subscriptions[subscription_id],
      subscriptions[subscription_id]
    )
  ),
  0,
  1
)</f>
        <v>1</v>
      </c>
      <c r="F3414" s="1">
        <f>_xlfn.XLOOKUP(payments_raw[[#This Row],[subscription_id]], subscriptions[subscription_id], subscriptions[start_date])</f>
        <v>45303</v>
      </c>
      <c r="G341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4" s="2">
        <f>IF(payments_raw[[#This Row],[payment_date]] &lt; payments_raw[[#This Row],[sub_start_date]], 1, 0)</f>
        <v>0</v>
      </c>
      <c r="I3414" s="2">
        <f>IF(AND(payments_raw[[#This Row],[sub_end_date]]&lt;&gt;"", payments_raw[[#This Row],[payment_date]] &gt; payments_raw[[#This Row],[sub_end_date]]), 1, 0)</f>
        <v>0</v>
      </c>
      <c r="J3414" s="2">
        <f>IF(payments_raw[[#This Row],[amount]] &lt;= 0, 1, 0)</f>
        <v>0</v>
      </c>
      <c r="K341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5" spans="1:11" x14ac:dyDescent="0.3">
      <c r="A3415">
        <v>16272544</v>
      </c>
      <c r="B3415">
        <v>6394118</v>
      </c>
      <c r="C3415" s="1">
        <v>45570</v>
      </c>
      <c r="D3415">
        <v>790</v>
      </c>
      <c r="E3415">
        <f>IF(
  ISNA(
    _xlfn.XLOOKUP(
      payments_raw[[#This Row],[subscription_id]],
      subscriptions[subscription_id],
      subscriptions[subscription_id]
    )
  ),
  0,
  1
)</f>
        <v>1</v>
      </c>
      <c r="F3415" s="1">
        <f>_xlfn.XLOOKUP(payments_raw[[#This Row],[subscription_id]], subscriptions[subscription_id], subscriptions[start_date])</f>
        <v>45553</v>
      </c>
      <c r="G341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45642</v>
      </c>
      <c r="H3415" s="2">
        <f>IF(payments_raw[[#This Row],[payment_date]] &lt; payments_raw[[#This Row],[sub_start_date]], 1, 0)</f>
        <v>0</v>
      </c>
      <c r="I3415" s="2">
        <f>IF(AND(payments_raw[[#This Row],[sub_end_date]]&lt;&gt;"", payments_raw[[#This Row],[payment_date]] &gt; payments_raw[[#This Row],[sub_end_date]]), 1, 0)</f>
        <v>0</v>
      </c>
      <c r="J3415" s="2">
        <f>IF(payments_raw[[#This Row],[amount]] &lt;= 0, 1, 0)</f>
        <v>0</v>
      </c>
      <c r="K341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6" spans="1:11" x14ac:dyDescent="0.3">
      <c r="A3416">
        <v>34476064</v>
      </c>
      <c r="B3416">
        <v>8171473</v>
      </c>
      <c r="C3416" s="1">
        <v>45154</v>
      </c>
      <c r="D3416">
        <v>299</v>
      </c>
      <c r="E3416">
        <f>IF(
  ISNA(
    _xlfn.XLOOKUP(
      payments_raw[[#This Row],[subscription_id]],
      subscriptions[subscription_id],
      subscriptions[subscription_id]
    )
  ),
  0,
  1
)</f>
        <v>1</v>
      </c>
      <c r="F3416" s="1">
        <f>_xlfn.XLOOKUP(payments_raw[[#This Row],[subscription_id]], subscriptions[subscription_id], subscriptions[start_date])</f>
        <v>45132</v>
      </c>
      <c r="G341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16" s="2">
        <f>IF(payments_raw[[#This Row],[payment_date]] &lt; payments_raw[[#This Row],[sub_start_date]], 1, 0)</f>
        <v>0</v>
      </c>
      <c r="I3416" s="2">
        <f>IF(AND(payments_raw[[#This Row],[sub_end_date]]&lt;&gt;"", payments_raw[[#This Row],[payment_date]] &gt; payments_raw[[#This Row],[sub_end_date]]), 1, 0)</f>
        <v>0</v>
      </c>
      <c r="J3416" s="2">
        <f>IF(payments_raw[[#This Row],[amount]] &lt;= 0, 1, 0)</f>
        <v>0</v>
      </c>
      <c r="K341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7" spans="1:11" x14ac:dyDescent="0.3">
      <c r="A3417">
        <v>43737261</v>
      </c>
      <c r="B3417">
        <v>5557932</v>
      </c>
      <c r="C3417" s="1">
        <v>45214</v>
      </c>
      <c r="D3417">
        <v>17.100000000000001</v>
      </c>
      <c r="E3417">
        <f>IF(
  ISNA(
    _xlfn.XLOOKUP(
      payments_raw[[#This Row],[subscription_id]],
      subscriptions[subscription_id],
      subscriptions[subscription_id]
    )
  ),
  0,
  1
)</f>
        <v>1</v>
      </c>
      <c r="F3417" s="1">
        <f>_xlfn.XLOOKUP(payments_raw[[#This Row],[subscription_id]], subscriptions[subscription_id], subscriptions[start_date])</f>
        <v>45214</v>
      </c>
      <c r="G3417" s="1">
        <f>IF(_xlfn.XLOOKUP(payments_raw[[#This Row],[subscription_id]], subscriptions[subscription_id], subscriptions[end_date])=0,"",_xlfn.XLOOKUP(payments_raw[[#This Row],[subscription_id]], subscriptions[subscription_id], subscriptions[end_date]))</f>
        <v>45554</v>
      </c>
      <c r="H3417" s="2">
        <f>IF(payments_raw[[#This Row],[payment_date]] &lt; payments_raw[[#This Row],[sub_start_date]], 1, 0)</f>
        <v>0</v>
      </c>
      <c r="I3417" s="2">
        <f>IF(AND(payments_raw[[#This Row],[sub_end_date]]&lt;&gt;"", payments_raw[[#This Row],[payment_date]] &gt; payments_raw[[#This Row],[sub_end_date]]), 1, 0)</f>
        <v>0</v>
      </c>
      <c r="J3417" s="2">
        <f>IF(payments_raw[[#This Row],[amount]] &lt;= 0, 1, 0)</f>
        <v>0</v>
      </c>
      <c r="K341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8" spans="1:11" x14ac:dyDescent="0.3">
      <c r="A3418">
        <v>35353577</v>
      </c>
      <c r="B3418">
        <v>8229326</v>
      </c>
      <c r="C3418" s="1">
        <v>44759</v>
      </c>
      <c r="D3418">
        <v>79</v>
      </c>
      <c r="E3418">
        <f>IF(
  ISNA(
    _xlfn.XLOOKUP(
      payments_raw[[#This Row],[subscription_id]],
      subscriptions[subscription_id],
      subscriptions[subscription_id]
    )
  ),
  0,
  1
)</f>
        <v>1</v>
      </c>
      <c r="F3418" s="1">
        <f>_xlfn.XLOOKUP(payments_raw[[#This Row],[subscription_id]], subscriptions[subscription_id], subscriptions[start_date])</f>
        <v>44643</v>
      </c>
      <c r="G3418" s="1">
        <f>IF(_xlfn.XLOOKUP(payments_raw[[#This Row],[subscription_id]], subscriptions[subscription_id], subscriptions[end_date])=0,"",_xlfn.XLOOKUP(payments_raw[[#This Row],[subscription_id]], subscriptions[subscription_id], subscriptions[end_date]))</f>
        <v>45022</v>
      </c>
      <c r="H3418" s="2">
        <f>IF(payments_raw[[#This Row],[payment_date]] &lt; payments_raw[[#This Row],[sub_start_date]], 1, 0)</f>
        <v>0</v>
      </c>
      <c r="I3418" s="2">
        <f>IF(AND(payments_raw[[#This Row],[sub_end_date]]&lt;&gt;"", payments_raw[[#This Row],[payment_date]] &gt; payments_raw[[#This Row],[sub_end_date]]), 1, 0)</f>
        <v>0</v>
      </c>
      <c r="J3418" s="2">
        <f>IF(payments_raw[[#This Row],[amount]] &lt;= 0, 1, 0)</f>
        <v>0</v>
      </c>
      <c r="K341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19" spans="1:11" x14ac:dyDescent="0.3">
      <c r="A3419">
        <v>33513225</v>
      </c>
      <c r="B3419">
        <v>7074992</v>
      </c>
      <c r="C3419" s="1">
        <v>45232</v>
      </c>
      <c r="D3419">
        <v>79</v>
      </c>
      <c r="E3419">
        <f>IF(
  ISNA(
    _xlfn.XLOOKUP(
      payments_raw[[#This Row],[subscription_id]],
      subscriptions[subscription_id],
      subscriptions[subscription_id]
    )
  ),
  0,
  1
)</f>
        <v>1</v>
      </c>
      <c r="F3419" s="1">
        <f>_xlfn.XLOOKUP(payments_raw[[#This Row],[subscription_id]], subscriptions[subscription_id], subscriptions[start_date])</f>
        <v>44968</v>
      </c>
      <c r="G341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45272</v>
      </c>
      <c r="H3419" s="2">
        <f>IF(payments_raw[[#This Row],[payment_date]] &lt; payments_raw[[#This Row],[sub_start_date]], 1, 0)</f>
        <v>0</v>
      </c>
      <c r="I3419" s="2">
        <f>IF(AND(payments_raw[[#This Row],[sub_end_date]]&lt;&gt;"", payments_raw[[#This Row],[payment_date]] &gt; payments_raw[[#This Row],[sub_end_date]]), 1, 0)</f>
        <v>0</v>
      </c>
      <c r="J3419" s="2">
        <f>IF(payments_raw[[#This Row],[amount]] &lt;= 0, 1, 0)</f>
        <v>0</v>
      </c>
      <c r="K341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0" spans="1:11" x14ac:dyDescent="0.3">
      <c r="A3420">
        <v>28562326</v>
      </c>
      <c r="B3420">
        <v>6647890</v>
      </c>
      <c r="C3420" s="1">
        <v>44795</v>
      </c>
      <c r="D3420">
        <v>149</v>
      </c>
      <c r="E3420">
        <f>IF(
  ISNA(
    _xlfn.XLOOKUP(
      payments_raw[[#This Row],[subscription_id]],
      subscriptions[subscription_id],
      subscriptions[subscription_id]
    )
  ),
  0,
  1
)</f>
        <v>1</v>
      </c>
      <c r="F3420" s="1">
        <f>_xlfn.XLOOKUP(payments_raw[[#This Row],[subscription_id]], subscriptions[subscription_id], subscriptions[start_date])</f>
        <v>44782</v>
      </c>
      <c r="G3420" s="1">
        <f>IF(_xlfn.XLOOKUP(payments_raw[[#This Row],[subscription_id]], subscriptions[subscription_id], subscriptions[end_date])=0,"",_xlfn.XLOOKUP(payments_raw[[#This Row],[subscription_id]], subscriptions[subscription_id], subscriptions[end_date]))</f>
        <v>44835</v>
      </c>
      <c r="H3420" s="2">
        <f>IF(payments_raw[[#This Row],[payment_date]] &lt; payments_raw[[#This Row],[sub_start_date]], 1, 0)</f>
        <v>0</v>
      </c>
      <c r="I3420" s="2">
        <f>IF(AND(payments_raw[[#This Row],[sub_end_date]]&lt;&gt;"", payments_raw[[#This Row],[payment_date]] &gt; payments_raw[[#This Row],[sub_end_date]]), 1, 0)</f>
        <v>0</v>
      </c>
      <c r="J3420" s="2">
        <f>IF(payments_raw[[#This Row],[amount]] &lt;= 0, 1, 0)</f>
        <v>0</v>
      </c>
      <c r="K342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1" spans="1:11" x14ac:dyDescent="0.3">
      <c r="A3421">
        <v>76389996</v>
      </c>
      <c r="B3421">
        <v>7078057</v>
      </c>
      <c r="C3421" s="1">
        <v>45595</v>
      </c>
      <c r="D3421">
        <v>35.1</v>
      </c>
      <c r="E3421">
        <f>IF(
  ISNA(
    _xlfn.XLOOKUP(
      payments_raw[[#This Row],[subscription_id]],
      subscriptions[subscription_id],
      subscriptions[subscription_id]
    )
  ),
  0,
  1
)</f>
        <v>1</v>
      </c>
      <c r="F3421" s="1">
        <f>_xlfn.XLOOKUP(payments_raw[[#This Row],[subscription_id]], subscriptions[subscription_id], subscriptions[start_date])</f>
        <v>45258</v>
      </c>
      <c r="G342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1" s="2">
        <f>IF(payments_raw[[#This Row],[payment_date]] &lt; payments_raw[[#This Row],[sub_start_date]], 1, 0)</f>
        <v>0</v>
      </c>
      <c r="I3421" s="2">
        <f>IF(AND(payments_raw[[#This Row],[sub_end_date]]&lt;&gt;"", payments_raw[[#This Row],[payment_date]] &gt; payments_raw[[#This Row],[sub_end_date]]), 1, 0)</f>
        <v>0</v>
      </c>
      <c r="J3421" s="2">
        <f>IF(payments_raw[[#This Row],[amount]] &lt;= 0, 1, 0)</f>
        <v>0</v>
      </c>
      <c r="K342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2" spans="1:11" x14ac:dyDescent="0.3">
      <c r="A3422">
        <v>80500712</v>
      </c>
      <c r="B3422">
        <v>9135271</v>
      </c>
      <c r="C3422" s="1">
        <v>44800</v>
      </c>
      <c r="D3422">
        <v>39</v>
      </c>
      <c r="E3422">
        <f>IF(
  ISNA(
    _xlfn.XLOOKUP(
      payments_raw[[#This Row],[subscription_id]],
      subscriptions[subscription_id],
      subscriptions[subscription_id]
    )
  ),
  0,
  1
)</f>
        <v>1</v>
      </c>
      <c r="F3422" s="1">
        <f>_xlfn.XLOOKUP(payments_raw[[#This Row],[subscription_id]], subscriptions[subscription_id], subscriptions[start_date])</f>
        <v>44648</v>
      </c>
      <c r="G342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2" s="2">
        <f>IF(payments_raw[[#This Row],[payment_date]] &lt; payments_raw[[#This Row],[sub_start_date]], 1, 0)</f>
        <v>0</v>
      </c>
      <c r="I3422" s="2">
        <f>IF(AND(payments_raw[[#This Row],[sub_end_date]]&lt;&gt;"", payments_raw[[#This Row],[payment_date]] &gt; payments_raw[[#This Row],[sub_end_date]]), 1, 0)</f>
        <v>0</v>
      </c>
      <c r="J3422" s="2">
        <f>IF(payments_raw[[#This Row],[amount]] &lt;= 0, 1, 0)</f>
        <v>0</v>
      </c>
      <c r="K342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3" spans="1:11" x14ac:dyDescent="0.3">
      <c r="A3423">
        <v>11220413</v>
      </c>
      <c r="B3423">
        <v>3137710</v>
      </c>
      <c r="C3423" s="1">
        <v>45450</v>
      </c>
      <c r="D3423">
        <v>2990</v>
      </c>
      <c r="E3423">
        <f>IF(
  ISNA(
    _xlfn.XLOOKUP(
      payments_raw[[#This Row],[subscription_id]],
      subscriptions[subscription_id],
      subscriptions[subscription_id]
    )
  ),
  0,
  1
)</f>
        <v>1</v>
      </c>
      <c r="F3423" s="1">
        <f>_xlfn.XLOOKUP(payments_raw[[#This Row],[subscription_id]], subscriptions[subscription_id], subscriptions[start_date])</f>
        <v>45203</v>
      </c>
      <c r="G3423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45528</v>
      </c>
      <c r="H3423" s="2">
        <f>IF(payments_raw[[#This Row],[payment_date]] &lt; payments_raw[[#This Row],[sub_start_date]], 1, 0)</f>
        <v>0</v>
      </c>
      <c r="I3423" s="2">
        <f>IF(AND(payments_raw[[#This Row],[sub_end_date]]&lt;&gt;"", payments_raw[[#This Row],[payment_date]] &gt; payments_raw[[#This Row],[sub_end_date]]), 1, 0)</f>
        <v>0</v>
      </c>
      <c r="J3423" s="2">
        <f>IF(payments_raw[[#This Row],[amount]] &lt;= 0, 1, 0)</f>
        <v>0</v>
      </c>
      <c r="K342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4" spans="1:11" x14ac:dyDescent="0.3">
      <c r="A3424">
        <v>53094912</v>
      </c>
      <c r="B3424">
        <v>4097522</v>
      </c>
      <c r="C3424" s="1">
        <v>45619</v>
      </c>
      <c r="D3424">
        <v>59.25</v>
      </c>
      <c r="E3424">
        <f>IF(
  ISNA(
    _xlfn.XLOOKUP(
      payments_raw[[#This Row],[subscription_id]],
      subscriptions[subscription_id],
      subscriptions[subscription_id]
    )
  ),
  0,
  1
)</f>
        <v>1</v>
      </c>
      <c r="F3424" s="1">
        <f>_xlfn.XLOOKUP(payments_raw[[#This Row],[subscription_id]], subscriptions[subscription_id], subscriptions[start_date])</f>
        <v>45178</v>
      </c>
      <c r="G342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4" s="2">
        <f>IF(payments_raw[[#This Row],[payment_date]] &lt; payments_raw[[#This Row],[sub_start_date]], 1, 0)</f>
        <v>0</v>
      </c>
      <c r="I3424" s="2">
        <f>IF(AND(payments_raw[[#This Row],[sub_end_date]]&lt;&gt;"", payments_raw[[#This Row],[payment_date]] &gt; payments_raw[[#This Row],[sub_end_date]]), 1, 0)</f>
        <v>0</v>
      </c>
      <c r="J3424" s="2">
        <f>IF(payments_raw[[#This Row],[amount]] &lt;= 0, 1, 0)</f>
        <v>0</v>
      </c>
      <c r="K342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5" spans="1:11" x14ac:dyDescent="0.3">
      <c r="A3425">
        <v>55915416</v>
      </c>
      <c r="B3425">
        <v>5376268</v>
      </c>
      <c r="C3425" s="1">
        <v>44690</v>
      </c>
      <c r="D3425">
        <v>79</v>
      </c>
      <c r="E3425">
        <f>IF(
  ISNA(
    _xlfn.XLOOKUP(
      payments_raw[[#This Row],[subscription_id]],
      subscriptions[subscription_id],
      subscriptions[subscription_id]
    )
  ),
  0,
  1
)</f>
        <v>1</v>
      </c>
      <c r="F3425" s="1">
        <f>_xlfn.XLOOKUP(payments_raw[[#This Row],[subscription_id]], subscriptions[subscription_id], subscriptions[start_date])</f>
        <v>44626</v>
      </c>
      <c r="G3425" s="1">
        <f>IF(_xlfn.XLOOKUP(payments_raw[[#This Row],[subscription_id]], subscriptions[subscription_id], subscriptions[end_date])=0,"",_xlfn.XLOOKUP(payments_raw[[#This Row],[subscription_id]], subscriptions[subscription_id], subscriptions[end_date]))</f>
        <v>44920</v>
      </c>
      <c r="H3425" s="2">
        <f>IF(payments_raw[[#This Row],[payment_date]] &lt; payments_raw[[#This Row],[sub_start_date]], 1, 0)</f>
        <v>0</v>
      </c>
      <c r="I3425" s="2">
        <f>IF(AND(payments_raw[[#This Row],[sub_end_date]]&lt;&gt;"", payments_raw[[#This Row],[payment_date]] &gt; payments_raw[[#This Row],[sub_end_date]]), 1, 0)</f>
        <v>0</v>
      </c>
      <c r="J3425" s="2">
        <f>IF(payments_raw[[#This Row],[amount]] &lt;= 0, 1, 0)</f>
        <v>0</v>
      </c>
      <c r="K342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6" spans="1:11" x14ac:dyDescent="0.3">
      <c r="A3426">
        <v>17728115</v>
      </c>
      <c r="B3426">
        <v>2155782</v>
      </c>
      <c r="C3426" s="1">
        <v>45377</v>
      </c>
      <c r="D3426">
        <v>790</v>
      </c>
      <c r="E3426">
        <f>IF(
  ISNA(
    _xlfn.XLOOKUP(
      payments_raw[[#This Row],[subscription_id]],
      subscriptions[subscription_id],
      subscriptions[subscription_id]
    )
  ),
  0,
  1
)</f>
        <v>1</v>
      </c>
      <c r="F3426" s="1">
        <f>_xlfn.XLOOKUP(payments_raw[[#This Row],[subscription_id]], subscriptions[subscription_id], subscriptions[start_date])</f>
        <v>44924</v>
      </c>
      <c r="G342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6" s="2">
        <f>IF(payments_raw[[#This Row],[payment_date]] &lt; payments_raw[[#This Row],[sub_start_date]], 1, 0)</f>
        <v>0</v>
      </c>
      <c r="I3426" s="2">
        <f>IF(AND(payments_raw[[#This Row],[sub_end_date]]&lt;&gt;"", payments_raw[[#This Row],[payment_date]] &gt; payments_raw[[#This Row],[sub_end_date]]), 1, 0)</f>
        <v>0</v>
      </c>
      <c r="J3426" s="2">
        <f>IF(payments_raw[[#This Row],[amount]] &lt;= 0, 1, 0)</f>
        <v>0</v>
      </c>
      <c r="K342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7" spans="1:11" x14ac:dyDescent="0.3">
      <c r="A3427">
        <v>86288552</v>
      </c>
      <c r="B3427">
        <v>3869392</v>
      </c>
      <c r="C3427" s="1">
        <v>45601</v>
      </c>
      <c r="D3427">
        <v>79</v>
      </c>
      <c r="E3427">
        <f>IF(
  ISNA(
    _xlfn.XLOOKUP(
      payments_raw[[#This Row],[subscription_id]],
      subscriptions[subscription_id],
      subscriptions[subscription_id]
    )
  ),
  0,
  1
)</f>
        <v>1</v>
      </c>
      <c r="F3427" s="1">
        <f>_xlfn.XLOOKUP(payments_raw[[#This Row],[subscription_id]], subscriptions[subscription_id], subscriptions[start_date])</f>
        <v>44978</v>
      </c>
      <c r="G342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7" s="2">
        <f>IF(payments_raw[[#This Row],[payment_date]] &lt; payments_raw[[#This Row],[sub_start_date]], 1, 0)</f>
        <v>0</v>
      </c>
      <c r="I3427" s="2">
        <f>IF(AND(payments_raw[[#This Row],[sub_end_date]]&lt;&gt;"", payments_raw[[#This Row],[payment_date]] &gt; payments_raw[[#This Row],[sub_end_date]]), 1, 0)</f>
        <v>0</v>
      </c>
      <c r="J3427" s="2">
        <f>IF(payments_raw[[#This Row],[amount]] &lt;= 0, 1, 0)</f>
        <v>0</v>
      </c>
      <c r="K342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8" spans="1:11" x14ac:dyDescent="0.3">
      <c r="A3428">
        <v>37077018</v>
      </c>
      <c r="B3428">
        <v>8095426</v>
      </c>
      <c r="C3428" s="1">
        <v>45340</v>
      </c>
      <c r="D3428">
        <v>79</v>
      </c>
      <c r="E3428">
        <f>IF(
  ISNA(
    _xlfn.XLOOKUP(
      payments_raw[[#This Row],[subscription_id]],
      subscriptions[subscription_id],
      subscriptions[subscription_id]
    )
  ),
  0,
  1
)</f>
        <v>1</v>
      </c>
      <c r="F3428" s="1">
        <f>_xlfn.XLOOKUP(payments_raw[[#This Row],[subscription_id]], subscriptions[subscription_id], subscriptions[start_date])</f>
        <v>45114</v>
      </c>
      <c r="G342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28" s="2">
        <f>IF(payments_raw[[#This Row],[payment_date]] &lt; payments_raw[[#This Row],[sub_start_date]], 1, 0)</f>
        <v>0</v>
      </c>
      <c r="I3428" s="2">
        <f>IF(AND(payments_raw[[#This Row],[sub_end_date]]&lt;&gt;"", payments_raw[[#This Row],[payment_date]] &gt; payments_raw[[#This Row],[sub_end_date]]), 1, 0)</f>
        <v>0</v>
      </c>
      <c r="J3428" s="2">
        <f>IF(payments_raw[[#This Row],[amount]] &lt;= 0, 1, 0)</f>
        <v>0</v>
      </c>
      <c r="K342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29" spans="1:11" x14ac:dyDescent="0.3">
      <c r="A3429">
        <v>10507366</v>
      </c>
      <c r="B3429">
        <v>6727358</v>
      </c>
      <c r="C3429" s="1">
        <v>45164</v>
      </c>
      <c r="D3429">
        <v>1490</v>
      </c>
      <c r="E3429">
        <f>IF(
  ISNA(
    _xlfn.XLOOKUP(
      payments_raw[[#This Row],[subscription_id]],
      subscriptions[subscription_id],
      subscriptions[subscription_id]
    )
  ),
  0,
  1
)</f>
        <v>1</v>
      </c>
      <c r="F3429" s="1">
        <f>_xlfn.XLOOKUP(payments_raw[[#This Row],[subscription_id]], subscriptions[subscription_id], subscriptions[start_date])</f>
        <v>45119</v>
      </c>
      <c r="G3429" s="1">
        <f>IF(_xlfn.XLOOKUP(payments_raw[[#This Row],[subscription_id]], subscriptions[subscription_id], subscriptions[end_date])=0,"",_xlfn.XLOOKUP(payments_raw[[#This Row],[subscription_id]], subscriptions[subscription_id], subscriptions[end_date]))</f>
        <v>45169</v>
      </c>
      <c r="H3429" s="2">
        <f>IF(payments_raw[[#This Row],[payment_date]] &lt; payments_raw[[#This Row],[sub_start_date]], 1, 0)</f>
        <v>0</v>
      </c>
      <c r="I3429" s="2">
        <f>IF(AND(payments_raw[[#This Row],[sub_end_date]]&lt;&gt;"", payments_raw[[#This Row],[payment_date]] &gt; payments_raw[[#This Row],[sub_end_date]]), 1, 0)</f>
        <v>0</v>
      </c>
      <c r="J3429" s="2">
        <f>IF(payments_raw[[#This Row],[amount]] &lt;= 0, 1, 0)</f>
        <v>0</v>
      </c>
      <c r="K342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0" spans="1:11" x14ac:dyDescent="0.3">
      <c r="A3430">
        <v>48164274</v>
      </c>
      <c r="B3430">
        <v>9824859</v>
      </c>
      <c r="C3430" s="1">
        <v>45212</v>
      </c>
      <c r="D3430">
        <v>79</v>
      </c>
      <c r="E3430">
        <f>IF(
  ISNA(
    _xlfn.XLOOKUP(
      payments_raw[[#This Row],[subscription_id]],
      subscriptions[subscription_id],
      subscriptions[subscription_id]
    )
  ),
  0,
  1
)</f>
        <v>1</v>
      </c>
      <c r="F3430" s="1">
        <f>_xlfn.XLOOKUP(payments_raw[[#This Row],[subscription_id]], subscriptions[subscription_id], subscriptions[start_date])</f>
        <v>44961</v>
      </c>
      <c r="G343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0" s="2">
        <f>IF(payments_raw[[#This Row],[payment_date]] &lt; payments_raw[[#This Row],[sub_start_date]], 1, 0)</f>
        <v>0</v>
      </c>
      <c r="I3430" s="2">
        <f>IF(AND(payments_raw[[#This Row],[sub_end_date]]&lt;&gt;"", payments_raw[[#This Row],[payment_date]] &gt; payments_raw[[#This Row],[sub_end_date]]), 1, 0)</f>
        <v>0</v>
      </c>
      <c r="J3430" s="2">
        <f>IF(payments_raw[[#This Row],[amount]] &lt;= 0, 1, 0)</f>
        <v>0</v>
      </c>
      <c r="K343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1" spans="1:11" x14ac:dyDescent="0.3">
      <c r="A3431">
        <v>30766900</v>
      </c>
      <c r="B3431">
        <v>2403154</v>
      </c>
      <c r="C3431" s="1">
        <v>44945</v>
      </c>
      <c r="D3431">
        <v>39</v>
      </c>
      <c r="E3431">
        <f>IF(
  ISNA(
    _xlfn.XLOOKUP(
      payments_raw[[#This Row],[subscription_id]],
      subscriptions[subscription_id],
      subscriptions[subscription_id]
    )
  ),
  0,
  1
)</f>
        <v>1</v>
      </c>
      <c r="F3431" s="1">
        <f>_xlfn.XLOOKUP(payments_raw[[#This Row],[subscription_id]], subscriptions[subscription_id], subscriptions[start_date])</f>
        <v>44757</v>
      </c>
      <c r="G343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1" s="2">
        <f>IF(payments_raw[[#This Row],[payment_date]] &lt; payments_raw[[#This Row],[sub_start_date]], 1, 0)</f>
        <v>0</v>
      </c>
      <c r="I3431" s="2">
        <f>IF(AND(payments_raw[[#This Row],[sub_end_date]]&lt;&gt;"", payments_raw[[#This Row],[payment_date]] &gt; payments_raw[[#This Row],[sub_end_date]]), 1, 0)</f>
        <v>0</v>
      </c>
      <c r="J3431" s="2">
        <f>IF(payments_raw[[#This Row],[amount]] &lt;= 0, 1, 0)</f>
        <v>0</v>
      </c>
      <c r="K343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2" spans="1:11" x14ac:dyDescent="0.3">
      <c r="A3432">
        <v>68048625</v>
      </c>
      <c r="B3432">
        <v>3125741</v>
      </c>
      <c r="C3432" s="1">
        <v>45423</v>
      </c>
      <c r="D3432">
        <v>2990</v>
      </c>
      <c r="E3432">
        <f>IF(
  ISNA(
    _xlfn.XLOOKUP(
      payments_raw[[#This Row],[subscription_id]],
      subscriptions[subscription_id],
      subscriptions[subscription_id]
    )
  ),
  0,
  1
)</f>
        <v>1</v>
      </c>
      <c r="F3432" s="1">
        <f>_xlfn.XLOOKUP(payments_raw[[#This Row],[subscription_id]], subscriptions[subscription_id], subscriptions[start_date])</f>
        <v>45346</v>
      </c>
      <c r="G343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2" s="2">
        <f>IF(payments_raw[[#This Row],[payment_date]] &lt; payments_raw[[#This Row],[sub_start_date]], 1, 0)</f>
        <v>0</v>
      </c>
      <c r="I3432" s="2">
        <f>IF(AND(payments_raw[[#This Row],[sub_end_date]]&lt;&gt;"", payments_raw[[#This Row],[payment_date]] &gt; payments_raw[[#This Row],[sub_end_date]]), 1, 0)</f>
        <v>0</v>
      </c>
      <c r="J3432" s="2">
        <f>IF(payments_raw[[#This Row],[amount]] &lt;= 0, 1, 0)</f>
        <v>0</v>
      </c>
      <c r="K343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3" spans="1:11" x14ac:dyDescent="0.3">
      <c r="A3433">
        <v>76137548</v>
      </c>
      <c r="B3433">
        <v>9347047</v>
      </c>
      <c r="C3433" s="1">
        <v>44818</v>
      </c>
      <c r="D3433">
        <v>390</v>
      </c>
      <c r="E3433">
        <f>IF(
  ISNA(
    _xlfn.XLOOKUP(
      payments_raw[[#This Row],[subscription_id]],
      subscriptions[subscription_id],
      subscriptions[subscription_id]
    )
  ),
  0,
  1
)</f>
        <v>1</v>
      </c>
      <c r="F3433" s="1">
        <f>_xlfn.XLOOKUP(payments_raw[[#This Row],[subscription_id]], subscriptions[subscription_id], subscriptions[start_date])</f>
        <v>44761</v>
      </c>
      <c r="G343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44864</v>
      </c>
      <c r="H3433" s="2">
        <f>IF(payments_raw[[#This Row],[payment_date]] &lt; payments_raw[[#This Row],[sub_start_date]], 1, 0)</f>
        <v>0</v>
      </c>
      <c r="I3433" s="2">
        <f>IF(AND(payments_raw[[#This Row],[sub_end_date]]&lt;&gt;"", payments_raw[[#This Row],[payment_date]] &gt; payments_raw[[#This Row],[sub_end_date]]), 1, 0)</f>
        <v>0</v>
      </c>
      <c r="J3433" s="2">
        <f>IF(payments_raw[[#This Row],[amount]] &lt;= 0, 1, 0)</f>
        <v>0</v>
      </c>
      <c r="K343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4" spans="1:11" x14ac:dyDescent="0.3">
      <c r="A3434">
        <v>39305626</v>
      </c>
      <c r="B3434">
        <v>9171197</v>
      </c>
      <c r="C3434" s="1">
        <v>45281</v>
      </c>
      <c r="D3434">
        <v>2990</v>
      </c>
      <c r="E3434">
        <f>IF(
  ISNA(
    _xlfn.XLOOKUP(
      payments_raw[[#This Row],[subscription_id]],
      subscriptions[subscription_id],
      subscriptions[subscription_id]
    )
  ),
  0,
  1
)</f>
        <v>1</v>
      </c>
      <c r="F3434" s="1">
        <f>_xlfn.XLOOKUP(payments_raw[[#This Row],[subscription_id]], subscriptions[subscription_id], subscriptions[start_date])</f>
        <v>45073</v>
      </c>
      <c r="G343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4" s="2">
        <f>IF(payments_raw[[#This Row],[payment_date]] &lt; payments_raw[[#This Row],[sub_start_date]], 1, 0)</f>
        <v>0</v>
      </c>
      <c r="I3434" s="2">
        <f>IF(AND(payments_raw[[#This Row],[sub_end_date]]&lt;&gt;"", payments_raw[[#This Row],[payment_date]] &gt; payments_raw[[#This Row],[sub_end_date]]), 1, 0)</f>
        <v>0</v>
      </c>
      <c r="J3434" s="2">
        <f>IF(payments_raw[[#This Row],[amount]] &lt;= 0, 1, 0)</f>
        <v>0</v>
      </c>
      <c r="K343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5" spans="1:11" x14ac:dyDescent="0.3">
      <c r="A3435">
        <v>65588616</v>
      </c>
      <c r="B3435">
        <v>6826801</v>
      </c>
      <c r="C3435" s="1">
        <v>45592</v>
      </c>
      <c r="D3435">
        <v>19</v>
      </c>
      <c r="E3435">
        <f>IF(
  ISNA(
    _xlfn.XLOOKUP(
      payments_raw[[#This Row],[subscription_id]],
      subscriptions[subscription_id],
      subscriptions[subscription_id]
    )
  ),
  0,
  1
)</f>
        <v>1</v>
      </c>
      <c r="F3435" s="1">
        <f>_xlfn.XLOOKUP(payments_raw[[#This Row],[subscription_id]], subscriptions[subscription_id], subscriptions[start_date])</f>
        <v>45463</v>
      </c>
      <c r="G3435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45630</v>
      </c>
      <c r="H3435" s="2">
        <f>IF(payments_raw[[#This Row],[payment_date]] &lt; payments_raw[[#This Row],[sub_start_date]], 1, 0)</f>
        <v>0</v>
      </c>
      <c r="I3435" s="2">
        <f>IF(AND(payments_raw[[#This Row],[sub_end_date]]&lt;&gt;"", payments_raw[[#This Row],[payment_date]] &gt; payments_raw[[#This Row],[sub_end_date]]), 1, 0)</f>
        <v>0</v>
      </c>
      <c r="J3435" s="2">
        <f>IF(payments_raw[[#This Row],[amount]] &lt;= 0, 1, 0)</f>
        <v>0</v>
      </c>
      <c r="K343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6" spans="1:11" x14ac:dyDescent="0.3">
      <c r="A3436">
        <v>14532520</v>
      </c>
      <c r="B3436">
        <v>6701061</v>
      </c>
      <c r="C3436" s="1">
        <v>45592</v>
      </c>
      <c r="D3436">
        <v>19</v>
      </c>
      <c r="E3436">
        <f>IF(
  ISNA(
    _xlfn.XLOOKUP(
      payments_raw[[#This Row],[subscription_id]],
      subscriptions[subscription_id],
      subscriptions[subscription_id]
    )
  ),
  0,
  1
)</f>
        <v>1</v>
      </c>
      <c r="F3436" s="1">
        <f>_xlfn.XLOOKUP(payments_raw[[#This Row],[subscription_id]], subscriptions[subscription_id], subscriptions[start_date])</f>
        <v>45491</v>
      </c>
      <c r="G343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6" s="2">
        <f>IF(payments_raw[[#This Row],[payment_date]] &lt; payments_raw[[#This Row],[sub_start_date]], 1, 0)</f>
        <v>0</v>
      </c>
      <c r="I3436" s="2">
        <f>IF(AND(payments_raw[[#This Row],[sub_end_date]]&lt;&gt;"", payments_raw[[#This Row],[payment_date]] &gt; payments_raw[[#This Row],[sub_end_date]]), 1, 0)</f>
        <v>0</v>
      </c>
      <c r="J3436" s="2">
        <f>IF(payments_raw[[#This Row],[amount]] &lt;= 0, 1, 0)</f>
        <v>0</v>
      </c>
      <c r="K343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7" spans="1:11" x14ac:dyDescent="0.3">
      <c r="A3437">
        <v>50095902</v>
      </c>
      <c r="B3437">
        <v>5933559</v>
      </c>
      <c r="C3437" s="1">
        <v>45604</v>
      </c>
      <c r="D3437">
        <v>14.25</v>
      </c>
      <c r="E3437">
        <f>IF(
  ISNA(
    _xlfn.XLOOKUP(
      payments_raw[[#This Row],[subscription_id]],
      subscriptions[subscription_id],
      subscriptions[subscription_id]
    )
  ),
  0,
  1
)</f>
        <v>1</v>
      </c>
      <c r="F3437" s="1">
        <f>_xlfn.XLOOKUP(payments_raw[[#This Row],[subscription_id]], subscriptions[subscription_id], subscriptions[start_date])</f>
        <v>44625</v>
      </c>
      <c r="G343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7" s="2">
        <f>IF(payments_raw[[#This Row],[payment_date]] &lt; payments_raw[[#This Row],[sub_start_date]], 1, 0)</f>
        <v>0</v>
      </c>
      <c r="I3437" s="2">
        <f>IF(AND(payments_raw[[#This Row],[sub_end_date]]&lt;&gt;"", payments_raw[[#This Row],[payment_date]] &gt; payments_raw[[#This Row],[sub_end_date]]), 1, 0)</f>
        <v>0</v>
      </c>
      <c r="J3437" s="2">
        <f>IF(payments_raw[[#This Row],[amount]] &lt;= 0, 1, 0)</f>
        <v>0</v>
      </c>
      <c r="K343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8" spans="1:11" x14ac:dyDescent="0.3">
      <c r="A3438">
        <v>10462918</v>
      </c>
      <c r="B3438">
        <v>1161102</v>
      </c>
      <c r="C3438" s="1">
        <v>45468</v>
      </c>
      <c r="D3438">
        <v>299</v>
      </c>
      <c r="E3438">
        <f>IF(
  ISNA(
    _xlfn.XLOOKUP(
      payments_raw[[#This Row],[subscription_id]],
      subscriptions[subscription_id],
      subscriptions[subscription_id]
    )
  ),
  0,
  1
)</f>
        <v>1</v>
      </c>
      <c r="F3438" s="1">
        <f>_xlfn.XLOOKUP(payments_raw[[#This Row],[subscription_id]], subscriptions[subscription_id], subscriptions[start_date])</f>
        <v>45442</v>
      </c>
      <c r="G3438" s="1">
        <f>IF(_xlfn.XLOOKUP(payments_raw[[#This Row],[subscription_id]], subscriptions[subscription_id], subscriptions[end_date])=0,"",_xlfn.XLOOKUP(payments_raw[[#This Row],[subscription_id]], subscriptions[subscription_id], subscriptions[end_date]))</f>
        <v>45529</v>
      </c>
      <c r="H3438" s="2">
        <f>IF(payments_raw[[#This Row],[payment_date]] &lt; payments_raw[[#This Row],[sub_start_date]], 1, 0)</f>
        <v>0</v>
      </c>
      <c r="I3438" s="2">
        <f>IF(AND(payments_raw[[#This Row],[sub_end_date]]&lt;&gt;"", payments_raw[[#This Row],[payment_date]] &gt; payments_raw[[#This Row],[sub_end_date]]), 1, 0)</f>
        <v>0</v>
      </c>
      <c r="J3438" s="2">
        <f>IF(payments_raw[[#This Row],[amount]] &lt;= 0, 1, 0)</f>
        <v>0</v>
      </c>
      <c r="K343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39" spans="1:11" x14ac:dyDescent="0.3">
      <c r="A3439">
        <v>17027633</v>
      </c>
      <c r="B3439">
        <v>5811186</v>
      </c>
      <c r="C3439" s="1">
        <v>45032</v>
      </c>
      <c r="D3439">
        <v>39</v>
      </c>
      <c r="E3439">
        <f>IF(
  ISNA(
    _xlfn.XLOOKUP(
      payments_raw[[#This Row],[subscription_id]],
      subscriptions[subscription_id],
      subscriptions[subscription_id]
    )
  ),
  0,
  1
)</f>
        <v>1</v>
      </c>
      <c r="F3439" s="1">
        <f>_xlfn.XLOOKUP(payments_raw[[#This Row],[subscription_id]], subscriptions[subscription_id], subscriptions[start_date])</f>
        <v>44789</v>
      </c>
      <c r="G343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39" s="2">
        <f>IF(payments_raw[[#This Row],[payment_date]] &lt; payments_raw[[#This Row],[sub_start_date]], 1, 0)</f>
        <v>0</v>
      </c>
      <c r="I3439" s="2">
        <f>IF(AND(payments_raw[[#This Row],[sub_end_date]]&lt;&gt;"", payments_raw[[#This Row],[payment_date]] &gt; payments_raw[[#This Row],[sub_end_date]]), 1, 0)</f>
        <v>0</v>
      </c>
      <c r="J3439" s="2">
        <f>IF(payments_raw[[#This Row],[amount]] &lt;= 0, 1, 0)</f>
        <v>0</v>
      </c>
      <c r="K343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0" spans="1:11" x14ac:dyDescent="0.3">
      <c r="A3440">
        <v>14637652</v>
      </c>
      <c r="B3440">
        <v>8646795</v>
      </c>
      <c r="C3440" s="1">
        <v>44905</v>
      </c>
      <c r="D3440">
        <v>79</v>
      </c>
      <c r="E3440">
        <f>IF(
  ISNA(
    _xlfn.XLOOKUP(
      payments_raw[[#This Row],[subscription_id]],
      subscriptions[subscription_id],
      subscriptions[subscription_id]
    )
  ),
  0,
  1
)</f>
        <v>1</v>
      </c>
      <c r="F3440" s="1">
        <f>_xlfn.XLOOKUP(payments_raw[[#This Row],[subscription_id]], subscriptions[subscription_id], subscriptions[start_date])</f>
        <v>44863</v>
      </c>
      <c r="G3440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44967</v>
      </c>
      <c r="H3440" s="2">
        <f>IF(payments_raw[[#This Row],[payment_date]] &lt; payments_raw[[#This Row],[sub_start_date]], 1, 0)</f>
        <v>0</v>
      </c>
      <c r="I3440" s="2">
        <f>IF(AND(payments_raw[[#This Row],[sub_end_date]]&lt;&gt;"", payments_raw[[#This Row],[payment_date]] &gt; payments_raw[[#This Row],[sub_end_date]]), 1, 0)</f>
        <v>0</v>
      </c>
      <c r="J3440" s="2">
        <f>IF(payments_raw[[#This Row],[amount]] &lt;= 0, 1, 0)</f>
        <v>0</v>
      </c>
      <c r="K344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1" spans="1:11" x14ac:dyDescent="0.3">
      <c r="A3441">
        <v>32745303</v>
      </c>
      <c r="B3441">
        <v>6783305</v>
      </c>
      <c r="C3441" s="1">
        <v>45404</v>
      </c>
      <c r="D3441">
        <v>79</v>
      </c>
      <c r="E3441">
        <f>IF(
  ISNA(
    _xlfn.XLOOKUP(
      payments_raw[[#This Row],[subscription_id]],
      subscriptions[subscription_id],
      subscriptions[subscription_id]
    )
  ),
  0,
  1
)</f>
        <v>1</v>
      </c>
      <c r="F3441" s="1">
        <f>_xlfn.XLOOKUP(payments_raw[[#This Row],[subscription_id]], subscriptions[subscription_id], subscriptions[start_date])</f>
        <v>44766</v>
      </c>
      <c r="G344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1" s="2">
        <f>IF(payments_raw[[#This Row],[payment_date]] &lt; payments_raw[[#This Row],[sub_start_date]], 1, 0)</f>
        <v>0</v>
      </c>
      <c r="I3441" s="2">
        <f>IF(AND(payments_raw[[#This Row],[sub_end_date]]&lt;&gt;"", payments_raw[[#This Row],[payment_date]] &gt; payments_raw[[#This Row],[sub_end_date]]), 1, 0)</f>
        <v>0</v>
      </c>
      <c r="J3441" s="2">
        <f>IF(payments_raw[[#This Row],[amount]] &lt;= 0, 1, 0)</f>
        <v>0</v>
      </c>
      <c r="K344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2" spans="1:11" x14ac:dyDescent="0.3">
      <c r="A3442">
        <v>50833796</v>
      </c>
      <c r="B3442">
        <v>7403032</v>
      </c>
      <c r="C3442" s="1">
        <v>45490</v>
      </c>
      <c r="D3442">
        <v>19</v>
      </c>
      <c r="E3442">
        <f>IF(
  ISNA(
    _xlfn.XLOOKUP(
      payments_raw[[#This Row],[subscription_id]],
      subscriptions[subscription_id],
      subscriptions[subscription_id]
    )
  ),
  0,
  1
)</f>
        <v>1</v>
      </c>
      <c r="F3442" s="1">
        <f>_xlfn.XLOOKUP(payments_raw[[#This Row],[subscription_id]], subscriptions[subscription_id], subscriptions[start_date])</f>
        <v>45456</v>
      </c>
      <c r="G3442" s="1">
        <f>IF(_xlfn.XLOOKUP(payments_raw[[#This Row],[subscription_id]], subscriptions[subscription_id], subscriptions[end_date])=0,"",_xlfn.XLOOKUP(payments_raw[[#This Row],[subscription_id]], subscriptions[subscription_id], subscriptions[end_date]))</f>
        <v>45600</v>
      </c>
      <c r="H3442" s="2">
        <f>IF(payments_raw[[#This Row],[payment_date]] &lt; payments_raw[[#This Row],[sub_start_date]], 1, 0)</f>
        <v>0</v>
      </c>
      <c r="I3442" s="2">
        <f>IF(AND(payments_raw[[#This Row],[sub_end_date]]&lt;&gt;"", payments_raw[[#This Row],[payment_date]] &gt; payments_raw[[#This Row],[sub_end_date]]), 1, 0)</f>
        <v>0</v>
      </c>
      <c r="J3442" s="2">
        <f>IF(payments_raw[[#This Row],[amount]] &lt;= 0, 1, 0)</f>
        <v>0</v>
      </c>
      <c r="K344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3" spans="1:11" x14ac:dyDescent="0.3">
      <c r="A3443">
        <v>21383588</v>
      </c>
      <c r="B3443">
        <v>8330731</v>
      </c>
      <c r="C3443" s="1">
        <v>45217</v>
      </c>
      <c r="D3443">
        <v>390</v>
      </c>
      <c r="E3443">
        <f>IF(
  ISNA(
    _xlfn.XLOOKUP(
      payments_raw[[#This Row],[subscription_id]],
      subscriptions[subscription_id],
      subscriptions[subscription_id]
    )
  ),
  0,
  1
)</f>
        <v>1</v>
      </c>
      <c r="F3443" s="1">
        <f>_xlfn.XLOOKUP(payments_raw[[#This Row],[subscription_id]], subscriptions[subscription_id], subscriptions[start_date])</f>
        <v>45124</v>
      </c>
      <c r="G344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45249</v>
      </c>
      <c r="H3443" s="2">
        <f>IF(payments_raw[[#This Row],[payment_date]] &lt; payments_raw[[#This Row],[sub_start_date]], 1, 0)</f>
        <v>0</v>
      </c>
      <c r="I3443" s="2">
        <f>IF(AND(payments_raw[[#This Row],[sub_end_date]]&lt;&gt;"", payments_raw[[#This Row],[payment_date]] &gt; payments_raw[[#This Row],[sub_end_date]]), 1, 0)</f>
        <v>0</v>
      </c>
      <c r="J3443" s="2">
        <f>IF(payments_raw[[#This Row],[amount]] &lt;= 0, 1, 0)</f>
        <v>0</v>
      </c>
      <c r="K344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4" spans="1:11" x14ac:dyDescent="0.3">
      <c r="A3444">
        <v>95941380</v>
      </c>
      <c r="B3444">
        <v>4190758</v>
      </c>
      <c r="C3444" s="1">
        <v>44818</v>
      </c>
      <c r="D3444">
        <v>149</v>
      </c>
      <c r="E3444">
        <f>IF(
  ISNA(
    _xlfn.XLOOKUP(
      payments_raw[[#This Row],[subscription_id]],
      subscriptions[subscription_id],
      subscriptions[subscription_id]
    )
  ),
  0,
  1
)</f>
        <v>1</v>
      </c>
      <c r="F3444" s="1">
        <f>_xlfn.XLOOKUP(payments_raw[[#This Row],[subscription_id]], subscriptions[subscription_id], subscriptions[start_date])</f>
        <v>44576</v>
      </c>
      <c r="G3444" s="1">
        <f>IF(_xlfn.XLOOKUP(payments_raw[[#This Row],[subscription_id]], subscriptions[subscription_id], subscriptions[end_date])=0,"",_xlfn.XLOOKUP(payments_raw[[#This Row],[subscription_id]], subscriptions[subscription_id], subscriptions[end_date]))</f>
        <v>44965</v>
      </c>
      <c r="H3444" s="2">
        <f>IF(payments_raw[[#This Row],[payment_date]] &lt; payments_raw[[#This Row],[sub_start_date]], 1, 0)</f>
        <v>0</v>
      </c>
      <c r="I3444" s="2">
        <f>IF(AND(payments_raw[[#This Row],[sub_end_date]]&lt;&gt;"", payments_raw[[#This Row],[payment_date]] &gt; payments_raw[[#This Row],[sub_end_date]]), 1, 0)</f>
        <v>0</v>
      </c>
      <c r="J3444" s="2">
        <f>IF(payments_raw[[#This Row],[amount]] &lt;= 0, 1, 0)</f>
        <v>0</v>
      </c>
      <c r="K344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5" spans="1:11" x14ac:dyDescent="0.3">
      <c r="A3445">
        <v>49931273</v>
      </c>
      <c r="B3445">
        <v>5668364</v>
      </c>
      <c r="C3445" s="1">
        <v>45577</v>
      </c>
      <c r="D3445">
        <v>292.5</v>
      </c>
      <c r="E3445">
        <f>IF(
  ISNA(
    _xlfn.XLOOKUP(
      payments_raw[[#This Row],[subscription_id]],
      subscriptions[subscription_id],
      subscriptions[subscription_id]
    )
  ),
  0,
  1
)</f>
        <v>1</v>
      </c>
      <c r="F3445" s="1">
        <f>_xlfn.XLOOKUP(payments_raw[[#This Row],[subscription_id]], subscriptions[subscription_id], subscriptions[start_date])</f>
        <v>45205</v>
      </c>
      <c r="G344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5" s="2">
        <f>IF(payments_raw[[#This Row],[payment_date]] &lt; payments_raw[[#This Row],[sub_start_date]], 1, 0)</f>
        <v>0</v>
      </c>
      <c r="I3445" s="2">
        <f>IF(AND(payments_raw[[#This Row],[sub_end_date]]&lt;&gt;"", payments_raw[[#This Row],[payment_date]] &gt; payments_raw[[#This Row],[sub_end_date]]), 1, 0)</f>
        <v>0</v>
      </c>
      <c r="J3445" s="2">
        <f>IF(payments_raw[[#This Row],[amount]] &lt;= 0, 1, 0)</f>
        <v>0</v>
      </c>
      <c r="K344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6" spans="1:11" x14ac:dyDescent="0.3">
      <c r="A3446">
        <v>46272158</v>
      </c>
      <c r="B3446">
        <v>4795970</v>
      </c>
      <c r="C3446" s="1">
        <v>44891</v>
      </c>
      <c r="D3446">
        <v>190</v>
      </c>
      <c r="E3446">
        <f>IF(
  ISNA(
    _xlfn.XLOOKUP(
      payments_raw[[#This Row],[subscription_id]],
      subscriptions[subscription_id],
      subscriptions[subscription_id]
    )
  ),
  0,
  1
)</f>
        <v>1</v>
      </c>
      <c r="F3446" s="1">
        <f>_xlfn.XLOOKUP(payments_raw[[#This Row],[subscription_id]], subscriptions[subscription_id], subscriptions[start_date])</f>
        <v>44873</v>
      </c>
      <c r="G344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6" s="2">
        <f>IF(payments_raw[[#This Row],[payment_date]] &lt; payments_raw[[#This Row],[sub_start_date]], 1, 0)</f>
        <v>0</v>
      </c>
      <c r="I3446" s="2">
        <f>IF(AND(payments_raw[[#This Row],[sub_end_date]]&lt;&gt;"", payments_raw[[#This Row],[payment_date]] &gt; payments_raw[[#This Row],[sub_end_date]]), 1, 0)</f>
        <v>0</v>
      </c>
      <c r="J3446" s="2">
        <f>IF(payments_raw[[#This Row],[amount]] &lt;= 0, 1, 0)</f>
        <v>0</v>
      </c>
      <c r="K344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7" spans="1:11" x14ac:dyDescent="0.3">
      <c r="A3447">
        <v>68294629</v>
      </c>
      <c r="B3447">
        <v>7845563</v>
      </c>
      <c r="C3447" s="1">
        <v>45193</v>
      </c>
      <c r="D3447">
        <v>190</v>
      </c>
      <c r="E3447">
        <f>IF(
  ISNA(
    _xlfn.XLOOKUP(
      payments_raw[[#This Row],[subscription_id]],
      subscriptions[subscription_id],
      subscriptions[subscription_id]
    )
  ),
  0,
  1
)</f>
        <v>1</v>
      </c>
      <c r="F3447" s="1">
        <f>_xlfn.XLOOKUP(payments_raw[[#This Row],[subscription_id]], subscriptions[subscription_id], subscriptions[start_date])</f>
        <v>44709</v>
      </c>
      <c r="G344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7" s="2">
        <f>IF(payments_raw[[#This Row],[payment_date]] &lt; payments_raw[[#This Row],[sub_start_date]], 1, 0)</f>
        <v>0</v>
      </c>
      <c r="I3447" s="2">
        <f>IF(AND(payments_raw[[#This Row],[sub_end_date]]&lt;&gt;"", payments_raw[[#This Row],[payment_date]] &gt; payments_raw[[#This Row],[sub_end_date]]), 1, 0)</f>
        <v>0</v>
      </c>
      <c r="J3447" s="2">
        <f>IF(payments_raw[[#This Row],[amount]] &lt;= 0, 1, 0)</f>
        <v>0</v>
      </c>
      <c r="K344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8" spans="1:11" x14ac:dyDescent="0.3">
      <c r="A3448">
        <v>59234268</v>
      </c>
      <c r="B3448">
        <v>1939470</v>
      </c>
      <c r="C3448" s="1">
        <v>45528</v>
      </c>
      <c r="D3448">
        <v>39</v>
      </c>
      <c r="E3448">
        <f>IF(
  ISNA(
    _xlfn.XLOOKUP(
      payments_raw[[#This Row],[subscription_id]],
      subscriptions[subscription_id],
      subscriptions[subscription_id]
    )
  ),
  0,
  1
)</f>
        <v>1</v>
      </c>
      <c r="F3448" s="1">
        <f>_xlfn.XLOOKUP(payments_raw[[#This Row],[subscription_id]], subscriptions[subscription_id], subscriptions[start_date])</f>
        <v>45010</v>
      </c>
      <c r="G344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48" s="2">
        <f>IF(payments_raw[[#This Row],[payment_date]] &lt; payments_raw[[#This Row],[sub_start_date]], 1, 0)</f>
        <v>0</v>
      </c>
      <c r="I3448" s="2">
        <f>IF(AND(payments_raw[[#This Row],[sub_end_date]]&lt;&gt;"", payments_raw[[#This Row],[payment_date]] &gt; payments_raw[[#This Row],[sub_end_date]]), 1, 0)</f>
        <v>0</v>
      </c>
      <c r="J3448" s="2">
        <f>IF(payments_raw[[#This Row],[amount]] &lt;= 0, 1, 0)</f>
        <v>0</v>
      </c>
      <c r="K344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49" spans="1:11" x14ac:dyDescent="0.3">
      <c r="A3449">
        <v>70860103</v>
      </c>
      <c r="B3449">
        <v>3007261</v>
      </c>
      <c r="C3449" s="1">
        <v>45047</v>
      </c>
      <c r="D3449">
        <v>299</v>
      </c>
      <c r="E3449">
        <f>IF(
  ISNA(
    _xlfn.XLOOKUP(
      payments_raw[[#This Row],[subscription_id]],
      subscriptions[subscription_id],
      subscriptions[subscription_id]
    )
  ),
  0,
  1
)</f>
        <v>1</v>
      </c>
      <c r="F3449" s="1">
        <f>_xlfn.XLOOKUP(payments_raw[[#This Row],[subscription_id]], subscriptions[subscription_id], subscriptions[start_date])</f>
        <v>45021</v>
      </c>
      <c r="G3449" s="1">
        <f>IF(_xlfn.XLOOKUP(payments_raw[[#This Row],[subscription_id]], subscriptions[subscription_id], subscriptions[end_date])=0,"",_xlfn.XLOOKUP(payments_raw[[#This Row],[subscription_id]], subscriptions[subscription_id], subscriptions[end_date]))</f>
        <v>45069</v>
      </c>
      <c r="H3449" s="2">
        <f>IF(payments_raw[[#This Row],[payment_date]] &lt; payments_raw[[#This Row],[sub_start_date]], 1, 0)</f>
        <v>0</v>
      </c>
      <c r="I3449" s="2">
        <f>IF(AND(payments_raw[[#This Row],[sub_end_date]]&lt;&gt;"", payments_raw[[#This Row],[payment_date]] &gt; payments_raw[[#This Row],[sub_end_date]]), 1, 0)</f>
        <v>0</v>
      </c>
      <c r="J3449" s="2">
        <f>IF(payments_raw[[#This Row],[amount]] &lt;= 0, 1, 0)</f>
        <v>0</v>
      </c>
      <c r="K344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0" spans="1:11" x14ac:dyDescent="0.3">
      <c r="A3450">
        <v>86393328</v>
      </c>
      <c r="B3450">
        <v>9971681</v>
      </c>
      <c r="C3450" s="1">
        <v>44724</v>
      </c>
      <c r="D3450">
        <v>390</v>
      </c>
      <c r="E3450">
        <f>IF(
  ISNA(
    _xlfn.XLOOKUP(
      payments_raw[[#This Row],[subscription_id]],
      subscriptions[subscription_id],
      subscriptions[subscription_id]
    )
  ),
  0,
  1
)</f>
        <v>1</v>
      </c>
      <c r="F3450" s="1">
        <f>_xlfn.XLOOKUP(payments_raw[[#This Row],[subscription_id]], subscriptions[subscription_id], subscriptions[start_date])</f>
        <v>44724</v>
      </c>
      <c r="G3450" s="1">
        <f>IF(_xlfn.XLOOKUP(payments_raw[[#This Row],[subscription_id]], subscriptions[subscription_id], subscriptions[end_date])=0,"",_xlfn.XLOOKUP(payments_raw[[#This Row],[subscription_id]], subscriptions[subscription_id], subscriptions[end_date]))</f>
        <v>44782</v>
      </c>
      <c r="H3450" s="2">
        <f>IF(payments_raw[[#This Row],[payment_date]] &lt; payments_raw[[#This Row],[sub_start_date]], 1, 0)</f>
        <v>0</v>
      </c>
      <c r="I3450" s="2">
        <f>IF(AND(payments_raw[[#This Row],[sub_end_date]]&lt;&gt;"", payments_raw[[#This Row],[payment_date]] &gt; payments_raw[[#This Row],[sub_end_date]]), 1, 0)</f>
        <v>0</v>
      </c>
      <c r="J3450" s="2">
        <f>IF(payments_raw[[#This Row],[amount]] &lt;= 0, 1, 0)</f>
        <v>0</v>
      </c>
      <c r="K345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1" spans="1:11" x14ac:dyDescent="0.3">
      <c r="A3451">
        <v>67673347</v>
      </c>
      <c r="B3451">
        <v>6980829</v>
      </c>
      <c r="C3451" s="1">
        <v>45056</v>
      </c>
      <c r="D3451">
        <v>390</v>
      </c>
      <c r="E3451">
        <f>IF(
  ISNA(
    _xlfn.XLOOKUP(
      payments_raw[[#This Row],[subscription_id]],
      subscriptions[subscription_id],
      subscriptions[subscription_id]
    )
  ),
  0,
  1
)</f>
        <v>1</v>
      </c>
      <c r="F3451" s="1">
        <f>_xlfn.XLOOKUP(payments_raw[[#This Row],[subscription_id]], subscriptions[subscription_id], subscriptions[start_date])</f>
        <v>44844</v>
      </c>
      <c r="G3451" s="1">
        <f>IF(_xlfn.XLOOKUP(payments_raw[[#This Row],[subscription_id]], subscriptions[subscription_id], subscriptions[end_date])=0,"",_xlfn.XLOOKUP(payments_raw[[#This Row],[subscription_id]], subscriptions[subscription_id], subscriptions[end_date]))</f>
        <v>45098</v>
      </c>
      <c r="H3451" s="2">
        <f>IF(payments_raw[[#This Row],[payment_date]] &lt; payments_raw[[#This Row],[sub_start_date]], 1, 0)</f>
        <v>0</v>
      </c>
      <c r="I3451" s="2">
        <f>IF(AND(payments_raw[[#This Row],[sub_end_date]]&lt;&gt;"", payments_raw[[#This Row],[payment_date]] &gt; payments_raw[[#This Row],[sub_end_date]]), 1, 0)</f>
        <v>0</v>
      </c>
      <c r="J3451" s="2">
        <f>IF(payments_raw[[#This Row],[amount]] &lt;= 0, 1, 0)</f>
        <v>0</v>
      </c>
      <c r="K345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2" spans="1:11" x14ac:dyDescent="0.3">
      <c r="A3452">
        <v>15370027</v>
      </c>
      <c r="B3452">
        <v>3449200</v>
      </c>
      <c r="C3452" s="1">
        <v>45224</v>
      </c>
      <c r="D3452">
        <v>19</v>
      </c>
      <c r="E3452">
        <f>IF(
  ISNA(
    _xlfn.XLOOKUP(
      payments_raw[[#This Row],[subscription_id]],
      subscriptions[subscription_id],
      subscriptions[subscription_id]
    )
  ),
  0,
  1
)</f>
        <v>1</v>
      </c>
      <c r="F3452" s="1">
        <f>_xlfn.XLOOKUP(payments_raw[[#This Row],[subscription_id]], subscriptions[subscription_id], subscriptions[start_date])</f>
        <v>45099</v>
      </c>
      <c r="G345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3452" s="2">
        <f>IF(payments_raw[[#This Row],[payment_date]] &lt; payments_raw[[#This Row],[sub_start_date]], 1, 0)</f>
        <v>0</v>
      </c>
      <c r="I3452" s="2">
        <f>IF(AND(payments_raw[[#This Row],[sub_end_date]]&lt;&gt;"", payments_raw[[#This Row],[payment_date]] &gt; payments_raw[[#This Row],[sub_end_date]]), 1, 0)</f>
        <v>0</v>
      </c>
      <c r="J3452" s="2">
        <f>IF(payments_raw[[#This Row],[amount]] &lt;= 0, 1, 0)</f>
        <v>0</v>
      </c>
      <c r="K345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3" spans="1:11" x14ac:dyDescent="0.3">
      <c r="A3453">
        <v>35623542</v>
      </c>
      <c r="B3453">
        <v>6889214</v>
      </c>
      <c r="C3453" s="1">
        <v>45624</v>
      </c>
      <c r="D3453">
        <v>79</v>
      </c>
      <c r="E3453">
        <f>IF(
  ISNA(
    _xlfn.XLOOKUP(
      payments_raw[[#This Row],[subscription_id]],
      subscriptions[subscription_id],
      subscriptions[subscription_id]
    )
  ),
  0,
  1
)</f>
        <v>1</v>
      </c>
      <c r="F3453" s="1">
        <f>_xlfn.XLOOKUP(payments_raw[[#This Row],[subscription_id]], subscriptions[subscription_id], subscriptions[start_date])</f>
        <v>45418</v>
      </c>
      <c r="G345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3" s="2">
        <f>IF(payments_raw[[#This Row],[payment_date]] &lt; payments_raw[[#This Row],[sub_start_date]], 1, 0)</f>
        <v>0</v>
      </c>
      <c r="I3453" s="2">
        <f>IF(AND(payments_raw[[#This Row],[sub_end_date]]&lt;&gt;"", payments_raw[[#This Row],[payment_date]] &gt; payments_raw[[#This Row],[sub_end_date]]), 1, 0)</f>
        <v>0</v>
      </c>
      <c r="J3453" s="2">
        <f>IF(payments_raw[[#This Row],[amount]] &lt;= 0, 1, 0)</f>
        <v>0</v>
      </c>
      <c r="K345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4" spans="1:11" x14ac:dyDescent="0.3">
      <c r="A3454">
        <v>57892935</v>
      </c>
      <c r="B3454">
        <v>1917592</v>
      </c>
      <c r="C3454" s="1">
        <v>45439</v>
      </c>
      <c r="D3454">
        <v>2990</v>
      </c>
      <c r="E3454">
        <f>IF(
  ISNA(
    _xlfn.XLOOKUP(
      payments_raw[[#This Row],[subscription_id]],
      subscriptions[subscription_id],
      subscriptions[subscription_id]
    )
  ),
  0,
  1
)</f>
        <v>1</v>
      </c>
      <c r="F3454" s="1">
        <f>_xlfn.XLOOKUP(payments_raw[[#This Row],[subscription_id]], subscriptions[subscription_id], subscriptions[start_date])</f>
        <v>45115</v>
      </c>
      <c r="G3454" s="1">
        <f>IF(_xlfn.XLOOKUP(payments_raw[[#This Row],[subscription_id]], subscriptions[subscription_id], subscriptions[end_date])=0,"",_xlfn.XLOOKUP(payments_raw[[#This Row],[subscription_id]], subscriptions[subscription_id], subscriptions[end_date]))</f>
        <v>45477</v>
      </c>
      <c r="H3454" s="2">
        <f>IF(payments_raw[[#This Row],[payment_date]] &lt; payments_raw[[#This Row],[sub_start_date]], 1, 0)</f>
        <v>0</v>
      </c>
      <c r="I3454" s="2">
        <f>IF(AND(payments_raw[[#This Row],[sub_end_date]]&lt;&gt;"", payments_raw[[#This Row],[payment_date]] &gt; payments_raw[[#This Row],[sub_end_date]]), 1, 0)</f>
        <v>0</v>
      </c>
      <c r="J3454" s="2">
        <f>IF(payments_raw[[#This Row],[amount]] &lt;= 0, 1, 0)</f>
        <v>0</v>
      </c>
      <c r="K345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5" spans="1:11" x14ac:dyDescent="0.3">
      <c r="A3455">
        <v>64162221</v>
      </c>
      <c r="B3455">
        <v>3612902</v>
      </c>
      <c r="C3455" s="1">
        <v>45591</v>
      </c>
      <c r="D3455">
        <v>190</v>
      </c>
      <c r="E3455">
        <f>IF(
  ISNA(
    _xlfn.XLOOKUP(
      payments_raw[[#This Row],[subscription_id]],
      subscriptions[subscription_id],
      subscriptions[subscription_id]
    )
  ),
  0,
  1
)</f>
        <v>1</v>
      </c>
      <c r="F3455" s="1">
        <f>_xlfn.XLOOKUP(payments_raw[[#This Row],[subscription_id]], subscriptions[subscription_id], subscriptions[start_date])</f>
        <v>45524</v>
      </c>
      <c r="G345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5" s="2">
        <f>IF(payments_raw[[#This Row],[payment_date]] &lt; payments_raw[[#This Row],[sub_start_date]], 1, 0)</f>
        <v>0</v>
      </c>
      <c r="I3455" s="2">
        <f>IF(AND(payments_raw[[#This Row],[sub_end_date]]&lt;&gt;"", payments_raw[[#This Row],[payment_date]] &gt; payments_raw[[#This Row],[sub_end_date]]), 1, 0)</f>
        <v>0</v>
      </c>
      <c r="J3455" s="2">
        <f>IF(payments_raw[[#This Row],[amount]] &lt;= 0, 1, 0)</f>
        <v>0</v>
      </c>
      <c r="K345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6" spans="1:11" x14ac:dyDescent="0.3">
      <c r="A3456">
        <v>19525938</v>
      </c>
      <c r="B3456">
        <v>8171473</v>
      </c>
      <c r="C3456" s="1">
        <v>45421</v>
      </c>
      <c r="D3456">
        <v>299</v>
      </c>
      <c r="E3456">
        <f>IF(
  ISNA(
    _xlfn.XLOOKUP(
      payments_raw[[#This Row],[subscription_id]],
      subscriptions[subscription_id],
      subscriptions[subscription_id]
    )
  ),
  0,
  1
)</f>
        <v>1</v>
      </c>
      <c r="F3456" s="1">
        <f>_xlfn.XLOOKUP(payments_raw[[#This Row],[subscription_id]], subscriptions[subscription_id], subscriptions[start_date])</f>
        <v>45132</v>
      </c>
      <c r="G345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6" s="2">
        <f>IF(payments_raw[[#This Row],[payment_date]] &lt; payments_raw[[#This Row],[sub_start_date]], 1, 0)</f>
        <v>0</v>
      </c>
      <c r="I3456" s="2">
        <f>IF(AND(payments_raw[[#This Row],[sub_end_date]]&lt;&gt;"", payments_raw[[#This Row],[payment_date]] &gt; payments_raw[[#This Row],[sub_end_date]]), 1, 0)</f>
        <v>0</v>
      </c>
      <c r="J3456" s="2">
        <f>IF(payments_raw[[#This Row],[amount]] &lt;= 0, 1, 0)</f>
        <v>0</v>
      </c>
      <c r="K345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7" spans="1:11" x14ac:dyDescent="0.3">
      <c r="A3457">
        <v>45871807</v>
      </c>
      <c r="B3457">
        <v>9089445</v>
      </c>
      <c r="C3457" s="1">
        <v>45377</v>
      </c>
      <c r="D3457">
        <v>1490</v>
      </c>
      <c r="E3457">
        <f>IF(
  ISNA(
    _xlfn.XLOOKUP(
      payments_raw[[#This Row],[subscription_id]],
      subscriptions[subscription_id],
      subscriptions[subscription_id]
    )
  ),
  0,
  1
)</f>
        <v>1</v>
      </c>
      <c r="F3457" s="1">
        <f>_xlfn.XLOOKUP(payments_raw[[#This Row],[subscription_id]], subscriptions[subscription_id], subscriptions[start_date])</f>
        <v>45055</v>
      </c>
      <c r="G345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7" s="2">
        <f>IF(payments_raw[[#This Row],[payment_date]] &lt; payments_raw[[#This Row],[sub_start_date]], 1, 0)</f>
        <v>0</v>
      </c>
      <c r="I3457" s="2">
        <f>IF(AND(payments_raw[[#This Row],[sub_end_date]]&lt;&gt;"", payments_raw[[#This Row],[payment_date]] &gt; payments_raw[[#This Row],[sub_end_date]]), 1, 0)</f>
        <v>0</v>
      </c>
      <c r="J3457" s="2">
        <f>IF(payments_raw[[#This Row],[amount]] &lt;= 0, 1, 0)</f>
        <v>0</v>
      </c>
      <c r="K345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8" spans="1:11" x14ac:dyDescent="0.3">
      <c r="A3458">
        <v>96662893</v>
      </c>
      <c r="B3458">
        <v>4648430</v>
      </c>
      <c r="C3458" s="1">
        <v>45372</v>
      </c>
      <c r="D3458">
        <v>390</v>
      </c>
      <c r="E3458">
        <f>IF(
  ISNA(
    _xlfn.XLOOKUP(
      payments_raw[[#This Row],[subscription_id]],
      subscriptions[subscription_id],
      subscriptions[subscription_id]
    )
  ),
  0,
  1
)</f>
        <v>1</v>
      </c>
      <c r="F3458" s="1">
        <f>_xlfn.XLOOKUP(payments_raw[[#This Row],[subscription_id]], subscriptions[subscription_id], subscriptions[start_date])</f>
        <v>44772</v>
      </c>
      <c r="G345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8" s="2">
        <f>IF(payments_raw[[#This Row],[payment_date]] &lt; payments_raw[[#This Row],[sub_start_date]], 1, 0)</f>
        <v>0</v>
      </c>
      <c r="I3458" s="2">
        <f>IF(AND(payments_raw[[#This Row],[sub_end_date]]&lt;&gt;"", payments_raw[[#This Row],[payment_date]] &gt; payments_raw[[#This Row],[sub_end_date]]), 1, 0)</f>
        <v>0</v>
      </c>
      <c r="J3458" s="2">
        <f>IF(payments_raw[[#This Row],[amount]] &lt;= 0, 1, 0)</f>
        <v>0</v>
      </c>
      <c r="K345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59" spans="1:11" x14ac:dyDescent="0.3">
      <c r="A3459">
        <v>80158105</v>
      </c>
      <c r="B3459">
        <v>8758476</v>
      </c>
      <c r="C3459" s="1">
        <v>45324</v>
      </c>
      <c r="D3459">
        <v>1490</v>
      </c>
      <c r="E3459">
        <f>IF(
  ISNA(
    _xlfn.XLOOKUP(
      payments_raw[[#This Row],[subscription_id]],
      subscriptions[subscription_id],
      subscriptions[subscription_id]
    )
  ),
  0,
  1
)</f>
        <v>1</v>
      </c>
      <c r="F3459" s="1">
        <f>_xlfn.XLOOKUP(payments_raw[[#This Row],[subscription_id]], subscriptions[subscription_id], subscriptions[start_date])</f>
        <v>45213</v>
      </c>
      <c r="G345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59" s="2">
        <f>IF(payments_raw[[#This Row],[payment_date]] &lt; payments_raw[[#This Row],[sub_start_date]], 1, 0)</f>
        <v>0</v>
      </c>
      <c r="I3459" s="2">
        <f>IF(AND(payments_raw[[#This Row],[sub_end_date]]&lt;&gt;"", payments_raw[[#This Row],[payment_date]] &gt; payments_raw[[#This Row],[sub_end_date]]), 1, 0)</f>
        <v>0</v>
      </c>
      <c r="J3459" s="2">
        <f>IF(payments_raw[[#This Row],[amount]] &lt;= 0, 1, 0)</f>
        <v>0</v>
      </c>
      <c r="K345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0" spans="1:11" x14ac:dyDescent="0.3">
      <c r="A3460">
        <v>86602473</v>
      </c>
      <c r="B3460">
        <v>5948143</v>
      </c>
      <c r="C3460" s="1">
        <v>45217</v>
      </c>
      <c r="D3460">
        <v>79</v>
      </c>
      <c r="E3460">
        <f>IF(
  ISNA(
    _xlfn.XLOOKUP(
      payments_raw[[#This Row],[subscription_id]],
      subscriptions[subscription_id],
      subscriptions[subscription_id]
    )
  ),
  0,
  1
)</f>
        <v>1</v>
      </c>
      <c r="F3460" s="1">
        <f>_xlfn.XLOOKUP(payments_raw[[#This Row],[subscription_id]], subscriptions[subscription_id], subscriptions[start_date])</f>
        <v>45093</v>
      </c>
      <c r="G346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45258</v>
      </c>
      <c r="H3460" s="2">
        <f>IF(payments_raw[[#This Row],[payment_date]] &lt; payments_raw[[#This Row],[sub_start_date]], 1, 0)</f>
        <v>0</v>
      </c>
      <c r="I3460" s="2">
        <f>IF(AND(payments_raw[[#This Row],[sub_end_date]]&lt;&gt;"", payments_raw[[#This Row],[payment_date]] &gt; payments_raw[[#This Row],[sub_end_date]]), 1, 0)</f>
        <v>0</v>
      </c>
      <c r="J3460" s="2">
        <f>IF(payments_raw[[#This Row],[amount]] &lt;= 0, 1, 0)</f>
        <v>0</v>
      </c>
      <c r="K346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1" spans="1:11" x14ac:dyDescent="0.3">
      <c r="A3461">
        <v>82703520</v>
      </c>
      <c r="B3461">
        <v>9792694</v>
      </c>
      <c r="C3461" s="1">
        <v>45110</v>
      </c>
      <c r="D3461">
        <v>190</v>
      </c>
      <c r="E3461">
        <f>IF(
  ISNA(
    _xlfn.XLOOKUP(
      payments_raw[[#This Row],[subscription_id]],
      subscriptions[subscription_id],
      subscriptions[subscription_id]
    )
  ),
  0,
  1
)</f>
        <v>1</v>
      </c>
      <c r="F3461" s="1">
        <f>_xlfn.XLOOKUP(payments_raw[[#This Row],[subscription_id]], subscriptions[subscription_id], subscriptions[start_date])</f>
        <v>44968</v>
      </c>
      <c r="G3461" s="1">
        <f>IF(_xlfn.XLOOKUP(payments_raw[[#This Row],[subscription_id]], subscriptions[subscription_id], subscriptions[end_date])=0,"",_xlfn.XLOOKUP(payments_raw[[#This Row],[subscription_id]], subscriptions[subscription_id], subscriptions[end_date]))</f>
        <v>45288</v>
      </c>
      <c r="H3461" s="2">
        <f>IF(payments_raw[[#This Row],[payment_date]] &lt; payments_raw[[#This Row],[sub_start_date]], 1, 0)</f>
        <v>0</v>
      </c>
      <c r="I3461" s="2">
        <f>IF(AND(payments_raw[[#This Row],[sub_end_date]]&lt;&gt;"", payments_raw[[#This Row],[payment_date]] &gt; payments_raw[[#This Row],[sub_end_date]]), 1, 0)</f>
        <v>0</v>
      </c>
      <c r="J3461" s="2">
        <f>IF(payments_raw[[#This Row],[amount]] &lt;= 0, 1, 0)</f>
        <v>0</v>
      </c>
      <c r="K346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2" spans="1:11" x14ac:dyDescent="0.3">
      <c r="A3462">
        <v>90283262</v>
      </c>
      <c r="B3462">
        <v>5922299</v>
      </c>
      <c r="C3462" s="1">
        <v>45613</v>
      </c>
      <c r="D3462">
        <v>17.100000000000001</v>
      </c>
      <c r="E3462">
        <f>IF(
  ISNA(
    _xlfn.XLOOKUP(
      payments_raw[[#This Row],[subscription_id]],
      subscriptions[subscription_id],
      subscriptions[subscription_id]
    )
  ),
  0,
  1
)</f>
        <v>1</v>
      </c>
      <c r="F3462" s="1">
        <f>_xlfn.XLOOKUP(payments_raw[[#This Row],[subscription_id]], subscriptions[subscription_id], subscriptions[start_date])</f>
        <v>44805</v>
      </c>
      <c r="G3462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2" s="2">
        <f>IF(payments_raw[[#This Row],[payment_date]] &lt; payments_raw[[#This Row],[sub_start_date]], 1, 0)</f>
        <v>0</v>
      </c>
      <c r="I3462" s="2">
        <f>IF(AND(payments_raw[[#This Row],[sub_end_date]]&lt;&gt;"", payments_raw[[#This Row],[payment_date]] &gt; payments_raw[[#This Row],[sub_end_date]]), 1, 0)</f>
        <v>0</v>
      </c>
      <c r="J3462" s="2">
        <f>IF(payments_raw[[#This Row],[amount]] &lt;= 0, 1, 0)</f>
        <v>0</v>
      </c>
      <c r="K346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3" spans="1:11" x14ac:dyDescent="0.3">
      <c r="A3463">
        <v>77925726</v>
      </c>
      <c r="B3463">
        <v>7779356</v>
      </c>
      <c r="C3463" s="1">
        <v>44784</v>
      </c>
      <c r="D3463">
        <v>1341</v>
      </c>
      <c r="E3463">
        <f>IF(
  ISNA(
    _xlfn.XLOOKUP(
      payments_raw[[#This Row],[subscription_id]],
      subscriptions[subscription_id],
      subscriptions[subscription_id]
    )
  ),
  0,
  1
)</f>
        <v>1</v>
      </c>
      <c r="F3463" s="1">
        <f>_xlfn.XLOOKUP(payments_raw[[#This Row],[subscription_id]], subscriptions[subscription_id], subscriptions[start_date])</f>
        <v>44675</v>
      </c>
      <c r="G3463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44886</v>
      </c>
      <c r="H3463" s="2">
        <f>IF(payments_raw[[#This Row],[payment_date]] &lt; payments_raw[[#This Row],[sub_start_date]], 1, 0)</f>
        <v>0</v>
      </c>
      <c r="I3463" s="2">
        <f>IF(AND(payments_raw[[#This Row],[sub_end_date]]&lt;&gt;"", payments_raw[[#This Row],[payment_date]] &gt; payments_raw[[#This Row],[sub_end_date]]), 1, 0)</f>
        <v>0</v>
      </c>
      <c r="J3463" s="2">
        <f>IF(payments_raw[[#This Row],[amount]] &lt;= 0, 1, 0)</f>
        <v>0</v>
      </c>
      <c r="K346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4" spans="1:11" x14ac:dyDescent="0.3">
      <c r="A3464">
        <v>93244633</v>
      </c>
      <c r="B3464">
        <v>6773384</v>
      </c>
      <c r="C3464" s="1">
        <v>45626</v>
      </c>
      <c r="D3464">
        <v>190</v>
      </c>
      <c r="E3464">
        <f>IF(
  ISNA(
    _xlfn.XLOOKUP(
      payments_raw[[#This Row],[subscription_id]],
      subscriptions[subscription_id],
      subscriptions[subscription_id]
    )
  ),
  0,
  1
)</f>
        <v>1</v>
      </c>
      <c r="F3464" s="1">
        <f>_xlfn.XLOOKUP(payments_raw[[#This Row],[subscription_id]], subscriptions[subscription_id], subscriptions[start_date])</f>
        <v>45586</v>
      </c>
      <c r="G346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4" s="2">
        <f>IF(payments_raw[[#This Row],[payment_date]] &lt; payments_raw[[#This Row],[sub_start_date]], 1, 0)</f>
        <v>0</v>
      </c>
      <c r="I3464" s="2">
        <f>IF(AND(payments_raw[[#This Row],[sub_end_date]]&lt;&gt;"", payments_raw[[#This Row],[payment_date]] &gt; payments_raw[[#This Row],[sub_end_date]]), 1, 0)</f>
        <v>0</v>
      </c>
      <c r="J3464" s="2">
        <f>IF(payments_raw[[#This Row],[amount]] &lt;= 0, 1, 0)</f>
        <v>0</v>
      </c>
      <c r="K346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5" spans="1:11" x14ac:dyDescent="0.3">
      <c r="A3465">
        <v>11906702</v>
      </c>
      <c r="B3465">
        <v>1757936</v>
      </c>
      <c r="C3465" s="1">
        <v>45174</v>
      </c>
      <c r="D3465">
        <v>299</v>
      </c>
      <c r="E3465">
        <f>IF(
  ISNA(
    _xlfn.XLOOKUP(
      payments_raw[[#This Row],[subscription_id]],
      subscriptions[subscription_id],
      subscriptions[subscription_id]
    )
  ),
  0,
  1
)</f>
        <v>1</v>
      </c>
      <c r="F3465" s="1">
        <f>_xlfn.XLOOKUP(payments_raw[[#This Row],[subscription_id]], subscriptions[subscription_id], subscriptions[start_date])</f>
        <v>44597</v>
      </c>
      <c r="G346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5" s="2">
        <f>IF(payments_raw[[#This Row],[payment_date]] &lt; payments_raw[[#This Row],[sub_start_date]], 1, 0)</f>
        <v>0</v>
      </c>
      <c r="I3465" s="2">
        <f>IF(AND(payments_raw[[#This Row],[sub_end_date]]&lt;&gt;"", payments_raw[[#This Row],[payment_date]] &gt; payments_raw[[#This Row],[sub_end_date]]), 1, 0)</f>
        <v>0</v>
      </c>
      <c r="J3465" s="2">
        <f>IF(payments_raw[[#This Row],[amount]] &lt;= 0, 1, 0)</f>
        <v>0</v>
      </c>
      <c r="K346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6" spans="1:11" x14ac:dyDescent="0.3">
      <c r="A3466">
        <v>98830506</v>
      </c>
      <c r="B3466">
        <v>8859233</v>
      </c>
      <c r="C3466" s="1">
        <v>45058</v>
      </c>
      <c r="D3466">
        <v>1490</v>
      </c>
      <c r="E3466">
        <f>IF(
  ISNA(
    _xlfn.XLOOKUP(
      payments_raw[[#This Row],[subscription_id]],
      subscriptions[subscription_id],
      subscriptions[subscription_id]
    )
  ),
  0,
  1
)</f>
        <v>1</v>
      </c>
      <c r="F3466" s="1">
        <f>_xlfn.XLOOKUP(payments_raw[[#This Row],[subscription_id]], subscriptions[subscription_id], subscriptions[start_date])</f>
        <v>44952</v>
      </c>
      <c r="G3466" s="1">
        <f>IF(_xlfn.XLOOKUP(payments_raw[[#This Row],[subscription_id]], subscriptions[subscription_id], subscriptions[end_date])=0,"",_xlfn.XLOOKUP(payments_raw[[#This Row],[subscription_id]], subscriptions[subscription_id], subscriptions[end_date]))</f>
        <v>45332</v>
      </c>
      <c r="H3466" s="2">
        <f>IF(payments_raw[[#This Row],[payment_date]] &lt; payments_raw[[#This Row],[sub_start_date]], 1, 0)</f>
        <v>0</v>
      </c>
      <c r="I3466" s="2">
        <f>IF(AND(payments_raw[[#This Row],[sub_end_date]]&lt;&gt;"", payments_raw[[#This Row],[payment_date]] &gt; payments_raw[[#This Row],[sub_end_date]]), 1, 0)</f>
        <v>0</v>
      </c>
      <c r="J3466" s="2">
        <f>IF(payments_raw[[#This Row],[amount]] &lt;= 0, 1, 0)</f>
        <v>0</v>
      </c>
      <c r="K346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7" spans="1:11" x14ac:dyDescent="0.3">
      <c r="A3467">
        <v>65961535</v>
      </c>
      <c r="B3467">
        <v>6228876</v>
      </c>
      <c r="C3467" s="1">
        <v>45554</v>
      </c>
      <c r="D3467">
        <v>1490</v>
      </c>
      <c r="E3467">
        <f>IF(
  ISNA(
    _xlfn.XLOOKUP(
      payments_raw[[#This Row],[subscription_id]],
      subscriptions[subscription_id],
      subscriptions[subscription_id]
    )
  ),
  0,
  1
)</f>
        <v>1</v>
      </c>
      <c r="F3467" s="1">
        <f>_xlfn.XLOOKUP(payments_raw[[#This Row],[subscription_id]], subscriptions[subscription_id], subscriptions[start_date])</f>
        <v>45158</v>
      </c>
      <c r="G346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7" s="2">
        <f>IF(payments_raw[[#This Row],[payment_date]] &lt; payments_raw[[#This Row],[sub_start_date]], 1, 0)</f>
        <v>0</v>
      </c>
      <c r="I3467" s="2">
        <f>IF(AND(payments_raw[[#This Row],[sub_end_date]]&lt;&gt;"", payments_raw[[#This Row],[payment_date]] &gt; payments_raw[[#This Row],[sub_end_date]]), 1, 0)</f>
        <v>0</v>
      </c>
      <c r="J3467" s="2">
        <f>IF(payments_raw[[#This Row],[amount]] &lt;= 0, 1, 0)</f>
        <v>0</v>
      </c>
      <c r="K346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8" spans="1:11" x14ac:dyDescent="0.3">
      <c r="A3468">
        <v>49808824</v>
      </c>
      <c r="B3468">
        <v>5315283</v>
      </c>
      <c r="C3468" s="1">
        <v>45111</v>
      </c>
      <c r="D3468">
        <v>79</v>
      </c>
      <c r="E3468">
        <f>IF(
  ISNA(
    _xlfn.XLOOKUP(
      payments_raw[[#This Row],[subscription_id]],
      subscriptions[subscription_id],
      subscriptions[subscription_id]
    )
  ),
  0,
  1
)</f>
        <v>1</v>
      </c>
      <c r="F3468" s="1">
        <f>_xlfn.XLOOKUP(payments_raw[[#This Row],[subscription_id]], subscriptions[subscription_id], subscriptions[start_date])</f>
        <v>44890</v>
      </c>
      <c r="G346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8" s="2">
        <f>IF(payments_raw[[#This Row],[payment_date]] &lt; payments_raw[[#This Row],[sub_start_date]], 1, 0)</f>
        <v>0</v>
      </c>
      <c r="I3468" s="2">
        <f>IF(AND(payments_raw[[#This Row],[sub_end_date]]&lt;&gt;"", payments_raw[[#This Row],[payment_date]] &gt; payments_raw[[#This Row],[sub_end_date]]), 1, 0)</f>
        <v>0</v>
      </c>
      <c r="J3468" s="2">
        <f>IF(payments_raw[[#This Row],[amount]] &lt;= 0, 1, 0)</f>
        <v>0</v>
      </c>
      <c r="K346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69" spans="1:11" x14ac:dyDescent="0.3">
      <c r="A3469">
        <v>39854281</v>
      </c>
      <c r="B3469">
        <v>9860962</v>
      </c>
      <c r="C3469" s="1">
        <v>45653</v>
      </c>
      <c r="D3469">
        <v>149</v>
      </c>
      <c r="E3469">
        <f>IF(
  ISNA(
    _xlfn.XLOOKUP(
      payments_raw[[#This Row],[subscription_id]],
      subscriptions[subscription_id],
      subscriptions[subscription_id]
    )
  ),
  0,
  1
)</f>
        <v>1</v>
      </c>
      <c r="F3469" s="1">
        <f>_xlfn.XLOOKUP(payments_raw[[#This Row],[subscription_id]], subscriptions[subscription_id], subscriptions[start_date])</f>
        <v>45578</v>
      </c>
      <c r="G3469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69" s="2">
        <f>IF(payments_raw[[#This Row],[payment_date]] &lt; payments_raw[[#This Row],[sub_start_date]], 1, 0)</f>
        <v>0</v>
      </c>
      <c r="I3469" s="2">
        <f>IF(AND(payments_raw[[#This Row],[sub_end_date]]&lt;&gt;"", payments_raw[[#This Row],[payment_date]] &gt; payments_raw[[#This Row],[sub_end_date]]), 1, 0)</f>
        <v>0</v>
      </c>
      <c r="J3469" s="2">
        <f>IF(payments_raw[[#This Row],[amount]] &lt;= 0, 1, 0)</f>
        <v>0</v>
      </c>
      <c r="K346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0" spans="1:11" x14ac:dyDescent="0.3">
      <c r="A3470">
        <v>61137762</v>
      </c>
      <c r="B3470">
        <v>6419936</v>
      </c>
      <c r="C3470" s="1">
        <v>44926</v>
      </c>
      <c r="D3470">
        <v>1490</v>
      </c>
      <c r="E3470">
        <f>IF(
  ISNA(
    _xlfn.XLOOKUP(
      payments_raw[[#This Row],[subscription_id]],
      subscriptions[subscription_id],
      subscriptions[subscription_id]
    )
  ),
  0,
  1
)</f>
        <v>1</v>
      </c>
      <c r="F3470" s="1">
        <f>_xlfn.XLOOKUP(payments_raw[[#This Row],[subscription_id]], subscriptions[subscription_id], subscriptions[start_date])</f>
        <v>44823</v>
      </c>
      <c r="G347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70" s="2">
        <f>IF(payments_raw[[#This Row],[payment_date]] &lt; payments_raw[[#This Row],[sub_start_date]], 1, 0)</f>
        <v>0</v>
      </c>
      <c r="I3470" s="2">
        <f>IF(AND(payments_raw[[#This Row],[sub_end_date]]&lt;&gt;"", payments_raw[[#This Row],[payment_date]] &gt; payments_raw[[#This Row],[sub_end_date]]), 1, 0)</f>
        <v>0</v>
      </c>
      <c r="J3470" s="2">
        <f>IF(payments_raw[[#This Row],[amount]] &lt;= 0, 1, 0)</f>
        <v>0</v>
      </c>
      <c r="K347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1" spans="1:11" x14ac:dyDescent="0.3">
      <c r="A3471">
        <v>31065267</v>
      </c>
      <c r="B3471">
        <v>6385308</v>
      </c>
      <c r="C3471" s="1">
        <v>45141</v>
      </c>
      <c r="D3471">
        <v>79</v>
      </c>
      <c r="E3471">
        <f>IF(
  ISNA(
    _xlfn.XLOOKUP(
      payments_raw[[#This Row],[subscription_id]],
      subscriptions[subscription_id],
      subscriptions[subscription_id]
    )
  ),
  0,
  1
)</f>
        <v>1</v>
      </c>
      <c r="F3471" s="1">
        <f>_xlfn.XLOOKUP(payments_raw[[#This Row],[subscription_id]], subscriptions[subscription_id], subscriptions[start_date])</f>
        <v>45103</v>
      </c>
      <c r="G347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45360</v>
      </c>
      <c r="H3471" s="2">
        <f>IF(payments_raw[[#This Row],[payment_date]] &lt; payments_raw[[#This Row],[sub_start_date]], 1, 0)</f>
        <v>0</v>
      </c>
      <c r="I3471" s="2">
        <f>IF(AND(payments_raw[[#This Row],[sub_end_date]]&lt;&gt;"", payments_raw[[#This Row],[payment_date]] &gt; payments_raw[[#This Row],[sub_end_date]]), 1, 0)</f>
        <v>0</v>
      </c>
      <c r="J3471" s="2">
        <f>IF(payments_raw[[#This Row],[amount]] &lt;= 0, 1, 0)</f>
        <v>0</v>
      </c>
      <c r="K347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2" spans="1:11" x14ac:dyDescent="0.3">
      <c r="A3472">
        <v>24002854</v>
      </c>
      <c r="B3472">
        <v>3341247</v>
      </c>
      <c r="C3472" s="1">
        <v>44849</v>
      </c>
      <c r="D3472">
        <v>1490</v>
      </c>
      <c r="E3472">
        <f>IF(
  ISNA(
    _xlfn.XLOOKUP(
      payments_raw[[#This Row],[subscription_id]],
      subscriptions[subscription_id],
      subscriptions[subscription_id]
    )
  ),
  0,
  1
)</f>
        <v>1</v>
      </c>
      <c r="F3472" s="1">
        <f>_xlfn.XLOOKUP(payments_raw[[#This Row],[subscription_id]], subscriptions[subscription_id], subscriptions[start_date])</f>
        <v>44828</v>
      </c>
      <c r="G3472" s="1">
        <f>IF(_xlfn.XLOOKUP(payments_raw[[#This Row],[subscription_id]], subscriptions[subscription_id], subscriptions[end_date])=0,"",_xlfn.XLOOKUP(payments_raw[[#This Row],[subscription_id]], subscriptions[subscription_id], subscriptions[end_date]))</f>
        <v>44885</v>
      </c>
      <c r="H3472" s="2">
        <f>IF(payments_raw[[#This Row],[payment_date]] &lt; payments_raw[[#This Row],[sub_start_date]], 1, 0)</f>
        <v>0</v>
      </c>
      <c r="I3472" s="2">
        <f>IF(AND(payments_raw[[#This Row],[sub_end_date]]&lt;&gt;"", payments_raw[[#This Row],[payment_date]] &gt; payments_raw[[#This Row],[sub_end_date]]), 1, 0)</f>
        <v>0</v>
      </c>
      <c r="J3472" s="2">
        <f>IF(payments_raw[[#This Row],[amount]] &lt;= 0, 1, 0)</f>
        <v>0</v>
      </c>
      <c r="K347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3" spans="1:11" x14ac:dyDescent="0.3">
      <c r="A3473">
        <v>85482020</v>
      </c>
      <c r="B3473">
        <v>2435070</v>
      </c>
      <c r="C3473" s="1">
        <v>45159</v>
      </c>
      <c r="D3473">
        <v>39</v>
      </c>
      <c r="E3473">
        <f>IF(
  ISNA(
    _xlfn.XLOOKUP(
      payments_raw[[#This Row],[subscription_id]],
      subscriptions[subscription_id],
      subscriptions[subscription_id]
    )
  ),
  0,
  1
)</f>
        <v>1</v>
      </c>
      <c r="F3473" s="1">
        <f>_xlfn.XLOOKUP(payments_raw[[#This Row],[subscription_id]], subscriptions[subscription_id], subscriptions[start_date])</f>
        <v>45073</v>
      </c>
      <c r="G3473" s="1">
        <f>IF(_xlfn.XLOOKUP(payments_raw[[#This Row],[subscription_id]], subscriptions[subscription_id], subscriptions[end_date])=0,"",_xlfn.XLOOKUP(payments_raw[[#This Row],[subscription_id]], subscriptions[subscription_id], subscriptions[end_date]))</f>
        <v>45254</v>
      </c>
      <c r="H3473" s="2">
        <f>IF(payments_raw[[#This Row],[payment_date]] &lt; payments_raw[[#This Row],[sub_start_date]], 1, 0)</f>
        <v>0</v>
      </c>
      <c r="I3473" s="2">
        <f>IF(AND(payments_raw[[#This Row],[sub_end_date]]&lt;&gt;"", payments_raw[[#This Row],[payment_date]] &gt; payments_raw[[#This Row],[sub_end_date]]), 1, 0)</f>
        <v>0</v>
      </c>
      <c r="J3473" s="2">
        <f>IF(payments_raw[[#This Row],[amount]] &lt;= 0, 1, 0)</f>
        <v>0</v>
      </c>
      <c r="K347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4" spans="1:11" x14ac:dyDescent="0.3">
      <c r="A3474">
        <v>12185553</v>
      </c>
      <c r="B3474">
        <v>3879023</v>
      </c>
      <c r="C3474" s="1">
        <v>45429</v>
      </c>
      <c r="D3474">
        <v>2990</v>
      </c>
      <c r="E3474">
        <f>IF(
  ISNA(
    _xlfn.XLOOKUP(
      payments_raw[[#This Row],[subscription_id]],
      subscriptions[subscription_id],
      subscriptions[subscription_id]
    )
  ),
  0,
  1
)</f>
        <v>1</v>
      </c>
      <c r="F3474" s="1">
        <f>_xlfn.XLOOKUP(payments_raw[[#This Row],[subscription_id]], subscriptions[subscription_id], subscriptions[start_date])</f>
        <v>45428</v>
      </c>
      <c r="G3474" s="1">
        <f>IF(_xlfn.XLOOKUP(payments_raw[[#This Row],[subscription_id]], subscriptions[subscription_id], subscriptions[end_date])=0,"",_xlfn.XLOOKUP(payments_raw[[#This Row],[subscription_id]], subscriptions[subscription_id], subscriptions[end_date]))</f>
        <v>45657</v>
      </c>
      <c r="H3474" s="2">
        <f>IF(payments_raw[[#This Row],[payment_date]] &lt; payments_raw[[#This Row],[sub_start_date]], 1, 0)</f>
        <v>0</v>
      </c>
      <c r="I3474" s="2">
        <f>IF(AND(payments_raw[[#This Row],[sub_end_date]]&lt;&gt;"", payments_raw[[#This Row],[payment_date]] &gt; payments_raw[[#This Row],[sub_end_date]]), 1, 0)</f>
        <v>0</v>
      </c>
      <c r="J3474" s="2">
        <f>IF(payments_raw[[#This Row],[amount]] &lt;= 0, 1, 0)</f>
        <v>0</v>
      </c>
      <c r="K347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5" spans="1:11" x14ac:dyDescent="0.3">
      <c r="A3475">
        <v>34488359</v>
      </c>
      <c r="B3475">
        <v>6362719</v>
      </c>
      <c r="C3475" s="1">
        <v>45396</v>
      </c>
      <c r="D3475">
        <v>1490</v>
      </c>
      <c r="E3475">
        <f>IF(
  ISNA(
    _xlfn.XLOOKUP(
      payments_raw[[#This Row],[subscription_id]],
      subscriptions[subscription_id],
      subscriptions[subscription_id]
    )
  ),
  0,
  1
)</f>
        <v>1</v>
      </c>
      <c r="F3475" s="1">
        <f>_xlfn.XLOOKUP(payments_raw[[#This Row],[subscription_id]], subscriptions[subscription_id], subscriptions[start_date])</f>
        <v>45309</v>
      </c>
      <c r="G3475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45403</v>
      </c>
      <c r="H3475" s="2">
        <f>IF(payments_raw[[#This Row],[payment_date]] &lt; payments_raw[[#This Row],[sub_start_date]], 1, 0)</f>
        <v>0</v>
      </c>
      <c r="I3475" s="2">
        <f>IF(AND(payments_raw[[#This Row],[sub_end_date]]&lt;&gt;"", payments_raw[[#This Row],[payment_date]] &gt; payments_raw[[#This Row],[sub_end_date]]), 1, 0)</f>
        <v>0</v>
      </c>
      <c r="J3475" s="2">
        <f>IF(payments_raw[[#This Row],[amount]] &lt;= 0, 1, 0)</f>
        <v>0</v>
      </c>
      <c r="K347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6" spans="1:11" x14ac:dyDescent="0.3">
      <c r="A3476">
        <v>31924339</v>
      </c>
      <c r="B3476">
        <v>1417616</v>
      </c>
      <c r="C3476" s="1">
        <v>45445</v>
      </c>
      <c r="D3476">
        <v>390</v>
      </c>
      <c r="E3476">
        <f>IF(
  ISNA(
    _xlfn.XLOOKUP(
      payments_raw[[#This Row],[subscription_id]],
      subscriptions[subscription_id],
      subscriptions[subscription_id]
    )
  ),
  0,
  1
)</f>
        <v>1</v>
      </c>
      <c r="F3476" s="1">
        <f>_xlfn.XLOOKUP(payments_raw[[#This Row],[subscription_id]], subscriptions[subscription_id], subscriptions[start_date])</f>
        <v>45375</v>
      </c>
      <c r="G3476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476" s="2">
        <f>IF(payments_raw[[#This Row],[payment_date]] &lt; payments_raw[[#This Row],[sub_start_date]], 1, 0)</f>
        <v>0</v>
      </c>
      <c r="I3476" s="2">
        <f>IF(AND(payments_raw[[#This Row],[sub_end_date]]&lt;&gt;"", payments_raw[[#This Row],[payment_date]] &gt; payments_raw[[#This Row],[sub_end_date]]), 1, 0)</f>
        <v>0</v>
      </c>
      <c r="J3476" s="2">
        <f>IF(payments_raw[[#This Row],[amount]] &lt;= 0, 1, 0)</f>
        <v>0</v>
      </c>
      <c r="K347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7" spans="1:11" x14ac:dyDescent="0.3">
      <c r="A3477">
        <v>89400305</v>
      </c>
      <c r="B3477">
        <v>2758380</v>
      </c>
      <c r="C3477" s="1">
        <v>45299</v>
      </c>
      <c r="D3477">
        <v>299</v>
      </c>
      <c r="E3477">
        <f>IF(
  ISNA(
    _xlfn.XLOOKUP(
      payments_raw[[#This Row],[subscription_id]],
      subscriptions[subscription_id],
      subscriptions[subscription_id]
    )
  ),
  0,
  1
)</f>
        <v>1</v>
      </c>
      <c r="F3477" s="1">
        <f>_xlfn.XLOOKUP(payments_raw[[#This Row],[subscription_id]], subscriptions[subscription_id], subscriptions[start_date])</f>
        <v>45028</v>
      </c>
      <c r="G3477" s="1">
        <f>IF(_xlfn.XLOOKUP(payments_raw[[#This Row],[subscription_id]], subscriptions[subscription_id], subscriptions[end_date])=0,"",_xlfn.XLOOKUP(payments_raw[[#This Row],[subscription_id]], subscriptions[subscription_id], subscriptions[end_date]))</f>
        <v>45425</v>
      </c>
      <c r="H3477" s="2">
        <f>IF(payments_raw[[#This Row],[payment_date]] &lt; payments_raw[[#This Row],[sub_start_date]], 1, 0)</f>
        <v>0</v>
      </c>
      <c r="I3477" s="2">
        <f>IF(AND(payments_raw[[#This Row],[sub_end_date]]&lt;&gt;"", payments_raw[[#This Row],[payment_date]] &gt; payments_raw[[#This Row],[sub_end_date]]), 1, 0)</f>
        <v>0</v>
      </c>
      <c r="J3477" s="2">
        <f>IF(payments_raw[[#This Row],[amount]] &lt;= 0, 1, 0)</f>
        <v>0</v>
      </c>
      <c r="K347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8" spans="1:11" x14ac:dyDescent="0.3">
      <c r="A3478">
        <v>50827124</v>
      </c>
      <c r="B3478">
        <v>9534019</v>
      </c>
      <c r="C3478" s="1">
        <v>45197</v>
      </c>
      <c r="D3478">
        <v>79</v>
      </c>
      <c r="E3478">
        <f>IF(
  ISNA(
    _xlfn.XLOOKUP(
      payments_raw[[#This Row],[subscription_id]],
      subscriptions[subscription_id],
      subscriptions[subscription_id]
    )
  ),
  0,
  1
)</f>
        <v>1</v>
      </c>
      <c r="F3478" s="1">
        <f>_xlfn.XLOOKUP(payments_raw[[#This Row],[subscription_id]], subscriptions[subscription_id], subscriptions[start_date])</f>
        <v>45134</v>
      </c>
      <c r="G3478" s="1">
        <f>IF(_xlfn.XLOOKUP(payments_raw[[#This Row],[subscription_id]], subscriptions[subscription_id], subscriptions[end_date])=0,"",_xlfn.XLOOKUP(payments_raw[[#This Row],[subscription_id]], subscriptions[subscription_id], subscriptions[end_date]))</f>
        <v>45213</v>
      </c>
      <c r="H3478" s="2">
        <f>IF(payments_raw[[#This Row],[payment_date]] &lt; payments_raw[[#This Row],[sub_start_date]], 1, 0)</f>
        <v>0</v>
      </c>
      <c r="I3478" s="2">
        <f>IF(AND(payments_raw[[#This Row],[sub_end_date]]&lt;&gt;"", payments_raw[[#This Row],[payment_date]] &gt; payments_raw[[#This Row],[sub_end_date]]), 1, 0)</f>
        <v>0</v>
      </c>
      <c r="J3478" s="2">
        <f>IF(payments_raw[[#This Row],[amount]] &lt;= 0, 1, 0)</f>
        <v>0</v>
      </c>
      <c r="K347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79" spans="1:11" x14ac:dyDescent="0.3">
      <c r="A3479">
        <v>95493329</v>
      </c>
      <c r="B3479">
        <v>1417616</v>
      </c>
      <c r="C3479" s="1">
        <v>45457</v>
      </c>
      <c r="D3479">
        <v>390</v>
      </c>
      <c r="E3479">
        <f>IF(
  ISNA(
    _xlfn.XLOOKUP(
      payments_raw[[#This Row],[subscription_id]],
      subscriptions[subscription_id],
      subscriptions[subscription_id]
    )
  ),
  0,
  1
)</f>
        <v>1</v>
      </c>
      <c r="F3479" s="1">
        <f>_xlfn.XLOOKUP(payments_raw[[#This Row],[subscription_id]], subscriptions[subscription_id], subscriptions[start_date])</f>
        <v>45375</v>
      </c>
      <c r="G3479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479" s="2">
        <f>IF(payments_raw[[#This Row],[payment_date]] &lt; payments_raw[[#This Row],[sub_start_date]], 1, 0)</f>
        <v>0</v>
      </c>
      <c r="I3479" s="2">
        <f>IF(AND(payments_raw[[#This Row],[sub_end_date]]&lt;&gt;"", payments_raw[[#This Row],[payment_date]] &gt; payments_raw[[#This Row],[sub_end_date]]), 1, 0)</f>
        <v>0</v>
      </c>
      <c r="J3479" s="2">
        <f>IF(payments_raw[[#This Row],[amount]] &lt;= 0, 1, 0)</f>
        <v>0</v>
      </c>
      <c r="K347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0" spans="1:11" x14ac:dyDescent="0.3">
      <c r="A3480">
        <v>71887143</v>
      </c>
      <c r="B3480">
        <v>2657659</v>
      </c>
      <c r="C3480" s="1">
        <v>45192</v>
      </c>
      <c r="D3480">
        <v>39</v>
      </c>
      <c r="E3480">
        <f>IF(
  ISNA(
    _xlfn.XLOOKUP(
      payments_raw[[#This Row],[subscription_id]],
      subscriptions[subscription_id],
      subscriptions[subscription_id]
    )
  ),
  0,
  1
)</f>
        <v>1</v>
      </c>
      <c r="F3480" s="1">
        <f>_xlfn.XLOOKUP(payments_raw[[#This Row],[subscription_id]], subscriptions[subscription_id], subscriptions[start_date])</f>
        <v>45160</v>
      </c>
      <c r="G3480" s="1">
        <f>IF(_xlfn.XLOOKUP(payments_raw[[#This Row],[subscription_id]], subscriptions[subscription_id], subscriptions[end_date])=0,"",_xlfn.XLOOKUP(payments_raw[[#This Row],[subscription_id]], subscriptions[subscription_id], subscriptions[end_date]))</f>
        <v>45204</v>
      </c>
      <c r="H3480" s="2">
        <f>IF(payments_raw[[#This Row],[payment_date]] &lt; payments_raw[[#This Row],[sub_start_date]], 1, 0)</f>
        <v>0</v>
      </c>
      <c r="I3480" s="2">
        <f>IF(AND(payments_raw[[#This Row],[sub_end_date]]&lt;&gt;"", payments_raw[[#This Row],[payment_date]] &gt; payments_raw[[#This Row],[sub_end_date]]), 1, 0)</f>
        <v>0</v>
      </c>
      <c r="J3480" s="2">
        <f>IF(payments_raw[[#This Row],[amount]] &lt;= 0, 1, 0)</f>
        <v>0</v>
      </c>
      <c r="K348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1" spans="1:11" x14ac:dyDescent="0.3">
      <c r="A3481">
        <v>18618654</v>
      </c>
      <c r="B3481">
        <v>7470648</v>
      </c>
      <c r="C3481" s="1">
        <v>45405</v>
      </c>
      <c r="D3481">
        <v>39</v>
      </c>
      <c r="E3481">
        <f>IF(
  ISNA(
    _xlfn.XLOOKUP(
      payments_raw[[#This Row],[subscription_id]],
      subscriptions[subscription_id],
      subscriptions[subscription_id]
    )
  ),
  0,
  1
)</f>
        <v>1</v>
      </c>
      <c r="F3481" s="1">
        <f>_xlfn.XLOOKUP(payments_raw[[#This Row],[subscription_id]], subscriptions[subscription_id], subscriptions[start_date])</f>
        <v>44880</v>
      </c>
      <c r="G348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1" s="2">
        <f>IF(payments_raw[[#This Row],[payment_date]] &lt; payments_raw[[#This Row],[sub_start_date]], 1, 0)</f>
        <v>0</v>
      </c>
      <c r="I3481" s="2">
        <f>IF(AND(payments_raw[[#This Row],[sub_end_date]]&lt;&gt;"", payments_raw[[#This Row],[payment_date]] &gt; payments_raw[[#This Row],[sub_end_date]]), 1, 0)</f>
        <v>0</v>
      </c>
      <c r="J3481" s="2">
        <f>IF(payments_raw[[#This Row],[amount]] &lt;= 0, 1, 0)</f>
        <v>0</v>
      </c>
      <c r="K348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2" spans="1:11" x14ac:dyDescent="0.3">
      <c r="A3482">
        <v>80646239</v>
      </c>
      <c r="B3482">
        <v>5812480</v>
      </c>
      <c r="C3482" s="1">
        <v>45096</v>
      </c>
      <c r="D3482">
        <v>79</v>
      </c>
      <c r="E3482">
        <f>IF(
  ISNA(
    _xlfn.XLOOKUP(
      payments_raw[[#This Row],[subscription_id]],
      subscriptions[subscription_id],
      subscriptions[subscription_id]
    )
  ),
  0,
  1
)</f>
        <v>1</v>
      </c>
      <c r="F3482" s="1">
        <f>_xlfn.XLOOKUP(payments_raw[[#This Row],[subscription_id]], subscriptions[subscription_id], subscriptions[start_date])</f>
        <v>45024</v>
      </c>
      <c r="G3482" s="1">
        <f>IF(_xlfn.XLOOKUP(payments_raw[[#This Row],[subscription_id]], subscriptions[subscription_id], subscriptions[end_date])=0,"",_xlfn.XLOOKUP(payments_raw[[#This Row],[subscription_id]], subscriptions[subscription_id], subscriptions[end_date]))</f>
        <v>45404</v>
      </c>
      <c r="H3482" s="2">
        <f>IF(payments_raw[[#This Row],[payment_date]] &lt; payments_raw[[#This Row],[sub_start_date]], 1, 0)</f>
        <v>0</v>
      </c>
      <c r="I3482" s="2">
        <f>IF(AND(payments_raw[[#This Row],[sub_end_date]]&lt;&gt;"", payments_raw[[#This Row],[payment_date]] &gt; payments_raw[[#This Row],[sub_end_date]]), 1, 0)</f>
        <v>0</v>
      </c>
      <c r="J3482" s="2">
        <f>IF(payments_raw[[#This Row],[amount]] &lt;= 0, 1, 0)</f>
        <v>0</v>
      </c>
      <c r="K348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3" spans="1:11" x14ac:dyDescent="0.3">
      <c r="A3483">
        <v>27282930</v>
      </c>
      <c r="B3483">
        <v>3893851</v>
      </c>
      <c r="C3483" s="1">
        <v>45434</v>
      </c>
      <c r="D3483">
        <v>79</v>
      </c>
      <c r="E3483">
        <f>IF(
  ISNA(
    _xlfn.XLOOKUP(
      payments_raw[[#This Row],[subscription_id]],
      subscriptions[subscription_id],
      subscriptions[subscription_id]
    )
  ),
  0,
  1
)</f>
        <v>1</v>
      </c>
      <c r="F3483" s="1">
        <f>_xlfn.XLOOKUP(payments_raw[[#This Row],[subscription_id]], subscriptions[subscription_id], subscriptions[start_date])</f>
        <v>45330</v>
      </c>
      <c r="G3483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45636</v>
      </c>
      <c r="H3483" s="2">
        <f>IF(payments_raw[[#This Row],[payment_date]] &lt; payments_raw[[#This Row],[sub_start_date]], 1, 0)</f>
        <v>0</v>
      </c>
      <c r="I3483" s="2">
        <f>IF(AND(payments_raw[[#This Row],[sub_end_date]]&lt;&gt;"", payments_raw[[#This Row],[payment_date]] &gt; payments_raw[[#This Row],[sub_end_date]]), 1, 0)</f>
        <v>0</v>
      </c>
      <c r="J3483" s="2">
        <f>IF(payments_raw[[#This Row],[amount]] &lt;= 0, 1, 0)</f>
        <v>0</v>
      </c>
      <c r="K348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4" spans="1:11" x14ac:dyDescent="0.3">
      <c r="A3484">
        <v>96296633</v>
      </c>
      <c r="B3484">
        <v>7711798</v>
      </c>
      <c r="C3484" s="1">
        <v>45431</v>
      </c>
      <c r="D3484">
        <v>299</v>
      </c>
      <c r="E3484">
        <f>IF(
  ISNA(
    _xlfn.XLOOKUP(
      payments_raw[[#This Row],[subscription_id]],
      subscriptions[subscription_id],
      subscriptions[subscription_id]
    )
  ),
  0,
  1
)</f>
        <v>1</v>
      </c>
      <c r="F3484" s="1">
        <f>_xlfn.XLOOKUP(payments_raw[[#This Row],[subscription_id]], subscriptions[subscription_id], subscriptions[start_date])</f>
        <v>45152</v>
      </c>
      <c r="G348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4" s="2">
        <f>IF(payments_raw[[#This Row],[payment_date]] &lt; payments_raw[[#This Row],[sub_start_date]], 1, 0)</f>
        <v>0</v>
      </c>
      <c r="I3484" s="2">
        <f>IF(AND(payments_raw[[#This Row],[sub_end_date]]&lt;&gt;"", payments_raw[[#This Row],[payment_date]] &gt; payments_raw[[#This Row],[sub_end_date]]), 1, 0)</f>
        <v>0</v>
      </c>
      <c r="J3484" s="2">
        <f>IF(payments_raw[[#This Row],[amount]] &lt;= 0, 1, 0)</f>
        <v>0</v>
      </c>
      <c r="K348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5" spans="1:11" x14ac:dyDescent="0.3">
      <c r="A3485">
        <v>17758935</v>
      </c>
      <c r="B3485">
        <v>1117156</v>
      </c>
      <c r="C3485" s="1">
        <v>45414</v>
      </c>
      <c r="D3485">
        <v>39</v>
      </c>
      <c r="E3485">
        <f>IF(
  ISNA(
    _xlfn.XLOOKUP(
      payments_raw[[#This Row],[subscription_id]],
      subscriptions[subscription_id],
      subscriptions[subscription_id]
    )
  ),
  0,
  1
)</f>
        <v>1</v>
      </c>
      <c r="F3485" s="1">
        <f>_xlfn.XLOOKUP(payments_raw[[#This Row],[subscription_id]], subscriptions[subscription_id], subscriptions[start_date])</f>
        <v>45077</v>
      </c>
      <c r="G348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5" s="2">
        <f>IF(payments_raw[[#This Row],[payment_date]] &lt; payments_raw[[#This Row],[sub_start_date]], 1, 0)</f>
        <v>0</v>
      </c>
      <c r="I3485" s="2">
        <f>IF(AND(payments_raw[[#This Row],[sub_end_date]]&lt;&gt;"", payments_raw[[#This Row],[payment_date]] &gt; payments_raw[[#This Row],[sub_end_date]]), 1, 0)</f>
        <v>0</v>
      </c>
      <c r="J3485" s="2">
        <f>IF(payments_raw[[#This Row],[amount]] &lt;= 0, 1, 0)</f>
        <v>0</v>
      </c>
      <c r="K348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6" spans="1:11" x14ac:dyDescent="0.3">
      <c r="A3486">
        <v>48939663</v>
      </c>
      <c r="B3486">
        <v>3728089</v>
      </c>
      <c r="C3486" s="1">
        <v>45217</v>
      </c>
      <c r="D3486">
        <v>79</v>
      </c>
      <c r="E3486">
        <f>IF(
  ISNA(
    _xlfn.XLOOKUP(
      payments_raw[[#This Row],[subscription_id]],
      subscriptions[subscription_id],
      subscriptions[subscription_id]
    )
  ),
  0,
  1
)</f>
        <v>1</v>
      </c>
      <c r="F3486" s="1">
        <f>_xlfn.XLOOKUP(payments_raw[[#This Row],[subscription_id]], subscriptions[subscription_id], subscriptions[start_date])</f>
        <v>45183</v>
      </c>
      <c r="G348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6" s="2">
        <f>IF(payments_raw[[#This Row],[payment_date]] &lt; payments_raw[[#This Row],[sub_start_date]], 1, 0)</f>
        <v>0</v>
      </c>
      <c r="I3486" s="2">
        <f>IF(AND(payments_raw[[#This Row],[sub_end_date]]&lt;&gt;"", payments_raw[[#This Row],[payment_date]] &gt; payments_raw[[#This Row],[sub_end_date]]), 1, 0)</f>
        <v>0</v>
      </c>
      <c r="J3486" s="2">
        <f>IF(payments_raw[[#This Row],[amount]] &lt;= 0, 1, 0)</f>
        <v>0</v>
      </c>
      <c r="K348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7" spans="1:11" x14ac:dyDescent="0.3">
      <c r="A3487">
        <v>16640542</v>
      </c>
      <c r="B3487">
        <v>9719981</v>
      </c>
      <c r="C3487" s="1">
        <v>45409</v>
      </c>
      <c r="D3487">
        <v>19</v>
      </c>
      <c r="E3487">
        <f>IF(
  ISNA(
    _xlfn.XLOOKUP(
      payments_raw[[#This Row],[subscription_id]],
      subscriptions[subscription_id],
      subscriptions[subscription_id]
    )
  ),
  0,
  1
)</f>
        <v>1</v>
      </c>
      <c r="F3487" s="1">
        <f>_xlfn.XLOOKUP(payments_raw[[#This Row],[subscription_id]], subscriptions[subscription_id], subscriptions[start_date])</f>
        <v>45016</v>
      </c>
      <c r="G348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7" s="2">
        <f>IF(payments_raw[[#This Row],[payment_date]] &lt; payments_raw[[#This Row],[sub_start_date]], 1, 0)</f>
        <v>0</v>
      </c>
      <c r="I3487" s="2">
        <f>IF(AND(payments_raw[[#This Row],[sub_end_date]]&lt;&gt;"", payments_raw[[#This Row],[payment_date]] &gt; payments_raw[[#This Row],[sub_end_date]]), 1, 0)</f>
        <v>0</v>
      </c>
      <c r="J3487" s="2">
        <f>IF(payments_raw[[#This Row],[amount]] &lt;= 0, 1, 0)</f>
        <v>0</v>
      </c>
      <c r="K348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8" spans="1:11" x14ac:dyDescent="0.3">
      <c r="A3488">
        <v>36833950</v>
      </c>
      <c r="B3488">
        <v>6628280</v>
      </c>
      <c r="C3488" s="1">
        <v>45142</v>
      </c>
      <c r="D3488">
        <v>39</v>
      </c>
      <c r="E3488">
        <f>IF(
  ISNA(
    _xlfn.XLOOKUP(
      payments_raw[[#This Row],[subscription_id]],
      subscriptions[subscription_id],
      subscriptions[subscription_id]
    )
  ),
  0,
  1
)</f>
        <v>1</v>
      </c>
      <c r="F3488" s="1">
        <f>_xlfn.XLOOKUP(payments_raw[[#This Row],[subscription_id]], subscriptions[subscription_id], subscriptions[start_date])</f>
        <v>44619</v>
      </c>
      <c r="G348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88" s="2">
        <f>IF(payments_raw[[#This Row],[payment_date]] &lt; payments_raw[[#This Row],[sub_start_date]], 1, 0)</f>
        <v>0</v>
      </c>
      <c r="I3488" s="2">
        <f>IF(AND(payments_raw[[#This Row],[sub_end_date]]&lt;&gt;"", payments_raw[[#This Row],[payment_date]] &gt; payments_raw[[#This Row],[sub_end_date]]), 1, 0)</f>
        <v>0</v>
      </c>
      <c r="J3488" s="2">
        <f>IF(payments_raw[[#This Row],[amount]] &lt;= 0, 1, 0)</f>
        <v>0</v>
      </c>
      <c r="K348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89" spans="1:11" x14ac:dyDescent="0.3">
      <c r="A3489">
        <v>59671012</v>
      </c>
      <c r="B3489">
        <v>3182053</v>
      </c>
      <c r="C3489" s="1">
        <v>45112</v>
      </c>
      <c r="D3489">
        <v>149</v>
      </c>
      <c r="E3489">
        <f>IF(
  ISNA(
    _xlfn.XLOOKUP(
      payments_raw[[#This Row],[subscription_id]],
      subscriptions[subscription_id],
      subscriptions[subscription_id]
    )
  ),
  0,
  1
)</f>
        <v>1</v>
      </c>
      <c r="F3489" s="1">
        <f>_xlfn.XLOOKUP(payments_raw[[#This Row],[subscription_id]], subscriptions[subscription_id], subscriptions[start_date])</f>
        <v>45010</v>
      </c>
      <c r="G3489" s="1">
        <f>IF(_xlfn.XLOOKUP(payments_raw[[#This Row],[subscription_id]], subscriptions[subscription_id], subscriptions[end_date])=0,"",_xlfn.XLOOKUP(payments_raw[[#This Row],[subscription_id]], subscriptions[subscription_id], subscriptions[end_date]))</f>
        <v>45237</v>
      </c>
      <c r="H3489" s="2">
        <f>IF(payments_raw[[#This Row],[payment_date]] &lt; payments_raw[[#This Row],[sub_start_date]], 1, 0)</f>
        <v>0</v>
      </c>
      <c r="I3489" s="2">
        <f>IF(AND(payments_raw[[#This Row],[sub_end_date]]&lt;&gt;"", payments_raw[[#This Row],[payment_date]] &gt; payments_raw[[#This Row],[sub_end_date]]), 1, 0)</f>
        <v>0</v>
      </c>
      <c r="J3489" s="2">
        <f>IF(payments_raw[[#This Row],[amount]] &lt;= 0, 1, 0)</f>
        <v>0</v>
      </c>
      <c r="K348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0" spans="1:11" x14ac:dyDescent="0.3">
      <c r="A3490">
        <v>87169073</v>
      </c>
      <c r="B3490">
        <v>8908785</v>
      </c>
      <c r="C3490" s="1">
        <v>45639</v>
      </c>
      <c r="D3490">
        <v>19</v>
      </c>
      <c r="E3490">
        <f>IF(
  ISNA(
    _xlfn.XLOOKUP(
      payments_raw[[#This Row],[subscription_id]],
      subscriptions[subscription_id],
      subscriptions[subscription_id]
    )
  ),
  0,
  1
)</f>
        <v>1</v>
      </c>
      <c r="F3490" s="1">
        <f>_xlfn.XLOOKUP(payments_raw[[#This Row],[subscription_id]], subscriptions[subscription_id], subscriptions[start_date])</f>
        <v>45333</v>
      </c>
      <c r="G3490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0" s="2">
        <f>IF(payments_raw[[#This Row],[payment_date]] &lt; payments_raw[[#This Row],[sub_start_date]], 1, 0)</f>
        <v>0</v>
      </c>
      <c r="I3490" s="2">
        <f>IF(AND(payments_raw[[#This Row],[sub_end_date]]&lt;&gt;"", payments_raw[[#This Row],[payment_date]] &gt; payments_raw[[#This Row],[sub_end_date]]), 1, 0)</f>
        <v>0</v>
      </c>
      <c r="J3490" s="2">
        <f>IF(payments_raw[[#This Row],[amount]] &lt;= 0, 1, 0)</f>
        <v>0</v>
      </c>
      <c r="K349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1" spans="1:11" x14ac:dyDescent="0.3">
      <c r="A3491">
        <v>46375503</v>
      </c>
      <c r="B3491">
        <v>6955771</v>
      </c>
      <c r="C3491" s="1">
        <v>45300</v>
      </c>
      <c r="D3491">
        <v>2691</v>
      </c>
      <c r="E3491">
        <f>IF(
  ISNA(
    _xlfn.XLOOKUP(
      payments_raw[[#This Row],[subscription_id]],
      subscriptions[subscription_id],
      subscriptions[subscription_id]
    )
  ),
  0,
  1
)</f>
        <v>1</v>
      </c>
      <c r="F3491" s="1">
        <f>_xlfn.XLOOKUP(payments_raw[[#This Row],[subscription_id]], subscriptions[subscription_id], subscriptions[start_date])</f>
        <v>45200</v>
      </c>
      <c r="G3491" s="1">
        <f>IF(_xlfn.XLOOKUP(payments_raw[[#This Row],[subscription_id]], subscriptions[subscription_id], subscriptions[end_date])=0,"",_xlfn.XLOOKUP(payments_raw[[#This Row],[subscription_id]], subscriptions[subscription_id], subscriptions[end_date]))</f>
        <v>45392</v>
      </c>
      <c r="H3491" s="2">
        <f>IF(payments_raw[[#This Row],[payment_date]] &lt; payments_raw[[#This Row],[sub_start_date]], 1, 0)</f>
        <v>0</v>
      </c>
      <c r="I3491" s="2">
        <f>IF(AND(payments_raw[[#This Row],[sub_end_date]]&lt;&gt;"", payments_raw[[#This Row],[payment_date]] &gt; payments_raw[[#This Row],[sub_end_date]]), 1, 0)</f>
        <v>0</v>
      </c>
      <c r="J3491" s="2">
        <f>IF(payments_raw[[#This Row],[amount]] &lt;= 0, 1, 0)</f>
        <v>0</v>
      </c>
      <c r="K349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2" spans="1:11" x14ac:dyDescent="0.3">
      <c r="A3492">
        <v>53562684</v>
      </c>
      <c r="B3492">
        <v>5831713</v>
      </c>
      <c r="C3492" s="1">
        <v>45216</v>
      </c>
      <c r="D3492">
        <v>790</v>
      </c>
      <c r="E3492">
        <f>IF(
  ISNA(
    _xlfn.XLOOKUP(
      payments_raw[[#This Row],[subscription_id]],
      subscriptions[subscription_id],
      subscriptions[subscription_id]
    )
  ),
  0,
  1
)</f>
        <v>1</v>
      </c>
      <c r="F3492" s="1">
        <f>_xlfn.XLOOKUP(payments_raw[[#This Row],[subscription_id]], subscriptions[subscription_id], subscriptions[start_date])</f>
        <v>45151</v>
      </c>
      <c r="G3492" s="1">
        <f>IF(_xlfn.XLOOKUP(payments_raw[[#This Row],[subscription_id]], subscriptions[subscription_id], subscriptions[end_date])=0,"",_xlfn.XLOOKUP(payments_raw[[#This Row],[subscription_id]], subscriptions[subscription_id], subscriptions[end_date]))</f>
        <v>45229</v>
      </c>
      <c r="H3492" s="2">
        <f>IF(payments_raw[[#This Row],[payment_date]] &lt; payments_raw[[#This Row],[sub_start_date]], 1, 0)</f>
        <v>0</v>
      </c>
      <c r="I3492" s="2">
        <f>IF(AND(payments_raw[[#This Row],[sub_end_date]]&lt;&gt;"", payments_raw[[#This Row],[payment_date]] &gt; payments_raw[[#This Row],[sub_end_date]]), 1, 0)</f>
        <v>0</v>
      </c>
      <c r="J3492" s="2">
        <f>IF(payments_raw[[#This Row],[amount]] &lt;= 0, 1, 0)</f>
        <v>0</v>
      </c>
      <c r="K3492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3" spans="1:11" x14ac:dyDescent="0.3">
      <c r="A3493">
        <v>69568885</v>
      </c>
      <c r="B3493">
        <v>2700165</v>
      </c>
      <c r="C3493" s="1">
        <v>45603</v>
      </c>
      <c r="D3493">
        <v>299</v>
      </c>
      <c r="E3493">
        <f>IF(
  ISNA(
    _xlfn.XLOOKUP(
      payments_raw[[#This Row],[subscription_id]],
      subscriptions[subscription_id],
      subscriptions[subscription_id]
    )
  ),
  0,
  1
)</f>
        <v>1</v>
      </c>
      <c r="F3493" s="1">
        <f>_xlfn.XLOOKUP(payments_raw[[#This Row],[subscription_id]], subscriptions[subscription_id], subscriptions[start_date])</f>
        <v>45444</v>
      </c>
      <c r="G3493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3" s="2">
        <f>IF(payments_raw[[#This Row],[payment_date]] &lt; payments_raw[[#This Row],[sub_start_date]], 1, 0)</f>
        <v>0</v>
      </c>
      <c r="I3493" s="2">
        <f>IF(AND(payments_raw[[#This Row],[sub_end_date]]&lt;&gt;"", payments_raw[[#This Row],[payment_date]] &gt; payments_raw[[#This Row],[sub_end_date]]), 1, 0)</f>
        <v>0</v>
      </c>
      <c r="J3493" s="2">
        <f>IF(payments_raw[[#This Row],[amount]] &lt;= 0, 1, 0)</f>
        <v>0</v>
      </c>
      <c r="K3493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4" spans="1:11" x14ac:dyDescent="0.3">
      <c r="A3494">
        <v>61918178</v>
      </c>
      <c r="B3494">
        <v>6882321</v>
      </c>
      <c r="C3494" s="1">
        <v>45561</v>
      </c>
      <c r="D3494">
        <v>39</v>
      </c>
      <c r="E3494">
        <f>IF(
  ISNA(
    _xlfn.XLOOKUP(
      payments_raw[[#This Row],[subscription_id]],
      subscriptions[subscription_id],
      subscriptions[subscription_id]
    )
  ),
  0,
  1
)</f>
        <v>1</v>
      </c>
      <c r="F3494" s="1">
        <f>_xlfn.XLOOKUP(payments_raw[[#This Row],[subscription_id]], subscriptions[subscription_id], subscriptions[start_date])</f>
        <v>45512</v>
      </c>
      <c r="G3494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4" s="2">
        <f>IF(payments_raw[[#This Row],[payment_date]] &lt; payments_raw[[#This Row],[sub_start_date]], 1, 0)</f>
        <v>0</v>
      </c>
      <c r="I3494" s="2">
        <f>IF(AND(payments_raw[[#This Row],[sub_end_date]]&lt;&gt;"", payments_raw[[#This Row],[payment_date]] &gt; payments_raw[[#This Row],[sub_end_date]]), 1, 0)</f>
        <v>0</v>
      </c>
      <c r="J3494" s="2">
        <f>IF(payments_raw[[#This Row],[amount]] &lt;= 0, 1, 0)</f>
        <v>0</v>
      </c>
      <c r="K3494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5" spans="1:11" x14ac:dyDescent="0.3">
      <c r="A3495">
        <v>82689185</v>
      </c>
      <c r="B3495">
        <v>3030620</v>
      </c>
      <c r="C3495" s="1">
        <v>45007</v>
      </c>
      <c r="D3495">
        <v>1490</v>
      </c>
      <c r="E3495">
        <f>IF(
  ISNA(
    _xlfn.XLOOKUP(
      payments_raw[[#This Row],[subscription_id]],
      subscriptions[subscription_id],
      subscriptions[subscription_id]
    )
  ),
  0,
  1
)</f>
        <v>1</v>
      </c>
      <c r="F3495" s="1">
        <f>_xlfn.XLOOKUP(payments_raw[[#This Row],[subscription_id]], subscriptions[subscription_id], subscriptions[start_date])</f>
        <v>44760</v>
      </c>
      <c r="G3495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5" s="2">
        <f>IF(payments_raw[[#This Row],[payment_date]] &lt; payments_raw[[#This Row],[sub_start_date]], 1, 0)</f>
        <v>0</v>
      </c>
      <c r="I3495" s="2">
        <f>IF(AND(payments_raw[[#This Row],[sub_end_date]]&lt;&gt;"", payments_raw[[#This Row],[payment_date]] &gt; payments_raw[[#This Row],[sub_end_date]]), 1, 0)</f>
        <v>0</v>
      </c>
      <c r="J3495" s="2">
        <f>IF(payments_raw[[#This Row],[amount]] &lt;= 0, 1, 0)</f>
        <v>0</v>
      </c>
      <c r="K3495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6" spans="1:11" x14ac:dyDescent="0.3">
      <c r="A3496">
        <v>93335181</v>
      </c>
      <c r="B3496">
        <v>4178437</v>
      </c>
      <c r="C3496" s="1">
        <v>45613</v>
      </c>
      <c r="D3496">
        <v>149</v>
      </c>
      <c r="E3496">
        <f>IF(
  ISNA(
    _xlfn.XLOOKUP(
      payments_raw[[#This Row],[subscription_id]],
      subscriptions[subscription_id],
      subscriptions[subscription_id]
    )
  ),
  0,
  1
)</f>
        <v>1</v>
      </c>
      <c r="F3496" s="1">
        <f>_xlfn.XLOOKUP(payments_raw[[#This Row],[subscription_id]], subscriptions[subscription_id], subscriptions[start_date])</f>
        <v>45386</v>
      </c>
      <c r="G3496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6" s="2">
        <f>IF(payments_raw[[#This Row],[payment_date]] &lt; payments_raw[[#This Row],[sub_start_date]], 1, 0)</f>
        <v>0</v>
      </c>
      <c r="I3496" s="2">
        <f>IF(AND(payments_raw[[#This Row],[sub_end_date]]&lt;&gt;"", payments_raw[[#This Row],[payment_date]] &gt; payments_raw[[#This Row],[sub_end_date]]), 1, 0)</f>
        <v>0</v>
      </c>
      <c r="J3496" s="2">
        <f>IF(payments_raw[[#This Row],[amount]] &lt;= 0, 1, 0)</f>
        <v>0</v>
      </c>
      <c r="K3496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7" spans="1:11" x14ac:dyDescent="0.3">
      <c r="A3497">
        <v>63012172</v>
      </c>
      <c r="B3497">
        <v>7818036</v>
      </c>
      <c r="C3497" s="1">
        <v>45222</v>
      </c>
      <c r="D3497">
        <v>171</v>
      </c>
      <c r="E3497">
        <f>IF(
  ISNA(
    _xlfn.XLOOKUP(
      payments_raw[[#This Row],[subscription_id]],
      subscriptions[subscription_id],
      subscriptions[subscription_id]
    )
  ),
  0,
  1
)</f>
        <v>1</v>
      </c>
      <c r="F3497" s="1">
        <f>_xlfn.XLOOKUP(payments_raw[[#This Row],[subscription_id]], subscriptions[subscription_id], subscriptions[start_date])</f>
        <v>45100</v>
      </c>
      <c r="G3497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7" s="2">
        <f>IF(payments_raw[[#This Row],[payment_date]] &lt; payments_raw[[#This Row],[sub_start_date]], 1, 0)</f>
        <v>0</v>
      </c>
      <c r="I3497" s="2">
        <f>IF(AND(payments_raw[[#This Row],[sub_end_date]]&lt;&gt;"", payments_raw[[#This Row],[payment_date]] &gt; payments_raw[[#This Row],[sub_end_date]]), 1, 0)</f>
        <v>0</v>
      </c>
      <c r="J3497" s="2">
        <f>IF(payments_raw[[#This Row],[amount]] &lt;= 0, 1, 0)</f>
        <v>0</v>
      </c>
      <c r="K3497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8" spans="1:11" x14ac:dyDescent="0.3">
      <c r="A3498">
        <v>17966355</v>
      </c>
      <c r="B3498">
        <v>8127514</v>
      </c>
      <c r="C3498" s="1">
        <v>45452</v>
      </c>
      <c r="D3498">
        <v>2990</v>
      </c>
      <c r="E3498">
        <f>IF(
  ISNA(
    _xlfn.XLOOKUP(
      payments_raw[[#This Row],[subscription_id]],
      subscriptions[subscription_id],
      subscriptions[subscription_id]
    )
  ),
  0,
  1
)</f>
        <v>1</v>
      </c>
      <c r="F3498" s="1">
        <f>_xlfn.XLOOKUP(payments_raw[[#This Row],[subscription_id]], subscriptions[subscription_id], subscriptions[start_date])</f>
        <v>44865</v>
      </c>
      <c r="G3498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498" s="2">
        <f>IF(payments_raw[[#This Row],[payment_date]] &lt; payments_raw[[#This Row],[sub_start_date]], 1, 0)</f>
        <v>0</v>
      </c>
      <c r="I3498" s="2">
        <f>IF(AND(payments_raw[[#This Row],[sub_end_date]]&lt;&gt;"", payments_raw[[#This Row],[payment_date]] &gt; payments_raw[[#This Row],[sub_end_date]]), 1, 0)</f>
        <v>0</v>
      </c>
      <c r="J3498" s="2">
        <f>IF(payments_raw[[#This Row],[amount]] &lt;= 0, 1, 0)</f>
        <v>0</v>
      </c>
      <c r="K3498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499" spans="1:11" x14ac:dyDescent="0.3">
      <c r="A3499">
        <v>65993064</v>
      </c>
      <c r="B3499">
        <v>3209515</v>
      </c>
      <c r="C3499" s="1">
        <v>45347</v>
      </c>
      <c r="D3499">
        <v>299</v>
      </c>
      <c r="E3499">
        <f>IF(
  ISNA(
    _xlfn.XLOOKUP(
      payments_raw[[#This Row],[subscription_id]],
      subscriptions[subscription_id],
      subscriptions[subscription_id]
    )
  ),
  0,
  1
)</f>
        <v>1</v>
      </c>
      <c r="F3499" s="1">
        <f>_xlfn.XLOOKUP(payments_raw[[#This Row],[subscription_id]], subscriptions[subscription_id], subscriptions[start_date])</f>
        <v>45337</v>
      </c>
      <c r="G3499" s="1">
        <f>IF(_xlfn.XLOOKUP(payments_raw[[#This Row],[subscription_id]], subscriptions[subscription_id], subscriptions[end_date])=0,"",_xlfn.XLOOKUP(payments_raw[[#This Row],[subscription_id]], subscriptions[subscription_id], subscriptions[end_date]))</f>
        <v>45430</v>
      </c>
      <c r="H3499" s="2">
        <f>IF(payments_raw[[#This Row],[payment_date]] &lt; payments_raw[[#This Row],[sub_start_date]], 1, 0)</f>
        <v>0</v>
      </c>
      <c r="I3499" s="2">
        <f>IF(AND(payments_raw[[#This Row],[sub_end_date]]&lt;&gt;"", payments_raw[[#This Row],[payment_date]] &gt; payments_raw[[#This Row],[sub_end_date]]), 1, 0)</f>
        <v>0</v>
      </c>
      <c r="J3499" s="2">
        <f>IF(payments_raw[[#This Row],[amount]] &lt;= 0, 1, 0)</f>
        <v>0</v>
      </c>
      <c r="K3499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00" spans="1:11" x14ac:dyDescent="0.3">
      <c r="A3500">
        <v>27771564</v>
      </c>
      <c r="B3500">
        <v>1267689</v>
      </c>
      <c r="C3500" s="1">
        <v>45418</v>
      </c>
      <c r="D3500">
        <v>142.5</v>
      </c>
      <c r="E3500">
        <f>IF(
  ISNA(
    _xlfn.XLOOKUP(
      payments_raw[[#This Row],[subscription_id]],
      subscriptions[subscription_id],
      subscriptions[subscription_id]
    )
  ),
  0,
  1
)</f>
        <v>1</v>
      </c>
      <c r="F3500" s="1">
        <f>_xlfn.XLOOKUP(payments_raw[[#This Row],[subscription_id]], subscriptions[subscription_id], subscriptions[start_date])</f>
        <v>45417</v>
      </c>
      <c r="G3500" s="1">
        <f>IF(_xlfn.XLOOKUP(payments_raw[[#This Row],[subscription_id]], subscriptions[subscription_id], subscriptions[end_date])=0,"",_xlfn.XLOOKUP(payments_raw[[#This Row],[subscription_id]], subscriptions[subscription_id], subscriptions[end_date]))</f>
        <v>45633</v>
      </c>
      <c r="H3500" s="2">
        <f>IF(payments_raw[[#This Row],[payment_date]] &lt; payments_raw[[#This Row],[sub_start_date]], 1, 0)</f>
        <v>0</v>
      </c>
      <c r="I3500" s="2">
        <f>IF(AND(payments_raw[[#This Row],[sub_end_date]]&lt;&gt;"", payments_raw[[#This Row],[payment_date]] &gt; payments_raw[[#This Row],[sub_end_date]]), 1, 0)</f>
        <v>0</v>
      </c>
      <c r="J3500" s="2">
        <f>IF(payments_raw[[#This Row],[amount]] &lt;= 0, 1, 0)</f>
        <v>0</v>
      </c>
      <c r="K3500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  <row r="3501" spans="1:11" x14ac:dyDescent="0.3">
      <c r="A3501">
        <v>57825619</v>
      </c>
      <c r="B3501">
        <v>1054096</v>
      </c>
      <c r="C3501" s="1">
        <v>45362</v>
      </c>
      <c r="D3501">
        <v>299</v>
      </c>
      <c r="E3501">
        <f>IF(
  ISNA(
    _xlfn.XLOOKUP(
      payments_raw[[#This Row],[subscription_id]],
      subscriptions[subscription_id],
      subscriptions[subscription_id]
    )
  ),
  0,
  1
)</f>
        <v>1</v>
      </c>
      <c r="F3501" s="1">
        <f>_xlfn.XLOOKUP(payments_raw[[#This Row],[subscription_id]], subscriptions[subscription_id], subscriptions[start_date])</f>
        <v>45199</v>
      </c>
      <c r="G3501" s="1" t="str">
        <f>IF(_xlfn.XLOOKUP(payments_raw[[#This Row],[subscription_id]], subscriptions[subscription_id], subscriptions[end_date])=0,"",_xlfn.XLOOKUP(payments_raw[[#This Row],[subscription_id]], subscriptions[subscription_id], subscriptions[end_date]))</f>
        <v/>
      </c>
      <c r="H3501" s="2">
        <f>IF(payments_raw[[#This Row],[payment_date]] &lt; payments_raw[[#This Row],[sub_start_date]], 1, 0)</f>
        <v>0</v>
      </c>
      <c r="I3501" s="2">
        <f>IF(AND(payments_raw[[#This Row],[sub_end_date]]&lt;&gt;"", payments_raw[[#This Row],[payment_date]] &gt; payments_raw[[#This Row],[sub_end_date]]), 1, 0)</f>
        <v>0</v>
      </c>
      <c r="J3501" s="2">
        <f>IF(payments_raw[[#This Row],[amount]] &lt;= 0, 1, 0)</f>
        <v>0</v>
      </c>
      <c r="K3501" s="2">
        <f>IF(
  AND(
    payments_raw[[#This Row],[subscription_exists]]=1,
    payments_raw[[#This Row],[before_start]]=0,
    payments_raw[[#This Row],[after_end]]=0,
    payments_raw[[#This Row],[invalid_amount]]=0
  ),
  1,
  0
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7AC7-7CF3-4339-A30D-D14FBD1DEBC9}">
  <dimension ref="A1:E1801"/>
  <sheetViews>
    <sheetView tabSelected="1" workbookViewId="0">
      <selection activeCell="K10" sqref="K10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3.44140625" bestFit="1" customWidth="1"/>
    <col min="5" max="5" width="16.88671875" hidden="1" customWidth="1"/>
  </cols>
  <sheetData>
    <row r="1" spans="1:5" x14ac:dyDescent="0.3">
      <c r="A1" t="s">
        <v>3484</v>
      </c>
      <c r="B1" t="s">
        <v>0</v>
      </c>
      <c r="C1" t="s">
        <v>3485</v>
      </c>
      <c r="D1" t="s">
        <v>3486</v>
      </c>
      <c r="E1" t="s">
        <v>3494</v>
      </c>
    </row>
    <row r="2" spans="1:5" x14ac:dyDescent="0.3">
      <c r="A2">
        <v>834851529</v>
      </c>
      <c r="B2">
        <v>870214</v>
      </c>
      <c r="C2" s="1">
        <v>45419</v>
      </c>
      <c r="D2" t="s">
        <v>3487</v>
      </c>
      <c r="E2">
        <f>IF(ISNUMBER(MATCH(marketing_events_raw[[#This Row],[customer_id]], customers_clean!A:A, 0)), 1, 0)</f>
        <v>1</v>
      </c>
    </row>
    <row r="3" spans="1:5" x14ac:dyDescent="0.3">
      <c r="A3">
        <v>398267281</v>
      </c>
      <c r="B3">
        <v>894586</v>
      </c>
      <c r="C3" s="1">
        <v>45058</v>
      </c>
      <c r="D3" t="s">
        <v>3487</v>
      </c>
      <c r="E3">
        <f>IF(ISNUMBER(MATCH(marketing_events_raw[[#This Row],[customer_id]], customers_clean!A:A, 0)), 1, 0)</f>
        <v>1</v>
      </c>
    </row>
    <row r="4" spans="1:5" x14ac:dyDescent="0.3">
      <c r="A4">
        <v>814585584</v>
      </c>
      <c r="B4">
        <v>653429</v>
      </c>
      <c r="C4" s="1">
        <v>45452</v>
      </c>
      <c r="D4" t="s">
        <v>3487</v>
      </c>
      <c r="E4">
        <f>IF(ISNUMBER(MATCH(marketing_events_raw[[#This Row],[customer_id]], customers_clean!A:A, 0)), 1, 0)</f>
        <v>1</v>
      </c>
    </row>
    <row r="5" spans="1:5" x14ac:dyDescent="0.3">
      <c r="A5">
        <v>446253503</v>
      </c>
      <c r="B5">
        <v>555791</v>
      </c>
      <c r="C5" s="1">
        <v>45053</v>
      </c>
      <c r="D5" t="s">
        <v>3488</v>
      </c>
      <c r="E5">
        <f>IF(ISNUMBER(MATCH(marketing_events_raw[[#This Row],[customer_id]], customers_clean!A:A, 0)), 1, 0)</f>
        <v>1</v>
      </c>
    </row>
    <row r="6" spans="1:5" x14ac:dyDescent="0.3">
      <c r="A6">
        <v>914593189</v>
      </c>
      <c r="B6">
        <v>910326</v>
      </c>
      <c r="C6" s="1">
        <v>45116</v>
      </c>
      <c r="D6" t="s">
        <v>3487</v>
      </c>
      <c r="E6">
        <f>IF(ISNUMBER(MATCH(marketing_events_raw[[#This Row],[customer_id]], customers_clean!A:A, 0)), 1, 0)</f>
        <v>1</v>
      </c>
    </row>
    <row r="7" spans="1:5" x14ac:dyDescent="0.3">
      <c r="A7">
        <v>478026991</v>
      </c>
      <c r="B7">
        <v>297509</v>
      </c>
      <c r="C7" s="1">
        <v>44586</v>
      </c>
      <c r="D7" t="s">
        <v>3489</v>
      </c>
      <c r="E7">
        <f>IF(ISNUMBER(MATCH(marketing_events_raw[[#This Row],[customer_id]], customers_clean!A:A, 0)), 1, 0)</f>
        <v>1</v>
      </c>
    </row>
    <row r="8" spans="1:5" x14ac:dyDescent="0.3">
      <c r="A8">
        <v>373552584</v>
      </c>
      <c r="B8">
        <v>288056</v>
      </c>
      <c r="C8" s="1">
        <v>45345</v>
      </c>
      <c r="D8" t="s">
        <v>3487</v>
      </c>
      <c r="E8">
        <f>IF(ISNUMBER(MATCH(marketing_events_raw[[#This Row],[customer_id]], customers_clean!A:A, 0)), 1, 0)</f>
        <v>1</v>
      </c>
    </row>
    <row r="9" spans="1:5" x14ac:dyDescent="0.3">
      <c r="A9">
        <v>394846466</v>
      </c>
      <c r="B9">
        <v>972089</v>
      </c>
      <c r="C9" s="1">
        <v>44393</v>
      </c>
      <c r="D9" t="s">
        <v>3490</v>
      </c>
      <c r="E9">
        <f>IF(ISNUMBER(MATCH(marketing_events_raw[[#This Row],[customer_id]], customers_clean!A:A, 0)), 1, 0)</f>
        <v>1</v>
      </c>
    </row>
    <row r="10" spans="1:5" x14ac:dyDescent="0.3">
      <c r="A10">
        <v>156160043</v>
      </c>
      <c r="B10">
        <v>774079</v>
      </c>
      <c r="C10" s="1">
        <v>45173</v>
      </c>
      <c r="D10" t="s">
        <v>3491</v>
      </c>
      <c r="E10">
        <f>IF(ISNUMBER(MATCH(marketing_events_raw[[#This Row],[customer_id]], customers_clean!A:A, 0)), 1, 0)</f>
        <v>1</v>
      </c>
    </row>
    <row r="11" spans="1:5" x14ac:dyDescent="0.3">
      <c r="A11">
        <v>579329976</v>
      </c>
      <c r="B11">
        <v>379766</v>
      </c>
      <c r="C11" s="1">
        <v>45073</v>
      </c>
      <c r="D11" t="s">
        <v>3491</v>
      </c>
      <c r="E11">
        <f>IF(ISNUMBER(MATCH(marketing_events_raw[[#This Row],[customer_id]], customers_clean!A:A, 0)), 1, 0)</f>
        <v>1</v>
      </c>
    </row>
    <row r="12" spans="1:5" x14ac:dyDescent="0.3">
      <c r="A12">
        <v>944923676</v>
      </c>
      <c r="B12">
        <v>571980</v>
      </c>
      <c r="C12" s="1">
        <v>45231</v>
      </c>
      <c r="D12" t="s">
        <v>3488</v>
      </c>
      <c r="E12">
        <f>IF(ISNUMBER(MATCH(marketing_events_raw[[#This Row],[customer_id]], customers_clean!A:A, 0)), 1, 0)</f>
        <v>1</v>
      </c>
    </row>
    <row r="13" spans="1:5" x14ac:dyDescent="0.3">
      <c r="A13">
        <v>670108036</v>
      </c>
      <c r="B13">
        <v>549622</v>
      </c>
      <c r="C13" s="1">
        <v>44653</v>
      </c>
      <c r="D13" t="s">
        <v>3492</v>
      </c>
      <c r="E13">
        <f>IF(ISNUMBER(MATCH(marketing_events_raw[[#This Row],[customer_id]], customers_clean!A:A, 0)), 1, 0)</f>
        <v>1</v>
      </c>
    </row>
    <row r="14" spans="1:5" x14ac:dyDescent="0.3">
      <c r="A14">
        <v>833680648</v>
      </c>
      <c r="B14">
        <v>940247</v>
      </c>
      <c r="C14" s="1">
        <v>44499</v>
      </c>
      <c r="D14" t="s">
        <v>3492</v>
      </c>
      <c r="E14">
        <f>IF(ISNUMBER(MATCH(marketing_events_raw[[#This Row],[customer_id]], customers_clean!A:A, 0)), 1, 0)</f>
        <v>1</v>
      </c>
    </row>
    <row r="15" spans="1:5" x14ac:dyDescent="0.3">
      <c r="A15">
        <v>176548248</v>
      </c>
      <c r="B15">
        <v>661023</v>
      </c>
      <c r="C15" s="1">
        <v>45231</v>
      </c>
      <c r="D15" t="s">
        <v>3487</v>
      </c>
      <c r="E15">
        <f>IF(ISNUMBER(MATCH(marketing_events_raw[[#This Row],[customer_id]], customers_clean!A:A, 0)), 1, 0)</f>
        <v>1</v>
      </c>
    </row>
    <row r="16" spans="1:5" x14ac:dyDescent="0.3">
      <c r="A16">
        <v>478923729</v>
      </c>
      <c r="B16">
        <v>457356</v>
      </c>
      <c r="C16" s="1">
        <v>44904</v>
      </c>
      <c r="D16" t="s">
        <v>3492</v>
      </c>
      <c r="E16">
        <f>IF(ISNUMBER(MATCH(marketing_events_raw[[#This Row],[customer_id]], customers_clean!A:A, 0)), 1, 0)</f>
        <v>1</v>
      </c>
    </row>
    <row r="17" spans="1:5" x14ac:dyDescent="0.3">
      <c r="A17">
        <v>214365722</v>
      </c>
      <c r="B17">
        <v>411870</v>
      </c>
      <c r="C17" s="1">
        <v>44697</v>
      </c>
      <c r="D17" t="s">
        <v>3489</v>
      </c>
      <c r="E17">
        <f>IF(ISNUMBER(MATCH(marketing_events_raw[[#This Row],[customer_id]], customers_clean!A:A, 0)), 1, 0)</f>
        <v>1</v>
      </c>
    </row>
    <row r="18" spans="1:5" x14ac:dyDescent="0.3">
      <c r="A18">
        <v>375616439</v>
      </c>
      <c r="B18">
        <v>439121</v>
      </c>
      <c r="C18" s="1">
        <v>45001</v>
      </c>
      <c r="D18" t="s">
        <v>3492</v>
      </c>
      <c r="E18">
        <f>IF(ISNUMBER(MATCH(marketing_events_raw[[#This Row],[customer_id]], customers_clean!A:A, 0)), 1, 0)</f>
        <v>1</v>
      </c>
    </row>
    <row r="19" spans="1:5" x14ac:dyDescent="0.3">
      <c r="A19">
        <v>173777969</v>
      </c>
      <c r="B19">
        <v>680099</v>
      </c>
      <c r="C19" s="1">
        <v>45431</v>
      </c>
      <c r="D19" t="s">
        <v>3491</v>
      </c>
      <c r="E19">
        <f>IF(ISNUMBER(MATCH(marketing_events_raw[[#This Row],[customer_id]], customers_clean!A:A, 0)), 1, 0)</f>
        <v>1</v>
      </c>
    </row>
    <row r="20" spans="1:5" x14ac:dyDescent="0.3">
      <c r="A20">
        <v>756724492</v>
      </c>
      <c r="B20">
        <v>787584</v>
      </c>
      <c r="C20" s="1">
        <v>45349</v>
      </c>
      <c r="D20" t="s">
        <v>3492</v>
      </c>
      <c r="E20">
        <f>IF(ISNUMBER(MATCH(marketing_events_raw[[#This Row],[customer_id]], customers_clean!A:A, 0)), 1, 0)</f>
        <v>1</v>
      </c>
    </row>
    <row r="21" spans="1:5" x14ac:dyDescent="0.3">
      <c r="A21">
        <v>105302432</v>
      </c>
      <c r="B21">
        <v>204904</v>
      </c>
      <c r="C21" s="1">
        <v>44676</v>
      </c>
      <c r="D21" t="s">
        <v>3488</v>
      </c>
      <c r="E21">
        <f>IF(ISNUMBER(MATCH(marketing_events_raw[[#This Row],[customer_id]], customers_clean!A:A, 0)), 1, 0)</f>
        <v>1</v>
      </c>
    </row>
    <row r="22" spans="1:5" x14ac:dyDescent="0.3">
      <c r="A22">
        <v>994628785</v>
      </c>
      <c r="B22">
        <v>953266</v>
      </c>
      <c r="C22" s="1">
        <v>44795</v>
      </c>
      <c r="D22" t="s">
        <v>3489</v>
      </c>
      <c r="E22">
        <f>IF(ISNUMBER(MATCH(marketing_events_raw[[#This Row],[customer_id]], customers_clean!A:A, 0)), 1, 0)</f>
        <v>1</v>
      </c>
    </row>
    <row r="23" spans="1:5" x14ac:dyDescent="0.3">
      <c r="A23">
        <v>668314010</v>
      </c>
      <c r="B23">
        <v>458521</v>
      </c>
      <c r="C23" s="1">
        <v>45214</v>
      </c>
      <c r="D23" t="s">
        <v>3491</v>
      </c>
      <c r="E23">
        <f>IF(ISNUMBER(MATCH(marketing_events_raw[[#This Row],[customer_id]], customers_clean!A:A, 0)), 1, 0)</f>
        <v>1</v>
      </c>
    </row>
    <row r="24" spans="1:5" x14ac:dyDescent="0.3">
      <c r="A24">
        <v>557199926</v>
      </c>
      <c r="B24">
        <v>273659</v>
      </c>
      <c r="C24" s="1">
        <v>44416</v>
      </c>
      <c r="D24" t="s">
        <v>3491</v>
      </c>
      <c r="E24">
        <f>IF(ISNUMBER(MATCH(marketing_events_raw[[#This Row],[customer_id]], customers_clean!A:A, 0)), 1, 0)</f>
        <v>1</v>
      </c>
    </row>
    <row r="25" spans="1:5" x14ac:dyDescent="0.3">
      <c r="A25">
        <v>932720610</v>
      </c>
      <c r="B25">
        <v>536646</v>
      </c>
      <c r="C25" s="1">
        <v>44859</v>
      </c>
      <c r="D25" t="s">
        <v>3488</v>
      </c>
      <c r="E25">
        <f>IF(ISNUMBER(MATCH(marketing_events_raw[[#This Row],[customer_id]], customers_clean!A:A, 0)), 1, 0)</f>
        <v>1</v>
      </c>
    </row>
    <row r="26" spans="1:5" x14ac:dyDescent="0.3">
      <c r="A26">
        <v>441747769</v>
      </c>
      <c r="B26">
        <v>215266</v>
      </c>
      <c r="C26" s="1">
        <v>45344</v>
      </c>
      <c r="D26" t="s">
        <v>3488</v>
      </c>
      <c r="E26">
        <f>IF(ISNUMBER(MATCH(marketing_events_raw[[#This Row],[customer_id]], customers_clean!A:A, 0)), 1, 0)</f>
        <v>1</v>
      </c>
    </row>
    <row r="27" spans="1:5" x14ac:dyDescent="0.3">
      <c r="A27">
        <v>144986086</v>
      </c>
      <c r="B27">
        <v>838726</v>
      </c>
      <c r="C27" s="1">
        <v>44512</v>
      </c>
      <c r="D27" t="s">
        <v>3487</v>
      </c>
      <c r="E27">
        <f>IF(ISNUMBER(MATCH(marketing_events_raw[[#This Row],[customer_id]], customers_clean!A:A, 0)), 1, 0)</f>
        <v>1</v>
      </c>
    </row>
    <row r="28" spans="1:5" x14ac:dyDescent="0.3">
      <c r="A28">
        <v>121345831</v>
      </c>
      <c r="B28">
        <v>353080</v>
      </c>
      <c r="C28" s="1">
        <v>44884</v>
      </c>
      <c r="D28" t="s">
        <v>3487</v>
      </c>
      <c r="E28">
        <f>IF(ISNUMBER(MATCH(marketing_events_raw[[#This Row],[customer_id]], customers_clean!A:A, 0)), 1, 0)</f>
        <v>1</v>
      </c>
    </row>
    <row r="29" spans="1:5" x14ac:dyDescent="0.3">
      <c r="A29">
        <v>308290739</v>
      </c>
      <c r="B29">
        <v>541996</v>
      </c>
      <c r="C29" s="1">
        <v>44475</v>
      </c>
      <c r="D29" t="s">
        <v>3491</v>
      </c>
      <c r="E29">
        <f>IF(ISNUMBER(MATCH(marketing_events_raw[[#This Row],[customer_id]], customers_clean!A:A, 0)), 1, 0)</f>
        <v>1</v>
      </c>
    </row>
    <row r="30" spans="1:5" x14ac:dyDescent="0.3">
      <c r="A30">
        <v>420296157</v>
      </c>
      <c r="B30">
        <v>650818</v>
      </c>
      <c r="C30" s="1">
        <v>44930</v>
      </c>
      <c r="D30" t="s">
        <v>3489</v>
      </c>
      <c r="E30">
        <f>IF(ISNUMBER(MATCH(marketing_events_raw[[#This Row],[customer_id]], customers_clean!A:A, 0)), 1, 0)</f>
        <v>1</v>
      </c>
    </row>
    <row r="31" spans="1:5" x14ac:dyDescent="0.3">
      <c r="A31">
        <v>327805883</v>
      </c>
      <c r="B31">
        <v>907369</v>
      </c>
      <c r="C31" s="1">
        <v>45431</v>
      </c>
      <c r="D31" t="s">
        <v>3493</v>
      </c>
      <c r="E31">
        <f>IF(ISNUMBER(MATCH(marketing_events_raw[[#This Row],[customer_id]], customers_clean!A:A, 0)), 1, 0)</f>
        <v>1</v>
      </c>
    </row>
    <row r="32" spans="1:5" x14ac:dyDescent="0.3">
      <c r="A32">
        <v>541535783</v>
      </c>
      <c r="B32">
        <v>968167</v>
      </c>
      <c r="C32" s="1">
        <v>44506</v>
      </c>
      <c r="D32" t="s">
        <v>3489</v>
      </c>
      <c r="E32">
        <f>IF(ISNUMBER(MATCH(marketing_events_raw[[#This Row],[customer_id]], customers_clean!A:A, 0)), 1, 0)</f>
        <v>1</v>
      </c>
    </row>
    <row r="33" spans="1:5" x14ac:dyDescent="0.3">
      <c r="A33">
        <v>148556923</v>
      </c>
      <c r="B33">
        <v>194458</v>
      </c>
      <c r="C33" s="1">
        <v>45063</v>
      </c>
      <c r="D33" t="s">
        <v>3493</v>
      </c>
      <c r="E33">
        <f>IF(ISNUMBER(MATCH(marketing_events_raw[[#This Row],[customer_id]], customers_clean!A:A, 0)), 1, 0)</f>
        <v>1</v>
      </c>
    </row>
    <row r="34" spans="1:5" x14ac:dyDescent="0.3">
      <c r="A34">
        <v>152088656</v>
      </c>
      <c r="B34">
        <v>192422</v>
      </c>
      <c r="C34" s="1">
        <v>45489</v>
      </c>
      <c r="D34" t="s">
        <v>3491</v>
      </c>
      <c r="E34">
        <f>IF(ISNUMBER(MATCH(marketing_events_raw[[#This Row],[customer_id]], customers_clean!A:A, 0)), 1, 0)</f>
        <v>1</v>
      </c>
    </row>
    <row r="35" spans="1:5" x14ac:dyDescent="0.3">
      <c r="A35">
        <v>890149939</v>
      </c>
      <c r="B35">
        <v>353777</v>
      </c>
      <c r="C35" s="1">
        <v>45477</v>
      </c>
      <c r="D35" t="s">
        <v>3489</v>
      </c>
      <c r="E35">
        <f>IF(ISNUMBER(MATCH(marketing_events_raw[[#This Row],[customer_id]], customers_clean!A:A, 0)), 1, 0)</f>
        <v>1</v>
      </c>
    </row>
    <row r="36" spans="1:5" x14ac:dyDescent="0.3">
      <c r="A36">
        <v>132638306</v>
      </c>
      <c r="B36">
        <v>536045</v>
      </c>
      <c r="C36" s="1">
        <v>45628</v>
      </c>
      <c r="D36" t="s">
        <v>3488</v>
      </c>
      <c r="E36">
        <f>IF(ISNUMBER(MATCH(marketing_events_raw[[#This Row],[customer_id]], customers_clean!A:A, 0)), 1, 0)</f>
        <v>1</v>
      </c>
    </row>
    <row r="37" spans="1:5" x14ac:dyDescent="0.3">
      <c r="A37">
        <v>398475548</v>
      </c>
      <c r="B37">
        <v>448098</v>
      </c>
      <c r="C37" s="1">
        <v>44523</v>
      </c>
      <c r="D37" t="s">
        <v>3489</v>
      </c>
      <c r="E37">
        <f>IF(ISNUMBER(MATCH(marketing_events_raw[[#This Row],[customer_id]], customers_clean!A:A, 0)), 1, 0)</f>
        <v>1</v>
      </c>
    </row>
    <row r="38" spans="1:5" x14ac:dyDescent="0.3">
      <c r="A38">
        <v>388959835</v>
      </c>
      <c r="B38">
        <v>810219</v>
      </c>
      <c r="C38" s="1">
        <v>45566</v>
      </c>
      <c r="D38" t="s">
        <v>3490</v>
      </c>
      <c r="E38">
        <f>IF(ISNUMBER(MATCH(marketing_events_raw[[#This Row],[customer_id]], customers_clean!A:A, 0)), 1, 0)</f>
        <v>1</v>
      </c>
    </row>
    <row r="39" spans="1:5" x14ac:dyDescent="0.3">
      <c r="A39">
        <v>726938297</v>
      </c>
      <c r="B39">
        <v>484264</v>
      </c>
      <c r="C39" s="1">
        <v>45269</v>
      </c>
      <c r="D39" t="s">
        <v>3493</v>
      </c>
      <c r="E39">
        <f>IF(ISNUMBER(MATCH(marketing_events_raw[[#This Row],[customer_id]], customers_clean!A:A, 0)), 1, 0)</f>
        <v>1</v>
      </c>
    </row>
    <row r="40" spans="1:5" x14ac:dyDescent="0.3">
      <c r="A40">
        <v>171096250</v>
      </c>
      <c r="B40">
        <v>172222</v>
      </c>
      <c r="C40" s="1">
        <v>45625</v>
      </c>
      <c r="D40" t="s">
        <v>3487</v>
      </c>
      <c r="E40">
        <f>IF(ISNUMBER(MATCH(marketing_events_raw[[#This Row],[customer_id]], customers_clean!A:A, 0)), 1, 0)</f>
        <v>1</v>
      </c>
    </row>
    <row r="41" spans="1:5" x14ac:dyDescent="0.3">
      <c r="A41">
        <v>740354544</v>
      </c>
      <c r="B41">
        <v>475271</v>
      </c>
      <c r="C41" s="1">
        <v>45374</v>
      </c>
      <c r="D41" t="s">
        <v>3488</v>
      </c>
      <c r="E41">
        <f>IF(ISNUMBER(MATCH(marketing_events_raw[[#This Row],[customer_id]], customers_clean!A:A, 0)), 1, 0)</f>
        <v>1</v>
      </c>
    </row>
    <row r="42" spans="1:5" x14ac:dyDescent="0.3">
      <c r="A42">
        <v>981830988</v>
      </c>
      <c r="B42">
        <v>517589</v>
      </c>
      <c r="C42" s="1">
        <v>45561</v>
      </c>
      <c r="D42" t="s">
        <v>3487</v>
      </c>
      <c r="E42">
        <f>IF(ISNUMBER(MATCH(marketing_events_raw[[#This Row],[customer_id]], customers_clean!A:A, 0)), 1, 0)</f>
        <v>1</v>
      </c>
    </row>
    <row r="43" spans="1:5" x14ac:dyDescent="0.3">
      <c r="A43">
        <v>244879413</v>
      </c>
      <c r="B43">
        <v>437960</v>
      </c>
      <c r="C43" s="1">
        <v>44940</v>
      </c>
      <c r="D43" t="s">
        <v>3492</v>
      </c>
      <c r="E43">
        <f>IF(ISNUMBER(MATCH(marketing_events_raw[[#This Row],[customer_id]], customers_clean!A:A, 0)), 1, 0)</f>
        <v>1</v>
      </c>
    </row>
    <row r="44" spans="1:5" x14ac:dyDescent="0.3">
      <c r="A44">
        <v>264128494</v>
      </c>
      <c r="B44">
        <v>651400</v>
      </c>
      <c r="C44" s="1">
        <v>45519</v>
      </c>
      <c r="D44" t="s">
        <v>3492</v>
      </c>
      <c r="E44">
        <f>IF(ISNUMBER(MATCH(marketing_events_raw[[#This Row],[customer_id]], customers_clean!A:A, 0)), 1, 0)</f>
        <v>1</v>
      </c>
    </row>
    <row r="45" spans="1:5" x14ac:dyDescent="0.3">
      <c r="A45">
        <v>217591776</v>
      </c>
      <c r="B45">
        <v>539122</v>
      </c>
      <c r="C45" s="1">
        <v>44811</v>
      </c>
      <c r="D45" t="s">
        <v>3492</v>
      </c>
      <c r="E45">
        <f>IF(ISNUMBER(MATCH(marketing_events_raw[[#This Row],[customer_id]], customers_clean!A:A, 0)), 1, 0)</f>
        <v>1</v>
      </c>
    </row>
    <row r="46" spans="1:5" x14ac:dyDescent="0.3">
      <c r="A46">
        <v>517943910</v>
      </c>
      <c r="B46">
        <v>584125</v>
      </c>
      <c r="C46" s="1">
        <v>45630</v>
      </c>
      <c r="D46" t="s">
        <v>3492</v>
      </c>
      <c r="E46">
        <f>IF(ISNUMBER(MATCH(marketing_events_raw[[#This Row],[customer_id]], customers_clean!A:A, 0)), 1, 0)</f>
        <v>1</v>
      </c>
    </row>
    <row r="47" spans="1:5" x14ac:dyDescent="0.3">
      <c r="A47">
        <v>665461184</v>
      </c>
      <c r="B47">
        <v>389930</v>
      </c>
      <c r="C47" s="1">
        <v>44408</v>
      </c>
      <c r="D47" t="s">
        <v>3492</v>
      </c>
      <c r="E47">
        <f>IF(ISNUMBER(MATCH(marketing_events_raw[[#This Row],[customer_id]], customers_clean!A:A, 0)), 1, 0)</f>
        <v>1</v>
      </c>
    </row>
    <row r="48" spans="1:5" x14ac:dyDescent="0.3">
      <c r="A48">
        <v>441206349</v>
      </c>
      <c r="B48">
        <v>556839</v>
      </c>
      <c r="C48" s="1">
        <v>44468</v>
      </c>
      <c r="D48" t="s">
        <v>3487</v>
      </c>
      <c r="E48">
        <f>IF(ISNUMBER(MATCH(marketing_events_raw[[#This Row],[customer_id]], customers_clean!A:A, 0)), 1, 0)</f>
        <v>1</v>
      </c>
    </row>
    <row r="49" spans="1:5" x14ac:dyDescent="0.3">
      <c r="A49">
        <v>319734780</v>
      </c>
      <c r="B49">
        <v>192422</v>
      </c>
      <c r="C49" s="1">
        <v>45106</v>
      </c>
      <c r="D49" t="s">
        <v>3488</v>
      </c>
      <c r="E49">
        <f>IF(ISNUMBER(MATCH(marketing_events_raw[[#This Row],[customer_id]], customers_clean!A:A, 0)), 1, 0)</f>
        <v>1</v>
      </c>
    </row>
    <row r="50" spans="1:5" x14ac:dyDescent="0.3">
      <c r="A50">
        <v>926860668</v>
      </c>
      <c r="B50">
        <v>731661</v>
      </c>
      <c r="C50" s="1">
        <v>45155</v>
      </c>
      <c r="D50" t="s">
        <v>3488</v>
      </c>
      <c r="E50">
        <f>IF(ISNUMBER(MATCH(marketing_events_raw[[#This Row],[customer_id]], customers_clean!A:A, 0)), 1, 0)</f>
        <v>1</v>
      </c>
    </row>
    <row r="51" spans="1:5" x14ac:dyDescent="0.3">
      <c r="A51">
        <v>842279447</v>
      </c>
      <c r="B51">
        <v>974991</v>
      </c>
      <c r="C51" s="1">
        <v>45389</v>
      </c>
      <c r="D51" t="s">
        <v>3492</v>
      </c>
      <c r="E51">
        <f>IF(ISNUMBER(MATCH(marketing_events_raw[[#This Row],[customer_id]], customers_clean!A:A, 0)), 1, 0)</f>
        <v>1</v>
      </c>
    </row>
    <row r="52" spans="1:5" x14ac:dyDescent="0.3">
      <c r="A52">
        <v>647006415</v>
      </c>
      <c r="B52">
        <v>948097</v>
      </c>
      <c r="C52" s="1">
        <v>44411</v>
      </c>
      <c r="D52" t="s">
        <v>3491</v>
      </c>
      <c r="E52">
        <f>IF(ISNUMBER(MATCH(marketing_events_raw[[#This Row],[customer_id]], customers_clean!A:A, 0)), 1, 0)</f>
        <v>1</v>
      </c>
    </row>
    <row r="53" spans="1:5" x14ac:dyDescent="0.3">
      <c r="A53">
        <v>445603209</v>
      </c>
      <c r="B53">
        <v>427766</v>
      </c>
      <c r="C53" s="1">
        <v>45402</v>
      </c>
      <c r="D53" t="s">
        <v>3493</v>
      </c>
      <c r="E53">
        <f>IF(ISNUMBER(MATCH(marketing_events_raw[[#This Row],[customer_id]], customers_clean!A:A, 0)), 1, 0)</f>
        <v>1</v>
      </c>
    </row>
    <row r="54" spans="1:5" x14ac:dyDescent="0.3">
      <c r="A54">
        <v>786290977</v>
      </c>
      <c r="B54">
        <v>194458</v>
      </c>
      <c r="C54" s="1">
        <v>44838</v>
      </c>
      <c r="D54" t="s">
        <v>3491</v>
      </c>
      <c r="E54">
        <f>IF(ISNUMBER(MATCH(marketing_events_raw[[#This Row],[customer_id]], customers_clean!A:A, 0)), 1, 0)</f>
        <v>1</v>
      </c>
    </row>
    <row r="55" spans="1:5" x14ac:dyDescent="0.3">
      <c r="A55">
        <v>369739809</v>
      </c>
      <c r="B55">
        <v>428497</v>
      </c>
      <c r="C55" s="1">
        <v>44420</v>
      </c>
      <c r="D55" t="s">
        <v>3492</v>
      </c>
      <c r="E55">
        <f>IF(ISNUMBER(MATCH(marketing_events_raw[[#This Row],[customer_id]], customers_clean!A:A, 0)), 1, 0)</f>
        <v>1</v>
      </c>
    </row>
    <row r="56" spans="1:5" x14ac:dyDescent="0.3">
      <c r="A56">
        <v>727578454</v>
      </c>
      <c r="B56">
        <v>262959</v>
      </c>
      <c r="C56" s="1">
        <v>45505</v>
      </c>
      <c r="D56" t="s">
        <v>3490</v>
      </c>
      <c r="E56">
        <f>IF(ISNUMBER(MATCH(marketing_events_raw[[#This Row],[customer_id]], customers_clean!A:A, 0)), 1, 0)</f>
        <v>1</v>
      </c>
    </row>
    <row r="57" spans="1:5" x14ac:dyDescent="0.3">
      <c r="A57">
        <v>250705917</v>
      </c>
      <c r="B57">
        <v>873266</v>
      </c>
      <c r="C57" s="1">
        <v>45267</v>
      </c>
      <c r="D57" t="s">
        <v>3490</v>
      </c>
      <c r="E57">
        <f>IF(ISNUMBER(MATCH(marketing_events_raw[[#This Row],[customer_id]], customers_clean!A:A, 0)), 1, 0)</f>
        <v>1</v>
      </c>
    </row>
    <row r="58" spans="1:5" x14ac:dyDescent="0.3">
      <c r="A58">
        <v>281017601</v>
      </c>
      <c r="B58">
        <v>108105</v>
      </c>
      <c r="C58" s="1">
        <v>45645</v>
      </c>
      <c r="D58" t="s">
        <v>3492</v>
      </c>
      <c r="E58">
        <f>IF(ISNUMBER(MATCH(marketing_events_raw[[#This Row],[customer_id]], customers_clean!A:A, 0)), 1, 0)</f>
        <v>1</v>
      </c>
    </row>
    <row r="59" spans="1:5" x14ac:dyDescent="0.3">
      <c r="A59">
        <v>390194673</v>
      </c>
      <c r="B59">
        <v>819622</v>
      </c>
      <c r="C59" s="1">
        <v>44683</v>
      </c>
      <c r="D59" t="s">
        <v>3493</v>
      </c>
      <c r="E59">
        <f>IF(ISNUMBER(MATCH(marketing_events_raw[[#This Row],[customer_id]], customers_clean!A:A, 0)), 1, 0)</f>
        <v>1</v>
      </c>
    </row>
    <row r="60" spans="1:5" x14ac:dyDescent="0.3">
      <c r="A60">
        <v>968380318</v>
      </c>
      <c r="B60">
        <v>159645</v>
      </c>
      <c r="C60" s="1">
        <v>44472</v>
      </c>
      <c r="D60" t="s">
        <v>3488</v>
      </c>
      <c r="E60">
        <f>IF(ISNUMBER(MATCH(marketing_events_raw[[#This Row],[customer_id]], customers_clean!A:A, 0)), 1, 0)</f>
        <v>1</v>
      </c>
    </row>
    <row r="61" spans="1:5" x14ac:dyDescent="0.3">
      <c r="A61">
        <v>350469910</v>
      </c>
      <c r="B61">
        <v>998043</v>
      </c>
      <c r="C61" s="1">
        <v>44566</v>
      </c>
      <c r="D61" t="s">
        <v>3492</v>
      </c>
      <c r="E61">
        <f>IF(ISNUMBER(MATCH(marketing_events_raw[[#This Row],[customer_id]], customers_clean!A:A, 0)), 1, 0)</f>
        <v>1</v>
      </c>
    </row>
    <row r="62" spans="1:5" x14ac:dyDescent="0.3">
      <c r="A62">
        <v>669562242</v>
      </c>
      <c r="B62">
        <v>556839</v>
      </c>
      <c r="C62" s="1">
        <v>45611</v>
      </c>
      <c r="D62" t="s">
        <v>3488</v>
      </c>
      <c r="E62">
        <f>IF(ISNUMBER(MATCH(marketing_events_raw[[#This Row],[customer_id]], customers_clean!A:A, 0)), 1, 0)</f>
        <v>1</v>
      </c>
    </row>
    <row r="63" spans="1:5" x14ac:dyDescent="0.3">
      <c r="A63">
        <v>250229418</v>
      </c>
      <c r="B63">
        <v>275284</v>
      </c>
      <c r="C63" s="1">
        <v>45062</v>
      </c>
      <c r="D63" t="s">
        <v>3491</v>
      </c>
      <c r="E63">
        <f>IF(ISNUMBER(MATCH(marketing_events_raw[[#This Row],[customer_id]], customers_clean!A:A, 0)), 1, 0)</f>
        <v>1</v>
      </c>
    </row>
    <row r="64" spans="1:5" x14ac:dyDescent="0.3">
      <c r="A64">
        <v>401041423</v>
      </c>
      <c r="B64">
        <v>781571</v>
      </c>
      <c r="C64" s="1">
        <v>45632</v>
      </c>
      <c r="D64" t="s">
        <v>3488</v>
      </c>
      <c r="E64">
        <f>IF(ISNUMBER(MATCH(marketing_events_raw[[#This Row],[customer_id]], customers_clean!A:A, 0)), 1, 0)</f>
        <v>1</v>
      </c>
    </row>
    <row r="65" spans="1:5" x14ac:dyDescent="0.3">
      <c r="A65">
        <v>118857307</v>
      </c>
      <c r="B65">
        <v>493892</v>
      </c>
      <c r="C65" s="1">
        <v>45341</v>
      </c>
      <c r="D65" t="s">
        <v>3489</v>
      </c>
      <c r="E65">
        <f>IF(ISNUMBER(MATCH(marketing_events_raw[[#This Row],[customer_id]], customers_clean!A:A, 0)), 1, 0)</f>
        <v>1</v>
      </c>
    </row>
    <row r="66" spans="1:5" x14ac:dyDescent="0.3">
      <c r="A66">
        <v>435199547</v>
      </c>
      <c r="B66">
        <v>468591</v>
      </c>
      <c r="C66" s="1">
        <v>44696</v>
      </c>
      <c r="D66" t="s">
        <v>3490</v>
      </c>
      <c r="E66">
        <f>IF(ISNUMBER(MATCH(marketing_events_raw[[#This Row],[customer_id]], customers_clean!A:A, 0)), 1, 0)</f>
        <v>1</v>
      </c>
    </row>
    <row r="67" spans="1:5" x14ac:dyDescent="0.3">
      <c r="A67">
        <v>344123442</v>
      </c>
      <c r="B67">
        <v>615326</v>
      </c>
      <c r="C67" s="1">
        <v>44579</v>
      </c>
      <c r="D67" t="s">
        <v>3491</v>
      </c>
      <c r="E67">
        <f>IF(ISNUMBER(MATCH(marketing_events_raw[[#This Row],[customer_id]], customers_clean!A:A, 0)), 1, 0)</f>
        <v>1</v>
      </c>
    </row>
    <row r="68" spans="1:5" x14ac:dyDescent="0.3">
      <c r="A68">
        <v>898973200</v>
      </c>
      <c r="B68">
        <v>588533</v>
      </c>
      <c r="C68" s="1">
        <v>45283</v>
      </c>
      <c r="D68" t="s">
        <v>3493</v>
      </c>
      <c r="E68">
        <f>IF(ISNUMBER(MATCH(marketing_events_raw[[#This Row],[customer_id]], customers_clean!A:A, 0)), 1, 0)</f>
        <v>1</v>
      </c>
    </row>
    <row r="69" spans="1:5" x14ac:dyDescent="0.3">
      <c r="A69">
        <v>593745499</v>
      </c>
      <c r="B69">
        <v>873105</v>
      </c>
      <c r="C69" s="1">
        <v>45346</v>
      </c>
      <c r="D69" t="s">
        <v>3492</v>
      </c>
      <c r="E69">
        <f>IF(ISNUMBER(MATCH(marketing_events_raw[[#This Row],[customer_id]], customers_clean!A:A, 0)), 1, 0)</f>
        <v>1</v>
      </c>
    </row>
    <row r="70" spans="1:5" x14ac:dyDescent="0.3">
      <c r="A70">
        <v>671864576</v>
      </c>
      <c r="B70">
        <v>819964</v>
      </c>
      <c r="C70" s="1">
        <v>45276</v>
      </c>
      <c r="D70" t="s">
        <v>3487</v>
      </c>
      <c r="E70">
        <f>IF(ISNUMBER(MATCH(marketing_events_raw[[#This Row],[customer_id]], customers_clean!A:A, 0)), 1, 0)</f>
        <v>1</v>
      </c>
    </row>
    <row r="71" spans="1:5" x14ac:dyDescent="0.3">
      <c r="A71">
        <v>489311064</v>
      </c>
      <c r="B71">
        <v>888996</v>
      </c>
      <c r="C71" s="1">
        <v>45630</v>
      </c>
      <c r="D71" t="s">
        <v>3492</v>
      </c>
      <c r="E71">
        <f>IF(ISNUMBER(MATCH(marketing_events_raw[[#This Row],[customer_id]], customers_clean!A:A, 0)), 1, 0)</f>
        <v>1</v>
      </c>
    </row>
    <row r="72" spans="1:5" x14ac:dyDescent="0.3">
      <c r="A72">
        <v>222061664</v>
      </c>
      <c r="B72">
        <v>894541</v>
      </c>
      <c r="C72" s="1">
        <v>45014</v>
      </c>
      <c r="D72" t="s">
        <v>3490</v>
      </c>
      <c r="E72">
        <f>IF(ISNUMBER(MATCH(marketing_events_raw[[#This Row],[customer_id]], customers_clean!A:A, 0)), 1, 0)</f>
        <v>1</v>
      </c>
    </row>
    <row r="73" spans="1:5" x14ac:dyDescent="0.3">
      <c r="A73">
        <v>651350641</v>
      </c>
      <c r="B73">
        <v>537110</v>
      </c>
      <c r="C73" s="1">
        <v>45253</v>
      </c>
      <c r="D73" t="s">
        <v>3493</v>
      </c>
      <c r="E73">
        <f>IF(ISNUMBER(MATCH(marketing_events_raw[[#This Row],[customer_id]], customers_clean!A:A, 0)), 1, 0)</f>
        <v>1</v>
      </c>
    </row>
    <row r="74" spans="1:5" x14ac:dyDescent="0.3">
      <c r="A74">
        <v>387016338</v>
      </c>
      <c r="B74">
        <v>715732</v>
      </c>
      <c r="C74" s="1">
        <v>45452</v>
      </c>
      <c r="D74" t="s">
        <v>3493</v>
      </c>
      <c r="E74">
        <f>IF(ISNUMBER(MATCH(marketing_events_raw[[#This Row],[customer_id]], customers_clean!A:A, 0)), 1, 0)</f>
        <v>1</v>
      </c>
    </row>
    <row r="75" spans="1:5" x14ac:dyDescent="0.3">
      <c r="A75">
        <v>270689421</v>
      </c>
      <c r="B75">
        <v>979414</v>
      </c>
      <c r="C75" s="1">
        <v>44794</v>
      </c>
      <c r="D75" t="s">
        <v>3490</v>
      </c>
      <c r="E75">
        <f>IF(ISNUMBER(MATCH(marketing_events_raw[[#This Row],[customer_id]], customers_clean!A:A, 0)), 1, 0)</f>
        <v>1</v>
      </c>
    </row>
    <row r="76" spans="1:5" x14ac:dyDescent="0.3">
      <c r="A76">
        <v>637794603</v>
      </c>
      <c r="B76">
        <v>449031</v>
      </c>
      <c r="C76" s="1">
        <v>45451</v>
      </c>
      <c r="D76" t="s">
        <v>3488</v>
      </c>
      <c r="E76">
        <f>IF(ISNUMBER(MATCH(marketing_events_raw[[#This Row],[customer_id]], customers_clean!A:A, 0)), 1, 0)</f>
        <v>1</v>
      </c>
    </row>
    <row r="77" spans="1:5" x14ac:dyDescent="0.3">
      <c r="A77">
        <v>877291141</v>
      </c>
      <c r="B77">
        <v>136332</v>
      </c>
      <c r="C77" s="1">
        <v>44646</v>
      </c>
      <c r="D77" t="s">
        <v>3488</v>
      </c>
      <c r="E77">
        <f>IF(ISNUMBER(MATCH(marketing_events_raw[[#This Row],[customer_id]], customers_clean!A:A, 0)), 1, 0)</f>
        <v>1</v>
      </c>
    </row>
    <row r="78" spans="1:5" x14ac:dyDescent="0.3">
      <c r="A78">
        <v>751088958</v>
      </c>
      <c r="B78">
        <v>310743</v>
      </c>
      <c r="C78" s="1">
        <v>45037</v>
      </c>
      <c r="D78" t="s">
        <v>3488</v>
      </c>
      <c r="E78">
        <f>IF(ISNUMBER(MATCH(marketing_events_raw[[#This Row],[customer_id]], customers_clean!A:A, 0)), 1, 0)</f>
        <v>1</v>
      </c>
    </row>
    <row r="79" spans="1:5" x14ac:dyDescent="0.3">
      <c r="A79">
        <v>788684924</v>
      </c>
      <c r="B79">
        <v>243167</v>
      </c>
      <c r="C79" s="1">
        <v>45446</v>
      </c>
      <c r="D79" t="s">
        <v>3488</v>
      </c>
      <c r="E79">
        <f>IF(ISNUMBER(MATCH(marketing_events_raw[[#This Row],[customer_id]], customers_clean!A:A, 0)), 1, 0)</f>
        <v>1</v>
      </c>
    </row>
    <row r="80" spans="1:5" x14ac:dyDescent="0.3">
      <c r="A80">
        <v>525665387</v>
      </c>
      <c r="B80">
        <v>699809</v>
      </c>
      <c r="C80" s="1">
        <v>45435</v>
      </c>
      <c r="D80" t="s">
        <v>3488</v>
      </c>
      <c r="E80">
        <f>IF(ISNUMBER(MATCH(marketing_events_raw[[#This Row],[customer_id]], customers_clean!A:A, 0)), 1, 0)</f>
        <v>1</v>
      </c>
    </row>
    <row r="81" spans="1:5" x14ac:dyDescent="0.3">
      <c r="A81">
        <v>396839909</v>
      </c>
      <c r="B81">
        <v>855917</v>
      </c>
      <c r="C81" s="1">
        <v>44599</v>
      </c>
      <c r="D81" t="s">
        <v>3491</v>
      </c>
      <c r="E81">
        <f>IF(ISNUMBER(MATCH(marketing_events_raw[[#This Row],[customer_id]], customers_clean!A:A, 0)), 1, 0)</f>
        <v>1</v>
      </c>
    </row>
    <row r="82" spans="1:5" x14ac:dyDescent="0.3">
      <c r="A82">
        <v>551277189</v>
      </c>
      <c r="B82">
        <v>498458</v>
      </c>
      <c r="C82" s="1">
        <v>44707</v>
      </c>
      <c r="D82" t="s">
        <v>3489</v>
      </c>
      <c r="E82">
        <f>IF(ISNUMBER(MATCH(marketing_events_raw[[#This Row],[customer_id]], customers_clean!A:A, 0)), 1, 0)</f>
        <v>1</v>
      </c>
    </row>
    <row r="83" spans="1:5" x14ac:dyDescent="0.3">
      <c r="A83">
        <v>794391882</v>
      </c>
      <c r="B83">
        <v>189318</v>
      </c>
      <c r="C83" s="1">
        <v>44832</v>
      </c>
      <c r="D83" t="s">
        <v>3489</v>
      </c>
      <c r="E83">
        <f>IF(ISNUMBER(MATCH(marketing_events_raw[[#This Row],[customer_id]], customers_clean!A:A, 0)), 1, 0)</f>
        <v>1</v>
      </c>
    </row>
    <row r="84" spans="1:5" x14ac:dyDescent="0.3">
      <c r="A84">
        <v>561024904</v>
      </c>
      <c r="B84">
        <v>417508</v>
      </c>
      <c r="C84" s="1">
        <v>44445</v>
      </c>
      <c r="D84" t="s">
        <v>3493</v>
      </c>
      <c r="E84">
        <f>IF(ISNUMBER(MATCH(marketing_events_raw[[#This Row],[customer_id]], customers_clean!A:A, 0)), 1, 0)</f>
        <v>1</v>
      </c>
    </row>
    <row r="85" spans="1:5" x14ac:dyDescent="0.3">
      <c r="A85">
        <v>790228124</v>
      </c>
      <c r="B85">
        <v>721686</v>
      </c>
      <c r="C85" s="1">
        <v>45120</v>
      </c>
      <c r="D85" t="s">
        <v>3493</v>
      </c>
      <c r="E85">
        <f>IF(ISNUMBER(MATCH(marketing_events_raw[[#This Row],[customer_id]], customers_clean!A:A, 0)), 1, 0)</f>
        <v>1</v>
      </c>
    </row>
    <row r="86" spans="1:5" x14ac:dyDescent="0.3">
      <c r="A86">
        <v>689093629</v>
      </c>
      <c r="B86">
        <v>969693</v>
      </c>
      <c r="C86" s="1">
        <v>45153</v>
      </c>
      <c r="D86" t="s">
        <v>3493</v>
      </c>
      <c r="E86">
        <f>IF(ISNUMBER(MATCH(marketing_events_raw[[#This Row],[customer_id]], customers_clean!A:A, 0)), 1, 0)</f>
        <v>1</v>
      </c>
    </row>
    <row r="87" spans="1:5" x14ac:dyDescent="0.3">
      <c r="A87">
        <v>768630388</v>
      </c>
      <c r="B87">
        <v>113721</v>
      </c>
      <c r="C87" s="1">
        <v>44955</v>
      </c>
      <c r="D87" t="s">
        <v>3489</v>
      </c>
      <c r="E87">
        <f>IF(ISNUMBER(MATCH(marketing_events_raw[[#This Row],[customer_id]], customers_clean!A:A, 0)), 1, 0)</f>
        <v>1</v>
      </c>
    </row>
    <row r="88" spans="1:5" x14ac:dyDescent="0.3">
      <c r="A88">
        <v>593112299</v>
      </c>
      <c r="B88">
        <v>419987</v>
      </c>
      <c r="C88" s="1">
        <v>45242</v>
      </c>
      <c r="D88" t="s">
        <v>3488</v>
      </c>
      <c r="E88">
        <f>IF(ISNUMBER(MATCH(marketing_events_raw[[#This Row],[customer_id]], customers_clean!A:A, 0)), 1, 0)</f>
        <v>1</v>
      </c>
    </row>
    <row r="89" spans="1:5" x14ac:dyDescent="0.3">
      <c r="A89">
        <v>616003342</v>
      </c>
      <c r="B89">
        <v>546980</v>
      </c>
      <c r="C89" s="1">
        <v>44981</v>
      </c>
      <c r="D89" t="s">
        <v>3491</v>
      </c>
      <c r="E89">
        <f>IF(ISNUMBER(MATCH(marketing_events_raw[[#This Row],[customer_id]], customers_clean!A:A, 0)), 1, 0)</f>
        <v>1</v>
      </c>
    </row>
    <row r="90" spans="1:5" x14ac:dyDescent="0.3">
      <c r="A90">
        <v>325257040</v>
      </c>
      <c r="B90">
        <v>436272</v>
      </c>
      <c r="C90" s="1">
        <v>44584</v>
      </c>
      <c r="D90" t="s">
        <v>3488</v>
      </c>
      <c r="E90">
        <f>IF(ISNUMBER(MATCH(marketing_events_raw[[#This Row],[customer_id]], customers_clean!A:A, 0)), 1, 0)</f>
        <v>1</v>
      </c>
    </row>
    <row r="91" spans="1:5" x14ac:dyDescent="0.3">
      <c r="A91">
        <v>576153570</v>
      </c>
      <c r="B91">
        <v>567315</v>
      </c>
      <c r="C91" s="1">
        <v>44776</v>
      </c>
      <c r="D91" t="s">
        <v>3493</v>
      </c>
      <c r="E91">
        <f>IF(ISNUMBER(MATCH(marketing_events_raw[[#This Row],[customer_id]], customers_clean!A:A, 0)), 1, 0)</f>
        <v>1</v>
      </c>
    </row>
    <row r="92" spans="1:5" x14ac:dyDescent="0.3">
      <c r="A92">
        <v>102671296</v>
      </c>
      <c r="B92">
        <v>797883</v>
      </c>
      <c r="C92" s="1">
        <v>45168</v>
      </c>
      <c r="D92" t="s">
        <v>3487</v>
      </c>
      <c r="E92">
        <f>IF(ISNUMBER(MATCH(marketing_events_raw[[#This Row],[customer_id]], customers_clean!A:A, 0)), 1, 0)</f>
        <v>1</v>
      </c>
    </row>
    <row r="93" spans="1:5" x14ac:dyDescent="0.3">
      <c r="A93">
        <v>295199069</v>
      </c>
      <c r="B93">
        <v>825318</v>
      </c>
      <c r="C93" s="1">
        <v>45591</v>
      </c>
      <c r="D93" t="s">
        <v>3489</v>
      </c>
      <c r="E93">
        <f>IF(ISNUMBER(MATCH(marketing_events_raw[[#This Row],[customer_id]], customers_clean!A:A, 0)), 1, 0)</f>
        <v>1</v>
      </c>
    </row>
    <row r="94" spans="1:5" x14ac:dyDescent="0.3">
      <c r="A94">
        <v>805666604</v>
      </c>
      <c r="B94">
        <v>124559</v>
      </c>
      <c r="C94" s="1">
        <v>44559</v>
      </c>
      <c r="D94" t="s">
        <v>3492</v>
      </c>
      <c r="E94">
        <f>IF(ISNUMBER(MATCH(marketing_events_raw[[#This Row],[customer_id]], customers_clean!A:A, 0)), 1, 0)</f>
        <v>1</v>
      </c>
    </row>
    <row r="95" spans="1:5" x14ac:dyDescent="0.3">
      <c r="A95">
        <v>199077073</v>
      </c>
      <c r="B95">
        <v>155663</v>
      </c>
      <c r="C95" s="1">
        <v>45466</v>
      </c>
      <c r="D95" t="s">
        <v>3488</v>
      </c>
      <c r="E95">
        <f>IF(ISNUMBER(MATCH(marketing_events_raw[[#This Row],[customer_id]], customers_clean!A:A, 0)), 1, 0)</f>
        <v>1</v>
      </c>
    </row>
    <row r="96" spans="1:5" x14ac:dyDescent="0.3">
      <c r="A96">
        <v>920721266</v>
      </c>
      <c r="B96">
        <v>926952</v>
      </c>
      <c r="C96" s="1">
        <v>44566</v>
      </c>
      <c r="D96" t="s">
        <v>3487</v>
      </c>
      <c r="E96">
        <f>IF(ISNUMBER(MATCH(marketing_events_raw[[#This Row],[customer_id]], customers_clean!A:A, 0)), 1, 0)</f>
        <v>1</v>
      </c>
    </row>
    <row r="97" spans="1:5" x14ac:dyDescent="0.3">
      <c r="A97">
        <v>680768018</v>
      </c>
      <c r="B97">
        <v>979940</v>
      </c>
      <c r="C97" s="1">
        <v>45407</v>
      </c>
      <c r="D97" t="s">
        <v>3489</v>
      </c>
      <c r="E97">
        <f>IF(ISNUMBER(MATCH(marketing_events_raw[[#This Row],[customer_id]], customers_clean!A:A, 0)), 1, 0)</f>
        <v>1</v>
      </c>
    </row>
    <row r="98" spans="1:5" x14ac:dyDescent="0.3">
      <c r="A98">
        <v>416647587</v>
      </c>
      <c r="B98">
        <v>475691</v>
      </c>
      <c r="C98" s="1">
        <v>44682</v>
      </c>
      <c r="D98" t="s">
        <v>3487</v>
      </c>
      <c r="E98">
        <f>IF(ISNUMBER(MATCH(marketing_events_raw[[#This Row],[customer_id]], customers_clean!A:A, 0)), 1, 0)</f>
        <v>1</v>
      </c>
    </row>
    <row r="99" spans="1:5" x14ac:dyDescent="0.3">
      <c r="A99">
        <v>984042458</v>
      </c>
      <c r="B99">
        <v>362147</v>
      </c>
      <c r="C99" s="1">
        <v>45122</v>
      </c>
      <c r="D99" t="s">
        <v>3488</v>
      </c>
      <c r="E99">
        <f>IF(ISNUMBER(MATCH(marketing_events_raw[[#This Row],[customer_id]], customers_clean!A:A, 0)), 1, 0)</f>
        <v>1</v>
      </c>
    </row>
    <row r="100" spans="1:5" x14ac:dyDescent="0.3">
      <c r="A100">
        <v>464949531</v>
      </c>
      <c r="B100">
        <v>265603</v>
      </c>
      <c r="C100" s="1">
        <v>45535</v>
      </c>
      <c r="D100" t="s">
        <v>3492</v>
      </c>
      <c r="E100">
        <f>IF(ISNUMBER(MATCH(marketing_events_raw[[#This Row],[customer_id]], customers_clean!A:A, 0)), 1, 0)</f>
        <v>1</v>
      </c>
    </row>
    <row r="101" spans="1:5" x14ac:dyDescent="0.3">
      <c r="A101">
        <v>544872135</v>
      </c>
      <c r="B101">
        <v>456844</v>
      </c>
      <c r="C101" s="1">
        <v>45657</v>
      </c>
      <c r="D101" t="s">
        <v>3491</v>
      </c>
      <c r="E101">
        <f>IF(ISNUMBER(MATCH(marketing_events_raw[[#This Row],[customer_id]], customers_clean!A:A, 0)), 1, 0)</f>
        <v>1</v>
      </c>
    </row>
    <row r="102" spans="1:5" x14ac:dyDescent="0.3">
      <c r="A102">
        <v>737501776</v>
      </c>
      <c r="B102">
        <v>327408</v>
      </c>
      <c r="C102" s="1">
        <v>44429</v>
      </c>
      <c r="D102" t="s">
        <v>3487</v>
      </c>
      <c r="E102">
        <f>IF(ISNUMBER(MATCH(marketing_events_raw[[#This Row],[customer_id]], customers_clean!A:A, 0)), 1, 0)</f>
        <v>1</v>
      </c>
    </row>
    <row r="103" spans="1:5" x14ac:dyDescent="0.3">
      <c r="A103">
        <v>264027540</v>
      </c>
      <c r="B103">
        <v>583214</v>
      </c>
      <c r="C103" s="1">
        <v>44864</v>
      </c>
      <c r="D103" t="s">
        <v>3489</v>
      </c>
      <c r="E103">
        <f>IF(ISNUMBER(MATCH(marketing_events_raw[[#This Row],[customer_id]], customers_clean!A:A, 0)), 1, 0)</f>
        <v>1</v>
      </c>
    </row>
    <row r="104" spans="1:5" x14ac:dyDescent="0.3">
      <c r="A104">
        <v>594101846</v>
      </c>
      <c r="B104">
        <v>688933</v>
      </c>
      <c r="C104" s="1">
        <v>44677</v>
      </c>
      <c r="D104" t="s">
        <v>3489</v>
      </c>
      <c r="E104">
        <f>IF(ISNUMBER(MATCH(marketing_events_raw[[#This Row],[customer_id]], customers_clean!A:A, 0)), 1, 0)</f>
        <v>1</v>
      </c>
    </row>
    <row r="105" spans="1:5" x14ac:dyDescent="0.3">
      <c r="A105">
        <v>801973086</v>
      </c>
      <c r="B105">
        <v>352356</v>
      </c>
      <c r="C105" s="1">
        <v>45352</v>
      </c>
      <c r="D105" t="s">
        <v>3490</v>
      </c>
      <c r="E105">
        <f>IF(ISNUMBER(MATCH(marketing_events_raw[[#This Row],[customer_id]], customers_clean!A:A, 0)), 1, 0)</f>
        <v>1</v>
      </c>
    </row>
    <row r="106" spans="1:5" x14ac:dyDescent="0.3">
      <c r="A106">
        <v>583516652</v>
      </c>
      <c r="B106">
        <v>810032</v>
      </c>
      <c r="C106" s="1">
        <v>45411</v>
      </c>
      <c r="D106" t="s">
        <v>3491</v>
      </c>
      <c r="E106">
        <f>IF(ISNUMBER(MATCH(marketing_events_raw[[#This Row],[customer_id]], customers_clean!A:A, 0)), 1, 0)</f>
        <v>1</v>
      </c>
    </row>
    <row r="107" spans="1:5" x14ac:dyDescent="0.3">
      <c r="A107">
        <v>128964044</v>
      </c>
      <c r="B107">
        <v>999138</v>
      </c>
      <c r="C107" s="1">
        <v>44692</v>
      </c>
      <c r="D107" t="s">
        <v>3489</v>
      </c>
      <c r="E107">
        <f>IF(ISNUMBER(MATCH(marketing_events_raw[[#This Row],[customer_id]], customers_clean!A:A, 0)), 1, 0)</f>
        <v>1</v>
      </c>
    </row>
    <row r="108" spans="1:5" x14ac:dyDescent="0.3">
      <c r="A108">
        <v>344812050</v>
      </c>
      <c r="B108">
        <v>723948</v>
      </c>
      <c r="C108" s="1">
        <v>45347</v>
      </c>
      <c r="D108" t="s">
        <v>3493</v>
      </c>
      <c r="E108">
        <f>IF(ISNUMBER(MATCH(marketing_events_raw[[#This Row],[customer_id]], customers_clean!A:A, 0)), 1, 0)</f>
        <v>1</v>
      </c>
    </row>
    <row r="109" spans="1:5" x14ac:dyDescent="0.3">
      <c r="A109">
        <v>988547695</v>
      </c>
      <c r="B109">
        <v>536646</v>
      </c>
      <c r="C109" s="1">
        <v>45555</v>
      </c>
      <c r="D109" t="s">
        <v>3490</v>
      </c>
      <c r="E109">
        <f>IF(ISNUMBER(MATCH(marketing_events_raw[[#This Row],[customer_id]], customers_clean!A:A, 0)), 1, 0)</f>
        <v>1</v>
      </c>
    </row>
    <row r="110" spans="1:5" x14ac:dyDescent="0.3">
      <c r="A110">
        <v>138559748</v>
      </c>
      <c r="B110">
        <v>936587</v>
      </c>
      <c r="C110" s="1">
        <v>45259</v>
      </c>
      <c r="D110" t="s">
        <v>3492</v>
      </c>
      <c r="E110">
        <f>IF(ISNUMBER(MATCH(marketing_events_raw[[#This Row],[customer_id]], customers_clean!A:A, 0)), 1, 0)</f>
        <v>1</v>
      </c>
    </row>
    <row r="111" spans="1:5" x14ac:dyDescent="0.3">
      <c r="A111">
        <v>984679582</v>
      </c>
      <c r="B111">
        <v>828799</v>
      </c>
      <c r="C111" s="1">
        <v>44940</v>
      </c>
      <c r="D111" t="s">
        <v>3488</v>
      </c>
      <c r="E111">
        <f>IF(ISNUMBER(MATCH(marketing_events_raw[[#This Row],[customer_id]], customers_clean!A:A, 0)), 1, 0)</f>
        <v>1</v>
      </c>
    </row>
    <row r="112" spans="1:5" x14ac:dyDescent="0.3">
      <c r="A112">
        <v>958406338</v>
      </c>
      <c r="B112">
        <v>377405</v>
      </c>
      <c r="C112" s="1">
        <v>45492</v>
      </c>
      <c r="D112" t="s">
        <v>3493</v>
      </c>
      <c r="E112">
        <f>IF(ISNUMBER(MATCH(marketing_events_raw[[#This Row],[customer_id]], customers_clean!A:A, 0)), 1, 0)</f>
        <v>1</v>
      </c>
    </row>
    <row r="113" spans="1:5" x14ac:dyDescent="0.3">
      <c r="A113">
        <v>784792001</v>
      </c>
      <c r="B113">
        <v>506941</v>
      </c>
      <c r="C113" s="1">
        <v>45299</v>
      </c>
      <c r="D113" t="s">
        <v>3490</v>
      </c>
      <c r="E113">
        <f>IF(ISNUMBER(MATCH(marketing_events_raw[[#This Row],[customer_id]], customers_clean!A:A, 0)), 1, 0)</f>
        <v>1</v>
      </c>
    </row>
    <row r="114" spans="1:5" x14ac:dyDescent="0.3">
      <c r="A114">
        <v>820586864</v>
      </c>
      <c r="B114">
        <v>875501</v>
      </c>
      <c r="C114" s="1">
        <v>45512</v>
      </c>
      <c r="D114" t="s">
        <v>3492</v>
      </c>
      <c r="E114">
        <f>IF(ISNUMBER(MATCH(marketing_events_raw[[#This Row],[customer_id]], customers_clean!A:A, 0)), 1, 0)</f>
        <v>1</v>
      </c>
    </row>
    <row r="115" spans="1:5" x14ac:dyDescent="0.3">
      <c r="A115">
        <v>969644770</v>
      </c>
      <c r="B115">
        <v>277735</v>
      </c>
      <c r="C115" s="1">
        <v>45336</v>
      </c>
      <c r="D115" t="s">
        <v>3487</v>
      </c>
      <c r="E115">
        <f>IF(ISNUMBER(MATCH(marketing_events_raw[[#This Row],[customer_id]], customers_clean!A:A, 0)), 1, 0)</f>
        <v>1</v>
      </c>
    </row>
    <row r="116" spans="1:5" x14ac:dyDescent="0.3">
      <c r="A116">
        <v>723763433</v>
      </c>
      <c r="B116">
        <v>427766</v>
      </c>
      <c r="C116" s="1">
        <v>45043</v>
      </c>
      <c r="D116" t="s">
        <v>3493</v>
      </c>
      <c r="E116">
        <f>IF(ISNUMBER(MATCH(marketing_events_raw[[#This Row],[customer_id]], customers_clean!A:A, 0)), 1, 0)</f>
        <v>1</v>
      </c>
    </row>
    <row r="117" spans="1:5" x14ac:dyDescent="0.3">
      <c r="A117">
        <v>378625365</v>
      </c>
      <c r="B117">
        <v>112210</v>
      </c>
      <c r="C117" s="1">
        <v>44526</v>
      </c>
      <c r="D117" t="s">
        <v>3493</v>
      </c>
      <c r="E117">
        <f>IF(ISNUMBER(MATCH(marketing_events_raw[[#This Row],[customer_id]], customers_clean!A:A, 0)), 1, 0)</f>
        <v>1</v>
      </c>
    </row>
    <row r="118" spans="1:5" x14ac:dyDescent="0.3">
      <c r="A118">
        <v>949396015</v>
      </c>
      <c r="B118">
        <v>972089</v>
      </c>
      <c r="C118" s="1">
        <v>45293</v>
      </c>
      <c r="D118" t="s">
        <v>3487</v>
      </c>
      <c r="E118">
        <f>IF(ISNUMBER(MATCH(marketing_events_raw[[#This Row],[customer_id]], customers_clean!A:A, 0)), 1, 0)</f>
        <v>1</v>
      </c>
    </row>
    <row r="119" spans="1:5" x14ac:dyDescent="0.3">
      <c r="A119">
        <v>633004989</v>
      </c>
      <c r="B119">
        <v>981202</v>
      </c>
      <c r="C119" s="1">
        <v>45024</v>
      </c>
      <c r="D119" t="s">
        <v>3492</v>
      </c>
      <c r="E119">
        <f>IF(ISNUMBER(MATCH(marketing_events_raw[[#This Row],[customer_id]], customers_clean!A:A, 0)), 1, 0)</f>
        <v>1</v>
      </c>
    </row>
    <row r="120" spans="1:5" x14ac:dyDescent="0.3">
      <c r="A120">
        <v>317459614</v>
      </c>
      <c r="B120">
        <v>811451</v>
      </c>
      <c r="C120" s="1">
        <v>45597</v>
      </c>
      <c r="D120" t="s">
        <v>3491</v>
      </c>
      <c r="E120">
        <f>IF(ISNUMBER(MATCH(marketing_events_raw[[#This Row],[customer_id]], customers_clean!A:A, 0)), 1, 0)</f>
        <v>1</v>
      </c>
    </row>
    <row r="121" spans="1:5" x14ac:dyDescent="0.3">
      <c r="A121">
        <v>183101094</v>
      </c>
      <c r="B121">
        <v>283568</v>
      </c>
      <c r="C121" s="1">
        <v>45497</v>
      </c>
      <c r="D121" t="s">
        <v>3491</v>
      </c>
      <c r="E121">
        <f>IF(ISNUMBER(MATCH(marketing_events_raw[[#This Row],[customer_id]], customers_clean!A:A, 0)), 1, 0)</f>
        <v>1</v>
      </c>
    </row>
    <row r="122" spans="1:5" x14ac:dyDescent="0.3">
      <c r="A122">
        <v>770353371</v>
      </c>
      <c r="B122">
        <v>885408</v>
      </c>
      <c r="C122" s="1">
        <v>44463</v>
      </c>
      <c r="D122" t="s">
        <v>3488</v>
      </c>
      <c r="E122">
        <f>IF(ISNUMBER(MATCH(marketing_events_raw[[#This Row],[customer_id]], customers_clean!A:A, 0)), 1, 0)</f>
        <v>1</v>
      </c>
    </row>
    <row r="123" spans="1:5" x14ac:dyDescent="0.3">
      <c r="A123">
        <v>585796257</v>
      </c>
      <c r="B123">
        <v>177449</v>
      </c>
      <c r="C123" s="1">
        <v>44812</v>
      </c>
      <c r="D123" t="s">
        <v>3487</v>
      </c>
      <c r="E123">
        <f>IF(ISNUMBER(MATCH(marketing_events_raw[[#This Row],[customer_id]], customers_clean!A:A, 0)), 1, 0)</f>
        <v>1</v>
      </c>
    </row>
    <row r="124" spans="1:5" x14ac:dyDescent="0.3">
      <c r="A124">
        <v>652105521</v>
      </c>
      <c r="B124">
        <v>727320</v>
      </c>
      <c r="C124" s="1">
        <v>44517</v>
      </c>
      <c r="D124" t="s">
        <v>3492</v>
      </c>
      <c r="E124">
        <f>IF(ISNUMBER(MATCH(marketing_events_raw[[#This Row],[customer_id]], customers_clean!A:A, 0)), 1, 0)</f>
        <v>1</v>
      </c>
    </row>
    <row r="125" spans="1:5" x14ac:dyDescent="0.3">
      <c r="A125">
        <v>726190692</v>
      </c>
      <c r="B125">
        <v>826894</v>
      </c>
      <c r="C125" s="1">
        <v>44514</v>
      </c>
      <c r="D125" t="s">
        <v>3492</v>
      </c>
      <c r="E125">
        <f>IF(ISNUMBER(MATCH(marketing_events_raw[[#This Row],[customer_id]], customers_clean!A:A, 0)), 1, 0)</f>
        <v>1</v>
      </c>
    </row>
    <row r="126" spans="1:5" x14ac:dyDescent="0.3">
      <c r="A126">
        <v>630549257</v>
      </c>
      <c r="B126">
        <v>472724</v>
      </c>
      <c r="C126" s="1">
        <v>45615</v>
      </c>
      <c r="D126" t="s">
        <v>3490</v>
      </c>
      <c r="E126">
        <f>IF(ISNUMBER(MATCH(marketing_events_raw[[#This Row],[customer_id]], customers_clean!A:A, 0)), 1, 0)</f>
        <v>1</v>
      </c>
    </row>
    <row r="127" spans="1:5" x14ac:dyDescent="0.3">
      <c r="A127">
        <v>698961481</v>
      </c>
      <c r="B127">
        <v>359822</v>
      </c>
      <c r="C127" s="1">
        <v>45571</v>
      </c>
      <c r="D127" t="s">
        <v>3492</v>
      </c>
      <c r="E127">
        <f>IF(ISNUMBER(MATCH(marketing_events_raw[[#This Row],[customer_id]], customers_clean!A:A, 0)), 1, 0)</f>
        <v>1</v>
      </c>
    </row>
    <row r="128" spans="1:5" x14ac:dyDescent="0.3">
      <c r="A128">
        <v>496848415</v>
      </c>
      <c r="B128">
        <v>613989</v>
      </c>
      <c r="C128" s="1">
        <v>45426</v>
      </c>
      <c r="D128" t="s">
        <v>3491</v>
      </c>
      <c r="E128">
        <f>IF(ISNUMBER(MATCH(marketing_events_raw[[#This Row],[customer_id]], customers_clean!A:A, 0)), 1, 0)</f>
        <v>1</v>
      </c>
    </row>
    <row r="129" spans="1:5" x14ac:dyDescent="0.3">
      <c r="A129">
        <v>918304652</v>
      </c>
      <c r="B129">
        <v>203396</v>
      </c>
      <c r="C129" s="1">
        <v>45181</v>
      </c>
      <c r="D129" t="s">
        <v>3489</v>
      </c>
      <c r="E129">
        <f>IF(ISNUMBER(MATCH(marketing_events_raw[[#This Row],[customer_id]], customers_clean!A:A, 0)), 1, 0)</f>
        <v>1</v>
      </c>
    </row>
    <row r="130" spans="1:5" x14ac:dyDescent="0.3">
      <c r="A130">
        <v>534851516</v>
      </c>
      <c r="B130">
        <v>556112</v>
      </c>
      <c r="C130" s="1">
        <v>45508</v>
      </c>
      <c r="D130" t="s">
        <v>3489</v>
      </c>
      <c r="E130">
        <f>IF(ISNUMBER(MATCH(marketing_events_raw[[#This Row],[customer_id]], customers_clean!A:A, 0)), 1, 0)</f>
        <v>1</v>
      </c>
    </row>
    <row r="131" spans="1:5" x14ac:dyDescent="0.3">
      <c r="A131">
        <v>642806507</v>
      </c>
      <c r="B131">
        <v>772528</v>
      </c>
      <c r="C131" s="1">
        <v>44921</v>
      </c>
      <c r="D131" t="s">
        <v>3491</v>
      </c>
      <c r="E131">
        <f>IF(ISNUMBER(MATCH(marketing_events_raw[[#This Row],[customer_id]], customers_clean!A:A, 0)), 1, 0)</f>
        <v>1</v>
      </c>
    </row>
    <row r="132" spans="1:5" x14ac:dyDescent="0.3">
      <c r="A132">
        <v>649462079</v>
      </c>
      <c r="B132">
        <v>592198</v>
      </c>
      <c r="C132" s="1">
        <v>45289</v>
      </c>
      <c r="D132" t="s">
        <v>3487</v>
      </c>
      <c r="E132">
        <f>IF(ISNUMBER(MATCH(marketing_events_raw[[#This Row],[customer_id]], customers_clean!A:A, 0)), 1, 0)</f>
        <v>1</v>
      </c>
    </row>
    <row r="133" spans="1:5" x14ac:dyDescent="0.3">
      <c r="A133">
        <v>320506867</v>
      </c>
      <c r="B133">
        <v>779094</v>
      </c>
      <c r="C133" s="1">
        <v>45457</v>
      </c>
      <c r="D133" t="s">
        <v>3490</v>
      </c>
      <c r="E133">
        <f>IF(ISNUMBER(MATCH(marketing_events_raw[[#This Row],[customer_id]], customers_clean!A:A, 0)), 1, 0)</f>
        <v>1</v>
      </c>
    </row>
    <row r="134" spans="1:5" x14ac:dyDescent="0.3">
      <c r="A134">
        <v>267025475</v>
      </c>
      <c r="B134">
        <v>684194</v>
      </c>
      <c r="C134" s="1">
        <v>44416</v>
      </c>
      <c r="D134" t="s">
        <v>3493</v>
      </c>
      <c r="E134">
        <f>IF(ISNUMBER(MATCH(marketing_events_raw[[#This Row],[customer_id]], customers_clean!A:A, 0)), 1, 0)</f>
        <v>1</v>
      </c>
    </row>
    <row r="135" spans="1:5" x14ac:dyDescent="0.3">
      <c r="A135">
        <v>614308007</v>
      </c>
      <c r="B135">
        <v>946485</v>
      </c>
      <c r="C135" s="1">
        <v>45198</v>
      </c>
      <c r="D135" t="s">
        <v>3490</v>
      </c>
      <c r="E135">
        <f>IF(ISNUMBER(MATCH(marketing_events_raw[[#This Row],[customer_id]], customers_clean!A:A, 0)), 1, 0)</f>
        <v>1</v>
      </c>
    </row>
    <row r="136" spans="1:5" x14ac:dyDescent="0.3">
      <c r="A136">
        <v>262068099</v>
      </c>
      <c r="B136">
        <v>150486</v>
      </c>
      <c r="C136" s="1">
        <v>44869</v>
      </c>
      <c r="D136" t="s">
        <v>3491</v>
      </c>
      <c r="E136">
        <f>IF(ISNUMBER(MATCH(marketing_events_raw[[#This Row],[customer_id]], customers_clean!A:A, 0)), 1, 0)</f>
        <v>1</v>
      </c>
    </row>
    <row r="137" spans="1:5" x14ac:dyDescent="0.3">
      <c r="A137">
        <v>528582025</v>
      </c>
      <c r="B137">
        <v>132653</v>
      </c>
      <c r="C137" s="1">
        <v>44604</v>
      </c>
      <c r="D137" t="s">
        <v>3489</v>
      </c>
      <c r="E137">
        <f>IF(ISNUMBER(MATCH(marketing_events_raw[[#This Row],[customer_id]], customers_clean!A:A, 0)), 1, 0)</f>
        <v>1</v>
      </c>
    </row>
    <row r="138" spans="1:5" x14ac:dyDescent="0.3">
      <c r="A138">
        <v>222960934</v>
      </c>
      <c r="B138">
        <v>124559</v>
      </c>
      <c r="C138" s="1">
        <v>45616</v>
      </c>
      <c r="D138" t="s">
        <v>3490</v>
      </c>
      <c r="E138">
        <f>IF(ISNUMBER(MATCH(marketing_events_raw[[#This Row],[customer_id]], customers_clean!A:A, 0)), 1, 0)</f>
        <v>1</v>
      </c>
    </row>
    <row r="139" spans="1:5" x14ac:dyDescent="0.3">
      <c r="A139">
        <v>778642238</v>
      </c>
      <c r="B139">
        <v>871501</v>
      </c>
      <c r="C139" s="1">
        <v>45065</v>
      </c>
      <c r="D139" t="s">
        <v>3493</v>
      </c>
      <c r="E139">
        <f>IF(ISNUMBER(MATCH(marketing_events_raw[[#This Row],[customer_id]], customers_clean!A:A, 0)), 1, 0)</f>
        <v>1</v>
      </c>
    </row>
    <row r="140" spans="1:5" x14ac:dyDescent="0.3">
      <c r="A140">
        <v>194720953</v>
      </c>
      <c r="B140">
        <v>746253</v>
      </c>
      <c r="C140" s="1">
        <v>45502</v>
      </c>
      <c r="D140" t="s">
        <v>3488</v>
      </c>
      <c r="E140">
        <f>IF(ISNUMBER(MATCH(marketing_events_raw[[#This Row],[customer_id]], customers_clean!A:A, 0)), 1, 0)</f>
        <v>1</v>
      </c>
    </row>
    <row r="141" spans="1:5" x14ac:dyDescent="0.3">
      <c r="A141">
        <v>687146523</v>
      </c>
      <c r="B141">
        <v>894541</v>
      </c>
      <c r="C141" s="1">
        <v>44586</v>
      </c>
      <c r="D141" t="s">
        <v>3489</v>
      </c>
      <c r="E141">
        <f>IF(ISNUMBER(MATCH(marketing_events_raw[[#This Row],[customer_id]], customers_clean!A:A, 0)), 1, 0)</f>
        <v>1</v>
      </c>
    </row>
    <row r="142" spans="1:5" x14ac:dyDescent="0.3">
      <c r="A142">
        <v>708889385</v>
      </c>
      <c r="B142">
        <v>392075</v>
      </c>
      <c r="C142" s="1">
        <v>45487</v>
      </c>
      <c r="D142" t="s">
        <v>3491</v>
      </c>
      <c r="E142">
        <f>IF(ISNUMBER(MATCH(marketing_events_raw[[#This Row],[customer_id]], customers_clean!A:A, 0)), 1, 0)</f>
        <v>1</v>
      </c>
    </row>
    <row r="143" spans="1:5" x14ac:dyDescent="0.3">
      <c r="A143">
        <v>791033824</v>
      </c>
      <c r="B143">
        <v>400850</v>
      </c>
      <c r="C143" s="1">
        <v>45174</v>
      </c>
      <c r="D143" t="s">
        <v>3488</v>
      </c>
      <c r="E143">
        <f>IF(ISNUMBER(MATCH(marketing_events_raw[[#This Row],[customer_id]], customers_clean!A:A, 0)), 1, 0)</f>
        <v>1</v>
      </c>
    </row>
    <row r="144" spans="1:5" x14ac:dyDescent="0.3">
      <c r="A144">
        <v>804013071</v>
      </c>
      <c r="B144">
        <v>166938</v>
      </c>
      <c r="C144" s="1">
        <v>44583</v>
      </c>
      <c r="D144" t="s">
        <v>3491</v>
      </c>
      <c r="E144">
        <f>IF(ISNUMBER(MATCH(marketing_events_raw[[#This Row],[customer_id]], customers_clean!A:A, 0)), 1, 0)</f>
        <v>1</v>
      </c>
    </row>
    <row r="145" spans="1:5" x14ac:dyDescent="0.3">
      <c r="A145">
        <v>923577253</v>
      </c>
      <c r="B145">
        <v>658272</v>
      </c>
      <c r="C145" s="1">
        <v>44656</v>
      </c>
      <c r="D145" t="s">
        <v>3488</v>
      </c>
      <c r="E145">
        <f>IF(ISNUMBER(MATCH(marketing_events_raw[[#This Row],[customer_id]], customers_clean!A:A, 0)), 1, 0)</f>
        <v>1</v>
      </c>
    </row>
    <row r="146" spans="1:5" x14ac:dyDescent="0.3">
      <c r="A146">
        <v>968035942</v>
      </c>
      <c r="B146">
        <v>987060</v>
      </c>
      <c r="C146" s="1">
        <v>44436</v>
      </c>
      <c r="D146" t="s">
        <v>3493</v>
      </c>
      <c r="E146">
        <f>IF(ISNUMBER(MATCH(marketing_events_raw[[#This Row],[customer_id]], customers_clean!A:A, 0)), 1, 0)</f>
        <v>1</v>
      </c>
    </row>
    <row r="147" spans="1:5" x14ac:dyDescent="0.3">
      <c r="A147">
        <v>988542710</v>
      </c>
      <c r="B147">
        <v>780776</v>
      </c>
      <c r="C147" s="1">
        <v>45382</v>
      </c>
      <c r="D147" t="s">
        <v>3490</v>
      </c>
      <c r="E147">
        <f>IF(ISNUMBER(MATCH(marketing_events_raw[[#This Row],[customer_id]], customers_clean!A:A, 0)), 1, 0)</f>
        <v>1</v>
      </c>
    </row>
    <row r="148" spans="1:5" x14ac:dyDescent="0.3">
      <c r="A148">
        <v>531418689</v>
      </c>
      <c r="B148">
        <v>732789</v>
      </c>
      <c r="C148" s="1">
        <v>45176</v>
      </c>
      <c r="D148" t="s">
        <v>3493</v>
      </c>
      <c r="E148">
        <f>IF(ISNUMBER(MATCH(marketing_events_raw[[#This Row],[customer_id]], customers_clean!A:A, 0)), 1, 0)</f>
        <v>1</v>
      </c>
    </row>
    <row r="149" spans="1:5" x14ac:dyDescent="0.3">
      <c r="A149">
        <v>916500253</v>
      </c>
      <c r="B149">
        <v>208239</v>
      </c>
      <c r="C149" s="1">
        <v>45602</v>
      </c>
      <c r="D149" t="s">
        <v>3490</v>
      </c>
      <c r="E149">
        <f>IF(ISNUMBER(MATCH(marketing_events_raw[[#This Row],[customer_id]], customers_clean!A:A, 0)), 1, 0)</f>
        <v>1</v>
      </c>
    </row>
    <row r="150" spans="1:5" x14ac:dyDescent="0.3">
      <c r="A150">
        <v>227154328</v>
      </c>
      <c r="B150">
        <v>820767</v>
      </c>
      <c r="C150" s="1">
        <v>44478</v>
      </c>
      <c r="D150" t="s">
        <v>3487</v>
      </c>
      <c r="E150">
        <f>IF(ISNUMBER(MATCH(marketing_events_raw[[#This Row],[customer_id]], customers_clean!A:A, 0)), 1, 0)</f>
        <v>1</v>
      </c>
    </row>
    <row r="151" spans="1:5" x14ac:dyDescent="0.3">
      <c r="A151">
        <v>729359157</v>
      </c>
      <c r="B151">
        <v>842866</v>
      </c>
      <c r="C151" s="1">
        <v>44652</v>
      </c>
      <c r="D151" t="s">
        <v>3489</v>
      </c>
      <c r="E151">
        <f>IF(ISNUMBER(MATCH(marketing_events_raw[[#This Row],[customer_id]], customers_clean!A:A, 0)), 1, 0)</f>
        <v>1</v>
      </c>
    </row>
    <row r="152" spans="1:5" x14ac:dyDescent="0.3">
      <c r="A152">
        <v>616520963</v>
      </c>
      <c r="B152">
        <v>130557</v>
      </c>
      <c r="C152" s="1">
        <v>44682</v>
      </c>
      <c r="D152" t="s">
        <v>3491</v>
      </c>
      <c r="E152">
        <f>IF(ISNUMBER(MATCH(marketing_events_raw[[#This Row],[customer_id]], customers_clean!A:A, 0)), 1, 0)</f>
        <v>1</v>
      </c>
    </row>
    <row r="153" spans="1:5" x14ac:dyDescent="0.3">
      <c r="A153">
        <v>695751636</v>
      </c>
      <c r="B153">
        <v>598969</v>
      </c>
      <c r="C153" s="1">
        <v>44676</v>
      </c>
      <c r="D153" t="s">
        <v>3487</v>
      </c>
      <c r="E153">
        <f>IF(ISNUMBER(MATCH(marketing_events_raw[[#This Row],[customer_id]], customers_clean!A:A, 0)), 1, 0)</f>
        <v>1</v>
      </c>
    </row>
    <row r="154" spans="1:5" x14ac:dyDescent="0.3">
      <c r="A154">
        <v>694079079</v>
      </c>
      <c r="B154">
        <v>461888</v>
      </c>
      <c r="C154" s="1">
        <v>45624</v>
      </c>
      <c r="D154" t="s">
        <v>3489</v>
      </c>
      <c r="E154">
        <f>IF(ISNUMBER(MATCH(marketing_events_raw[[#This Row],[customer_id]], customers_clean!A:A, 0)), 1, 0)</f>
        <v>1</v>
      </c>
    </row>
    <row r="155" spans="1:5" x14ac:dyDescent="0.3">
      <c r="A155">
        <v>340414769</v>
      </c>
      <c r="B155">
        <v>985447</v>
      </c>
      <c r="C155" s="1">
        <v>44944</v>
      </c>
      <c r="D155" t="s">
        <v>3493</v>
      </c>
      <c r="E155">
        <f>IF(ISNUMBER(MATCH(marketing_events_raw[[#This Row],[customer_id]], customers_clean!A:A, 0)), 1, 0)</f>
        <v>1</v>
      </c>
    </row>
    <row r="156" spans="1:5" x14ac:dyDescent="0.3">
      <c r="A156">
        <v>649091046</v>
      </c>
      <c r="B156">
        <v>732789</v>
      </c>
      <c r="C156" s="1">
        <v>45276</v>
      </c>
      <c r="D156" t="s">
        <v>3493</v>
      </c>
      <c r="E156">
        <f>IF(ISNUMBER(MATCH(marketing_events_raw[[#This Row],[customer_id]], customers_clean!A:A, 0)), 1, 0)</f>
        <v>1</v>
      </c>
    </row>
    <row r="157" spans="1:5" x14ac:dyDescent="0.3">
      <c r="A157">
        <v>426190060</v>
      </c>
      <c r="B157">
        <v>203396</v>
      </c>
      <c r="C157" s="1">
        <v>45626</v>
      </c>
      <c r="D157" t="s">
        <v>3487</v>
      </c>
      <c r="E157">
        <f>IF(ISNUMBER(MATCH(marketing_events_raw[[#This Row],[customer_id]], customers_clean!A:A, 0)), 1, 0)</f>
        <v>1</v>
      </c>
    </row>
    <row r="158" spans="1:5" x14ac:dyDescent="0.3">
      <c r="A158">
        <v>149628534</v>
      </c>
      <c r="B158">
        <v>433396</v>
      </c>
      <c r="C158" s="1">
        <v>44878</v>
      </c>
      <c r="D158" t="s">
        <v>3493</v>
      </c>
      <c r="E158">
        <f>IF(ISNUMBER(MATCH(marketing_events_raw[[#This Row],[customer_id]], customers_clean!A:A, 0)), 1, 0)</f>
        <v>1</v>
      </c>
    </row>
    <row r="159" spans="1:5" x14ac:dyDescent="0.3">
      <c r="A159">
        <v>439498723</v>
      </c>
      <c r="B159">
        <v>760830</v>
      </c>
      <c r="C159" s="1">
        <v>44472</v>
      </c>
      <c r="D159" t="s">
        <v>3487</v>
      </c>
      <c r="E159">
        <f>IF(ISNUMBER(MATCH(marketing_events_raw[[#This Row],[customer_id]], customers_clean!A:A, 0)), 1, 0)</f>
        <v>1</v>
      </c>
    </row>
    <row r="160" spans="1:5" x14ac:dyDescent="0.3">
      <c r="A160">
        <v>627024480</v>
      </c>
      <c r="B160">
        <v>901968</v>
      </c>
      <c r="C160" s="1">
        <v>45053</v>
      </c>
      <c r="D160" t="s">
        <v>3487</v>
      </c>
      <c r="E160">
        <f>IF(ISNUMBER(MATCH(marketing_events_raw[[#This Row],[customer_id]], customers_clean!A:A, 0)), 1, 0)</f>
        <v>1</v>
      </c>
    </row>
    <row r="161" spans="1:5" x14ac:dyDescent="0.3">
      <c r="A161">
        <v>648716955</v>
      </c>
      <c r="B161">
        <v>755017</v>
      </c>
      <c r="C161" s="1">
        <v>45639</v>
      </c>
      <c r="D161" t="s">
        <v>3487</v>
      </c>
      <c r="E161">
        <f>IF(ISNUMBER(MATCH(marketing_events_raw[[#This Row],[customer_id]], customers_clean!A:A, 0)), 1, 0)</f>
        <v>1</v>
      </c>
    </row>
    <row r="162" spans="1:5" x14ac:dyDescent="0.3">
      <c r="A162">
        <v>656804281</v>
      </c>
      <c r="B162">
        <v>265603</v>
      </c>
      <c r="C162" s="1">
        <v>44843</v>
      </c>
      <c r="D162" t="s">
        <v>3489</v>
      </c>
      <c r="E162">
        <f>IF(ISNUMBER(MATCH(marketing_events_raw[[#This Row],[customer_id]], customers_clean!A:A, 0)), 1, 0)</f>
        <v>1</v>
      </c>
    </row>
    <row r="163" spans="1:5" x14ac:dyDescent="0.3">
      <c r="A163">
        <v>463267502</v>
      </c>
      <c r="B163">
        <v>788842</v>
      </c>
      <c r="C163" s="1">
        <v>45107</v>
      </c>
      <c r="D163" t="s">
        <v>3493</v>
      </c>
      <c r="E163">
        <f>IF(ISNUMBER(MATCH(marketing_events_raw[[#This Row],[customer_id]], customers_clean!A:A, 0)), 1, 0)</f>
        <v>1</v>
      </c>
    </row>
    <row r="164" spans="1:5" x14ac:dyDescent="0.3">
      <c r="A164">
        <v>578986627</v>
      </c>
      <c r="B164">
        <v>638857</v>
      </c>
      <c r="C164" s="1">
        <v>44409</v>
      </c>
      <c r="D164" t="s">
        <v>3488</v>
      </c>
      <c r="E164">
        <f>IF(ISNUMBER(MATCH(marketing_events_raw[[#This Row],[customer_id]], customers_clean!A:A, 0)), 1, 0)</f>
        <v>1</v>
      </c>
    </row>
    <row r="165" spans="1:5" x14ac:dyDescent="0.3">
      <c r="A165">
        <v>622738737</v>
      </c>
      <c r="B165">
        <v>693643</v>
      </c>
      <c r="C165" s="1">
        <v>45287</v>
      </c>
      <c r="D165" t="s">
        <v>3489</v>
      </c>
      <c r="E165">
        <f>IF(ISNUMBER(MATCH(marketing_events_raw[[#This Row],[customer_id]], customers_clean!A:A, 0)), 1, 0)</f>
        <v>1</v>
      </c>
    </row>
    <row r="166" spans="1:5" x14ac:dyDescent="0.3">
      <c r="A166">
        <v>894284492</v>
      </c>
      <c r="B166">
        <v>849014</v>
      </c>
      <c r="C166" s="1">
        <v>44589</v>
      </c>
      <c r="D166" t="s">
        <v>3488</v>
      </c>
      <c r="E166">
        <f>IF(ISNUMBER(MATCH(marketing_events_raw[[#This Row],[customer_id]], customers_clean!A:A, 0)), 1, 0)</f>
        <v>1</v>
      </c>
    </row>
    <row r="167" spans="1:5" x14ac:dyDescent="0.3">
      <c r="A167">
        <v>283404229</v>
      </c>
      <c r="B167">
        <v>571832</v>
      </c>
      <c r="C167" s="1">
        <v>44828</v>
      </c>
      <c r="D167" t="s">
        <v>3490</v>
      </c>
      <c r="E167">
        <f>IF(ISNUMBER(MATCH(marketing_events_raw[[#This Row],[customer_id]], customers_clean!A:A, 0)), 1, 0)</f>
        <v>1</v>
      </c>
    </row>
    <row r="168" spans="1:5" x14ac:dyDescent="0.3">
      <c r="A168">
        <v>446716180</v>
      </c>
      <c r="B168">
        <v>483162</v>
      </c>
      <c r="C168" s="1">
        <v>45056</v>
      </c>
      <c r="D168" t="s">
        <v>3492</v>
      </c>
      <c r="E168">
        <f>IF(ISNUMBER(MATCH(marketing_events_raw[[#This Row],[customer_id]], customers_clean!A:A, 0)), 1, 0)</f>
        <v>1</v>
      </c>
    </row>
    <row r="169" spans="1:5" x14ac:dyDescent="0.3">
      <c r="A169">
        <v>778739715</v>
      </c>
      <c r="B169">
        <v>285846</v>
      </c>
      <c r="C169" s="1">
        <v>44469</v>
      </c>
      <c r="D169" t="s">
        <v>3493</v>
      </c>
      <c r="E169">
        <f>IF(ISNUMBER(MATCH(marketing_events_raw[[#This Row],[customer_id]], customers_clean!A:A, 0)), 1, 0)</f>
        <v>1</v>
      </c>
    </row>
    <row r="170" spans="1:5" x14ac:dyDescent="0.3">
      <c r="A170">
        <v>924238313</v>
      </c>
      <c r="B170">
        <v>601554</v>
      </c>
      <c r="C170" s="1">
        <v>45033</v>
      </c>
      <c r="D170" t="s">
        <v>3487</v>
      </c>
      <c r="E170">
        <f>IF(ISNUMBER(MATCH(marketing_events_raw[[#This Row],[customer_id]], customers_clean!A:A, 0)), 1, 0)</f>
        <v>1</v>
      </c>
    </row>
    <row r="171" spans="1:5" x14ac:dyDescent="0.3">
      <c r="A171">
        <v>825977400</v>
      </c>
      <c r="B171">
        <v>638857</v>
      </c>
      <c r="C171" s="1">
        <v>44449</v>
      </c>
      <c r="D171" t="s">
        <v>3492</v>
      </c>
      <c r="E171">
        <f>IF(ISNUMBER(MATCH(marketing_events_raw[[#This Row],[customer_id]], customers_clean!A:A, 0)), 1, 0)</f>
        <v>1</v>
      </c>
    </row>
    <row r="172" spans="1:5" x14ac:dyDescent="0.3">
      <c r="A172">
        <v>236341984</v>
      </c>
      <c r="B172">
        <v>642895</v>
      </c>
      <c r="C172" s="1">
        <v>44573</v>
      </c>
      <c r="D172" t="s">
        <v>3491</v>
      </c>
      <c r="E172">
        <f>IF(ISNUMBER(MATCH(marketing_events_raw[[#This Row],[customer_id]], customers_clean!A:A, 0)), 1, 0)</f>
        <v>1</v>
      </c>
    </row>
    <row r="173" spans="1:5" x14ac:dyDescent="0.3">
      <c r="A173">
        <v>613722265</v>
      </c>
      <c r="B173">
        <v>389666</v>
      </c>
      <c r="C173" s="1">
        <v>45647</v>
      </c>
      <c r="D173" t="s">
        <v>3491</v>
      </c>
      <c r="E173">
        <f>IF(ISNUMBER(MATCH(marketing_events_raw[[#This Row],[customer_id]], customers_clean!A:A, 0)), 1, 0)</f>
        <v>1</v>
      </c>
    </row>
    <row r="174" spans="1:5" x14ac:dyDescent="0.3">
      <c r="A174">
        <v>825314595</v>
      </c>
      <c r="B174">
        <v>797883</v>
      </c>
      <c r="C174" s="1">
        <v>44837</v>
      </c>
      <c r="D174" t="s">
        <v>3491</v>
      </c>
      <c r="E174">
        <f>IF(ISNUMBER(MATCH(marketing_events_raw[[#This Row],[customer_id]], customers_clean!A:A, 0)), 1, 0)</f>
        <v>1</v>
      </c>
    </row>
    <row r="175" spans="1:5" x14ac:dyDescent="0.3">
      <c r="A175">
        <v>394042538</v>
      </c>
      <c r="B175">
        <v>895262</v>
      </c>
      <c r="C175" s="1">
        <v>44955</v>
      </c>
      <c r="D175" t="s">
        <v>3492</v>
      </c>
      <c r="E175">
        <f>IF(ISNUMBER(MATCH(marketing_events_raw[[#This Row],[customer_id]], customers_clean!A:A, 0)), 1, 0)</f>
        <v>1</v>
      </c>
    </row>
    <row r="176" spans="1:5" x14ac:dyDescent="0.3">
      <c r="A176">
        <v>148009656</v>
      </c>
      <c r="B176">
        <v>665892</v>
      </c>
      <c r="C176" s="1">
        <v>45019</v>
      </c>
      <c r="D176" t="s">
        <v>3492</v>
      </c>
      <c r="E176">
        <f>IF(ISNUMBER(MATCH(marketing_events_raw[[#This Row],[customer_id]], customers_clean!A:A, 0)), 1, 0)</f>
        <v>1</v>
      </c>
    </row>
    <row r="177" spans="1:5" x14ac:dyDescent="0.3">
      <c r="A177">
        <v>646642852</v>
      </c>
      <c r="B177">
        <v>806423</v>
      </c>
      <c r="C177" s="1">
        <v>45482</v>
      </c>
      <c r="D177" t="s">
        <v>3489</v>
      </c>
      <c r="E177">
        <f>IF(ISNUMBER(MATCH(marketing_events_raw[[#This Row],[customer_id]], customers_clean!A:A, 0)), 1, 0)</f>
        <v>1</v>
      </c>
    </row>
    <row r="178" spans="1:5" x14ac:dyDescent="0.3">
      <c r="A178">
        <v>212389230</v>
      </c>
      <c r="B178">
        <v>732789</v>
      </c>
      <c r="C178" s="1">
        <v>44538</v>
      </c>
      <c r="D178" t="s">
        <v>3492</v>
      </c>
      <c r="E178">
        <f>IF(ISNUMBER(MATCH(marketing_events_raw[[#This Row],[customer_id]], customers_clean!A:A, 0)), 1, 0)</f>
        <v>1</v>
      </c>
    </row>
    <row r="179" spans="1:5" x14ac:dyDescent="0.3">
      <c r="A179">
        <v>168602871</v>
      </c>
      <c r="B179">
        <v>948878</v>
      </c>
      <c r="C179" s="1">
        <v>45013</v>
      </c>
      <c r="D179" t="s">
        <v>3487</v>
      </c>
      <c r="E179">
        <f>IF(ISNUMBER(MATCH(marketing_events_raw[[#This Row],[customer_id]], customers_clean!A:A, 0)), 1, 0)</f>
        <v>1</v>
      </c>
    </row>
    <row r="180" spans="1:5" x14ac:dyDescent="0.3">
      <c r="A180">
        <v>155197049</v>
      </c>
      <c r="B180">
        <v>507135</v>
      </c>
      <c r="C180" s="1">
        <v>44591</v>
      </c>
      <c r="D180" t="s">
        <v>3488</v>
      </c>
      <c r="E180">
        <f>IF(ISNUMBER(MATCH(marketing_events_raw[[#This Row],[customer_id]], customers_clean!A:A, 0)), 1, 0)</f>
        <v>1</v>
      </c>
    </row>
    <row r="181" spans="1:5" x14ac:dyDescent="0.3">
      <c r="A181">
        <v>263621480</v>
      </c>
      <c r="B181">
        <v>738359</v>
      </c>
      <c r="C181" s="1">
        <v>44846</v>
      </c>
      <c r="D181" t="s">
        <v>3493</v>
      </c>
      <c r="E181">
        <f>IF(ISNUMBER(MATCH(marketing_events_raw[[#This Row],[customer_id]], customers_clean!A:A, 0)), 1, 0)</f>
        <v>1</v>
      </c>
    </row>
    <row r="182" spans="1:5" x14ac:dyDescent="0.3">
      <c r="A182">
        <v>951776628</v>
      </c>
      <c r="B182">
        <v>772741</v>
      </c>
      <c r="C182" s="1">
        <v>45042</v>
      </c>
      <c r="D182" t="s">
        <v>3488</v>
      </c>
      <c r="E182">
        <f>IF(ISNUMBER(MATCH(marketing_events_raw[[#This Row],[customer_id]], customers_clean!A:A, 0)), 1, 0)</f>
        <v>1</v>
      </c>
    </row>
    <row r="183" spans="1:5" x14ac:dyDescent="0.3">
      <c r="A183">
        <v>152849110</v>
      </c>
      <c r="B183">
        <v>557409</v>
      </c>
      <c r="C183" s="1">
        <v>44788</v>
      </c>
      <c r="D183" t="s">
        <v>3487</v>
      </c>
      <c r="E183">
        <f>IF(ISNUMBER(MATCH(marketing_events_raw[[#This Row],[customer_id]], customers_clean!A:A, 0)), 1, 0)</f>
        <v>1</v>
      </c>
    </row>
    <row r="184" spans="1:5" x14ac:dyDescent="0.3">
      <c r="A184">
        <v>675261633</v>
      </c>
      <c r="B184">
        <v>793384</v>
      </c>
      <c r="C184" s="1">
        <v>45291</v>
      </c>
      <c r="D184" t="s">
        <v>3490</v>
      </c>
      <c r="E184">
        <f>IF(ISNUMBER(MATCH(marketing_events_raw[[#This Row],[customer_id]], customers_clean!A:A, 0)), 1, 0)</f>
        <v>1</v>
      </c>
    </row>
    <row r="185" spans="1:5" x14ac:dyDescent="0.3">
      <c r="A185">
        <v>448213770</v>
      </c>
      <c r="B185">
        <v>340497</v>
      </c>
      <c r="C185" s="1">
        <v>45187</v>
      </c>
      <c r="D185" t="s">
        <v>3488</v>
      </c>
      <c r="E185">
        <f>IF(ISNUMBER(MATCH(marketing_events_raw[[#This Row],[customer_id]], customers_clean!A:A, 0)), 1, 0)</f>
        <v>1</v>
      </c>
    </row>
    <row r="186" spans="1:5" x14ac:dyDescent="0.3">
      <c r="A186">
        <v>933700785</v>
      </c>
      <c r="B186">
        <v>264951</v>
      </c>
      <c r="C186" s="1">
        <v>45475</v>
      </c>
      <c r="D186" t="s">
        <v>3491</v>
      </c>
      <c r="E186">
        <f>IF(ISNUMBER(MATCH(marketing_events_raw[[#This Row],[customer_id]], customers_clean!A:A, 0)), 1, 0)</f>
        <v>1</v>
      </c>
    </row>
    <row r="187" spans="1:5" x14ac:dyDescent="0.3">
      <c r="A187">
        <v>180152447</v>
      </c>
      <c r="B187">
        <v>753453</v>
      </c>
      <c r="C187" s="1">
        <v>44458</v>
      </c>
      <c r="D187" t="s">
        <v>3491</v>
      </c>
      <c r="E187">
        <f>IF(ISNUMBER(MATCH(marketing_events_raw[[#This Row],[customer_id]], customers_clean!A:A, 0)), 1, 0)</f>
        <v>1</v>
      </c>
    </row>
    <row r="188" spans="1:5" x14ac:dyDescent="0.3">
      <c r="A188">
        <v>785981564</v>
      </c>
      <c r="B188">
        <v>409531</v>
      </c>
      <c r="C188" s="1">
        <v>45278</v>
      </c>
      <c r="D188" t="s">
        <v>3488</v>
      </c>
      <c r="E188">
        <f>IF(ISNUMBER(MATCH(marketing_events_raw[[#This Row],[customer_id]], customers_clean!A:A, 0)), 1, 0)</f>
        <v>1</v>
      </c>
    </row>
    <row r="189" spans="1:5" x14ac:dyDescent="0.3">
      <c r="A189">
        <v>583542715</v>
      </c>
      <c r="B189">
        <v>584125</v>
      </c>
      <c r="C189" s="1">
        <v>45647</v>
      </c>
      <c r="D189" t="s">
        <v>3487</v>
      </c>
      <c r="E189">
        <f>IF(ISNUMBER(MATCH(marketing_events_raw[[#This Row],[customer_id]], customers_clean!A:A, 0)), 1, 0)</f>
        <v>1</v>
      </c>
    </row>
    <row r="190" spans="1:5" x14ac:dyDescent="0.3">
      <c r="A190">
        <v>677379805</v>
      </c>
      <c r="B190">
        <v>317264</v>
      </c>
      <c r="C190" s="1">
        <v>44491</v>
      </c>
      <c r="D190" t="s">
        <v>3488</v>
      </c>
      <c r="E190">
        <f>IF(ISNUMBER(MATCH(marketing_events_raw[[#This Row],[customer_id]], customers_clean!A:A, 0)), 1, 0)</f>
        <v>1</v>
      </c>
    </row>
    <row r="191" spans="1:5" x14ac:dyDescent="0.3">
      <c r="A191">
        <v>252604094</v>
      </c>
      <c r="B191">
        <v>396439</v>
      </c>
      <c r="C191" s="1">
        <v>44857</v>
      </c>
      <c r="D191" t="s">
        <v>3493</v>
      </c>
      <c r="E191">
        <f>IF(ISNUMBER(MATCH(marketing_events_raw[[#This Row],[customer_id]], customers_clean!A:A, 0)), 1, 0)</f>
        <v>1</v>
      </c>
    </row>
    <row r="192" spans="1:5" x14ac:dyDescent="0.3">
      <c r="A192">
        <v>424863979</v>
      </c>
      <c r="B192">
        <v>923975</v>
      </c>
      <c r="C192" s="1">
        <v>44928</v>
      </c>
      <c r="D192" t="s">
        <v>3492</v>
      </c>
      <c r="E192">
        <f>IF(ISNUMBER(MATCH(marketing_events_raw[[#This Row],[customer_id]], customers_clean!A:A, 0)), 1, 0)</f>
        <v>1</v>
      </c>
    </row>
    <row r="193" spans="1:5" x14ac:dyDescent="0.3">
      <c r="A193">
        <v>557791634</v>
      </c>
      <c r="B193">
        <v>731548</v>
      </c>
      <c r="C193" s="1">
        <v>45431</v>
      </c>
      <c r="D193" t="s">
        <v>3492</v>
      </c>
      <c r="E193">
        <f>IF(ISNUMBER(MATCH(marketing_events_raw[[#This Row],[customer_id]], customers_clean!A:A, 0)), 1, 0)</f>
        <v>1</v>
      </c>
    </row>
    <row r="194" spans="1:5" x14ac:dyDescent="0.3">
      <c r="A194">
        <v>382828526</v>
      </c>
      <c r="B194">
        <v>189374</v>
      </c>
      <c r="C194" s="1">
        <v>45225</v>
      </c>
      <c r="D194" t="s">
        <v>3487</v>
      </c>
      <c r="E194">
        <f>IF(ISNUMBER(MATCH(marketing_events_raw[[#This Row],[customer_id]], customers_clean!A:A, 0)), 1, 0)</f>
        <v>1</v>
      </c>
    </row>
    <row r="195" spans="1:5" x14ac:dyDescent="0.3">
      <c r="A195">
        <v>716870019</v>
      </c>
      <c r="B195">
        <v>695148</v>
      </c>
      <c r="C195" s="1">
        <v>44982</v>
      </c>
      <c r="D195" t="s">
        <v>3490</v>
      </c>
      <c r="E195">
        <f>IF(ISNUMBER(MATCH(marketing_events_raw[[#This Row],[customer_id]], customers_clean!A:A, 0)), 1, 0)</f>
        <v>1</v>
      </c>
    </row>
    <row r="196" spans="1:5" x14ac:dyDescent="0.3">
      <c r="A196">
        <v>917420930</v>
      </c>
      <c r="B196">
        <v>374258</v>
      </c>
      <c r="C196" s="1">
        <v>44856</v>
      </c>
      <c r="D196" t="s">
        <v>3488</v>
      </c>
      <c r="E196">
        <f>IF(ISNUMBER(MATCH(marketing_events_raw[[#This Row],[customer_id]], customers_clean!A:A, 0)), 1, 0)</f>
        <v>1</v>
      </c>
    </row>
    <row r="197" spans="1:5" x14ac:dyDescent="0.3">
      <c r="A197">
        <v>929091014</v>
      </c>
      <c r="B197">
        <v>745972</v>
      </c>
      <c r="C197" s="1">
        <v>45248</v>
      </c>
      <c r="D197" t="s">
        <v>3493</v>
      </c>
      <c r="E197">
        <f>IF(ISNUMBER(MATCH(marketing_events_raw[[#This Row],[customer_id]], customers_clean!A:A, 0)), 1, 0)</f>
        <v>1</v>
      </c>
    </row>
    <row r="198" spans="1:5" x14ac:dyDescent="0.3">
      <c r="A198">
        <v>558780845</v>
      </c>
      <c r="B198">
        <v>699121</v>
      </c>
      <c r="C198" s="1">
        <v>44992</v>
      </c>
      <c r="D198" t="s">
        <v>3488</v>
      </c>
      <c r="E198">
        <f>IF(ISNUMBER(MATCH(marketing_events_raw[[#This Row],[customer_id]], customers_clean!A:A, 0)), 1, 0)</f>
        <v>1</v>
      </c>
    </row>
    <row r="199" spans="1:5" x14ac:dyDescent="0.3">
      <c r="A199">
        <v>123245383</v>
      </c>
      <c r="B199">
        <v>424620</v>
      </c>
      <c r="C199" s="1">
        <v>44517</v>
      </c>
      <c r="D199" t="s">
        <v>3487</v>
      </c>
      <c r="E199">
        <f>IF(ISNUMBER(MATCH(marketing_events_raw[[#This Row],[customer_id]], customers_clean!A:A, 0)), 1, 0)</f>
        <v>1</v>
      </c>
    </row>
    <row r="200" spans="1:5" x14ac:dyDescent="0.3">
      <c r="A200">
        <v>333999677</v>
      </c>
      <c r="B200">
        <v>211579</v>
      </c>
      <c r="C200" s="1">
        <v>44657</v>
      </c>
      <c r="D200" t="s">
        <v>3491</v>
      </c>
      <c r="E200">
        <f>IF(ISNUMBER(MATCH(marketing_events_raw[[#This Row],[customer_id]], customers_clean!A:A, 0)), 1, 0)</f>
        <v>1</v>
      </c>
    </row>
    <row r="201" spans="1:5" x14ac:dyDescent="0.3">
      <c r="A201">
        <v>442843619</v>
      </c>
      <c r="B201">
        <v>517568</v>
      </c>
      <c r="C201" s="1">
        <v>45364</v>
      </c>
      <c r="D201" t="s">
        <v>3489</v>
      </c>
      <c r="E201">
        <f>IF(ISNUMBER(MATCH(marketing_events_raw[[#This Row],[customer_id]], customers_clean!A:A, 0)), 1, 0)</f>
        <v>1</v>
      </c>
    </row>
    <row r="202" spans="1:5" x14ac:dyDescent="0.3">
      <c r="A202">
        <v>914307019</v>
      </c>
      <c r="B202">
        <v>904092</v>
      </c>
      <c r="C202" s="1">
        <v>45403</v>
      </c>
      <c r="D202" t="s">
        <v>3491</v>
      </c>
      <c r="E202">
        <f>IF(ISNUMBER(MATCH(marketing_events_raw[[#This Row],[customer_id]], customers_clean!A:A, 0)), 1, 0)</f>
        <v>1</v>
      </c>
    </row>
    <row r="203" spans="1:5" x14ac:dyDescent="0.3">
      <c r="A203">
        <v>810715270</v>
      </c>
      <c r="B203">
        <v>989587</v>
      </c>
      <c r="C203" s="1">
        <v>44808</v>
      </c>
      <c r="D203" t="s">
        <v>3488</v>
      </c>
      <c r="E203">
        <f>IF(ISNUMBER(MATCH(marketing_events_raw[[#This Row],[customer_id]], customers_clean!A:A, 0)), 1, 0)</f>
        <v>1</v>
      </c>
    </row>
    <row r="204" spans="1:5" x14ac:dyDescent="0.3">
      <c r="A204">
        <v>227802344</v>
      </c>
      <c r="B204">
        <v>769883</v>
      </c>
      <c r="C204" s="1">
        <v>45109</v>
      </c>
      <c r="D204" t="s">
        <v>3491</v>
      </c>
      <c r="E204">
        <f>IF(ISNUMBER(MATCH(marketing_events_raw[[#This Row],[customer_id]], customers_clean!A:A, 0)), 1, 0)</f>
        <v>1</v>
      </c>
    </row>
    <row r="205" spans="1:5" x14ac:dyDescent="0.3">
      <c r="A205">
        <v>634959079</v>
      </c>
      <c r="B205">
        <v>835575</v>
      </c>
      <c r="C205" s="1">
        <v>45131</v>
      </c>
      <c r="D205" t="s">
        <v>3487</v>
      </c>
      <c r="E205">
        <f>IF(ISNUMBER(MATCH(marketing_events_raw[[#This Row],[customer_id]], customers_clean!A:A, 0)), 1, 0)</f>
        <v>1</v>
      </c>
    </row>
    <row r="206" spans="1:5" x14ac:dyDescent="0.3">
      <c r="A206">
        <v>858511058</v>
      </c>
      <c r="B206">
        <v>433193</v>
      </c>
      <c r="C206" s="1">
        <v>44710</v>
      </c>
      <c r="D206" t="s">
        <v>3491</v>
      </c>
      <c r="E206">
        <f>IF(ISNUMBER(MATCH(marketing_events_raw[[#This Row],[customer_id]], customers_clean!A:A, 0)), 1, 0)</f>
        <v>1</v>
      </c>
    </row>
    <row r="207" spans="1:5" x14ac:dyDescent="0.3">
      <c r="A207">
        <v>855163491</v>
      </c>
      <c r="B207">
        <v>542750</v>
      </c>
      <c r="C207" s="1">
        <v>44683</v>
      </c>
      <c r="D207" t="s">
        <v>3493</v>
      </c>
      <c r="E207">
        <f>IF(ISNUMBER(MATCH(marketing_events_raw[[#This Row],[customer_id]], customers_clean!A:A, 0)), 1, 0)</f>
        <v>1</v>
      </c>
    </row>
    <row r="208" spans="1:5" x14ac:dyDescent="0.3">
      <c r="A208">
        <v>571568348</v>
      </c>
      <c r="B208">
        <v>468292</v>
      </c>
      <c r="C208" s="1">
        <v>44860</v>
      </c>
      <c r="D208" t="s">
        <v>3490</v>
      </c>
      <c r="E208">
        <f>IF(ISNUMBER(MATCH(marketing_events_raw[[#This Row],[customer_id]], customers_clean!A:A, 0)), 1, 0)</f>
        <v>1</v>
      </c>
    </row>
    <row r="209" spans="1:5" x14ac:dyDescent="0.3">
      <c r="A209">
        <v>646581788</v>
      </c>
      <c r="B209">
        <v>948097</v>
      </c>
      <c r="C209" s="1">
        <v>45187</v>
      </c>
      <c r="D209" t="s">
        <v>3491</v>
      </c>
      <c r="E209">
        <f>IF(ISNUMBER(MATCH(marketing_events_raw[[#This Row],[customer_id]], customers_clean!A:A, 0)), 1, 0)</f>
        <v>1</v>
      </c>
    </row>
    <row r="210" spans="1:5" x14ac:dyDescent="0.3">
      <c r="A210">
        <v>931101079</v>
      </c>
      <c r="B210">
        <v>536646</v>
      </c>
      <c r="C210" s="1">
        <v>44808</v>
      </c>
      <c r="D210" t="s">
        <v>3493</v>
      </c>
      <c r="E210">
        <f>IF(ISNUMBER(MATCH(marketing_events_raw[[#This Row],[customer_id]], customers_clean!A:A, 0)), 1, 0)</f>
        <v>1</v>
      </c>
    </row>
    <row r="211" spans="1:5" x14ac:dyDescent="0.3">
      <c r="A211">
        <v>140529314</v>
      </c>
      <c r="B211">
        <v>353080</v>
      </c>
      <c r="C211" s="1">
        <v>44661</v>
      </c>
      <c r="D211" t="s">
        <v>3491</v>
      </c>
      <c r="E211">
        <f>IF(ISNUMBER(MATCH(marketing_events_raw[[#This Row],[customer_id]], customers_clean!A:A, 0)), 1, 0)</f>
        <v>1</v>
      </c>
    </row>
    <row r="212" spans="1:5" x14ac:dyDescent="0.3">
      <c r="A212">
        <v>991062231</v>
      </c>
      <c r="B212">
        <v>826596</v>
      </c>
      <c r="C212" s="1">
        <v>44563</v>
      </c>
      <c r="D212" t="s">
        <v>3492</v>
      </c>
      <c r="E212">
        <f>IF(ISNUMBER(MATCH(marketing_events_raw[[#This Row],[customer_id]], customers_clean!A:A, 0)), 1, 0)</f>
        <v>1</v>
      </c>
    </row>
    <row r="213" spans="1:5" x14ac:dyDescent="0.3">
      <c r="A213">
        <v>700447798</v>
      </c>
      <c r="B213">
        <v>843167</v>
      </c>
      <c r="C213" s="1">
        <v>45136</v>
      </c>
      <c r="D213" t="s">
        <v>3493</v>
      </c>
      <c r="E213">
        <f>IF(ISNUMBER(MATCH(marketing_events_raw[[#This Row],[customer_id]], customers_clean!A:A, 0)), 1, 0)</f>
        <v>1</v>
      </c>
    </row>
    <row r="214" spans="1:5" x14ac:dyDescent="0.3">
      <c r="A214">
        <v>810697685</v>
      </c>
      <c r="B214">
        <v>583214</v>
      </c>
      <c r="C214" s="1">
        <v>45005</v>
      </c>
      <c r="D214" t="s">
        <v>3493</v>
      </c>
      <c r="E214">
        <f>IF(ISNUMBER(MATCH(marketing_events_raw[[#This Row],[customer_id]], customers_clean!A:A, 0)), 1, 0)</f>
        <v>1</v>
      </c>
    </row>
    <row r="215" spans="1:5" x14ac:dyDescent="0.3">
      <c r="A215">
        <v>275747282</v>
      </c>
      <c r="B215">
        <v>186243</v>
      </c>
      <c r="C215" s="1">
        <v>44846</v>
      </c>
      <c r="D215" t="s">
        <v>3489</v>
      </c>
      <c r="E215">
        <f>IF(ISNUMBER(MATCH(marketing_events_raw[[#This Row],[customer_id]], customers_clean!A:A, 0)), 1, 0)</f>
        <v>1</v>
      </c>
    </row>
    <row r="216" spans="1:5" x14ac:dyDescent="0.3">
      <c r="A216">
        <v>287958875</v>
      </c>
      <c r="B216">
        <v>989545</v>
      </c>
      <c r="C216" s="1">
        <v>44996</v>
      </c>
      <c r="D216" t="s">
        <v>3490</v>
      </c>
      <c r="E216">
        <f>IF(ISNUMBER(MATCH(marketing_events_raw[[#This Row],[customer_id]], customers_clean!A:A, 0)), 1, 0)</f>
        <v>1</v>
      </c>
    </row>
    <row r="217" spans="1:5" x14ac:dyDescent="0.3">
      <c r="A217">
        <v>503635940</v>
      </c>
      <c r="B217">
        <v>356622</v>
      </c>
      <c r="C217" s="1">
        <v>45145</v>
      </c>
      <c r="D217" t="s">
        <v>3490</v>
      </c>
      <c r="E217">
        <f>IF(ISNUMBER(MATCH(marketing_events_raw[[#This Row],[customer_id]], customers_clean!A:A, 0)), 1, 0)</f>
        <v>1</v>
      </c>
    </row>
    <row r="218" spans="1:5" x14ac:dyDescent="0.3">
      <c r="A218">
        <v>690547490</v>
      </c>
      <c r="B218">
        <v>749758</v>
      </c>
      <c r="C218" s="1">
        <v>45092</v>
      </c>
      <c r="D218" t="s">
        <v>3493</v>
      </c>
      <c r="E218">
        <f>IF(ISNUMBER(MATCH(marketing_events_raw[[#This Row],[customer_id]], customers_clean!A:A, 0)), 1, 0)</f>
        <v>1</v>
      </c>
    </row>
    <row r="219" spans="1:5" x14ac:dyDescent="0.3">
      <c r="A219">
        <v>893351495</v>
      </c>
      <c r="B219">
        <v>820420</v>
      </c>
      <c r="C219" s="1">
        <v>44902</v>
      </c>
      <c r="D219" t="s">
        <v>3491</v>
      </c>
      <c r="E219">
        <f>IF(ISNUMBER(MATCH(marketing_events_raw[[#This Row],[customer_id]], customers_clean!A:A, 0)), 1, 0)</f>
        <v>1</v>
      </c>
    </row>
    <row r="220" spans="1:5" x14ac:dyDescent="0.3">
      <c r="A220">
        <v>365685514</v>
      </c>
      <c r="B220">
        <v>687997</v>
      </c>
      <c r="C220" s="1">
        <v>45576</v>
      </c>
      <c r="D220" t="s">
        <v>3487</v>
      </c>
      <c r="E220">
        <f>IF(ISNUMBER(MATCH(marketing_events_raw[[#This Row],[customer_id]], customers_clean!A:A, 0)), 1, 0)</f>
        <v>1</v>
      </c>
    </row>
    <row r="221" spans="1:5" x14ac:dyDescent="0.3">
      <c r="A221">
        <v>955876358</v>
      </c>
      <c r="B221">
        <v>661762</v>
      </c>
      <c r="C221" s="1">
        <v>45178</v>
      </c>
      <c r="D221" t="s">
        <v>3490</v>
      </c>
      <c r="E221">
        <f>IF(ISNUMBER(MATCH(marketing_events_raw[[#This Row],[customer_id]], customers_clean!A:A, 0)), 1, 0)</f>
        <v>1</v>
      </c>
    </row>
    <row r="222" spans="1:5" x14ac:dyDescent="0.3">
      <c r="A222">
        <v>600969027</v>
      </c>
      <c r="B222">
        <v>801474</v>
      </c>
      <c r="C222" s="1">
        <v>44806</v>
      </c>
      <c r="D222" t="s">
        <v>3492</v>
      </c>
      <c r="E222">
        <f>IF(ISNUMBER(MATCH(marketing_events_raw[[#This Row],[customer_id]], customers_clean!A:A, 0)), 1, 0)</f>
        <v>1</v>
      </c>
    </row>
    <row r="223" spans="1:5" x14ac:dyDescent="0.3">
      <c r="A223">
        <v>413142798</v>
      </c>
      <c r="B223">
        <v>184365</v>
      </c>
      <c r="C223" s="1">
        <v>45169</v>
      </c>
      <c r="D223" t="s">
        <v>3488</v>
      </c>
      <c r="E223">
        <f>IF(ISNUMBER(MATCH(marketing_events_raw[[#This Row],[customer_id]], customers_clean!A:A, 0)), 1, 0)</f>
        <v>1</v>
      </c>
    </row>
    <row r="224" spans="1:5" x14ac:dyDescent="0.3">
      <c r="A224">
        <v>605670877</v>
      </c>
      <c r="B224">
        <v>815234</v>
      </c>
      <c r="C224" s="1">
        <v>44903</v>
      </c>
      <c r="D224" t="s">
        <v>3487</v>
      </c>
      <c r="E224">
        <f>IF(ISNUMBER(MATCH(marketing_events_raw[[#This Row],[customer_id]], customers_clean!A:A, 0)), 1, 0)</f>
        <v>1</v>
      </c>
    </row>
    <row r="225" spans="1:5" x14ac:dyDescent="0.3">
      <c r="A225">
        <v>289715127</v>
      </c>
      <c r="B225">
        <v>720859</v>
      </c>
      <c r="C225" s="1">
        <v>44632</v>
      </c>
      <c r="D225" t="s">
        <v>3492</v>
      </c>
      <c r="E225">
        <f>IF(ISNUMBER(MATCH(marketing_events_raw[[#This Row],[customer_id]], customers_clean!A:A, 0)), 1, 0)</f>
        <v>1</v>
      </c>
    </row>
    <row r="226" spans="1:5" x14ac:dyDescent="0.3">
      <c r="A226">
        <v>897801414</v>
      </c>
      <c r="B226">
        <v>229827</v>
      </c>
      <c r="C226" s="1">
        <v>45554</v>
      </c>
      <c r="D226" t="s">
        <v>3492</v>
      </c>
      <c r="E226">
        <f>IF(ISNUMBER(MATCH(marketing_events_raw[[#This Row],[customer_id]], customers_clean!A:A, 0)), 1, 0)</f>
        <v>1</v>
      </c>
    </row>
    <row r="227" spans="1:5" x14ac:dyDescent="0.3">
      <c r="A227">
        <v>684941638</v>
      </c>
      <c r="B227">
        <v>890075</v>
      </c>
      <c r="C227" s="1">
        <v>44962</v>
      </c>
      <c r="D227" t="s">
        <v>3493</v>
      </c>
      <c r="E227">
        <f>IF(ISNUMBER(MATCH(marketing_events_raw[[#This Row],[customer_id]], customers_clean!A:A, 0)), 1, 0)</f>
        <v>1</v>
      </c>
    </row>
    <row r="228" spans="1:5" x14ac:dyDescent="0.3">
      <c r="A228">
        <v>188402322</v>
      </c>
      <c r="B228">
        <v>825318</v>
      </c>
      <c r="C228" s="1">
        <v>45379</v>
      </c>
      <c r="D228" t="s">
        <v>3492</v>
      </c>
      <c r="E228">
        <f>IF(ISNUMBER(MATCH(marketing_events_raw[[#This Row],[customer_id]], customers_clean!A:A, 0)), 1, 0)</f>
        <v>1</v>
      </c>
    </row>
    <row r="229" spans="1:5" x14ac:dyDescent="0.3">
      <c r="A229">
        <v>895345985</v>
      </c>
      <c r="B229">
        <v>353080</v>
      </c>
      <c r="C229" s="1">
        <v>45630</v>
      </c>
      <c r="D229" t="s">
        <v>3490</v>
      </c>
      <c r="E229">
        <f>IF(ISNUMBER(MATCH(marketing_events_raw[[#This Row],[customer_id]], customers_clean!A:A, 0)), 1, 0)</f>
        <v>1</v>
      </c>
    </row>
    <row r="230" spans="1:5" x14ac:dyDescent="0.3">
      <c r="A230">
        <v>556012552</v>
      </c>
      <c r="B230">
        <v>974991</v>
      </c>
      <c r="C230" s="1">
        <v>44512</v>
      </c>
      <c r="D230" t="s">
        <v>3487</v>
      </c>
      <c r="E230">
        <f>IF(ISNUMBER(MATCH(marketing_events_raw[[#This Row],[customer_id]], customers_clean!A:A, 0)), 1, 0)</f>
        <v>1</v>
      </c>
    </row>
    <row r="231" spans="1:5" x14ac:dyDescent="0.3">
      <c r="A231">
        <v>103153993</v>
      </c>
      <c r="B231">
        <v>425903</v>
      </c>
      <c r="C231" s="1">
        <v>45071</v>
      </c>
      <c r="D231" t="s">
        <v>3490</v>
      </c>
      <c r="E231">
        <f>IF(ISNUMBER(MATCH(marketing_events_raw[[#This Row],[customer_id]], customers_clean!A:A, 0)), 1, 0)</f>
        <v>1</v>
      </c>
    </row>
    <row r="232" spans="1:5" x14ac:dyDescent="0.3">
      <c r="A232">
        <v>273475833</v>
      </c>
      <c r="B232">
        <v>272655</v>
      </c>
      <c r="C232" s="1">
        <v>44721</v>
      </c>
      <c r="D232" t="s">
        <v>3490</v>
      </c>
      <c r="E232">
        <f>IF(ISNUMBER(MATCH(marketing_events_raw[[#This Row],[customer_id]], customers_clean!A:A, 0)), 1, 0)</f>
        <v>1</v>
      </c>
    </row>
    <row r="233" spans="1:5" x14ac:dyDescent="0.3">
      <c r="A233">
        <v>651495576</v>
      </c>
      <c r="B233">
        <v>436208</v>
      </c>
      <c r="C233" s="1">
        <v>44574</v>
      </c>
      <c r="D233" t="s">
        <v>3487</v>
      </c>
      <c r="E233">
        <f>IF(ISNUMBER(MATCH(marketing_events_raw[[#This Row],[customer_id]], customers_clean!A:A, 0)), 1, 0)</f>
        <v>1</v>
      </c>
    </row>
    <row r="234" spans="1:5" x14ac:dyDescent="0.3">
      <c r="A234">
        <v>706174573</v>
      </c>
      <c r="B234">
        <v>177449</v>
      </c>
      <c r="C234" s="1">
        <v>45512</v>
      </c>
      <c r="D234" t="s">
        <v>3490</v>
      </c>
      <c r="E234">
        <f>IF(ISNUMBER(MATCH(marketing_events_raw[[#This Row],[customer_id]], customers_clean!A:A, 0)), 1, 0)</f>
        <v>1</v>
      </c>
    </row>
    <row r="235" spans="1:5" x14ac:dyDescent="0.3">
      <c r="A235">
        <v>793133016</v>
      </c>
      <c r="B235">
        <v>421709</v>
      </c>
      <c r="C235" s="1">
        <v>44969</v>
      </c>
      <c r="D235" t="s">
        <v>3490</v>
      </c>
      <c r="E235">
        <f>IF(ISNUMBER(MATCH(marketing_events_raw[[#This Row],[customer_id]], customers_clean!A:A, 0)), 1, 0)</f>
        <v>1</v>
      </c>
    </row>
    <row r="236" spans="1:5" x14ac:dyDescent="0.3">
      <c r="A236">
        <v>344734296</v>
      </c>
      <c r="B236">
        <v>584106</v>
      </c>
      <c r="C236" s="1">
        <v>44996</v>
      </c>
      <c r="D236" t="s">
        <v>3488</v>
      </c>
      <c r="E236">
        <f>IF(ISNUMBER(MATCH(marketing_events_raw[[#This Row],[customer_id]], customers_clean!A:A, 0)), 1, 0)</f>
        <v>1</v>
      </c>
    </row>
    <row r="237" spans="1:5" x14ac:dyDescent="0.3">
      <c r="A237">
        <v>393622660</v>
      </c>
      <c r="B237">
        <v>862400</v>
      </c>
      <c r="C237" s="1">
        <v>45364</v>
      </c>
      <c r="D237" t="s">
        <v>3487</v>
      </c>
      <c r="E237">
        <f>IF(ISNUMBER(MATCH(marketing_events_raw[[#This Row],[customer_id]], customers_clean!A:A, 0)), 1, 0)</f>
        <v>1</v>
      </c>
    </row>
    <row r="238" spans="1:5" x14ac:dyDescent="0.3">
      <c r="A238">
        <v>850599733</v>
      </c>
      <c r="B238">
        <v>490532</v>
      </c>
      <c r="C238" s="1">
        <v>44501</v>
      </c>
      <c r="D238" t="s">
        <v>3493</v>
      </c>
      <c r="E238">
        <f>IF(ISNUMBER(MATCH(marketing_events_raw[[#This Row],[customer_id]], customers_clean!A:A, 0)), 1, 0)</f>
        <v>1</v>
      </c>
    </row>
    <row r="239" spans="1:5" x14ac:dyDescent="0.3">
      <c r="A239">
        <v>734365286</v>
      </c>
      <c r="B239">
        <v>528497</v>
      </c>
      <c r="C239" s="1">
        <v>44904</v>
      </c>
      <c r="D239" t="s">
        <v>3488</v>
      </c>
      <c r="E239">
        <f>IF(ISNUMBER(MATCH(marketing_events_raw[[#This Row],[customer_id]], customers_clean!A:A, 0)), 1, 0)</f>
        <v>1</v>
      </c>
    </row>
    <row r="240" spans="1:5" x14ac:dyDescent="0.3">
      <c r="A240">
        <v>703928990</v>
      </c>
      <c r="B240">
        <v>192296</v>
      </c>
      <c r="C240" s="1">
        <v>44798</v>
      </c>
      <c r="D240" t="s">
        <v>3493</v>
      </c>
      <c r="E240">
        <f>IF(ISNUMBER(MATCH(marketing_events_raw[[#This Row],[customer_id]], customers_clean!A:A, 0)), 1, 0)</f>
        <v>1</v>
      </c>
    </row>
    <row r="241" spans="1:5" x14ac:dyDescent="0.3">
      <c r="A241">
        <v>622754862</v>
      </c>
      <c r="B241">
        <v>926952</v>
      </c>
      <c r="C241" s="1">
        <v>45303</v>
      </c>
      <c r="D241" t="s">
        <v>3492</v>
      </c>
      <c r="E241">
        <f>IF(ISNUMBER(MATCH(marketing_events_raw[[#This Row],[customer_id]], customers_clean!A:A, 0)), 1, 0)</f>
        <v>1</v>
      </c>
    </row>
    <row r="242" spans="1:5" x14ac:dyDescent="0.3">
      <c r="A242">
        <v>127735234</v>
      </c>
      <c r="B242">
        <v>292811</v>
      </c>
      <c r="C242" s="1">
        <v>44645</v>
      </c>
      <c r="D242" t="s">
        <v>3491</v>
      </c>
      <c r="E242">
        <f>IF(ISNUMBER(MATCH(marketing_events_raw[[#This Row],[customer_id]], customers_clean!A:A, 0)), 1, 0)</f>
        <v>1</v>
      </c>
    </row>
    <row r="243" spans="1:5" x14ac:dyDescent="0.3">
      <c r="A243">
        <v>970122687</v>
      </c>
      <c r="B243">
        <v>883159</v>
      </c>
      <c r="C243" s="1">
        <v>44638</v>
      </c>
      <c r="D243" t="s">
        <v>3491</v>
      </c>
      <c r="E243">
        <f>IF(ISNUMBER(MATCH(marketing_events_raw[[#This Row],[customer_id]], customers_clean!A:A, 0)), 1, 0)</f>
        <v>1</v>
      </c>
    </row>
    <row r="244" spans="1:5" x14ac:dyDescent="0.3">
      <c r="A244">
        <v>534938557</v>
      </c>
      <c r="B244">
        <v>623460</v>
      </c>
      <c r="C244" s="1">
        <v>44973</v>
      </c>
      <c r="D244" t="s">
        <v>3493</v>
      </c>
      <c r="E244">
        <f>IF(ISNUMBER(MATCH(marketing_events_raw[[#This Row],[customer_id]], customers_clean!A:A, 0)), 1, 0)</f>
        <v>1</v>
      </c>
    </row>
    <row r="245" spans="1:5" x14ac:dyDescent="0.3">
      <c r="A245">
        <v>783889701</v>
      </c>
      <c r="B245">
        <v>395548</v>
      </c>
      <c r="C245" s="1">
        <v>44876</v>
      </c>
      <c r="D245" t="s">
        <v>3489</v>
      </c>
      <c r="E245">
        <f>IF(ISNUMBER(MATCH(marketing_events_raw[[#This Row],[customer_id]], customers_clean!A:A, 0)), 1, 0)</f>
        <v>1</v>
      </c>
    </row>
    <row r="246" spans="1:5" x14ac:dyDescent="0.3">
      <c r="A246">
        <v>927479704</v>
      </c>
      <c r="B246">
        <v>403915</v>
      </c>
      <c r="C246" s="1">
        <v>44440</v>
      </c>
      <c r="D246" t="s">
        <v>3488</v>
      </c>
      <c r="E246">
        <f>IF(ISNUMBER(MATCH(marketing_events_raw[[#This Row],[customer_id]], customers_clean!A:A, 0)), 1, 0)</f>
        <v>1</v>
      </c>
    </row>
    <row r="247" spans="1:5" x14ac:dyDescent="0.3">
      <c r="A247">
        <v>262739158</v>
      </c>
      <c r="B247">
        <v>781571</v>
      </c>
      <c r="C247" s="1">
        <v>45251</v>
      </c>
      <c r="D247" t="s">
        <v>3488</v>
      </c>
      <c r="E247">
        <f>IF(ISNUMBER(MATCH(marketing_events_raw[[#This Row],[customer_id]], customers_clean!A:A, 0)), 1, 0)</f>
        <v>1</v>
      </c>
    </row>
    <row r="248" spans="1:5" x14ac:dyDescent="0.3">
      <c r="A248">
        <v>781197814</v>
      </c>
      <c r="B248">
        <v>990247</v>
      </c>
      <c r="C248" s="1">
        <v>45094</v>
      </c>
      <c r="D248" t="s">
        <v>3493</v>
      </c>
      <c r="E248">
        <f>IF(ISNUMBER(MATCH(marketing_events_raw[[#This Row],[customer_id]], customers_clean!A:A, 0)), 1, 0)</f>
        <v>1</v>
      </c>
    </row>
    <row r="249" spans="1:5" x14ac:dyDescent="0.3">
      <c r="A249">
        <v>131750706</v>
      </c>
      <c r="B249">
        <v>859181</v>
      </c>
      <c r="C249" s="1">
        <v>45559</v>
      </c>
      <c r="D249" t="s">
        <v>3493</v>
      </c>
      <c r="E249">
        <f>IF(ISNUMBER(MATCH(marketing_events_raw[[#This Row],[customer_id]], customers_clean!A:A, 0)), 1, 0)</f>
        <v>1</v>
      </c>
    </row>
    <row r="250" spans="1:5" x14ac:dyDescent="0.3">
      <c r="A250">
        <v>793432826</v>
      </c>
      <c r="B250">
        <v>975522</v>
      </c>
      <c r="C250" s="1">
        <v>45580</v>
      </c>
      <c r="D250" t="s">
        <v>3487</v>
      </c>
      <c r="E250">
        <f>IF(ISNUMBER(MATCH(marketing_events_raw[[#This Row],[customer_id]], customers_clean!A:A, 0)), 1, 0)</f>
        <v>1</v>
      </c>
    </row>
    <row r="251" spans="1:5" x14ac:dyDescent="0.3">
      <c r="A251">
        <v>859221556</v>
      </c>
      <c r="B251">
        <v>128142</v>
      </c>
      <c r="C251" s="1">
        <v>44765</v>
      </c>
      <c r="D251" t="s">
        <v>3490</v>
      </c>
      <c r="E251">
        <f>IF(ISNUMBER(MATCH(marketing_events_raw[[#This Row],[customer_id]], customers_clean!A:A, 0)), 1, 0)</f>
        <v>1</v>
      </c>
    </row>
    <row r="252" spans="1:5" x14ac:dyDescent="0.3">
      <c r="A252">
        <v>698965667</v>
      </c>
      <c r="B252">
        <v>178898</v>
      </c>
      <c r="C252" s="1">
        <v>44768</v>
      </c>
      <c r="D252" t="s">
        <v>3487</v>
      </c>
      <c r="E252">
        <f>IF(ISNUMBER(MATCH(marketing_events_raw[[#This Row],[customer_id]], customers_clean!A:A, 0)), 1, 0)</f>
        <v>1</v>
      </c>
    </row>
    <row r="253" spans="1:5" x14ac:dyDescent="0.3">
      <c r="A253">
        <v>504920475</v>
      </c>
      <c r="B253">
        <v>651033</v>
      </c>
      <c r="C253" s="1">
        <v>45308</v>
      </c>
      <c r="D253" t="s">
        <v>3487</v>
      </c>
      <c r="E253">
        <f>IF(ISNUMBER(MATCH(marketing_events_raw[[#This Row],[customer_id]], customers_clean!A:A, 0)), 1, 0)</f>
        <v>1</v>
      </c>
    </row>
    <row r="254" spans="1:5" x14ac:dyDescent="0.3">
      <c r="A254">
        <v>232192956</v>
      </c>
      <c r="B254">
        <v>963617</v>
      </c>
      <c r="C254" s="1">
        <v>45610</v>
      </c>
      <c r="D254" t="s">
        <v>3493</v>
      </c>
      <c r="E254">
        <f>IF(ISNUMBER(MATCH(marketing_events_raw[[#This Row],[customer_id]], customers_clean!A:A, 0)), 1, 0)</f>
        <v>1</v>
      </c>
    </row>
    <row r="255" spans="1:5" x14ac:dyDescent="0.3">
      <c r="A255">
        <v>505395437</v>
      </c>
      <c r="B255">
        <v>157706</v>
      </c>
      <c r="C255" s="1">
        <v>45232</v>
      </c>
      <c r="D255" t="s">
        <v>3487</v>
      </c>
      <c r="E255">
        <f>IF(ISNUMBER(MATCH(marketing_events_raw[[#This Row],[customer_id]], customers_clean!A:A, 0)), 1, 0)</f>
        <v>1</v>
      </c>
    </row>
    <row r="256" spans="1:5" x14ac:dyDescent="0.3">
      <c r="A256">
        <v>567622490</v>
      </c>
      <c r="B256">
        <v>522317</v>
      </c>
      <c r="C256" s="1">
        <v>44541</v>
      </c>
      <c r="D256" t="s">
        <v>3490</v>
      </c>
      <c r="E256">
        <f>IF(ISNUMBER(MATCH(marketing_events_raw[[#This Row],[customer_id]], customers_clean!A:A, 0)), 1, 0)</f>
        <v>1</v>
      </c>
    </row>
    <row r="257" spans="1:5" x14ac:dyDescent="0.3">
      <c r="A257">
        <v>249840510</v>
      </c>
      <c r="B257">
        <v>723948</v>
      </c>
      <c r="C257" s="1">
        <v>45023</v>
      </c>
      <c r="D257" t="s">
        <v>3493</v>
      </c>
      <c r="E257">
        <f>IF(ISNUMBER(MATCH(marketing_events_raw[[#This Row],[customer_id]], customers_clean!A:A, 0)), 1, 0)</f>
        <v>1</v>
      </c>
    </row>
    <row r="258" spans="1:5" x14ac:dyDescent="0.3">
      <c r="A258">
        <v>523222120</v>
      </c>
      <c r="B258">
        <v>688730</v>
      </c>
      <c r="C258" s="1">
        <v>44874</v>
      </c>
      <c r="D258" t="s">
        <v>3492</v>
      </c>
      <c r="E258">
        <f>IF(ISNUMBER(MATCH(marketing_events_raw[[#This Row],[customer_id]], customers_clean!A:A, 0)), 1, 0)</f>
        <v>1</v>
      </c>
    </row>
    <row r="259" spans="1:5" x14ac:dyDescent="0.3">
      <c r="A259">
        <v>286719491</v>
      </c>
      <c r="B259">
        <v>858711</v>
      </c>
      <c r="C259" s="1">
        <v>44447</v>
      </c>
      <c r="D259" t="s">
        <v>3489</v>
      </c>
      <c r="E259">
        <f>IF(ISNUMBER(MATCH(marketing_events_raw[[#This Row],[customer_id]], customers_clean!A:A, 0)), 1, 0)</f>
        <v>1</v>
      </c>
    </row>
    <row r="260" spans="1:5" x14ac:dyDescent="0.3">
      <c r="A260">
        <v>951943075</v>
      </c>
      <c r="B260">
        <v>160423</v>
      </c>
      <c r="C260" s="1">
        <v>44644</v>
      </c>
      <c r="D260" t="s">
        <v>3489</v>
      </c>
      <c r="E260">
        <f>IF(ISNUMBER(MATCH(marketing_events_raw[[#This Row],[customer_id]], customers_clean!A:A, 0)), 1, 0)</f>
        <v>1</v>
      </c>
    </row>
    <row r="261" spans="1:5" x14ac:dyDescent="0.3">
      <c r="A261">
        <v>830197450</v>
      </c>
      <c r="B261">
        <v>901968</v>
      </c>
      <c r="C261" s="1">
        <v>44832</v>
      </c>
      <c r="D261" t="s">
        <v>3492</v>
      </c>
      <c r="E261">
        <f>IF(ISNUMBER(MATCH(marketing_events_raw[[#This Row],[customer_id]], customers_clean!A:A, 0)), 1, 0)</f>
        <v>1</v>
      </c>
    </row>
    <row r="262" spans="1:5" x14ac:dyDescent="0.3">
      <c r="A262">
        <v>758975281</v>
      </c>
      <c r="B262">
        <v>513927</v>
      </c>
      <c r="C262" s="1">
        <v>45587</v>
      </c>
      <c r="D262" t="s">
        <v>3491</v>
      </c>
      <c r="E262">
        <f>IF(ISNUMBER(MATCH(marketing_events_raw[[#This Row],[customer_id]], customers_clean!A:A, 0)), 1, 0)</f>
        <v>1</v>
      </c>
    </row>
    <row r="263" spans="1:5" x14ac:dyDescent="0.3">
      <c r="A263">
        <v>142539324</v>
      </c>
      <c r="B263">
        <v>715732</v>
      </c>
      <c r="C263" s="1">
        <v>44530</v>
      </c>
      <c r="D263" t="s">
        <v>3489</v>
      </c>
      <c r="E263">
        <f>IF(ISNUMBER(MATCH(marketing_events_raw[[#This Row],[customer_id]], customers_clean!A:A, 0)), 1, 0)</f>
        <v>1</v>
      </c>
    </row>
    <row r="264" spans="1:5" x14ac:dyDescent="0.3">
      <c r="A264">
        <v>878675451</v>
      </c>
      <c r="B264">
        <v>445200</v>
      </c>
      <c r="C264" s="1">
        <v>45278</v>
      </c>
      <c r="D264" t="s">
        <v>3487</v>
      </c>
      <c r="E264">
        <f>IF(ISNUMBER(MATCH(marketing_events_raw[[#This Row],[customer_id]], customers_clean!A:A, 0)), 1, 0)</f>
        <v>1</v>
      </c>
    </row>
    <row r="265" spans="1:5" x14ac:dyDescent="0.3">
      <c r="A265">
        <v>694559557</v>
      </c>
      <c r="B265">
        <v>268546</v>
      </c>
      <c r="C265" s="1">
        <v>44834</v>
      </c>
      <c r="D265" t="s">
        <v>3487</v>
      </c>
      <c r="E265">
        <f>IF(ISNUMBER(MATCH(marketing_events_raw[[#This Row],[customer_id]], customers_clean!A:A, 0)), 1, 0)</f>
        <v>1</v>
      </c>
    </row>
    <row r="266" spans="1:5" x14ac:dyDescent="0.3">
      <c r="A266">
        <v>624224538</v>
      </c>
      <c r="B266">
        <v>839485</v>
      </c>
      <c r="C266" s="1">
        <v>45115</v>
      </c>
      <c r="D266" t="s">
        <v>3491</v>
      </c>
      <c r="E266">
        <f>IF(ISNUMBER(MATCH(marketing_events_raw[[#This Row],[customer_id]], customers_clean!A:A, 0)), 1, 0)</f>
        <v>1</v>
      </c>
    </row>
    <row r="267" spans="1:5" x14ac:dyDescent="0.3">
      <c r="A267">
        <v>894965590</v>
      </c>
      <c r="B267">
        <v>688933</v>
      </c>
      <c r="C267" s="1">
        <v>44415</v>
      </c>
      <c r="D267" t="s">
        <v>3490</v>
      </c>
      <c r="E267">
        <f>IF(ISNUMBER(MATCH(marketing_events_raw[[#This Row],[customer_id]], customers_clean!A:A, 0)), 1, 0)</f>
        <v>1</v>
      </c>
    </row>
    <row r="268" spans="1:5" x14ac:dyDescent="0.3">
      <c r="A268">
        <v>609332633</v>
      </c>
      <c r="B268">
        <v>901909</v>
      </c>
      <c r="C268" s="1">
        <v>45308</v>
      </c>
      <c r="D268" t="s">
        <v>3491</v>
      </c>
      <c r="E268">
        <f>IF(ISNUMBER(MATCH(marketing_events_raw[[#This Row],[customer_id]], customers_clean!A:A, 0)), 1, 0)</f>
        <v>1</v>
      </c>
    </row>
    <row r="269" spans="1:5" x14ac:dyDescent="0.3">
      <c r="A269">
        <v>177488529</v>
      </c>
      <c r="B269">
        <v>907503</v>
      </c>
      <c r="C269" s="1">
        <v>45052</v>
      </c>
      <c r="D269" t="s">
        <v>3489</v>
      </c>
      <c r="E269">
        <f>IF(ISNUMBER(MATCH(marketing_events_raw[[#This Row],[customer_id]], customers_clean!A:A, 0)), 1, 0)</f>
        <v>1</v>
      </c>
    </row>
    <row r="270" spans="1:5" x14ac:dyDescent="0.3">
      <c r="A270">
        <v>782539782</v>
      </c>
      <c r="B270">
        <v>369670</v>
      </c>
      <c r="C270" s="1">
        <v>45005</v>
      </c>
      <c r="D270" t="s">
        <v>3492</v>
      </c>
      <c r="E270">
        <f>IF(ISNUMBER(MATCH(marketing_events_raw[[#This Row],[customer_id]], customers_clean!A:A, 0)), 1, 0)</f>
        <v>1</v>
      </c>
    </row>
    <row r="271" spans="1:5" x14ac:dyDescent="0.3">
      <c r="A271">
        <v>974296933</v>
      </c>
      <c r="B271">
        <v>403936</v>
      </c>
      <c r="C271" s="1">
        <v>45208</v>
      </c>
      <c r="D271" t="s">
        <v>3490</v>
      </c>
      <c r="E271">
        <f>IF(ISNUMBER(MATCH(marketing_events_raw[[#This Row],[customer_id]], customers_clean!A:A, 0)), 1, 0)</f>
        <v>1</v>
      </c>
    </row>
    <row r="272" spans="1:5" x14ac:dyDescent="0.3">
      <c r="A272">
        <v>394578725</v>
      </c>
      <c r="B272">
        <v>936726</v>
      </c>
      <c r="C272" s="1">
        <v>44983</v>
      </c>
      <c r="D272" t="s">
        <v>3490</v>
      </c>
      <c r="E272">
        <f>IF(ISNUMBER(MATCH(marketing_events_raw[[#This Row],[customer_id]], customers_clean!A:A, 0)), 1, 0)</f>
        <v>1</v>
      </c>
    </row>
    <row r="273" spans="1:5" x14ac:dyDescent="0.3">
      <c r="A273">
        <v>762263984</v>
      </c>
      <c r="B273">
        <v>693643</v>
      </c>
      <c r="C273" s="1">
        <v>44718</v>
      </c>
      <c r="D273" t="s">
        <v>3489</v>
      </c>
      <c r="E273">
        <f>IF(ISNUMBER(MATCH(marketing_events_raw[[#This Row],[customer_id]], customers_clean!A:A, 0)), 1, 0)</f>
        <v>1</v>
      </c>
    </row>
    <row r="274" spans="1:5" x14ac:dyDescent="0.3">
      <c r="A274">
        <v>363403074</v>
      </c>
      <c r="B274">
        <v>491172</v>
      </c>
      <c r="C274" s="1">
        <v>45099</v>
      </c>
      <c r="D274" t="s">
        <v>3490</v>
      </c>
      <c r="E274">
        <f>IF(ISNUMBER(MATCH(marketing_events_raw[[#This Row],[customer_id]], customers_clean!A:A, 0)), 1, 0)</f>
        <v>1</v>
      </c>
    </row>
    <row r="275" spans="1:5" x14ac:dyDescent="0.3">
      <c r="A275">
        <v>591689158</v>
      </c>
      <c r="B275">
        <v>886530</v>
      </c>
      <c r="C275" s="1">
        <v>45004</v>
      </c>
      <c r="D275" t="s">
        <v>3488</v>
      </c>
      <c r="E275">
        <f>IF(ISNUMBER(MATCH(marketing_events_raw[[#This Row],[customer_id]], customers_clean!A:A, 0)), 1, 0)</f>
        <v>1</v>
      </c>
    </row>
    <row r="276" spans="1:5" x14ac:dyDescent="0.3">
      <c r="A276">
        <v>524614310</v>
      </c>
      <c r="B276">
        <v>840719</v>
      </c>
      <c r="C276" s="1">
        <v>45120</v>
      </c>
      <c r="D276" t="s">
        <v>3487</v>
      </c>
      <c r="E276">
        <f>IF(ISNUMBER(MATCH(marketing_events_raw[[#This Row],[customer_id]], customers_clean!A:A, 0)), 1, 0)</f>
        <v>1</v>
      </c>
    </row>
    <row r="277" spans="1:5" x14ac:dyDescent="0.3">
      <c r="A277">
        <v>429821163</v>
      </c>
      <c r="B277">
        <v>675191</v>
      </c>
      <c r="C277" s="1">
        <v>44668</v>
      </c>
      <c r="D277" t="s">
        <v>3488</v>
      </c>
      <c r="E277">
        <f>IF(ISNUMBER(MATCH(marketing_events_raw[[#This Row],[customer_id]], customers_clean!A:A, 0)), 1, 0)</f>
        <v>1</v>
      </c>
    </row>
    <row r="278" spans="1:5" x14ac:dyDescent="0.3">
      <c r="A278">
        <v>968661351</v>
      </c>
      <c r="B278">
        <v>678469</v>
      </c>
      <c r="C278" s="1">
        <v>45153</v>
      </c>
      <c r="D278" t="s">
        <v>3488</v>
      </c>
      <c r="E278">
        <f>IF(ISNUMBER(MATCH(marketing_events_raw[[#This Row],[customer_id]], customers_clean!A:A, 0)), 1, 0)</f>
        <v>1</v>
      </c>
    </row>
    <row r="279" spans="1:5" x14ac:dyDescent="0.3">
      <c r="A279">
        <v>156421407</v>
      </c>
      <c r="B279">
        <v>157706</v>
      </c>
      <c r="C279" s="1">
        <v>44607</v>
      </c>
      <c r="D279" t="s">
        <v>3491</v>
      </c>
      <c r="E279">
        <f>IF(ISNUMBER(MATCH(marketing_events_raw[[#This Row],[customer_id]], customers_clean!A:A, 0)), 1, 0)</f>
        <v>1</v>
      </c>
    </row>
    <row r="280" spans="1:5" x14ac:dyDescent="0.3">
      <c r="A280">
        <v>512027060</v>
      </c>
      <c r="B280">
        <v>721313</v>
      </c>
      <c r="C280" s="1">
        <v>44886</v>
      </c>
      <c r="D280" t="s">
        <v>3487</v>
      </c>
      <c r="E280">
        <f>IF(ISNUMBER(MATCH(marketing_events_raw[[#This Row],[customer_id]], customers_clean!A:A, 0)), 1, 0)</f>
        <v>1</v>
      </c>
    </row>
    <row r="281" spans="1:5" x14ac:dyDescent="0.3">
      <c r="A281">
        <v>907032845</v>
      </c>
      <c r="B281">
        <v>944654</v>
      </c>
      <c r="C281" s="1">
        <v>44644</v>
      </c>
      <c r="D281" t="s">
        <v>3487</v>
      </c>
      <c r="E281">
        <f>IF(ISNUMBER(MATCH(marketing_events_raw[[#This Row],[customer_id]], customers_clean!A:A, 0)), 1, 0)</f>
        <v>1</v>
      </c>
    </row>
    <row r="282" spans="1:5" x14ac:dyDescent="0.3">
      <c r="A282">
        <v>334274669</v>
      </c>
      <c r="B282">
        <v>458521</v>
      </c>
      <c r="C282" s="1">
        <v>44518</v>
      </c>
      <c r="D282" t="s">
        <v>3491</v>
      </c>
      <c r="E282">
        <f>IF(ISNUMBER(MATCH(marketing_events_raw[[#This Row],[customer_id]], customers_clean!A:A, 0)), 1, 0)</f>
        <v>1</v>
      </c>
    </row>
    <row r="283" spans="1:5" x14ac:dyDescent="0.3">
      <c r="A283">
        <v>727662783</v>
      </c>
      <c r="B283">
        <v>782759</v>
      </c>
      <c r="C283" s="1">
        <v>45112</v>
      </c>
      <c r="D283" t="s">
        <v>3493</v>
      </c>
      <c r="E283">
        <f>IF(ISNUMBER(MATCH(marketing_events_raw[[#This Row],[customer_id]], customers_clean!A:A, 0)), 1, 0)</f>
        <v>1</v>
      </c>
    </row>
    <row r="284" spans="1:5" x14ac:dyDescent="0.3">
      <c r="A284">
        <v>790250484</v>
      </c>
      <c r="B284">
        <v>939482</v>
      </c>
      <c r="C284" s="1">
        <v>45163</v>
      </c>
      <c r="D284" t="s">
        <v>3491</v>
      </c>
      <c r="E284">
        <f>IF(ISNUMBER(MATCH(marketing_events_raw[[#This Row],[customer_id]], customers_clean!A:A, 0)), 1, 0)</f>
        <v>1</v>
      </c>
    </row>
    <row r="285" spans="1:5" x14ac:dyDescent="0.3">
      <c r="A285">
        <v>780436295</v>
      </c>
      <c r="B285">
        <v>678469</v>
      </c>
      <c r="C285" s="1">
        <v>45067</v>
      </c>
      <c r="D285" t="s">
        <v>3492</v>
      </c>
      <c r="E285">
        <f>IF(ISNUMBER(MATCH(marketing_events_raw[[#This Row],[customer_id]], customers_clean!A:A, 0)), 1, 0)</f>
        <v>1</v>
      </c>
    </row>
    <row r="286" spans="1:5" x14ac:dyDescent="0.3">
      <c r="A286">
        <v>725613347</v>
      </c>
      <c r="B286">
        <v>970300</v>
      </c>
      <c r="C286" s="1">
        <v>44705</v>
      </c>
      <c r="D286" t="s">
        <v>3493</v>
      </c>
      <c r="E286">
        <f>IF(ISNUMBER(MATCH(marketing_events_raw[[#This Row],[customer_id]], customers_clean!A:A, 0)), 1, 0)</f>
        <v>1</v>
      </c>
    </row>
    <row r="287" spans="1:5" x14ac:dyDescent="0.3">
      <c r="A287">
        <v>296180898</v>
      </c>
      <c r="B287">
        <v>388820</v>
      </c>
      <c r="C287" s="1">
        <v>45377</v>
      </c>
      <c r="D287" t="s">
        <v>3493</v>
      </c>
      <c r="E287">
        <f>IF(ISNUMBER(MATCH(marketing_events_raw[[#This Row],[customer_id]], customers_clean!A:A, 0)), 1, 0)</f>
        <v>1</v>
      </c>
    </row>
    <row r="288" spans="1:5" x14ac:dyDescent="0.3">
      <c r="A288">
        <v>571020080</v>
      </c>
      <c r="B288">
        <v>544692</v>
      </c>
      <c r="C288" s="1">
        <v>45151</v>
      </c>
      <c r="D288" t="s">
        <v>3488</v>
      </c>
      <c r="E288">
        <f>IF(ISNUMBER(MATCH(marketing_events_raw[[#This Row],[customer_id]], customers_clean!A:A, 0)), 1, 0)</f>
        <v>1</v>
      </c>
    </row>
    <row r="289" spans="1:5" x14ac:dyDescent="0.3">
      <c r="A289">
        <v>382080773</v>
      </c>
      <c r="B289">
        <v>107482</v>
      </c>
      <c r="C289" s="1">
        <v>44571</v>
      </c>
      <c r="D289" t="s">
        <v>3492</v>
      </c>
      <c r="E289">
        <f>IF(ISNUMBER(MATCH(marketing_events_raw[[#This Row],[customer_id]], customers_clean!A:A, 0)), 1, 0)</f>
        <v>1</v>
      </c>
    </row>
    <row r="290" spans="1:5" x14ac:dyDescent="0.3">
      <c r="A290">
        <v>752680360</v>
      </c>
      <c r="B290">
        <v>403915</v>
      </c>
      <c r="C290" s="1">
        <v>44474</v>
      </c>
      <c r="D290" t="s">
        <v>3490</v>
      </c>
      <c r="E290">
        <f>IF(ISNUMBER(MATCH(marketing_events_raw[[#This Row],[customer_id]], customers_clean!A:A, 0)), 1, 0)</f>
        <v>1</v>
      </c>
    </row>
    <row r="291" spans="1:5" x14ac:dyDescent="0.3">
      <c r="A291">
        <v>332284598</v>
      </c>
      <c r="B291">
        <v>506951</v>
      </c>
      <c r="C291" s="1">
        <v>45503</v>
      </c>
      <c r="D291" t="s">
        <v>3492</v>
      </c>
      <c r="E291">
        <f>IF(ISNUMBER(MATCH(marketing_events_raw[[#This Row],[customer_id]], customers_clean!A:A, 0)), 1, 0)</f>
        <v>1</v>
      </c>
    </row>
    <row r="292" spans="1:5" x14ac:dyDescent="0.3">
      <c r="A292">
        <v>102663028</v>
      </c>
      <c r="B292">
        <v>819656</v>
      </c>
      <c r="C292" s="1">
        <v>44748</v>
      </c>
      <c r="D292" t="s">
        <v>3493</v>
      </c>
      <c r="E292">
        <f>IF(ISNUMBER(MATCH(marketing_events_raw[[#This Row],[customer_id]], customers_clean!A:A, 0)), 1, 0)</f>
        <v>1</v>
      </c>
    </row>
    <row r="293" spans="1:5" x14ac:dyDescent="0.3">
      <c r="A293">
        <v>960691707</v>
      </c>
      <c r="B293">
        <v>414295</v>
      </c>
      <c r="C293" s="1">
        <v>45067</v>
      </c>
      <c r="D293" t="s">
        <v>3492</v>
      </c>
      <c r="E293">
        <f>IF(ISNUMBER(MATCH(marketing_events_raw[[#This Row],[customer_id]], customers_clean!A:A, 0)), 1, 0)</f>
        <v>1</v>
      </c>
    </row>
    <row r="294" spans="1:5" x14ac:dyDescent="0.3">
      <c r="A294">
        <v>168231868</v>
      </c>
      <c r="B294">
        <v>299903</v>
      </c>
      <c r="C294" s="1">
        <v>44808</v>
      </c>
      <c r="D294" t="s">
        <v>3488</v>
      </c>
      <c r="E294">
        <f>IF(ISNUMBER(MATCH(marketing_events_raw[[#This Row],[customer_id]], customers_clean!A:A, 0)), 1, 0)</f>
        <v>1</v>
      </c>
    </row>
    <row r="295" spans="1:5" x14ac:dyDescent="0.3">
      <c r="A295">
        <v>939446370</v>
      </c>
      <c r="B295">
        <v>901215</v>
      </c>
      <c r="C295" s="1">
        <v>44937</v>
      </c>
      <c r="D295" t="s">
        <v>3488</v>
      </c>
      <c r="E295">
        <f>IF(ISNUMBER(MATCH(marketing_events_raw[[#This Row],[customer_id]], customers_clean!A:A, 0)), 1, 0)</f>
        <v>1</v>
      </c>
    </row>
    <row r="296" spans="1:5" x14ac:dyDescent="0.3">
      <c r="A296">
        <v>409826490</v>
      </c>
      <c r="B296">
        <v>265358</v>
      </c>
      <c r="C296" s="1">
        <v>44905</v>
      </c>
      <c r="D296" t="s">
        <v>3491</v>
      </c>
      <c r="E296">
        <f>IF(ISNUMBER(MATCH(marketing_events_raw[[#This Row],[customer_id]], customers_clean!A:A, 0)), 1, 0)</f>
        <v>1</v>
      </c>
    </row>
    <row r="297" spans="1:5" x14ac:dyDescent="0.3">
      <c r="A297">
        <v>528777535</v>
      </c>
      <c r="B297">
        <v>612977</v>
      </c>
      <c r="C297" s="1">
        <v>45367</v>
      </c>
      <c r="D297" t="s">
        <v>3489</v>
      </c>
      <c r="E297">
        <f>IF(ISNUMBER(MATCH(marketing_events_raw[[#This Row],[customer_id]], customers_clean!A:A, 0)), 1, 0)</f>
        <v>1</v>
      </c>
    </row>
    <row r="298" spans="1:5" x14ac:dyDescent="0.3">
      <c r="A298">
        <v>293883347</v>
      </c>
      <c r="B298">
        <v>550664</v>
      </c>
      <c r="C298" s="1">
        <v>45474</v>
      </c>
      <c r="D298" t="s">
        <v>3491</v>
      </c>
      <c r="E298">
        <f>IF(ISNUMBER(MATCH(marketing_events_raw[[#This Row],[customer_id]], customers_clean!A:A, 0)), 1, 0)</f>
        <v>1</v>
      </c>
    </row>
    <row r="299" spans="1:5" x14ac:dyDescent="0.3">
      <c r="A299">
        <v>345558116</v>
      </c>
      <c r="B299">
        <v>758309</v>
      </c>
      <c r="C299" s="1">
        <v>45554</v>
      </c>
      <c r="D299" t="s">
        <v>3490</v>
      </c>
      <c r="E299">
        <f>IF(ISNUMBER(MATCH(marketing_events_raw[[#This Row],[customer_id]], customers_clean!A:A, 0)), 1, 0)</f>
        <v>1</v>
      </c>
    </row>
    <row r="300" spans="1:5" x14ac:dyDescent="0.3">
      <c r="A300">
        <v>422863489</v>
      </c>
      <c r="B300">
        <v>441974</v>
      </c>
      <c r="C300" s="1">
        <v>45342</v>
      </c>
      <c r="D300" t="s">
        <v>3488</v>
      </c>
      <c r="E300">
        <f>IF(ISNUMBER(MATCH(marketing_events_raw[[#This Row],[customer_id]], customers_clean!A:A, 0)), 1, 0)</f>
        <v>1</v>
      </c>
    </row>
    <row r="301" spans="1:5" x14ac:dyDescent="0.3">
      <c r="A301">
        <v>358986887</v>
      </c>
      <c r="B301">
        <v>998746</v>
      </c>
      <c r="C301" s="1">
        <v>44860</v>
      </c>
      <c r="D301" t="s">
        <v>3490</v>
      </c>
      <c r="E301">
        <f>IF(ISNUMBER(MATCH(marketing_events_raw[[#This Row],[customer_id]], customers_clean!A:A, 0)), 1, 0)</f>
        <v>1</v>
      </c>
    </row>
    <row r="302" spans="1:5" x14ac:dyDescent="0.3">
      <c r="A302">
        <v>371324826</v>
      </c>
      <c r="B302">
        <v>403257</v>
      </c>
      <c r="C302" s="1">
        <v>45121</v>
      </c>
      <c r="D302" t="s">
        <v>3492</v>
      </c>
      <c r="E302">
        <f>IF(ISNUMBER(MATCH(marketing_events_raw[[#This Row],[customer_id]], customers_clean!A:A, 0)), 1, 0)</f>
        <v>1</v>
      </c>
    </row>
    <row r="303" spans="1:5" x14ac:dyDescent="0.3">
      <c r="A303">
        <v>505842777</v>
      </c>
      <c r="B303">
        <v>902156</v>
      </c>
      <c r="C303" s="1">
        <v>44553</v>
      </c>
      <c r="D303" t="s">
        <v>3492</v>
      </c>
      <c r="E303">
        <f>IF(ISNUMBER(MATCH(marketing_events_raw[[#This Row],[customer_id]], customers_clean!A:A, 0)), 1, 0)</f>
        <v>1</v>
      </c>
    </row>
    <row r="304" spans="1:5" x14ac:dyDescent="0.3">
      <c r="A304">
        <v>837271659</v>
      </c>
      <c r="B304">
        <v>514118</v>
      </c>
      <c r="C304" s="1">
        <v>45369</v>
      </c>
      <c r="D304" t="s">
        <v>3492</v>
      </c>
      <c r="E304">
        <f>IF(ISNUMBER(MATCH(marketing_events_raw[[#This Row],[customer_id]], customers_clean!A:A, 0)), 1, 0)</f>
        <v>1</v>
      </c>
    </row>
    <row r="305" spans="1:5" x14ac:dyDescent="0.3">
      <c r="A305">
        <v>723049042</v>
      </c>
      <c r="B305">
        <v>666366</v>
      </c>
      <c r="C305" s="1">
        <v>44787</v>
      </c>
      <c r="D305" t="s">
        <v>3489</v>
      </c>
      <c r="E305">
        <f>IF(ISNUMBER(MATCH(marketing_events_raw[[#This Row],[customer_id]], customers_clean!A:A, 0)), 1, 0)</f>
        <v>1</v>
      </c>
    </row>
    <row r="306" spans="1:5" x14ac:dyDescent="0.3">
      <c r="A306">
        <v>483968051</v>
      </c>
      <c r="B306">
        <v>301774</v>
      </c>
      <c r="C306" s="1">
        <v>44572</v>
      </c>
      <c r="D306" t="s">
        <v>3490</v>
      </c>
      <c r="E306">
        <f>IF(ISNUMBER(MATCH(marketing_events_raw[[#This Row],[customer_id]], customers_clean!A:A, 0)), 1, 0)</f>
        <v>1</v>
      </c>
    </row>
    <row r="307" spans="1:5" x14ac:dyDescent="0.3">
      <c r="A307">
        <v>379939915</v>
      </c>
      <c r="B307">
        <v>831531</v>
      </c>
      <c r="C307" s="1">
        <v>45586</v>
      </c>
      <c r="D307" t="s">
        <v>3487</v>
      </c>
      <c r="E307">
        <f>IF(ISNUMBER(MATCH(marketing_events_raw[[#This Row],[customer_id]], customers_clean!A:A, 0)), 1, 0)</f>
        <v>1</v>
      </c>
    </row>
    <row r="308" spans="1:5" x14ac:dyDescent="0.3">
      <c r="A308">
        <v>664770094</v>
      </c>
      <c r="B308">
        <v>417824</v>
      </c>
      <c r="C308" s="1">
        <v>45440</v>
      </c>
      <c r="D308" t="s">
        <v>3487</v>
      </c>
      <c r="E308">
        <f>IF(ISNUMBER(MATCH(marketing_events_raw[[#This Row],[customer_id]], customers_clean!A:A, 0)), 1, 0)</f>
        <v>1</v>
      </c>
    </row>
    <row r="309" spans="1:5" x14ac:dyDescent="0.3">
      <c r="A309">
        <v>733126953</v>
      </c>
      <c r="B309">
        <v>252640</v>
      </c>
      <c r="C309" s="1">
        <v>45030</v>
      </c>
      <c r="D309" t="s">
        <v>3489</v>
      </c>
      <c r="E309">
        <f>IF(ISNUMBER(MATCH(marketing_events_raw[[#This Row],[customer_id]], customers_clean!A:A, 0)), 1, 0)</f>
        <v>1</v>
      </c>
    </row>
    <row r="310" spans="1:5" x14ac:dyDescent="0.3">
      <c r="A310">
        <v>168212310</v>
      </c>
      <c r="B310">
        <v>808011</v>
      </c>
      <c r="C310" s="1">
        <v>44656</v>
      </c>
      <c r="D310" t="s">
        <v>3488</v>
      </c>
      <c r="E310">
        <f>IF(ISNUMBER(MATCH(marketing_events_raw[[#This Row],[customer_id]], customers_clean!A:A, 0)), 1, 0)</f>
        <v>1</v>
      </c>
    </row>
    <row r="311" spans="1:5" x14ac:dyDescent="0.3">
      <c r="A311">
        <v>838953065</v>
      </c>
      <c r="B311">
        <v>276556</v>
      </c>
      <c r="C311" s="1">
        <v>44398</v>
      </c>
      <c r="D311" t="s">
        <v>3492</v>
      </c>
      <c r="E311">
        <f>IF(ISNUMBER(MATCH(marketing_events_raw[[#This Row],[customer_id]], customers_clean!A:A, 0)), 1, 0)</f>
        <v>1</v>
      </c>
    </row>
    <row r="312" spans="1:5" x14ac:dyDescent="0.3">
      <c r="A312">
        <v>114993741</v>
      </c>
      <c r="B312">
        <v>126240</v>
      </c>
      <c r="C312" s="1">
        <v>45576</v>
      </c>
      <c r="D312" t="s">
        <v>3492</v>
      </c>
      <c r="E312">
        <f>IF(ISNUMBER(MATCH(marketing_events_raw[[#This Row],[customer_id]], customers_clean!A:A, 0)), 1, 0)</f>
        <v>1</v>
      </c>
    </row>
    <row r="313" spans="1:5" x14ac:dyDescent="0.3">
      <c r="A313">
        <v>406461916</v>
      </c>
      <c r="B313">
        <v>572398</v>
      </c>
      <c r="C313" s="1">
        <v>44881</v>
      </c>
      <c r="D313" t="s">
        <v>3487</v>
      </c>
      <c r="E313">
        <f>IF(ISNUMBER(MATCH(marketing_events_raw[[#This Row],[customer_id]], customers_clean!A:A, 0)), 1, 0)</f>
        <v>1</v>
      </c>
    </row>
    <row r="314" spans="1:5" x14ac:dyDescent="0.3">
      <c r="A314">
        <v>632089656</v>
      </c>
      <c r="B314">
        <v>503489</v>
      </c>
      <c r="C314" s="1">
        <v>45273</v>
      </c>
      <c r="D314" t="s">
        <v>3487</v>
      </c>
      <c r="E314">
        <f>IF(ISNUMBER(MATCH(marketing_events_raw[[#This Row],[customer_id]], customers_clean!A:A, 0)), 1, 0)</f>
        <v>1</v>
      </c>
    </row>
    <row r="315" spans="1:5" x14ac:dyDescent="0.3">
      <c r="A315">
        <v>201746250</v>
      </c>
      <c r="B315">
        <v>433396</v>
      </c>
      <c r="C315" s="1">
        <v>45434</v>
      </c>
      <c r="D315" t="s">
        <v>3489</v>
      </c>
      <c r="E315">
        <f>IF(ISNUMBER(MATCH(marketing_events_raw[[#This Row],[customer_id]], customers_clean!A:A, 0)), 1, 0)</f>
        <v>1</v>
      </c>
    </row>
    <row r="316" spans="1:5" x14ac:dyDescent="0.3">
      <c r="A316">
        <v>155584954</v>
      </c>
      <c r="B316">
        <v>720859</v>
      </c>
      <c r="C316" s="1">
        <v>45464</v>
      </c>
      <c r="D316" t="s">
        <v>3488</v>
      </c>
      <c r="E316">
        <f>IF(ISNUMBER(MATCH(marketing_events_raw[[#This Row],[customer_id]], customers_clean!A:A, 0)), 1, 0)</f>
        <v>1</v>
      </c>
    </row>
    <row r="317" spans="1:5" x14ac:dyDescent="0.3">
      <c r="A317">
        <v>501553607</v>
      </c>
      <c r="B317">
        <v>946335</v>
      </c>
      <c r="C317" s="1">
        <v>45410</v>
      </c>
      <c r="D317" t="s">
        <v>3490</v>
      </c>
      <c r="E317">
        <f>IF(ISNUMBER(MATCH(marketing_events_raw[[#This Row],[customer_id]], customers_clean!A:A, 0)), 1, 0)</f>
        <v>1</v>
      </c>
    </row>
    <row r="318" spans="1:5" x14ac:dyDescent="0.3">
      <c r="A318">
        <v>164182427</v>
      </c>
      <c r="B318">
        <v>344312</v>
      </c>
      <c r="C318" s="1">
        <v>44586</v>
      </c>
      <c r="D318" t="s">
        <v>3493</v>
      </c>
      <c r="E318">
        <f>IF(ISNUMBER(MATCH(marketing_events_raw[[#This Row],[customer_id]], customers_clean!A:A, 0)), 1, 0)</f>
        <v>1</v>
      </c>
    </row>
    <row r="319" spans="1:5" x14ac:dyDescent="0.3">
      <c r="A319">
        <v>848086939</v>
      </c>
      <c r="B319">
        <v>204180</v>
      </c>
      <c r="C319" s="1">
        <v>45479</v>
      </c>
      <c r="D319" t="s">
        <v>3487</v>
      </c>
      <c r="E319">
        <f>IF(ISNUMBER(MATCH(marketing_events_raw[[#This Row],[customer_id]], customers_clean!A:A, 0)), 1, 0)</f>
        <v>1</v>
      </c>
    </row>
    <row r="320" spans="1:5" x14ac:dyDescent="0.3">
      <c r="A320">
        <v>361143429</v>
      </c>
      <c r="B320">
        <v>163941</v>
      </c>
      <c r="C320" s="1">
        <v>44557</v>
      </c>
      <c r="D320" t="s">
        <v>3492</v>
      </c>
      <c r="E320">
        <f>IF(ISNUMBER(MATCH(marketing_events_raw[[#This Row],[customer_id]], customers_clean!A:A, 0)), 1, 0)</f>
        <v>1</v>
      </c>
    </row>
    <row r="321" spans="1:5" x14ac:dyDescent="0.3">
      <c r="A321">
        <v>321330859</v>
      </c>
      <c r="B321">
        <v>591868</v>
      </c>
      <c r="C321" s="1">
        <v>45574</v>
      </c>
      <c r="D321" t="s">
        <v>3490</v>
      </c>
      <c r="E321">
        <f>IF(ISNUMBER(MATCH(marketing_events_raw[[#This Row],[customer_id]], customers_clean!A:A, 0)), 1, 0)</f>
        <v>1</v>
      </c>
    </row>
    <row r="322" spans="1:5" x14ac:dyDescent="0.3">
      <c r="A322">
        <v>448507042</v>
      </c>
      <c r="B322">
        <v>721497</v>
      </c>
      <c r="C322" s="1">
        <v>44570</v>
      </c>
      <c r="D322" t="s">
        <v>3490</v>
      </c>
      <c r="E322">
        <f>IF(ISNUMBER(MATCH(marketing_events_raw[[#This Row],[customer_id]], customers_clean!A:A, 0)), 1, 0)</f>
        <v>1</v>
      </c>
    </row>
    <row r="323" spans="1:5" x14ac:dyDescent="0.3">
      <c r="A323">
        <v>368618676</v>
      </c>
      <c r="B323">
        <v>431414</v>
      </c>
      <c r="C323" s="1">
        <v>44850</v>
      </c>
      <c r="D323" t="s">
        <v>3487</v>
      </c>
      <c r="E323">
        <f>IF(ISNUMBER(MATCH(marketing_events_raw[[#This Row],[customer_id]], customers_clean!A:A, 0)), 1, 0)</f>
        <v>1</v>
      </c>
    </row>
    <row r="324" spans="1:5" x14ac:dyDescent="0.3">
      <c r="A324">
        <v>616879006</v>
      </c>
      <c r="B324">
        <v>829884</v>
      </c>
      <c r="C324" s="1">
        <v>45477</v>
      </c>
      <c r="D324" t="s">
        <v>3487</v>
      </c>
      <c r="E324">
        <f>IF(ISNUMBER(MATCH(marketing_events_raw[[#This Row],[customer_id]], customers_clean!A:A, 0)), 1, 0)</f>
        <v>1</v>
      </c>
    </row>
    <row r="325" spans="1:5" x14ac:dyDescent="0.3">
      <c r="A325">
        <v>283427576</v>
      </c>
      <c r="B325">
        <v>232981</v>
      </c>
      <c r="C325" s="1">
        <v>44594</v>
      </c>
      <c r="D325" t="s">
        <v>3488</v>
      </c>
      <c r="E325">
        <f>IF(ISNUMBER(MATCH(marketing_events_raw[[#This Row],[customer_id]], customers_clean!A:A, 0)), 1, 0)</f>
        <v>1</v>
      </c>
    </row>
    <row r="326" spans="1:5" x14ac:dyDescent="0.3">
      <c r="A326">
        <v>115872203</v>
      </c>
      <c r="B326">
        <v>718849</v>
      </c>
      <c r="C326" s="1">
        <v>45377</v>
      </c>
      <c r="D326" t="s">
        <v>3488</v>
      </c>
      <c r="E326">
        <f>IF(ISNUMBER(MATCH(marketing_events_raw[[#This Row],[customer_id]], customers_clean!A:A, 0)), 1, 0)</f>
        <v>1</v>
      </c>
    </row>
    <row r="327" spans="1:5" x14ac:dyDescent="0.3">
      <c r="A327">
        <v>688950977</v>
      </c>
      <c r="B327">
        <v>995420</v>
      </c>
      <c r="C327" s="1">
        <v>44540</v>
      </c>
      <c r="D327" t="s">
        <v>3491</v>
      </c>
      <c r="E327">
        <f>IF(ISNUMBER(MATCH(marketing_events_raw[[#This Row],[customer_id]], customers_clean!A:A, 0)), 1, 0)</f>
        <v>1</v>
      </c>
    </row>
    <row r="328" spans="1:5" x14ac:dyDescent="0.3">
      <c r="A328">
        <v>589741809</v>
      </c>
      <c r="B328">
        <v>446337</v>
      </c>
      <c r="C328" s="1">
        <v>44581</v>
      </c>
      <c r="D328" t="s">
        <v>3490</v>
      </c>
      <c r="E328">
        <f>IF(ISNUMBER(MATCH(marketing_events_raw[[#This Row],[customer_id]], customers_clean!A:A, 0)), 1, 0)</f>
        <v>1</v>
      </c>
    </row>
    <row r="329" spans="1:5" x14ac:dyDescent="0.3">
      <c r="A329">
        <v>760500967</v>
      </c>
      <c r="B329">
        <v>861253</v>
      </c>
      <c r="C329" s="1">
        <v>45212</v>
      </c>
      <c r="D329" t="s">
        <v>3493</v>
      </c>
      <c r="E329">
        <f>IF(ISNUMBER(MATCH(marketing_events_raw[[#This Row],[customer_id]], customers_clean!A:A, 0)), 1, 0)</f>
        <v>1</v>
      </c>
    </row>
    <row r="330" spans="1:5" x14ac:dyDescent="0.3">
      <c r="A330">
        <v>663183497</v>
      </c>
      <c r="B330">
        <v>624563</v>
      </c>
      <c r="C330" s="1">
        <v>45037</v>
      </c>
      <c r="D330" t="s">
        <v>3487</v>
      </c>
      <c r="E330">
        <f>IF(ISNUMBER(MATCH(marketing_events_raw[[#This Row],[customer_id]], customers_clean!A:A, 0)), 1, 0)</f>
        <v>1</v>
      </c>
    </row>
    <row r="331" spans="1:5" x14ac:dyDescent="0.3">
      <c r="A331">
        <v>423402772</v>
      </c>
      <c r="B331">
        <v>542750</v>
      </c>
      <c r="C331" s="1">
        <v>44645</v>
      </c>
      <c r="D331" t="s">
        <v>3492</v>
      </c>
      <c r="E331">
        <f>IF(ISNUMBER(MATCH(marketing_events_raw[[#This Row],[customer_id]], customers_clean!A:A, 0)), 1, 0)</f>
        <v>1</v>
      </c>
    </row>
    <row r="332" spans="1:5" x14ac:dyDescent="0.3">
      <c r="A332">
        <v>917102595</v>
      </c>
      <c r="B332">
        <v>699121</v>
      </c>
      <c r="C332" s="1">
        <v>45312</v>
      </c>
      <c r="D332" t="s">
        <v>3488</v>
      </c>
      <c r="E332">
        <f>IF(ISNUMBER(MATCH(marketing_events_raw[[#This Row],[customer_id]], customers_clean!A:A, 0)), 1, 0)</f>
        <v>1</v>
      </c>
    </row>
    <row r="333" spans="1:5" x14ac:dyDescent="0.3">
      <c r="A333">
        <v>156778439</v>
      </c>
      <c r="B333">
        <v>969693</v>
      </c>
      <c r="C333" s="1">
        <v>45214</v>
      </c>
      <c r="D333" t="s">
        <v>3493</v>
      </c>
      <c r="E333">
        <f>IF(ISNUMBER(MATCH(marketing_events_raw[[#This Row],[customer_id]], customers_clean!A:A, 0)), 1, 0)</f>
        <v>1</v>
      </c>
    </row>
    <row r="334" spans="1:5" x14ac:dyDescent="0.3">
      <c r="A334">
        <v>688320242</v>
      </c>
      <c r="B334">
        <v>901834</v>
      </c>
      <c r="C334" s="1">
        <v>44386</v>
      </c>
      <c r="D334" t="s">
        <v>3489</v>
      </c>
      <c r="E334">
        <f>IF(ISNUMBER(MATCH(marketing_events_raw[[#This Row],[customer_id]], customers_clean!A:A, 0)), 1, 0)</f>
        <v>1</v>
      </c>
    </row>
    <row r="335" spans="1:5" x14ac:dyDescent="0.3">
      <c r="A335">
        <v>559361512</v>
      </c>
      <c r="B335">
        <v>856442</v>
      </c>
      <c r="C335" s="1">
        <v>45566</v>
      </c>
      <c r="D335" t="s">
        <v>3493</v>
      </c>
      <c r="E335">
        <f>IF(ISNUMBER(MATCH(marketing_events_raw[[#This Row],[customer_id]], customers_clean!A:A, 0)), 1, 0)</f>
        <v>1</v>
      </c>
    </row>
    <row r="336" spans="1:5" x14ac:dyDescent="0.3">
      <c r="A336">
        <v>312517768</v>
      </c>
      <c r="B336">
        <v>593869</v>
      </c>
      <c r="C336" s="1">
        <v>44882</v>
      </c>
      <c r="D336" t="s">
        <v>3488</v>
      </c>
      <c r="E336">
        <f>IF(ISNUMBER(MATCH(marketing_events_raw[[#This Row],[customer_id]], customers_clean!A:A, 0)), 1, 0)</f>
        <v>1</v>
      </c>
    </row>
    <row r="337" spans="1:5" x14ac:dyDescent="0.3">
      <c r="A337">
        <v>874689719</v>
      </c>
      <c r="B337">
        <v>193520</v>
      </c>
      <c r="C337" s="1">
        <v>44529</v>
      </c>
      <c r="D337" t="s">
        <v>3492</v>
      </c>
      <c r="E337">
        <f>IF(ISNUMBER(MATCH(marketing_events_raw[[#This Row],[customer_id]], customers_clean!A:A, 0)), 1, 0)</f>
        <v>1</v>
      </c>
    </row>
    <row r="338" spans="1:5" x14ac:dyDescent="0.3">
      <c r="A338">
        <v>382692545</v>
      </c>
      <c r="B338">
        <v>114463</v>
      </c>
      <c r="C338" s="1">
        <v>44749</v>
      </c>
      <c r="D338" t="s">
        <v>3493</v>
      </c>
      <c r="E338">
        <f>IF(ISNUMBER(MATCH(marketing_events_raw[[#This Row],[customer_id]], customers_clean!A:A, 0)), 1, 0)</f>
        <v>1</v>
      </c>
    </row>
    <row r="339" spans="1:5" x14ac:dyDescent="0.3">
      <c r="A339">
        <v>897839544</v>
      </c>
      <c r="B339">
        <v>556839</v>
      </c>
      <c r="C339" s="1">
        <v>44783</v>
      </c>
      <c r="D339" t="s">
        <v>3490</v>
      </c>
      <c r="E339">
        <f>IF(ISNUMBER(MATCH(marketing_events_raw[[#This Row],[customer_id]], customers_clean!A:A, 0)), 1, 0)</f>
        <v>1</v>
      </c>
    </row>
    <row r="340" spans="1:5" x14ac:dyDescent="0.3">
      <c r="A340">
        <v>534054101</v>
      </c>
      <c r="B340">
        <v>842866</v>
      </c>
      <c r="C340" s="1">
        <v>44450</v>
      </c>
      <c r="D340" t="s">
        <v>3490</v>
      </c>
      <c r="E340">
        <f>IF(ISNUMBER(MATCH(marketing_events_raw[[#This Row],[customer_id]], customers_clean!A:A, 0)), 1, 0)</f>
        <v>1</v>
      </c>
    </row>
    <row r="341" spans="1:5" x14ac:dyDescent="0.3">
      <c r="A341">
        <v>298305283</v>
      </c>
      <c r="B341">
        <v>744481</v>
      </c>
      <c r="C341" s="1">
        <v>44781</v>
      </c>
      <c r="D341" t="s">
        <v>3490</v>
      </c>
      <c r="E341">
        <f>IF(ISNUMBER(MATCH(marketing_events_raw[[#This Row],[customer_id]], customers_clean!A:A, 0)), 1, 0)</f>
        <v>1</v>
      </c>
    </row>
    <row r="342" spans="1:5" x14ac:dyDescent="0.3">
      <c r="A342">
        <v>298663157</v>
      </c>
      <c r="B342">
        <v>642895</v>
      </c>
      <c r="C342" s="1">
        <v>45410</v>
      </c>
      <c r="D342" t="s">
        <v>3487</v>
      </c>
      <c r="E342">
        <f>IF(ISNUMBER(MATCH(marketing_events_raw[[#This Row],[customer_id]], customers_clean!A:A, 0)), 1, 0)</f>
        <v>1</v>
      </c>
    </row>
    <row r="343" spans="1:5" x14ac:dyDescent="0.3">
      <c r="A343">
        <v>459961881</v>
      </c>
      <c r="B343">
        <v>409783</v>
      </c>
      <c r="C343" s="1">
        <v>45068</v>
      </c>
      <c r="D343" t="s">
        <v>3493</v>
      </c>
      <c r="E343">
        <f>IF(ISNUMBER(MATCH(marketing_events_raw[[#This Row],[customer_id]], customers_clean!A:A, 0)), 1, 0)</f>
        <v>1</v>
      </c>
    </row>
    <row r="344" spans="1:5" x14ac:dyDescent="0.3">
      <c r="A344">
        <v>120258162</v>
      </c>
      <c r="B344">
        <v>883997</v>
      </c>
      <c r="C344" s="1">
        <v>45050</v>
      </c>
      <c r="D344" t="s">
        <v>3488</v>
      </c>
      <c r="E344">
        <f>IF(ISNUMBER(MATCH(marketing_events_raw[[#This Row],[customer_id]], customers_clean!A:A, 0)), 1, 0)</f>
        <v>1</v>
      </c>
    </row>
    <row r="345" spans="1:5" x14ac:dyDescent="0.3">
      <c r="A345">
        <v>248289550</v>
      </c>
      <c r="B345">
        <v>194458</v>
      </c>
      <c r="C345" s="1">
        <v>44726</v>
      </c>
      <c r="D345" t="s">
        <v>3492</v>
      </c>
      <c r="E345">
        <f>IF(ISNUMBER(MATCH(marketing_events_raw[[#This Row],[customer_id]], customers_clean!A:A, 0)), 1, 0)</f>
        <v>1</v>
      </c>
    </row>
    <row r="346" spans="1:5" x14ac:dyDescent="0.3">
      <c r="A346">
        <v>895535798</v>
      </c>
      <c r="B346">
        <v>775987</v>
      </c>
      <c r="C346" s="1">
        <v>44577</v>
      </c>
      <c r="D346" t="s">
        <v>3490</v>
      </c>
      <c r="E346">
        <f>IF(ISNUMBER(MATCH(marketing_events_raw[[#This Row],[customer_id]], customers_clean!A:A, 0)), 1, 0)</f>
        <v>1</v>
      </c>
    </row>
    <row r="347" spans="1:5" x14ac:dyDescent="0.3">
      <c r="A347">
        <v>410607842</v>
      </c>
      <c r="B347">
        <v>436272</v>
      </c>
      <c r="C347" s="1">
        <v>44696</v>
      </c>
      <c r="D347" t="s">
        <v>3490</v>
      </c>
      <c r="E347">
        <f>IF(ISNUMBER(MATCH(marketing_events_raw[[#This Row],[customer_id]], customers_clean!A:A, 0)), 1, 0)</f>
        <v>1</v>
      </c>
    </row>
    <row r="348" spans="1:5" x14ac:dyDescent="0.3">
      <c r="A348">
        <v>533486564</v>
      </c>
      <c r="B348">
        <v>715517</v>
      </c>
      <c r="C348" s="1">
        <v>45219</v>
      </c>
      <c r="D348" t="s">
        <v>3487</v>
      </c>
      <c r="E348">
        <f>IF(ISNUMBER(MATCH(marketing_events_raw[[#This Row],[customer_id]], customers_clean!A:A, 0)), 1, 0)</f>
        <v>1</v>
      </c>
    </row>
    <row r="349" spans="1:5" x14ac:dyDescent="0.3">
      <c r="A349">
        <v>139372167</v>
      </c>
      <c r="B349">
        <v>299800</v>
      </c>
      <c r="C349" s="1">
        <v>44593</v>
      </c>
      <c r="D349" t="s">
        <v>3492</v>
      </c>
      <c r="E349">
        <f>IF(ISNUMBER(MATCH(marketing_events_raw[[#This Row],[customer_id]], customers_clean!A:A, 0)), 1, 0)</f>
        <v>1</v>
      </c>
    </row>
    <row r="350" spans="1:5" x14ac:dyDescent="0.3">
      <c r="A350">
        <v>180947105</v>
      </c>
      <c r="B350">
        <v>275073</v>
      </c>
      <c r="C350" s="1">
        <v>44906</v>
      </c>
      <c r="D350" t="s">
        <v>3492</v>
      </c>
      <c r="E350">
        <f>IF(ISNUMBER(MATCH(marketing_events_raw[[#This Row],[customer_id]], customers_clean!A:A, 0)), 1, 0)</f>
        <v>1</v>
      </c>
    </row>
    <row r="351" spans="1:5" x14ac:dyDescent="0.3">
      <c r="A351">
        <v>892996284</v>
      </c>
      <c r="B351">
        <v>166803</v>
      </c>
      <c r="C351" s="1">
        <v>45587</v>
      </c>
      <c r="D351" t="s">
        <v>3491</v>
      </c>
      <c r="E351">
        <f>IF(ISNUMBER(MATCH(marketing_events_raw[[#This Row],[customer_id]], customers_clean!A:A, 0)), 1, 0)</f>
        <v>1</v>
      </c>
    </row>
    <row r="352" spans="1:5" x14ac:dyDescent="0.3">
      <c r="A352">
        <v>252114321</v>
      </c>
      <c r="B352">
        <v>610135</v>
      </c>
      <c r="C352" s="1">
        <v>44421</v>
      </c>
      <c r="D352" t="s">
        <v>3490</v>
      </c>
      <c r="E352">
        <f>IF(ISNUMBER(MATCH(marketing_events_raw[[#This Row],[customer_id]], customers_clean!A:A, 0)), 1, 0)</f>
        <v>1</v>
      </c>
    </row>
    <row r="353" spans="1:5" x14ac:dyDescent="0.3">
      <c r="A353">
        <v>531424463</v>
      </c>
      <c r="B353">
        <v>725726</v>
      </c>
      <c r="C353" s="1">
        <v>45251</v>
      </c>
      <c r="D353" t="s">
        <v>3489</v>
      </c>
      <c r="E353">
        <f>IF(ISNUMBER(MATCH(marketing_events_raw[[#This Row],[customer_id]], customers_clean!A:A, 0)), 1, 0)</f>
        <v>1</v>
      </c>
    </row>
    <row r="354" spans="1:5" x14ac:dyDescent="0.3">
      <c r="A354">
        <v>320983217</v>
      </c>
      <c r="B354">
        <v>889327</v>
      </c>
      <c r="C354" s="1">
        <v>45445</v>
      </c>
      <c r="D354" t="s">
        <v>3489</v>
      </c>
      <c r="E354">
        <f>IF(ISNUMBER(MATCH(marketing_events_raw[[#This Row],[customer_id]], customers_clean!A:A, 0)), 1, 0)</f>
        <v>1</v>
      </c>
    </row>
    <row r="355" spans="1:5" x14ac:dyDescent="0.3">
      <c r="A355">
        <v>238217410</v>
      </c>
      <c r="B355">
        <v>130359</v>
      </c>
      <c r="C355" s="1">
        <v>44659</v>
      </c>
      <c r="D355" t="s">
        <v>3488</v>
      </c>
      <c r="E355">
        <f>IF(ISNUMBER(MATCH(marketing_events_raw[[#This Row],[customer_id]], customers_clean!A:A, 0)), 1, 0)</f>
        <v>1</v>
      </c>
    </row>
    <row r="356" spans="1:5" x14ac:dyDescent="0.3">
      <c r="A356">
        <v>246705427</v>
      </c>
      <c r="B356">
        <v>189318</v>
      </c>
      <c r="C356" s="1">
        <v>44951</v>
      </c>
      <c r="D356" t="s">
        <v>3490</v>
      </c>
      <c r="E356">
        <f>IF(ISNUMBER(MATCH(marketing_events_raw[[#This Row],[customer_id]], customers_clean!A:A, 0)), 1, 0)</f>
        <v>1</v>
      </c>
    </row>
    <row r="357" spans="1:5" x14ac:dyDescent="0.3">
      <c r="A357">
        <v>133830549</v>
      </c>
      <c r="B357">
        <v>571980</v>
      </c>
      <c r="C357" s="1">
        <v>45036</v>
      </c>
      <c r="D357" t="s">
        <v>3489</v>
      </c>
      <c r="E357">
        <f>IF(ISNUMBER(MATCH(marketing_events_raw[[#This Row],[customer_id]], customers_clean!A:A, 0)), 1, 0)</f>
        <v>1</v>
      </c>
    </row>
    <row r="358" spans="1:5" x14ac:dyDescent="0.3">
      <c r="A358">
        <v>730400488</v>
      </c>
      <c r="B358">
        <v>602278</v>
      </c>
      <c r="C358" s="1">
        <v>44649</v>
      </c>
      <c r="D358" t="s">
        <v>3489</v>
      </c>
      <c r="E358">
        <f>IF(ISNUMBER(MATCH(marketing_events_raw[[#This Row],[customer_id]], customers_clean!A:A, 0)), 1, 0)</f>
        <v>1</v>
      </c>
    </row>
    <row r="359" spans="1:5" x14ac:dyDescent="0.3">
      <c r="A359">
        <v>813865691</v>
      </c>
      <c r="B359">
        <v>403915</v>
      </c>
      <c r="C359" s="1">
        <v>44742</v>
      </c>
      <c r="D359" t="s">
        <v>3490</v>
      </c>
      <c r="E359">
        <f>IF(ISNUMBER(MATCH(marketing_events_raw[[#This Row],[customer_id]], customers_clean!A:A, 0)), 1, 0)</f>
        <v>1</v>
      </c>
    </row>
    <row r="360" spans="1:5" x14ac:dyDescent="0.3">
      <c r="A360">
        <v>499902513</v>
      </c>
      <c r="B360">
        <v>275284</v>
      </c>
      <c r="C360" s="1">
        <v>45155</v>
      </c>
      <c r="D360" t="s">
        <v>3489</v>
      </c>
      <c r="E360">
        <f>IF(ISNUMBER(MATCH(marketing_events_raw[[#This Row],[customer_id]], customers_clean!A:A, 0)), 1, 0)</f>
        <v>1</v>
      </c>
    </row>
    <row r="361" spans="1:5" x14ac:dyDescent="0.3">
      <c r="A361">
        <v>803317049</v>
      </c>
      <c r="B361">
        <v>461888</v>
      </c>
      <c r="C361" s="1">
        <v>44438</v>
      </c>
      <c r="D361" t="s">
        <v>3490</v>
      </c>
      <c r="E361">
        <f>IF(ISNUMBER(MATCH(marketing_events_raw[[#This Row],[customer_id]], customers_clean!A:A, 0)), 1, 0)</f>
        <v>1</v>
      </c>
    </row>
    <row r="362" spans="1:5" x14ac:dyDescent="0.3">
      <c r="A362">
        <v>812164507</v>
      </c>
      <c r="B362">
        <v>317221</v>
      </c>
      <c r="C362" s="1">
        <v>45639</v>
      </c>
      <c r="D362" t="s">
        <v>3488</v>
      </c>
      <c r="E362">
        <f>IF(ISNUMBER(MATCH(marketing_events_raw[[#This Row],[customer_id]], customers_clean!A:A, 0)), 1, 0)</f>
        <v>1</v>
      </c>
    </row>
    <row r="363" spans="1:5" x14ac:dyDescent="0.3">
      <c r="A363">
        <v>149775531</v>
      </c>
      <c r="B363">
        <v>957626</v>
      </c>
      <c r="C363" s="1">
        <v>44536</v>
      </c>
      <c r="D363" t="s">
        <v>3490</v>
      </c>
      <c r="E363">
        <f>IF(ISNUMBER(MATCH(marketing_events_raw[[#This Row],[customer_id]], customers_clean!A:A, 0)), 1, 0)</f>
        <v>1</v>
      </c>
    </row>
    <row r="364" spans="1:5" x14ac:dyDescent="0.3">
      <c r="A364">
        <v>914073126</v>
      </c>
      <c r="B364">
        <v>916779</v>
      </c>
      <c r="C364" s="1">
        <v>44807</v>
      </c>
      <c r="D364" t="s">
        <v>3492</v>
      </c>
      <c r="E364">
        <f>IF(ISNUMBER(MATCH(marketing_events_raw[[#This Row],[customer_id]], customers_clean!A:A, 0)), 1, 0)</f>
        <v>1</v>
      </c>
    </row>
    <row r="365" spans="1:5" x14ac:dyDescent="0.3">
      <c r="A365">
        <v>673576866</v>
      </c>
      <c r="B365">
        <v>434367</v>
      </c>
      <c r="C365" s="1">
        <v>45010</v>
      </c>
      <c r="D365" t="s">
        <v>3489</v>
      </c>
      <c r="E365">
        <f>IF(ISNUMBER(MATCH(marketing_events_raw[[#This Row],[customer_id]], customers_clean!A:A, 0)), 1, 0)</f>
        <v>1</v>
      </c>
    </row>
    <row r="366" spans="1:5" x14ac:dyDescent="0.3">
      <c r="A366">
        <v>340117837</v>
      </c>
      <c r="B366">
        <v>364650</v>
      </c>
      <c r="C366" s="1">
        <v>45561</v>
      </c>
      <c r="D366" t="s">
        <v>3490</v>
      </c>
      <c r="E366">
        <f>IF(ISNUMBER(MATCH(marketing_events_raw[[#This Row],[customer_id]], customers_clean!A:A, 0)), 1, 0)</f>
        <v>1</v>
      </c>
    </row>
    <row r="367" spans="1:5" x14ac:dyDescent="0.3">
      <c r="A367">
        <v>306634199</v>
      </c>
      <c r="B367">
        <v>476485</v>
      </c>
      <c r="C367" s="1">
        <v>44848</v>
      </c>
      <c r="D367" t="s">
        <v>3493</v>
      </c>
      <c r="E367">
        <f>IF(ISNUMBER(MATCH(marketing_events_raw[[#This Row],[customer_id]], customers_clean!A:A, 0)), 1, 0)</f>
        <v>1</v>
      </c>
    </row>
    <row r="368" spans="1:5" x14ac:dyDescent="0.3">
      <c r="A368">
        <v>287163204</v>
      </c>
      <c r="B368">
        <v>644951</v>
      </c>
      <c r="C368" s="1">
        <v>45126</v>
      </c>
      <c r="D368" t="s">
        <v>3489</v>
      </c>
      <c r="E368">
        <f>IF(ISNUMBER(MATCH(marketing_events_raw[[#This Row],[customer_id]], customers_clean!A:A, 0)), 1, 0)</f>
        <v>1</v>
      </c>
    </row>
    <row r="369" spans="1:5" x14ac:dyDescent="0.3">
      <c r="A369">
        <v>655149383</v>
      </c>
      <c r="B369">
        <v>651231</v>
      </c>
      <c r="C369" s="1">
        <v>45157</v>
      </c>
      <c r="D369" t="s">
        <v>3490</v>
      </c>
      <c r="E369">
        <f>IF(ISNUMBER(MATCH(marketing_events_raw[[#This Row],[customer_id]], customers_clean!A:A, 0)), 1, 0)</f>
        <v>1</v>
      </c>
    </row>
    <row r="370" spans="1:5" x14ac:dyDescent="0.3">
      <c r="A370">
        <v>955350334</v>
      </c>
      <c r="B370">
        <v>468900</v>
      </c>
      <c r="C370" s="1">
        <v>44821</v>
      </c>
      <c r="D370" t="s">
        <v>3489</v>
      </c>
      <c r="E370">
        <f>IF(ISNUMBER(MATCH(marketing_events_raw[[#This Row],[customer_id]], customers_clean!A:A, 0)), 1, 0)</f>
        <v>1</v>
      </c>
    </row>
    <row r="371" spans="1:5" x14ac:dyDescent="0.3">
      <c r="A371">
        <v>361195184</v>
      </c>
      <c r="B371">
        <v>257782</v>
      </c>
      <c r="C371" s="1">
        <v>45606</v>
      </c>
      <c r="D371" t="s">
        <v>3492</v>
      </c>
      <c r="E371">
        <f>IF(ISNUMBER(MATCH(marketing_events_raw[[#This Row],[customer_id]], customers_clean!A:A, 0)), 1, 0)</f>
        <v>1</v>
      </c>
    </row>
    <row r="372" spans="1:5" x14ac:dyDescent="0.3">
      <c r="A372">
        <v>460278024</v>
      </c>
      <c r="B372">
        <v>985364</v>
      </c>
      <c r="C372" s="1">
        <v>45225</v>
      </c>
      <c r="D372" t="s">
        <v>3493</v>
      </c>
      <c r="E372">
        <f>IF(ISNUMBER(MATCH(marketing_events_raw[[#This Row],[customer_id]], customers_clean!A:A, 0)), 1, 0)</f>
        <v>1</v>
      </c>
    </row>
    <row r="373" spans="1:5" x14ac:dyDescent="0.3">
      <c r="A373">
        <v>404199899</v>
      </c>
      <c r="B373">
        <v>738720</v>
      </c>
      <c r="C373" s="1">
        <v>45064</v>
      </c>
      <c r="D373" t="s">
        <v>3489</v>
      </c>
      <c r="E373">
        <f>IF(ISNUMBER(MATCH(marketing_events_raw[[#This Row],[customer_id]], customers_clean!A:A, 0)), 1, 0)</f>
        <v>1</v>
      </c>
    </row>
    <row r="374" spans="1:5" x14ac:dyDescent="0.3">
      <c r="A374">
        <v>332549218</v>
      </c>
      <c r="B374">
        <v>537110</v>
      </c>
      <c r="C374" s="1">
        <v>45005</v>
      </c>
      <c r="D374" t="s">
        <v>3489</v>
      </c>
      <c r="E374">
        <f>IF(ISNUMBER(MATCH(marketing_events_raw[[#This Row],[customer_id]], customers_clean!A:A, 0)), 1, 0)</f>
        <v>1</v>
      </c>
    </row>
    <row r="375" spans="1:5" x14ac:dyDescent="0.3">
      <c r="A375">
        <v>637512257</v>
      </c>
      <c r="B375">
        <v>653948</v>
      </c>
      <c r="C375" s="1">
        <v>45200</v>
      </c>
      <c r="D375" t="s">
        <v>3492</v>
      </c>
      <c r="E375">
        <f>IF(ISNUMBER(MATCH(marketing_events_raw[[#This Row],[customer_id]], customers_clean!A:A, 0)), 1, 0)</f>
        <v>1</v>
      </c>
    </row>
    <row r="376" spans="1:5" x14ac:dyDescent="0.3">
      <c r="A376">
        <v>929481744</v>
      </c>
      <c r="B376">
        <v>389930</v>
      </c>
      <c r="C376" s="1">
        <v>44992</v>
      </c>
      <c r="D376" t="s">
        <v>3491</v>
      </c>
      <c r="E376">
        <f>IF(ISNUMBER(MATCH(marketing_events_raw[[#This Row],[customer_id]], customers_clean!A:A, 0)), 1, 0)</f>
        <v>1</v>
      </c>
    </row>
    <row r="377" spans="1:5" x14ac:dyDescent="0.3">
      <c r="A377">
        <v>575365303</v>
      </c>
      <c r="B377">
        <v>215830</v>
      </c>
      <c r="C377" s="1">
        <v>45258</v>
      </c>
      <c r="D377" t="s">
        <v>3488</v>
      </c>
      <c r="E377">
        <f>IF(ISNUMBER(MATCH(marketing_events_raw[[#This Row],[customer_id]], customers_clean!A:A, 0)), 1, 0)</f>
        <v>1</v>
      </c>
    </row>
    <row r="378" spans="1:5" x14ac:dyDescent="0.3">
      <c r="A378">
        <v>105343504</v>
      </c>
      <c r="B378">
        <v>510339</v>
      </c>
      <c r="C378" s="1">
        <v>44736</v>
      </c>
      <c r="D378" t="s">
        <v>3492</v>
      </c>
      <c r="E378">
        <f>IF(ISNUMBER(MATCH(marketing_events_raw[[#This Row],[customer_id]], customers_clean!A:A, 0)), 1, 0)</f>
        <v>1</v>
      </c>
    </row>
    <row r="379" spans="1:5" x14ac:dyDescent="0.3">
      <c r="A379">
        <v>726689236</v>
      </c>
      <c r="B379">
        <v>649395</v>
      </c>
      <c r="C379" s="1">
        <v>45430</v>
      </c>
      <c r="D379" t="s">
        <v>3487</v>
      </c>
      <c r="E379">
        <f>IF(ISNUMBER(MATCH(marketing_events_raw[[#This Row],[customer_id]], customers_clean!A:A, 0)), 1, 0)</f>
        <v>1</v>
      </c>
    </row>
    <row r="380" spans="1:5" x14ac:dyDescent="0.3">
      <c r="A380">
        <v>561063423</v>
      </c>
      <c r="B380">
        <v>124393</v>
      </c>
      <c r="C380" s="1">
        <v>44777</v>
      </c>
      <c r="D380" t="s">
        <v>3492</v>
      </c>
      <c r="E380">
        <f>IF(ISNUMBER(MATCH(marketing_events_raw[[#This Row],[customer_id]], customers_clean!A:A, 0)), 1, 0)</f>
        <v>1</v>
      </c>
    </row>
    <row r="381" spans="1:5" x14ac:dyDescent="0.3">
      <c r="A381">
        <v>286688954</v>
      </c>
      <c r="B381">
        <v>458521</v>
      </c>
      <c r="C381" s="1">
        <v>44493</v>
      </c>
      <c r="D381" t="s">
        <v>3493</v>
      </c>
      <c r="E381">
        <f>IF(ISNUMBER(MATCH(marketing_events_raw[[#This Row],[customer_id]], customers_clean!A:A, 0)), 1, 0)</f>
        <v>1</v>
      </c>
    </row>
    <row r="382" spans="1:5" x14ac:dyDescent="0.3">
      <c r="A382">
        <v>969988383</v>
      </c>
      <c r="B382">
        <v>819656</v>
      </c>
      <c r="C382" s="1">
        <v>45576</v>
      </c>
      <c r="D382" t="s">
        <v>3492</v>
      </c>
      <c r="E382">
        <f>IF(ISNUMBER(MATCH(marketing_events_raw[[#This Row],[customer_id]], customers_clean!A:A, 0)), 1, 0)</f>
        <v>1</v>
      </c>
    </row>
    <row r="383" spans="1:5" x14ac:dyDescent="0.3">
      <c r="A383">
        <v>365769590</v>
      </c>
      <c r="B383">
        <v>825318</v>
      </c>
      <c r="C383" s="1">
        <v>45277</v>
      </c>
      <c r="D383" t="s">
        <v>3488</v>
      </c>
      <c r="E383">
        <f>IF(ISNUMBER(MATCH(marketing_events_raw[[#This Row],[customer_id]], customers_clean!A:A, 0)), 1, 0)</f>
        <v>1</v>
      </c>
    </row>
    <row r="384" spans="1:5" x14ac:dyDescent="0.3">
      <c r="A384">
        <v>587282360</v>
      </c>
      <c r="B384">
        <v>927094</v>
      </c>
      <c r="C384" s="1">
        <v>45351</v>
      </c>
      <c r="D384" t="s">
        <v>3493</v>
      </c>
      <c r="E384">
        <f>IF(ISNUMBER(MATCH(marketing_events_raw[[#This Row],[customer_id]], customers_clean!A:A, 0)), 1, 0)</f>
        <v>1</v>
      </c>
    </row>
    <row r="385" spans="1:5" x14ac:dyDescent="0.3">
      <c r="A385">
        <v>981482739</v>
      </c>
      <c r="B385">
        <v>907503</v>
      </c>
      <c r="C385" s="1">
        <v>44878</v>
      </c>
      <c r="D385" t="s">
        <v>3492</v>
      </c>
      <c r="E385">
        <f>IF(ISNUMBER(MATCH(marketing_events_raw[[#This Row],[customer_id]], customers_clean!A:A, 0)), 1, 0)</f>
        <v>1</v>
      </c>
    </row>
    <row r="386" spans="1:5" x14ac:dyDescent="0.3">
      <c r="A386">
        <v>810678587</v>
      </c>
      <c r="B386">
        <v>729557</v>
      </c>
      <c r="C386" s="1">
        <v>45555</v>
      </c>
      <c r="D386" t="s">
        <v>3491</v>
      </c>
      <c r="E386">
        <f>IF(ISNUMBER(MATCH(marketing_events_raw[[#This Row],[customer_id]], customers_clean!A:A, 0)), 1, 0)</f>
        <v>1</v>
      </c>
    </row>
    <row r="387" spans="1:5" x14ac:dyDescent="0.3">
      <c r="A387">
        <v>783948029</v>
      </c>
      <c r="B387">
        <v>396177</v>
      </c>
      <c r="C387" s="1">
        <v>45120</v>
      </c>
      <c r="D387" t="s">
        <v>3489</v>
      </c>
      <c r="E387">
        <f>IF(ISNUMBER(MATCH(marketing_events_raw[[#This Row],[customer_id]], customers_clean!A:A, 0)), 1, 0)</f>
        <v>1</v>
      </c>
    </row>
    <row r="388" spans="1:5" x14ac:dyDescent="0.3">
      <c r="A388">
        <v>767685374</v>
      </c>
      <c r="B388">
        <v>615326</v>
      </c>
      <c r="C388" s="1">
        <v>45348</v>
      </c>
      <c r="D388" t="s">
        <v>3488</v>
      </c>
      <c r="E388">
        <f>IF(ISNUMBER(MATCH(marketing_events_raw[[#This Row],[customer_id]], customers_clean!A:A, 0)), 1, 0)</f>
        <v>1</v>
      </c>
    </row>
    <row r="389" spans="1:5" x14ac:dyDescent="0.3">
      <c r="A389">
        <v>349165379</v>
      </c>
      <c r="B389">
        <v>425434</v>
      </c>
      <c r="C389" s="1">
        <v>45111</v>
      </c>
      <c r="D389" t="s">
        <v>3487</v>
      </c>
      <c r="E389">
        <f>IF(ISNUMBER(MATCH(marketing_events_raw[[#This Row],[customer_id]], customers_clean!A:A, 0)), 1, 0)</f>
        <v>1</v>
      </c>
    </row>
    <row r="390" spans="1:5" x14ac:dyDescent="0.3">
      <c r="A390">
        <v>996401754</v>
      </c>
      <c r="B390">
        <v>105066</v>
      </c>
      <c r="C390" s="1">
        <v>44570</v>
      </c>
      <c r="D390" t="s">
        <v>3492</v>
      </c>
      <c r="E390">
        <f>IF(ISNUMBER(MATCH(marketing_events_raw[[#This Row],[customer_id]], customers_clean!A:A, 0)), 1, 0)</f>
        <v>1</v>
      </c>
    </row>
    <row r="391" spans="1:5" x14ac:dyDescent="0.3">
      <c r="A391">
        <v>839118629</v>
      </c>
      <c r="B391">
        <v>325258</v>
      </c>
      <c r="C391" s="1">
        <v>44745</v>
      </c>
      <c r="D391" t="s">
        <v>3487</v>
      </c>
      <c r="E391">
        <f>IF(ISNUMBER(MATCH(marketing_events_raw[[#This Row],[customer_id]], customers_clean!A:A, 0)), 1, 0)</f>
        <v>1</v>
      </c>
    </row>
    <row r="392" spans="1:5" x14ac:dyDescent="0.3">
      <c r="A392">
        <v>534096846</v>
      </c>
      <c r="B392">
        <v>688285</v>
      </c>
      <c r="C392" s="1">
        <v>45141</v>
      </c>
      <c r="D392" t="s">
        <v>3488</v>
      </c>
      <c r="E392">
        <f>IF(ISNUMBER(MATCH(marketing_events_raw[[#This Row],[customer_id]], customers_clean!A:A, 0)), 1, 0)</f>
        <v>1</v>
      </c>
    </row>
    <row r="393" spans="1:5" x14ac:dyDescent="0.3">
      <c r="A393">
        <v>457035929</v>
      </c>
      <c r="B393">
        <v>870214</v>
      </c>
      <c r="C393" s="1">
        <v>45534</v>
      </c>
      <c r="D393" t="s">
        <v>3488</v>
      </c>
      <c r="E393">
        <f>IF(ISNUMBER(MATCH(marketing_events_raw[[#This Row],[customer_id]], customers_clean!A:A, 0)), 1, 0)</f>
        <v>1</v>
      </c>
    </row>
    <row r="394" spans="1:5" x14ac:dyDescent="0.3">
      <c r="A394">
        <v>171227412</v>
      </c>
      <c r="B394">
        <v>439121</v>
      </c>
      <c r="C394" s="1">
        <v>44929</v>
      </c>
      <c r="D394" t="s">
        <v>3487</v>
      </c>
      <c r="E394">
        <f>IF(ISNUMBER(MATCH(marketing_events_raw[[#This Row],[customer_id]], customers_clean!A:A, 0)), 1, 0)</f>
        <v>1</v>
      </c>
    </row>
    <row r="395" spans="1:5" x14ac:dyDescent="0.3">
      <c r="A395">
        <v>920371612</v>
      </c>
      <c r="B395">
        <v>589251</v>
      </c>
      <c r="C395" s="1">
        <v>45180</v>
      </c>
      <c r="D395" t="s">
        <v>3489</v>
      </c>
      <c r="E395">
        <f>IF(ISNUMBER(MATCH(marketing_events_raw[[#This Row],[customer_id]], customers_clean!A:A, 0)), 1, 0)</f>
        <v>1</v>
      </c>
    </row>
    <row r="396" spans="1:5" x14ac:dyDescent="0.3">
      <c r="A396">
        <v>496996648</v>
      </c>
      <c r="B396">
        <v>124906</v>
      </c>
      <c r="C396" s="1">
        <v>44886</v>
      </c>
      <c r="D396" t="s">
        <v>3488</v>
      </c>
      <c r="E396">
        <f>IF(ISNUMBER(MATCH(marketing_events_raw[[#This Row],[customer_id]], customers_clean!A:A, 0)), 1, 0)</f>
        <v>1</v>
      </c>
    </row>
    <row r="397" spans="1:5" x14ac:dyDescent="0.3">
      <c r="A397">
        <v>786744780</v>
      </c>
      <c r="B397">
        <v>299659</v>
      </c>
      <c r="C397" s="1">
        <v>45428</v>
      </c>
      <c r="D397" t="s">
        <v>3490</v>
      </c>
      <c r="E397">
        <f>IF(ISNUMBER(MATCH(marketing_events_raw[[#This Row],[customer_id]], customers_clean!A:A, 0)), 1, 0)</f>
        <v>1</v>
      </c>
    </row>
    <row r="398" spans="1:5" x14ac:dyDescent="0.3">
      <c r="A398">
        <v>765278108</v>
      </c>
      <c r="B398">
        <v>204180</v>
      </c>
      <c r="C398" s="1">
        <v>45235</v>
      </c>
      <c r="D398" t="s">
        <v>3487</v>
      </c>
      <c r="E398">
        <f>IF(ISNUMBER(MATCH(marketing_events_raw[[#This Row],[customer_id]], customers_clean!A:A, 0)), 1, 0)</f>
        <v>1</v>
      </c>
    </row>
    <row r="399" spans="1:5" x14ac:dyDescent="0.3">
      <c r="A399">
        <v>422279646</v>
      </c>
      <c r="B399">
        <v>907503</v>
      </c>
      <c r="C399" s="1">
        <v>44597</v>
      </c>
      <c r="D399" t="s">
        <v>3492</v>
      </c>
      <c r="E399">
        <f>IF(ISNUMBER(MATCH(marketing_events_raw[[#This Row],[customer_id]], customers_clean!A:A, 0)), 1, 0)</f>
        <v>1</v>
      </c>
    </row>
    <row r="400" spans="1:5" x14ac:dyDescent="0.3">
      <c r="A400">
        <v>607592684</v>
      </c>
      <c r="B400">
        <v>129301</v>
      </c>
      <c r="C400" s="1">
        <v>45138</v>
      </c>
      <c r="D400" t="s">
        <v>3489</v>
      </c>
      <c r="E400">
        <f>IF(ISNUMBER(MATCH(marketing_events_raw[[#This Row],[customer_id]], customers_clean!A:A, 0)), 1, 0)</f>
        <v>1</v>
      </c>
    </row>
    <row r="401" spans="1:5" x14ac:dyDescent="0.3">
      <c r="A401">
        <v>367591057</v>
      </c>
      <c r="B401">
        <v>386436</v>
      </c>
      <c r="C401" s="1">
        <v>45210</v>
      </c>
      <c r="D401" t="s">
        <v>3488</v>
      </c>
      <c r="E401">
        <f>IF(ISNUMBER(MATCH(marketing_events_raw[[#This Row],[customer_id]], customers_clean!A:A, 0)), 1, 0)</f>
        <v>1</v>
      </c>
    </row>
    <row r="402" spans="1:5" x14ac:dyDescent="0.3">
      <c r="A402">
        <v>724493515</v>
      </c>
      <c r="B402">
        <v>998043</v>
      </c>
      <c r="C402" s="1">
        <v>45141</v>
      </c>
      <c r="D402" t="s">
        <v>3489</v>
      </c>
      <c r="E402">
        <f>IF(ISNUMBER(MATCH(marketing_events_raw[[#This Row],[customer_id]], customers_clean!A:A, 0)), 1, 0)</f>
        <v>1</v>
      </c>
    </row>
    <row r="403" spans="1:5" x14ac:dyDescent="0.3">
      <c r="A403">
        <v>409821320</v>
      </c>
      <c r="B403">
        <v>826894</v>
      </c>
      <c r="C403" s="1">
        <v>45286</v>
      </c>
      <c r="D403" t="s">
        <v>3488</v>
      </c>
      <c r="E403">
        <f>IF(ISNUMBER(MATCH(marketing_events_raw[[#This Row],[customer_id]], customers_clean!A:A, 0)), 1, 0)</f>
        <v>1</v>
      </c>
    </row>
    <row r="404" spans="1:5" x14ac:dyDescent="0.3">
      <c r="A404">
        <v>390763828</v>
      </c>
      <c r="B404">
        <v>844943</v>
      </c>
      <c r="C404" s="1">
        <v>45188</v>
      </c>
      <c r="D404" t="s">
        <v>3487</v>
      </c>
      <c r="E404">
        <f>IF(ISNUMBER(MATCH(marketing_events_raw[[#This Row],[customer_id]], customers_clean!A:A, 0)), 1, 0)</f>
        <v>1</v>
      </c>
    </row>
    <row r="405" spans="1:5" x14ac:dyDescent="0.3">
      <c r="A405">
        <v>872749635</v>
      </c>
      <c r="B405">
        <v>969032</v>
      </c>
      <c r="C405" s="1">
        <v>45032</v>
      </c>
      <c r="D405" t="s">
        <v>3493</v>
      </c>
      <c r="E405">
        <f>IF(ISNUMBER(MATCH(marketing_events_raw[[#This Row],[customer_id]], customers_clean!A:A, 0)), 1, 0)</f>
        <v>1</v>
      </c>
    </row>
    <row r="406" spans="1:5" x14ac:dyDescent="0.3">
      <c r="A406">
        <v>350531071</v>
      </c>
      <c r="B406">
        <v>883997</v>
      </c>
      <c r="C406" s="1">
        <v>45074</v>
      </c>
      <c r="D406" t="s">
        <v>3489</v>
      </c>
      <c r="E406">
        <f>IF(ISNUMBER(MATCH(marketing_events_raw[[#This Row],[customer_id]], customers_clean!A:A, 0)), 1, 0)</f>
        <v>1</v>
      </c>
    </row>
    <row r="407" spans="1:5" x14ac:dyDescent="0.3">
      <c r="A407">
        <v>702576411</v>
      </c>
      <c r="B407">
        <v>531066</v>
      </c>
      <c r="C407" s="1">
        <v>45570</v>
      </c>
      <c r="D407" t="s">
        <v>3493</v>
      </c>
      <c r="E407">
        <f>IF(ISNUMBER(MATCH(marketing_events_raw[[#This Row],[customer_id]], customers_clean!A:A, 0)), 1, 0)</f>
        <v>1</v>
      </c>
    </row>
    <row r="408" spans="1:5" x14ac:dyDescent="0.3">
      <c r="A408">
        <v>840237366</v>
      </c>
      <c r="B408">
        <v>424314</v>
      </c>
      <c r="C408" s="1">
        <v>45217</v>
      </c>
      <c r="D408" t="s">
        <v>3489</v>
      </c>
      <c r="E408">
        <f>IF(ISNUMBER(MATCH(marketing_events_raw[[#This Row],[customer_id]], customers_clean!A:A, 0)), 1, 0)</f>
        <v>1</v>
      </c>
    </row>
    <row r="409" spans="1:5" x14ac:dyDescent="0.3">
      <c r="A409">
        <v>918072429</v>
      </c>
      <c r="B409">
        <v>311895</v>
      </c>
      <c r="C409" s="1">
        <v>45562</v>
      </c>
      <c r="D409" t="s">
        <v>3491</v>
      </c>
      <c r="E409">
        <f>IF(ISNUMBER(MATCH(marketing_events_raw[[#This Row],[customer_id]], customers_clean!A:A, 0)), 1, 0)</f>
        <v>1</v>
      </c>
    </row>
    <row r="410" spans="1:5" x14ac:dyDescent="0.3">
      <c r="A410">
        <v>464088549</v>
      </c>
      <c r="B410">
        <v>806707</v>
      </c>
      <c r="C410" s="1">
        <v>44893</v>
      </c>
      <c r="D410" t="s">
        <v>3489</v>
      </c>
      <c r="E410">
        <f>IF(ISNUMBER(MATCH(marketing_events_raw[[#This Row],[customer_id]], customers_clean!A:A, 0)), 1, 0)</f>
        <v>1</v>
      </c>
    </row>
    <row r="411" spans="1:5" x14ac:dyDescent="0.3">
      <c r="A411">
        <v>410994411</v>
      </c>
      <c r="B411">
        <v>817555</v>
      </c>
      <c r="C411" s="1">
        <v>44796</v>
      </c>
      <c r="D411" t="s">
        <v>3493</v>
      </c>
      <c r="E411">
        <f>IF(ISNUMBER(MATCH(marketing_events_raw[[#This Row],[customer_id]], customers_clean!A:A, 0)), 1, 0)</f>
        <v>1</v>
      </c>
    </row>
    <row r="412" spans="1:5" x14ac:dyDescent="0.3">
      <c r="A412">
        <v>910651684</v>
      </c>
      <c r="B412">
        <v>430876</v>
      </c>
      <c r="C412" s="1">
        <v>45177</v>
      </c>
      <c r="D412" t="s">
        <v>3487</v>
      </c>
      <c r="E412">
        <f>IF(ISNUMBER(MATCH(marketing_events_raw[[#This Row],[customer_id]], customers_clean!A:A, 0)), 1, 0)</f>
        <v>1</v>
      </c>
    </row>
    <row r="413" spans="1:5" x14ac:dyDescent="0.3">
      <c r="A413">
        <v>736074159</v>
      </c>
      <c r="B413">
        <v>748985</v>
      </c>
      <c r="C413" s="1">
        <v>44690</v>
      </c>
      <c r="D413" t="s">
        <v>3492</v>
      </c>
      <c r="E413">
        <f>IF(ISNUMBER(MATCH(marketing_events_raw[[#This Row],[customer_id]], customers_clean!A:A, 0)), 1, 0)</f>
        <v>1</v>
      </c>
    </row>
    <row r="414" spans="1:5" x14ac:dyDescent="0.3">
      <c r="A414">
        <v>210872170</v>
      </c>
      <c r="B414">
        <v>981578</v>
      </c>
      <c r="C414" s="1">
        <v>45075</v>
      </c>
      <c r="D414" t="s">
        <v>3487</v>
      </c>
      <c r="E414">
        <f>IF(ISNUMBER(MATCH(marketing_events_raw[[#This Row],[customer_id]], customers_clean!A:A, 0)), 1, 0)</f>
        <v>1</v>
      </c>
    </row>
    <row r="415" spans="1:5" x14ac:dyDescent="0.3">
      <c r="A415">
        <v>187828016</v>
      </c>
      <c r="B415">
        <v>934883</v>
      </c>
      <c r="C415" s="1">
        <v>44702</v>
      </c>
      <c r="D415" t="s">
        <v>3493</v>
      </c>
      <c r="E415">
        <f>IF(ISNUMBER(MATCH(marketing_events_raw[[#This Row],[customer_id]], customers_clean!A:A, 0)), 1, 0)</f>
        <v>1</v>
      </c>
    </row>
    <row r="416" spans="1:5" x14ac:dyDescent="0.3">
      <c r="A416">
        <v>591415741</v>
      </c>
      <c r="B416">
        <v>235691</v>
      </c>
      <c r="C416" s="1">
        <v>45238</v>
      </c>
      <c r="D416" t="s">
        <v>3489</v>
      </c>
      <c r="E416">
        <f>IF(ISNUMBER(MATCH(marketing_events_raw[[#This Row],[customer_id]], customers_clean!A:A, 0)), 1, 0)</f>
        <v>1</v>
      </c>
    </row>
    <row r="417" spans="1:5" x14ac:dyDescent="0.3">
      <c r="A417">
        <v>899880385</v>
      </c>
      <c r="B417">
        <v>866437</v>
      </c>
      <c r="C417" s="1">
        <v>45502</v>
      </c>
      <c r="D417" t="s">
        <v>3489</v>
      </c>
      <c r="E417">
        <f>IF(ISNUMBER(MATCH(marketing_events_raw[[#This Row],[customer_id]], customers_clean!A:A, 0)), 1, 0)</f>
        <v>1</v>
      </c>
    </row>
    <row r="418" spans="1:5" x14ac:dyDescent="0.3">
      <c r="A418">
        <v>447872560</v>
      </c>
      <c r="B418">
        <v>461888</v>
      </c>
      <c r="C418" s="1">
        <v>44937</v>
      </c>
      <c r="D418" t="s">
        <v>3489</v>
      </c>
      <c r="E418">
        <f>IF(ISNUMBER(MATCH(marketing_events_raw[[#This Row],[customer_id]], customers_clean!A:A, 0)), 1, 0)</f>
        <v>1</v>
      </c>
    </row>
    <row r="419" spans="1:5" x14ac:dyDescent="0.3">
      <c r="A419">
        <v>807970180</v>
      </c>
      <c r="B419">
        <v>721314</v>
      </c>
      <c r="C419" s="1">
        <v>44968</v>
      </c>
      <c r="D419" t="s">
        <v>3487</v>
      </c>
      <c r="E419">
        <f>IF(ISNUMBER(MATCH(marketing_events_raw[[#This Row],[customer_id]], customers_clean!A:A, 0)), 1, 0)</f>
        <v>1</v>
      </c>
    </row>
    <row r="420" spans="1:5" x14ac:dyDescent="0.3">
      <c r="A420">
        <v>688978276</v>
      </c>
      <c r="B420">
        <v>536135</v>
      </c>
      <c r="C420" s="1">
        <v>45054</v>
      </c>
      <c r="D420" t="s">
        <v>3491</v>
      </c>
      <c r="E420">
        <f>IF(ISNUMBER(MATCH(marketing_events_raw[[#This Row],[customer_id]], customers_clean!A:A, 0)), 1, 0)</f>
        <v>1</v>
      </c>
    </row>
    <row r="421" spans="1:5" x14ac:dyDescent="0.3">
      <c r="A421">
        <v>904321647</v>
      </c>
      <c r="B421">
        <v>232601</v>
      </c>
      <c r="C421" s="1">
        <v>45260</v>
      </c>
      <c r="D421" t="s">
        <v>3489</v>
      </c>
      <c r="E421">
        <f>IF(ISNUMBER(MATCH(marketing_events_raw[[#This Row],[customer_id]], customers_clean!A:A, 0)), 1, 0)</f>
        <v>1</v>
      </c>
    </row>
    <row r="422" spans="1:5" x14ac:dyDescent="0.3">
      <c r="A422">
        <v>818071166</v>
      </c>
      <c r="B422">
        <v>365271</v>
      </c>
      <c r="C422" s="1">
        <v>45565</v>
      </c>
      <c r="D422" t="s">
        <v>3490</v>
      </c>
      <c r="E422">
        <f>IF(ISNUMBER(MATCH(marketing_events_raw[[#This Row],[customer_id]], customers_clean!A:A, 0)), 1, 0)</f>
        <v>1</v>
      </c>
    </row>
    <row r="423" spans="1:5" x14ac:dyDescent="0.3">
      <c r="A423">
        <v>543411119</v>
      </c>
      <c r="B423">
        <v>706224</v>
      </c>
      <c r="C423" s="1">
        <v>44589</v>
      </c>
      <c r="D423" t="s">
        <v>3487</v>
      </c>
      <c r="E423">
        <f>IF(ISNUMBER(MATCH(marketing_events_raw[[#This Row],[customer_id]], customers_clean!A:A, 0)), 1, 0)</f>
        <v>1</v>
      </c>
    </row>
    <row r="424" spans="1:5" x14ac:dyDescent="0.3">
      <c r="A424">
        <v>884614354</v>
      </c>
      <c r="B424">
        <v>456844</v>
      </c>
      <c r="C424" s="1">
        <v>45484</v>
      </c>
      <c r="D424" t="s">
        <v>3489</v>
      </c>
      <c r="E424">
        <f>IF(ISNUMBER(MATCH(marketing_events_raw[[#This Row],[customer_id]], customers_clean!A:A, 0)), 1, 0)</f>
        <v>1</v>
      </c>
    </row>
    <row r="425" spans="1:5" x14ac:dyDescent="0.3">
      <c r="A425">
        <v>417865266</v>
      </c>
      <c r="B425">
        <v>754688</v>
      </c>
      <c r="C425" s="1">
        <v>45540</v>
      </c>
      <c r="D425" t="s">
        <v>3487</v>
      </c>
      <c r="E425">
        <f>IF(ISNUMBER(MATCH(marketing_events_raw[[#This Row],[customer_id]], customers_clean!A:A, 0)), 1, 0)</f>
        <v>1</v>
      </c>
    </row>
    <row r="426" spans="1:5" x14ac:dyDescent="0.3">
      <c r="A426">
        <v>733762907</v>
      </c>
      <c r="B426">
        <v>107096</v>
      </c>
      <c r="C426" s="1">
        <v>44866</v>
      </c>
      <c r="D426" t="s">
        <v>3491</v>
      </c>
      <c r="E426">
        <f>IF(ISNUMBER(MATCH(marketing_events_raw[[#This Row],[customer_id]], customers_clean!A:A, 0)), 1, 0)</f>
        <v>1</v>
      </c>
    </row>
    <row r="427" spans="1:5" x14ac:dyDescent="0.3">
      <c r="A427">
        <v>753284406</v>
      </c>
      <c r="B427">
        <v>650818</v>
      </c>
      <c r="C427" s="1">
        <v>45500</v>
      </c>
      <c r="D427" t="s">
        <v>3488</v>
      </c>
      <c r="E427">
        <f>IF(ISNUMBER(MATCH(marketing_events_raw[[#This Row],[customer_id]], customers_clean!A:A, 0)), 1, 0)</f>
        <v>1</v>
      </c>
    </row>
    <row r="428" spans="1:5" x14ac:dyDescent="0.3">
      <c r="A428">
        <v>805741531</v>
      </c>
      <c r="B428">
        <v>907503</v>
      </c>
      <c r="C428" s="1">
        <v>44540</v>
      </c>
      <c r="D428" t="s">
        <v>3487</v>
      </c>
      <c r="E428">
        <f>IF(ISNUMBER(MATCH(marketing_events_raw[[#This Row],[customer_id]], customers_clean!A:A, 0)), 1, 0)</f>
        <v>1</v>
      </c>
    </row>
    <row r="429" spans="1:5" x14ac:dyDescent="0.3">
      <c r="A429">
        <v>203274109</v>
      </c>
      <c r="B429">
        <v>202170</v>
      </c>
      <c r="C429" s="1">
        <v>45107</v>
      </c>
      <c r="D429" t="s">
        <v>3488</v>
      </c>
      <c r="E429">
        <f>IF(ISNUMBER(MATCH(marketing_events_raw[[#This Row],[customer_id]], customers_clean!A:A, 0)), 1, 0)</f>
        <v>1</v>
      </c>
    </row>
    <row r="430" spans="1:5" x14ac:dyDescent="0.3">
      <c r="A430">
        <v>341166057</v>
      </c>
      <c r="B430">
        <v>799330</v>
      </c>
      <c r="C430" s="1">
        <v>45406</v>
      </c>
      <c r="D430" t="s">
        <v>3490</v>
      </c>
      <c r="E430">
        <f>IF(ISNUMBER(MATCH(marketing_events_raw[[#This Row],[customer_id]], customers_clean!A:A, 0)), 1, 0)</f>
        <v>1</v>
      </c>
    </row>
    <row r="431" spans="1:5" x14ac:dyDescent="0.3">
      <c r="A431">
        <v>208991359</v>
      </c>
      <c r="B431">
        <v>314353</v>
      </c>
      <c r="C431" s="1">
        <v>45188</v>
      </c>
      <c r="D431" t="s">
        <v>3488</v>
      </c>
      <c r="E431">
        <f>IF(ISNUMBER(MATCH(marketing_events_raw[[#This Row],[customer_id]], customers_clean!A:A, 0)), 1, 0)</f>
        <v>1</v>
      </c>
    </row>
    <row r="432" spans="1:5" x14ac:dyDescent="0.3">
      <c r="A432">
        <v>653265930</v>
      </c>
      <c r="B432">
        <v>882758</v>
      </c>
      <c r="C432" s="1">
        <v>44784</v>
      </c>
      <c r="D432" t="s">
        <v>3493</v>
      </c>
      <c r="E432">
        <f>IF(ISNUMBER(MATCH(marketing_events_raw[[#This Row],[customer_id]], customers_clean!A:A, 0)), 1, 0)</f>
        <v>1</v>
      </c>
    </row>
    <row r="433" spans="1:5" x14ac:dyDescent="0.3">
      <c r="A433">
        <v>595966332</v>
      </c>
      <c r="B433">
        <v>112210</v>
      </c>
      <c r="C433" s="1">
        <v>44563</v>
      </c>
      <c r="D433" t="s">
        <v>3490</v>
      </c>
      <c r="E433">
        <f>IF(ISNUMBER(MATCH(marketing_events_raw[[#This Row],[customer_id]], customers_clean!A:A, 0)), 1, 0)</f>
        <v>1</v>
      </c>
    </row>
    <row r="434" spans="1:5" x14ac:dyDescent="0.3">
      <c r="A434">
        <v>362898308</v>
      </c>
      <c r="B434">
        <v>819964</v>
      </c>
      <c r="C434" s="1">
        <v>44429</v>
      </c>
      <c r="D434" t="s">
        <v>3487</v>
      </c>
      <c r="E434">
        <f>IF(ISNUMBER(MATCH(marketing_events_raw[[#This Row],[customer_id]], customers_clean!A:A, 0)), 1, 0)</f>
        <v>1</v>
      </c>
    </row>
    <row r="435" spans="1:5" x14ac:dyDescent="0.3">
      <c r="A435">
        <v>965868694</v>
      </c>
      <c r="B435">
        <v>886530</v>
      </c>
      <c r="C435" s="1">
        <v>44808</v>
      </c>
      <c r="D435" t="s">
        <v>3487</v>
      </c>
      <c r="E435">
        <f>IF(ISNUMBER(MATCH(marketing_events_raw[[#This Row],[customer_id]], customers_clean!A:A, 0)), 1, 0)</f>
        <v>1</v>
      </c>
    </row>
    <row r="436" spans="1:5" x14ac:dyDescent="0.3">
      <c r="A436">
        <v>240444062</v>
      </c>
      <c r="B436">
        <v>888133</v>
      </c>
      <c r="C436" s="1">
        <v>45159</v>
      </c>
      <c r="D436" t="s">
        <v>3490</v>
      </c>
      <c r="E436">
        <f>IF(ISNUMBER(MATCH(marketing_events_raw[[#This Row],[customer_id]], customers_clean!A:A, 0)), 1, 0)</f>
        <v>1</v>
      </c>
    </row>
    <row r="437" spans="1:5" x14ac:dyDescent="0.3">
      <c r="A437">
        <v>606301857</v>
      </c>
      <c r="B437">
        <v>602681</v>
      </c>
      <c r="C437" s="1">
        <v>44722</v>
      </c>
      <c r="D437" t="s">
        <v>3488</v>
      </c>
      <c r="E437">
        <f>IF(ISNUMBER(MATCH(marketing_events_raw[[#This Row],[customer_id]], customers_clean!A:A, 0)), 1, 0)</f>
        <v>1</v>
      </c>
    </row>
    <row r="438" spans="1:5" x14ac:dyDescent="0.3">
      <c r="A438">
        <v>991310560</v>
      </c>
      <c r="B438">
        <v>493282</v>
      </c>
      <c r="C438" s="1">
        <v>44390</v>
      </c>
      <c r="D438" t="s">
        <v>3490</v>
      </c>
      <c r="E438">
        <f>IF(ISNUMBER(MATCH(marketing_events_raw[[#This Row],[customer_id]], customers_clean!A:A, 0)), 1, 0)</f>
        <v>1</v>
      </c>
    </row>
    <row r="439" spans="1:5" x14ac:dyDescent="0.3">
      <c r="A439">
        <v>394065328</v>
      </c>
      <c r="B439">
        <v>694116</v>
      </c>
      <c r="C439" s="1">
        <v>45480</v>
      </c>
      <c r="D439" t="s">
        <v>3491</v>
      </c>
      <c r="E439">
        <f>IF(ISNUMBER(MATCH(marketing_events_raw[[#This Row],[customer_id]], customers_clean!A:A, 0)), 1, 0)</f>
        <v>1</v>
      </c>
    </row>
    <row r="440" spans="1:5" x14ac:dyDescent="0.3">
      <c r="A440">
        <v>554850228</v>
      </c>
      <c r="B440">
        <v>922366</v>
      </c>
      <c r="C440" s="1">
        <v>45369</v>
      </c>
      <c r="D440" t="s">
        <v>3491</v>
      </c>
      <c r="E440">
        <f>IF(ISNUMBER(MATCH(marketing_events_raw[[#This Row],[customer_id]], customers_clean!A:A, 0)), 1, 0)</f>
        <v>1</v>
      </c>
    </row>
    <row r="441" spans="1:5" x14ac:dyDescent="0.3">
      <c r="A441">
        <v>864051605</v>
      </c>
      <c r="B441">
        <v>819622</v>
      </c>
      <c r="C441" s="1">
        <v>44421</v>
      </c>
      <c r="D441" t="s">
        <v>3491</v>
      </c>
      <c r="E441">
        <f>IF(ISNUMBER(MATCH(marketing_events_raw[[#This Row],[customer_id]], customers_clean!A:A, 0)), 1, 0)</f>
        <v>1</v>
      </c>
    </row>
    <row r="442" spans="1:5" x14ac:dyDescent="0.3">
      <c r="A442">
        <v>250257242</v>
      </c>
      <c r="B442">
        <v>584617</v>
      </c>
      <c r="C442" s="1">
        <v>45173</v>
      </c>
      <c r="D442" t="s">
        <v>3493</v>
      </c>
      <c r="E442">
        <f>IF(ISNUMBER(MATCH(marketing_events_raw[[#This Row],[customer_id]], customers_clean!A:A, 0)), 1, 0)</f>
        <v>1</v>
      </c>
    </row>
    <row r="443" spans="1:5" x14ac:dyDescent="0.3">
      <c r="A443">
        <v>395384759</v>
      </c>
      <c r="B443">
        <v>791174</v>
      </c>
      <c r="C443" s="1">
        <v>45557</v>
      </c>
      <c r="D443" t="s">
        <v>3489</v>
      </c>
      <c r="E443">
        <f>IF(ISNUMBER(MATCH(marketing_events_raw[[#This Row],[customer_id]], customers_clean!A:A, 0)), 1, 0)</f>
        <v>1</v>
      </c>
    </row>
    <row r="444" spans="1:5" x14ac:dyDescent="0.3">
      <c r="A444">
        <v>226513239</v>
      </c>
      <c r="B444">
        <v>244000</v>
      </c>
      <c r="C444" s="1">
        <v>44651</v>
      </c>
      <c r="D444" t="s">
        <v>3490</v>
      </c>
      <c r="E444">
        <f>IF(ISNUMBER(MATCH(marketing_events_raw[[#This Row],[customer_id]], customers_clean!A:A, 0)), 1, 0)</f>
        <v>1</v>
      </c>
    </row>
    <row r="445" spans="1:5" x14ac:dyDescent="0.3">
      <c r="A445">
        <v>406526419</v>
      </c>
      <c r="B445">
        <v>995420</v>
      </c>
      <c r="C445" s="1">
        <v>45197</v>
      </c>
      <c r="D445" t="s">
        <v>3488</v>
      </c>
      <c r="E445">
        <f>IF(ISNUMBER(MATCH(marketing_events_raw[[#This Row],[customer_id]], customers_clean!A:A, 0)), 1, 0)</f>
        <v>1</v>
      </c>
    </row>
    <row r="446" spans="1:5" x14ac:dyDescent="0.3">
      <c r="A446">
        <v>310946580</v>
      </c>
      <c r="B446">
        <v>774920</v>
      </c>
      <c r="C446" s="1">
        <v>45594</v>
      </c>
      <c r="D446" t="s">
        <v>3488</v>
      </c>
      <c r="E446">
        <f>IF(ISNUMBER(MATCH(marketing_events_raw[[#This Row],[customer_id]], customers_clean!A:A, 0)), 1, 0)</f>
        <v>1</v>
      </c>
    </row>
    <row r="447" spans="1:5" x14ac:dyDescent="0.3">
      <c r="A447">
        <v>419814227</v>
      </c>
      <c r="B447">
        <v>678944</v>
      </c>
      <c r="C447" s="1">
        <v>45287</v>
      </c>
      <c r="D447" t="s">
        <v>3487</v>
      </c>
      <c r="E447">
        <f>IF(ISNUMBER(MATCH(marketing_events_raw[[#This Row],[customer_id]], customers_clean!A:A, 0)), 1, 0)</f>
        <v>1</v>
      </c>
    </row>
    <row r="448" spans="1:5" x14ac:dyDescent="0.3">
      <c r="A448">
        <v>297507871</v>
      </c>
      <c r="B448">
        <v>147694</v>
      </c>
      <c r="C448" s="1">
        <v>45044</v>
      </c>
      <c r="D448" t="s">
        <v>3493</v>
      </c>
      <c r="E448">
        <f>IF(ISNUMBER(MATCH(marketing_events_raw[[#This Row],[customer_id]], customers_clean!A:A, 0)), 1, 0)</f>
        <v>1</v>
      </c>
    </row>
    <row r="449" spans="1:5" x14ac:dyDescent="0.3">
      <c r="A449">
        <v>398469255</v>
      </c>
      <c r="B449">
        <v>405407</v>
      </c>
      <c r="C449" s="1">
        <v>44677</v>
      </c>
      <c r="D449" t="s">
        <v>3493</v>
      </c>
      <c r="E449">
        <f>IF(ISNUMBER(MATCH(marketing_events_raw[[#This Row],[customer_id]], customers_clean!A:A, 0)), 1, 0)</f>
        <v>1</v>
      </c>
    </row>
    <row r="450" spans="1:5" x14ac:dyDescent="0.3">
      <c r="A450">
        <v>720786653</v>
      </c>
      <c r="B450">
        <v>178898</v>
      </c>
      <c r="C450" s="1">
        <v>44718</v>
      </c>
      <c r="D450" t="s">
        <v>3487</v>
      </c>
      <c r="E450">
        <f>IF(ISNUMBER(MATCH(marketing_events_raw[[#This Row],[customer_id]], customers_clean!A:A, 0)), 1, 0)</f>
        <v>1</v>
      </c>
    </row>
    <row r="451" spans="1:5" x14ac:dyDescent="0.3">
      <c r="A451">
        <v>854337212</v>
      </c>
      <c r="B451">
        <v>144316</v>
      </c>
      <c r="C451" s="1">
        <v>44989</v>
      </c>
      <c r="D451" t="s">
        <v>3492</v>
      </c>
      <c r="E451">
        <f>IF(ISNUMBER(MATCH(marketing_events_raw[[#This Row],[customer_id]], customers_clean!A:A, 0)), 1, 0)</f>
        <v>1</v>
      </c>
    </row>
    <row r="452" spans="1:5" x14ac:dyDescent="0.3">
      <c r="A452">
        <v>906007114</v>
      </c>
      <c r="B452">
        <v>194834</v>
      </c>
      <c r="C452" s="1">
        <v>45212</v>
      </c>
      <c r="D452" t="s">
        <v>3489</v>
      </c>
      <c r="E452">
        <f>IF(ISNUMBER(MATCH(marketing_events_raw[[#This Row],[customer_id]], customers_clean!A:A, 0)), 1, 0)</f>
        <v>1</v>
      </c>
    </row>
    <row r="453" spans="1:5" x14ac:dyDescent="0.3">
      <c r="A453">
        <v>976113956</v>
      </c>
      <c r="B453">
        <v>135087</v>
      </c>
      <c r="C453" s="1">
        <v>44773</v>
      </c>
      <c r="D453" t="s">
        <v>3491</v>
      </c>
      <c r="E453">
        <f>IF(ISNUMBER(MATCH(marketing_events_raw[[#This Row],[customer_id]], customers_clean!A:A, 0)), 1, 0)</f>
        <v>1</v>
      </c>
    </row>
    <row r="454" spans="1:5" x14ac:dyDescent="0.3">
      <c r="A454">
        <v>216914125</v>
      </c>
      <c r="B454">
        <v>580067</v>
      </c>
      <c r="C454" s="1">
        <v>45324</v>
      </c>
      <c r="D454" t="s">
        <v>3489</v>
      </c>
      <c r="E454">
        <f>IF(ISNUMBER(MATCH(marketing_events_raw[[#This Row],[customer_id]], customers_clean!A:A, 0)), 1, 0)</f>
        <v>1</v>
      </c>
    </row>
    <row r="455" spans="1:5" x14ac:dyDescent="0.3">
      <c r="A455">
        <v>903213869</v>
      </c>
      <c r="B455">
        <v>743687</v>
      </c>
      <c r="C455" s="1">
        <v>45580</v>
      </c>
      <c r="D455" t="s">
        <v>3488</v>
      </c>
      <c r="E455">
        <f>IF(ISNUMBER(MATCH(marketing_events_raw[[#This Row],[customer_id]], customers_clean!A:A, 0)), 1, 0)</f>
        <v>1</v>
      </c>
    </row>
    <row r="456" spans="1:5" x14ac:dyDescent="0.3">
      <c r="A456">
        <v>966000432</v>
      </c>
      <c r="B456">
        <v>425486</v>
      </c>
      <c r="C456" s="1">
        <v>45587</v>
      </c>
      <c r="D456" t="s">
        <v>3493</v>
      </c>
      <c r="E456">
        <f>IF(ISNUMBER(MATCH(marketing_events_raw[[#This Row],[customer_id]], customers_clean!A:A, 0)), 1, 0)</f>
        <v>1</v>
      </c>
    </row>
    <row r="457" spans="1:5" x14ac:dyDescent="0.3">
      <c r="A457">
        <v>422740172</v>
      </c>
      <c r="B457">
        <v>377312</v>
      </c>
      <c r="C457" s="1">
        <v>44405</v>
      </c>
      <c r="D457" t="s">
        <v>3489</v>
      </c>
      <c r="E457">
        <f>IF(ISNUMBER(MATCH(marketing_events_raw[[#This Row],[customer_id]], customers_clean!A:A, 0)), 1, 0)</f>
        <v>1</v>
      </c>
    </row>
    <row r="458" spans="1:5" x14ac:dyDescent="0.3">
      <c r="A458">
        <v>524569982</v>
      </c>
      <c r="B458">
        <v>699121</v>
      </c>
      <c r="C458" s="1">
        <v>45554</v>
      </c>
      <c r="D458" t="s">
        <v>3492</v>
      </c>
      <c r="E458">
        <f>IF(ISNUMBER(MATCH(marketing_events_raw[[#This Row],[customer_id]], customers_clean!A:A, 0)), 1, 0)</f>
        <v>1</v>
      </c>
    </row>
    <row r="459" spans="1:5" x14ac:dyDescent="0.3">
      <c r="A459">
        <v>642912968</v>
      </c>
      <c r="B459">
        <v>770043</v>
      </c>
      <c r="C459" s="1">
        <v>44545</v>
      </c>
      <c r="D459" t="s">
        <v>3493</v>
      </c>
      <c r="E459">
        <f>IF(ISNUMBER(MATCH(marketing_events_raw[[#This Row],[customer_id]], customers_clean!A:A, 0)), 1, 0)</f>
        <v>1</v>
      </c>
    </row>
    <row r="460" spans="1:5" x14ac:dyDescent="0.3">
      <c r="A460">
        <v>217936900</v>
      </c>
      <c r="B460">
        <v>789305</v>
      </c>
      <c r="C460" s="1">
        <v>44753</v>
      </c>
      <c r="D460" t="s">
        <v>3493</v>
      </c>
      <c r="E460">
        <f>IF(ISNUMBER(MATCH(marketing_events_raw[[#This Row],[customer_id]], customers_clean!A:A, 0)), 1, 0)</f>
        <v>1</v>
      </c>
    </row>
    <row r="461" spans="1:5" x14ac:dyDescent="0.3">
      <c r="A461">
        <v>544111906</v>
      </c>
      <c r="B461">
        <v>495400</v>
      </c>
      <c r="C461" s="1">
        <v>45166</v>
      </c>
      <c r="D461" t="s">
        <v>3493</v>
      </c>
      <c r="E461">
        <f>IF(ISNUMBER(MATCH(marketing_events_raw[[#This Row],[customer_id]], customers_clean!A:A, 0)), 1, 0)</f>
        <v>1</v>
      </c>
    </row>
    <row r="462" spans="1:5" x14ac:dyDescent="0.3">
      <c r="A462">
        <v>413673956</v>
      </c>
      <c r="B462">
        <v>595401</v>
      </c>
      <c r="C462" s="1">
        <v>45543</v>
      </c>
      <c r="D462" t="s">
        <v>3487</v>
      </c>
      <c r="E462">
        <f>IF(ISNUMBER(MATCH(marketing_events_raw[[#This Row],[customer_id]], customers_clean!A:A, 0)), 1, 0)</f>
        <v>1</v>
      </c>
    </row>
    <row r="463" spans="1:5" x14ac:dyDescent="0.3">
      <c r="A463">
        <v>194952259</v>
      </c>
      <c r="B463">
        <v>339030</v>
      </c>
      <c r="C463" s="1">
        <v>45652</v>
      </c>
      <c r="D463" t="s">
        <v>3487</v>
      </c>
      <c r="E463">
        <f>IF(ISNUMBER(MATCH(marketing_events_raw[[#This Row],[customer_id]], customers_clean!A:A, 0)), 1, 0)</f>
        <v>1</v>
      </c>
    </row>
    <row r="464" spans="1:5" x14ac:dyDescent="0.3">
      <c r="A464">
        <v>584792101</v>
      </c>
      <c r="B464">
        <v>116703</v>
      </c>
      <c r="C464" s="1">
        <v>44434</v>
      </c>
      <c r="D464" t="s">
        <v>3487</v>
      </c>
      <c r="E464">
        <f>IF(ISNUMBER(MATCH(marketing_events_raw[[#This Row],[customer_id]], customers_clean!A:A, 0)), 1, 0)</f>
        <v>1</v>
      </c>
    </row>
    <row r="465" spans="1:5" x14ac:dyDescent="0.3">
      <c r="A465">
        <v>832214650</v>
      </c>
      <c r="B465">
        <v>813328</v>
      </c>
      <c r="C465" s="1">
        <v>45509</v>
      </c>
      <c r="D465" t="s">
        <v>3489</v>
      </c>
      <c r="E465">
        <f>IF(ISNUMBER(MATCH(marketing_events_raw[[#This Row],[customer_id]], customers_clean!A:A, 0)), 1, 0)</f>
        <v>1</v>
      </c>
    </row>
    <row r="466" spans="1:5" x14ac:dyDescent="0.3">
      <c r="A466">
        <v>334559782</v>
      </c>
      <c r="B466">
        <v>170537</v>
      </c>
      <c r="C466" s="1">
        <v>45055</v>
      </c>
      <c r="D466" t="s">
        <v>3489</v>
      </c>
      <c r="E466">
        <f>IF(ISNUMBER(MATCH(marketing_events_raw[[#This Row],[customer_id]], customers_clean!A:A, 0)), 1, 0)</f>
        <v>1</v>
      </c>
    </row>
    <row r="467" spans="1:5" x14ac:dyDescent="0.3">
      <c r="A467">
        <v>744333516</v>
      </c>
      <c r="B467">
        <v>464354</v>
      </c>
      <c r="C467" s="1">
        <v>44609</v>
      </c>
      <c r="D467" t="s">
        <v>3490</v>
      </c>
      <c r="E467">
        <f>IF(ISNUMBER(MATCH(marketing_events_raw[[#This Row],[customer_id]], customers_clean!A:A, 0)), 1, 0)</f>
        <v>1</v>
      </c>
    </row>
    <row r="468" spans="1:5" x14ac:dyDescent="0.3">
      <c r="A468">
        <v>212613246</v>
      </c>
      <c r="B468">
        <v>965401</v>
      </c>
      <c r="C468" s="1">
        <v>45179</v>
      </c>
      <c r="D468" t="s">
        <v>3490</v>
      </c>
      <c r="E468">
        <f>IF(ISNUMBER(MATCH(marketing_events_raw[[#This Row],[customer_id]], customers_clean!A:A, 0)), 1, 0)</f>
        <v>1</v>
      </c>
    </row>
    <row r="469" spans="1:5" x14ac:dyDescent="0.3">
      <c r="A469">
        <v>282330232</v>
      </c>
      <c r="B469">
        <v>546980</v>
      </c>
      <c r="C469" s="1">
        <v>45098</v>
      </c>
      <c r="D469" t="s">
        <v>3488</v>
      </c>
      <c r="E469">
        <f>IF(ISNUMBER(MATCH(marketing_events_raw[[#This Row],[customer_id]], customers_clean!A:A, 0)), 1, 0)</f>
        <v>1</v>
      </c>
    </row>
    <row r="470" spans="1:5" x14ac:dyDescent="0.3">
      <c r="A470">
        <v>930386149</v>
      </c>
      <c r="B470">
        <v>472640</v>
      </c>
      <c r="C470" s="1">
        <v>45551</v>
      </c>
      <c r="D470" t="s">
        <v>3490</v>
      </c>
      <c r="E470">
        <f>IF(ISNUMBER(MATCH(marketing_events_raw[[#This Row],[customer_id]], customers_clean!A:A, 0)), 1, 0)</f>
        <v>1</v>
      </c>
    </row>
    <row r="471" spans="1:5" x14ac:dyDescent="0.3">
      <c r="A471">
        <v>221964801</v>
      </c>
      <c r="B471">
        <v>916779</v>
      </c>
      <c r="C471" s="1">
        <v>45203</v>
      </c>
      <c r="D471" t="s">
        <v>3488</v>
      </c>
      <c r="E471">
        <f>IF(ISNUMBER(MATCH(marketing_events_raw[[#This Row],[customer_id]], customers_clean!A:A, 0)), 1, 0)</f>
        <v>1</v>
      </c>
    </row>
    <row r="472" spans="1:5" x14ac:dyDescent="0.3">
      <c r="A472">
        <v>871392566</v>
      </c>
      <c r="B472">
        <v>695225</v>
      </c>
      <c r="C472" s="1">
        <v>44887</v>
      </c>
      <c r="D472" t="s">
        <v>3491</v>
      </c>
      <c r="E472">
        <f>IF(ISNUMBER(MATCH(marketing_events_raw[[#This Row],[customer_id]], customers_clean!A:A, 0)), 1, 0)</f>
        <v>1</v>
      </c>
    </row>
    <row r="473" spans="1:5" x14ac:dyDescent="0.3">
      <c r="A473">
        <v>745997398</v>
      </c>
      <c r="B473">
        <v>106185</v>
      </c>
      <c r="C473" s="1">
        <v>44939</v>
      </c>
      <c r="D473" t="s">
        <v>3493</v>
      </c>
      <c r="E473">
        <f>IF(ISNUMBER(MATCH(marketing_events_raw[[#This Row],[customer_id]], customers_clean!A:A, 0)), 1, 0)</f>
        <v>1</v>
      </c>
    </row>
    <row r="474" spans="1:5" x14ac:dyDescent="0.3">
      <c r="A474">
        <v>728247610</v>
      </c>
      <c r="B474">
        <v>197966</v>
      </c>
      <c r="C474" s="1">
        <v>44451</v>
      </c>
      <c r="D474" t="s">
        <v>3488</v>
      </c>
      <c r="E474">
        <f>IF(ISNUMBER(MATCH(marketing_events_raw[[#This Row],[customer_id]], customers_clean!A:A, 0)), 1, 0)</f>
        <v>1</v>
      </c>
    </row>
    <row r="475" spans="1:5" x14ac:dyDescent="0.3">
      <c r="A475">
        <v>909977792</v>
      </c>
      <c r="B475">
        <v>560295</v>
      </c>
      <c r="C475" s="1">
        <v>44548</v>
      </c>
      <c r="D475" t="s">
        <v>3489</v>
      </c>
      <c r="E475">
        <f>IF(ISNUMBER(MATCH(marketing_events_raw[[#This Row],[customer_id]], customers_clean!A:A, 0)), 1, 0)</f>
        <v>1</v>
      </c>
    </row>
    <row r="476" spans="1:5" x14ac:dyDescent="0.3">
      <c r="A476">
        <v>343118141</v>
      </c>
      <c r="B476">
        <v>580728</v>
      </c>
      <c r="C476" s="1">
        <v>44856</v>
      </c>
      <c r="D476" t="s">
        <v>3492</v>
      </c>
      <c r="E476">
        <f>IF(ISNUMBER(MATCH(marketing_events_raw[[#This Row],[customer_id]], customers_clean!A:A, 0)), 1, 0)</f>
        <v>1</v>
      </c>
    </row>
    <row r="477" spans="1:5" x14ac:dyDescent="0.3">
      <c r="A477">
        <v>391947019</v>
      </c>
      <c r="B477">
        <v>425434</v>
      </c>
      <c r="C477" s="1">
        <v>44823</v>
      </c>
      <c r="D477" t="s">
        <v>3487</v>
      </c>
      <c r="E477">
        <f>IF(ISNUMBER(MATCH(marketing_events_raw[[#This Row],[customer_id]], customers_clean!A:A, 0)), 1, 0)</f>
        <v>1</v>
      </c>
    </row>
    <row r="478" spans="1:5" x14ac:dyDescent="0.3">
      <c r="A478">
        <v>814987021</v>
      </c>
      <c r="B478">
        <v>953047</v>
      </c>
      <c r="C478" s="1">
        <v>45240</v>
      </c>
      <c r="D478" t="s">
        <v>3488</v>
      </c>
      <c r="E478">
        <f>IF(ISNUMBER(MATCH(marketing_events_raw[[#This Row],[customer_id]], customers_clean!A:A, 0)), 1, 0)</f>
        <v>1</v>
      </c>
    </row>
    <row r="479" spans="1:5" x14ac:dyDescent="0.3">
      <c r="A479">
        <v>617577036</v>
      </c>
      <c r="B479">
        <v>670027</v>
      </c>
      <c r="C479" s="1">
        <v>44802</v>
      </c>
      <c r="D479" t="s">
        <v>3493</v>
      </c>
      <c r="E479">
        <f>IF(ISNUMBER(MATCH(marketing_events_raw[[#This Row],[customer_id]], customers_clean!A:A, 0)), 1, 0)</f>
        <v>1</v>
      </c>
    </row>
    <row r="480" spans="1:5" x14ac:dyDescent="0.3">
      <c r="A480">
        <v>393810087</v>
      </c>
      <c r="B480">
        <v>627276</v>
      </c>
      <c r="C480" s="1">
        <v>45474</v>
      </c>
      <c r="D480" t="s">
        <v>3488</v>
      </c>
      <c r="E480">
        <f>IF(ISNUMBER(MATCH(marketing_events_raw[[#This Row],[customer_id]], customers_clean!A:A, 0)), 1, 0)</f>
        <v>1</v>
      </c>
    </row>
    <row r="481" spans="1:5" x14ac:dyDescent="0.3">
      <c r="A481">
        <v>207793876</v>
      </c>
      <c r="B481">
        <v>943584</v>
      </c>
      <c r="C481" s="1">
        <v>44958</v>
      </c>
      <c r="D481" t="s">
        <v>3490</v>
      </c>
      <c r="E481">
        <f>IF(ISNUMBER(MATCH(marketing_events_raw[[#This Row],[customer_id]], customers_clean!A:A, 0)), 1, 0)</f>
        <v>1</v>
      </c>
    </row>
    <row r="482" spans="1:5" x14ac:dyDescent="0.3">
      <c r="A482">
        <v>986400277</v>
      </c>
      <c r="B482">
        <v>901909</v>
      </c>
      <c r="C482" s="1">
        <v>45535</v>
      </c>
      <c r="D482" t="s">
        <v>3491</v>
      </c>
      <c r="E482">
        <f>IF(ISNUMBER(MATCH(marketing_events_raw[[#This Row],[customer_id]], customers_clean!A:A, 0)), 1, 0)</f>
        <v>1</v>
      </c>
    </row>
    <row r="483" spans="1:5" x14ac:dyDescent="0.3">
      <c r="A483">
        <v>955925168</v>
      </c>
      <c r="B483">
        <v>237935</v>
      </c>
      <c r="C483" s="1">
        <v>44925</v>
      </c>
      <c r="D483" t="s">
        <v>3490</v>
      </c>
      <c r="E483">
        <f>IF(ISNUMBER(MATCH(marketing_events_raw[[#This Row],[customer_id]], customers_clean!A:A, 0)), 1, 0)</f>
        <v>1</v>
      </c>
    </row>
    <row r="484" spans="1:5" x14ac:dyDescent="0.3">
      <c r="A484">
        <v>882081762</v>
      </c>
      <c r="B484">
        <v>233534</v>
      </c>
      <c r="C484" s="1">
        <v>44509</v>
      </c>
      <c r="D484" t="s">
        <v>3490</v>
      </c>
      <c r="E484">
        <f>IF(ISNUMBER(MATCH(marketing_events_raw[[#This Row],[customer_id]], customers_clean!A:A, 0)), 1, 0)</f>
        <v>1</v>
      </c>
    </row>
    <row r="485" spans="1:5" x14ac:dyDescent="0.3">
      <c r="A485">
        <v>566176139</v>
      </c>
      <c r="B485">
        <v>956253</v>
      </c>
      <c r="C485" s="1">
        <v>45392</v>
      </c>
      <c r="D485" t="s">
        <v>3491</v>
      </c>
      <c r="E485">
        <f>IF(ISNUMBER(MATCH(marketing_events_raw[[#This Row],[customer_id]], customers_clean!A:A, 0)), 1, 0)</f>
        <v>1</v>
      </c>
    </row>
    <row r="486" spans="1:5" x14ac:dyDescent="0.3">
      <c r="A486">
        <v>332475983</v>
      </c>
      <c r="B486">
        <v>138815</v>
      </c>
      <c r="C486" s="1">
        <v>44459</v>
      </c>
      <c r="D486" t="s">
        <v>3490</v>
      </c>
      <c r="E486">
        <f>IF(ISNUMBER(MATCH(marketing_events_raw[[#This Row],[customer_id]], customers_clean!A:A, 0)), 1, 0)</f>
        <v>1</v>
      </c>
    </row>
    <row r="487" spans="1:5" x14ac:dyDescent="0.3">
      <c r="A487">
        <v>369557950</v>
      </c>
      <c r="B487">
        <v>303663</v>
      </c>
      <c r="C487" s="1">
        <v>45496</v>
      </c>
      <c r="D487" t="s">
        <v>3490</v>
      </c>
      <c r="E487">
        <f>IF(ISNUMBER(MATCH(marketing_events_raw[[#This Row],[customer_id]], customers_clean!A:A, 0)), 1, 0)</f>
        <v>1</v>
      </c>
    </row>
    <row r="488" spans="1:5" x14ac:dyDescent="0.3">
      <c r="A488">
        <v>211378694</v>
      </c>
      <c r="B488">
        <v>292811</v>
      </c>
      <c r="C488" s="1">
        <v>45202</v>
      </c>
      <c r="D488" t="s">
        <v>3490</v>
      </c>
      <c r="E488">
        <f>IF(ISNUMBER(MATCH(marketing_events_raw[[#This Row],[customer_id]], customers_clean!A:A, 0)), 1, 0)</f>
        <v>1</v>
      </c>
    </row>
    <row r="489" spans="1:5" x14ac:dyDescent="0.3">
      <c r="A489">
        <v>403789239</v>
      </c>
      <c r="B489">
        <v>854388</v>
      </c>
      <c r="C489" s="1">
        <v>45566</v>
      </c>
      <c r="D489" t="s">
        <v>3493</v>
      </c>
      <c r="E489">
        <f>IF(ISNUMBER(MATCH(marketing_events_raw[[#This Row],[customer_id]], customers_clean!A:A, 0)), 1, 0)</f>
        <v>1</v>
      </c>
    </row>
    <row r="490" spans="1:5" x14ac:dyDescent="0.3">
      <c r="A490">
        <v>862761737</v>
      </c>
      <c r="B490">
        <v>609232</v>
      </c>
      <c r="C490" s="1">
        <v>45590</v>
      </c>
      <c r="D490" t="s">
        <v>3493</v>
      </c>
      <c r="E490">
        <f>IF(ISNUMBER(MATCH(marketing_events_raw[[#This Row],[customer_id]], customers_clean!A:A, 0)), 1, 0)</f>
        <v>1</v>
      </c>
    </row>
    <row r="491" spans="1:5" x14ac:dyDescent="0.3">
      <c r="A491">
        <v>806194013</v>
      </c>
      <c r="B491">
        <v>962813</v>
      </c>
      <c r="C491" s="1">
        <v>44552</v>
      </c>
      <c r="D491" t="s">
        <v>3488</v>
      </c>
      <c r="E491">
        <f>IF(ISNUMBER(MATCH(marketing_events_raw[[#This Row],[customer_id]], customers_clean!A:A, 0)), 1, 0)</f>
        <v>1</v>
      </c>
    </row>
    <row r="492" spans="1:5" x14ac:dyDescent="0.3">
      <c r="A492">
        <v>126752581</v>
      </c>
      <c r="B492">
        <v>699573</v>
      </c>
      <c r="C492" s="1">
        <v>44479</v>
      </c>
      <c r="D492" t="s">
        <v>3488</v>
      </c>
      <c r="E492">
        <f>IF(ISNUMBER(MATCH(marketing_events_raw[[#This Row],[customer_id]], customers_clean!A:A, 0)), 1, 0)</f>
        <v>1</v>
      </c>
    </row>
    <row r="493" spans="1:5" x14ac:dyDescent="0.3">
      <c r="A493">
        <v>434524825</v>
      </c>
      <c r="B493">
        <v>297503</v>
      </c>
      <c r="C493" s="1">
        <v>44712</v>
      </c>
      <c r="D493" t="s">
        <v>3490</v>
      </c>
      <c r="E493">
        <f>IF(ISNUMBER(MATCH(marketing_events_raw[[#This Row],[customer_id]], customers_clean!A:A, 0)), 1, 0)</f>
        <v>1</v>
      </c>
    </row>
    <row r="494" spans="1:5" x14ac:dyDescent="0.3">
      <c r="A494">
        <v>261621906</v>
      </c>
      <c r="B494">
        <v>848226</v>
      </c>
      <c r="C494" s="1">
        <v>45466</v>
      </c>
      <c r="D494" t="s">
        <v>3491</v>
      </c>
      <c r="E494">
        <f>IF(ISNUMBER(MATCH(marketing_events_raw[[#This Row],[customer_id]], customers_clean!A:A, 0)), 1, 0)</f>
        <v>1</v>
      </c>
    </row>
    <row r="495" spans="1:5" x14ac:dyDescent="0.3">
      <c r="A495">
        <v>992057939</v>
      </c>
      <c r="B495">
        <v>989587</v>
      </c>
      <c r="C495" s="1">
        <v>45236</v>
      </c>
      <c r="D495" t="s">
        <v>3488</v>
      </c>
      <c r="E495">
        <f>IF(ISNUMBER(MATCH(marketing_events_raw[[#This Row],[customer_id]], customers_clean!A:A, 0)), 1, 0)</f>
        <v>1</v>
      </c>
    </row>
    <row r="496" spans="1:5" x14ac:dyDescent="0.3">
      <c r="A496">
        <v>547743639</v>
      </c>
      <c r="B496">
        <v>904377</v>
      </c>
      <c r="C496" s="1">
        <v>44625</v>
      </c>
      <c r="D496" t="s">
        <v>3487</v>
      </c>
      <c r="E496">
        <f>IF(ISNUMBER(MATCH(marketing_events_raw[[#This Row],[customer_id]], customers_clean!A:A, 0)), 1, 0)</f>
        <v>1</v>
      </c>
    </row>
    <row r="497" spans="1:5" x14ac:dyDescent="0.3">
      <c r="A497">
        <v>684428271</v>
      </c>
      <c r="B497">
        <v>826830</v>
      </c>
      <c r="C497" s="1">
        <v>44449</v>
      </c>
      <c r="D497" t="s">
        <v>3493</v>
      </c>
      <c r="E497">
        <f>IF(ISNUMBER(MATCH(marketing_events_raw[[#This Row],[customer_id]], customers_clean!A:A, 0)), 1, 0)</f>
        <v>1</v>
      </c>
    </row>
    <row r="498" spans="1:5" x14ac:dyDescent="0.3">
      <c r="A498">
        <v>177689213</v>
      </c>
      <c r="B498">
        <v>920375</v>
      </c>
      <c r="C498" s="1">
        <v>45653</v>
      </c>
      <c r="D498" t="s">
        <v>3491</v>
      </c>
      <c r="E498">
        <f>IF(ISNUMBER(MATCH(marketing_events_raw[[#This Row],[customer_id]], customers_clean!A:A, 0)), 1, 0)</f>
        <v>1</v>
      </c>
    </row>
    <row r="499" spans="1:5" x14ac:dyDescent="0.3">
      <c r="A499">
        <v>142472398</v>
      </c>
      <c r="B499">
        <v>687997</v>
      </c>
      <c r="C499" s="1">
        <v>44886</v>
      </c>
      <c r="D499" t="s">
        <v>3492</v>
      </c>
      <c r="E499">
        <f>IF(ISNUMBER(MATCH(marketing_events_raw[[#This Row],[customer_id]], customers_clean!A:A, 0)), 1, 0)</f>
        <v>1</v>
      </c>
    </row>
    <row r="500" spans="1:5" x14ac:dyDescent="0.3">
      <c r="A500">
        <v>255026264</v>
      </c>
      <c r="B500">
        <v>706224</v>
      </c>
      <c r="C500" s="1">
        <v>44631</v>
      </c>
      <c r="D500" t="s">
        <v>3488</v>
      </c>
      <c r="E500">
        <f>IF(ISNUMBER(MATCH(marketing_events_raw[[#This Row],[customer_id]], customers_clean!A:A, 0)), 1, 0)</f>
        <v>1</v>
      </c>
    </row>
    <row r="501" spans="1:5" x14ac:dyDescent="0.3">
      <c r="A501">
        <v>926468012</v>
      </c>
      <c r="B501">
        <v>468154</v>
      </c>
      <c r="C501" s="1">
        <v>44792</v>
      </c>
      <c r="D501" t="s">
        <v>3492</v>
      </c>
      <c r="E501">
        <f>IF(ISNUMBER(MATCH(marketing_events_raw[[#This Row],[customer_id]], customers_clean!A:A, 0)), 1, 0)</f>
        <v>1</v>
      </c>
    </row>
    <row r="502" spans="1:5" x14ac:dyDescent="0.3">
      <c r="A502">
        <v>638958403</v>
      </c>
      <c r="B502">
        <v>721314</v>
      </c>
      <c r="C502" s="1">
        <v>45056</v>
      </c>
      <c r="D502" t="s">
        <v>3492</v>
      </c>
      <c r="E502">
        <f>IF(ISNUMBER(MATCH(marketing_events_raw[[#This Row],[customer_id]], customers_clean!A:A, 0)), 1, 0)</f>
        <v>1</v>
      </c>
    </row>
    <row r="503" spans="1:5" x14ac:dyDescent="0.3">
      <c r="A503">
        <v>694334595</v>
      </c>
      <c r="B503">
        <v>551914</v>
      </c>
      <c r="C503" s="1">
        <v>44916</v>
      </c>
      <c r="D503" t="s">
        <v>3489</v>
      </c>
      <c r="E503">
        <f>IF(ISNUMBER(MATCH(marketing_events_raw[[#This Row],[customer_id]], customers_clean!A:A, 0)), 1, 0)</f>
        <v>1</v>
      </c>
    </row>
    <row r="504" spans="1:5" x14ac:dyDescent="0.3">
      <c r="A504">
        <v>164331867</v>
      </c>
      <c r="B504">
        <v>375504</v>
      </c>
      <c r="C504" s="1">
        <v>44811</v>
      </c>
      <c r="D504" t="s">
        <v>3492</v>
      </c>
      <c r="E504">
        <f>IF(ISNUMBER(MATCH(marketing_events_raw[[#This Row],[customer_id]], customers_clean!A:A, 0)), 1, 0)</f>
        <v>1</v>
      </c>
    </row>
    <row r="505" spans="1:5" x14ac:dyDescent="0.3">
      <c r="A505">
        <v>312044441</v>
      </c>
      <c r="B505">
        <v>387936</v>
      </c>
      <c r="C505" s="1">
        <v>44534</v>
      </c>
      <c r="D505" t="s">
        <v>3487</v>
      </c>
      <c r="E505">
        <f>IF(ISNUMBER(MATCH(marketing_events_raw[[#This Row],[customer_id]], customers_clean!A:A, 0)), 1, 0)</f>
        <v>1</v>
      </c>
    </row>
    <row r="506" spans="1:5" x14ac:dyDescent="0.3">
      <c r="A506">
        <v>165909932</v>
      </c>
      <c r="B506">
        <v>658272</v>
      </c>
      <c r="C506" s="1">
        <v>45361</v>
      </c>
      <c r="D506" t="s">
        <v>3491</v>
      </c>
      <c r="E506">
        <f>IF(ISNUMBER(MATCH(marketing_events_raw[[#This Row],[customer_id]], customers_clean!A:A, 0)), 1, 0)</f>
        <v>1</v>
      </c>
    </row>
    <row r="507" spans="1:5" x14ac:dyDescent="0.3">
      <c r="A507">
        <v>820802689</v>
      </c>
      <c r="B507">
        <v>492446</v>
      </c>
      <c r="C507" s="1">
        <v>44578</v>
      </c>
      <c r="D507" t="s">
        <v>3487</v>
      </c>
      <c r="E507">
        <f>IF(ISNUMBER(MATCH(marketing_events_raw[[#This Row],[customer_id]], customers_clean!A:A, 0)), 1, 0)</f>
        <v>1</v>
      </c>
    </row>
    <row r="508" spans="1:5" x14ac:dyDescent="0.3">
      <c r="A508">
        <v>999079920</v>
      </c>
      <c r="B508">
        <v>268546</v>
      </c>
      <c r="C508" s="1">
        <v>45593</v>
      </c>
      <c r="D508" t="s">
        <v>3490</v>
      </c>
      <c r="E508">
        <f>IF(ISNUMBER(MATCH(marketing_events_raw[[#This Row],[customer_id]], customers_clean!A:A, 0)), 1, 0)</f>
        <v>1</v>
      </c>
    </row>
    <row r="509" spans="1:5" x14ac:dyDescent="0.3">
      <c r="A509">
        <v>320556127</v>
      </c>
      <c r="B509">
        <v>724094</v>
      </c>
      <c r="C509" s="1">
        <v>45495</v>
      </c>
      <c r="D509" t="s">
        <v>3487</v>
      </c>
      <c r="E509">
        <f>IF(ISNUMBER(MATCH(marketing_events_raw[[#This Row],[customer_id]], customers_clean!A:A, 0)), 1, 0)</f>
        <v>1</v>
      </c>
    </row>
    <row r="510" spans="1:5" x14ac:dyDescent="0.3">
      <c r="A510">
        <v>163093805</v>
      </c>
      <c r="B510">
        <v>887009</v>
      </c>
      <c r="C510" s="1">
        <v>44545</v>
      </c>
      <c r="D510" t="s">
        <v>3492</v>
      </c>
      <c r="E510">
        <f>IF(ISNUMBER(MATCH(marketing_events_raw[[#This Row],[customer_id]], customers_clean!A:A, 0)), 1, 0)</f>
        <v>1</v>
      </c>
    </row>
    <row r="511" spans="1:5" x14ac:dyDescent="0.3">
      <c r="A511">
        <v>945254335</v>
      </c>
      <c r="B511">
        <v>986925</v>
      </c>
      <c r="C511" s="1">
        <v>45366</v>
      </c>
      <c r="D511" t="s">
        <v>3490</v>
      </c>
      <c r="E511">
        <f>IF(ISNUMBER(MATCH(marketing_events_raw[[#This Row],[customer_id]], customers_clean!A:A, 0)), 1, 0)</f>
        <v>1</v>
      </c>
    </row>
    <row r="512" spans="1:5" x14ac:dyDescent="0.3">
      <c r="A512">
        <v>853648746</v>
      </c>
      <c r="B512">
        <v>427730</v>
      </c>
      <c r="C512" s="1">
        <v>44558</v>
      </c>
      <c r="D512" t="s">
        <v>3488</v>
      </c>
      <c r="E512">
        <f>IF(ISNUMBER(MATCH(marketing_events_raw[[#This Row],[customer_id]], customers_clean!A:A, 0)), 1, 0)</f>
        <v>1</v>
      </c>
    </row>
    <row r="513" spans="1:5" x14ac:dyDescent="0.3">
      <c r="A513">
        <v>632052386</v>
      </c>
      <c r="B513">
        <v>170846</v>
      </c>
      <c r="C513" s="1">
        <v>44619</v>
      </c>
      <c r="D513" t="s">
        <v>3489</v>
      </c>
      <c r="E513">
        <f>IF(ISNUMBER(MATCH(marketing_events_raw[[#This Row],[customer_id]], customers_clean!A:A, 0)), 1, 0)</f>
        <v>1</v>
      </c>
    </row>
    <row r="514" spans="1:5" x14ac:dyDescent="0.3">
      <c r="A514">
        <v>245203810</v>
      </c>
      <c r="B514">
        <v>983456</v>
      </c>
      <c r="C514" s="1">
        <v>44582</v>
      </c>
      <c r="D514" t="s">
        <v>3491</v>
      </c>
      <c r="E514">
        <f>IF(ISNUMBER(MATCH(marketing_events_raw[[#This Row],[customer_id]], customers_clean!A:A, 0)), 1, 0)</f>
        <v>1</v>
      </c>
    </row>
    <row r="515" spans="1:5" x14ac:dyDescent="0.3">
      <c r="A515">
        <v>832125677</v>
      </c>
      <c r="B515">
        <v>447148</v>
      </c>
      <c r="C515" s="1">
        <v>45015</v>
      </c>
      <c r="D515" t="s">
        <v>3488</v>
      </c>
      <c r="E515">
        <f>IF(ISNUMBER(MATCH(marketing_events_raw[[#This Row],[customer_id]], customers_clean!A:A, 0)), 1, 0)</f>
        <v>1</v>
      </c>
    </row>
    <row r="516" spans="1:5" x14ac:dyDescent="0.3">
      <c r="A516">
        <v>977154054</v>
      </c>
      <c r="B516">
        <v>781571</v>
      </c>
      <c r="C516" s="1">
        <v>44415</v>
      </c>
      <c r="D516" t="s">
        <v>3489</v>
      </c>
      <c r="E516">
        <f>IF(ISNUMBER(MATCH(marketing_events_raw[[#This Row],[customer_id]], customers_clean!A:A, 0)), 1, 0)</f>
        <v>1</v>
      </c>
    </row>
    <row r="517" spans="1:5" x14ac:dyDescent="0.3">
      <c r="A517">
        <v>425832442</v>
      </c>
      <c r="B517">
        <v>575436</v>
      </c>
      <c r="C517" s="1">
        <v>45332</v>
      </c>
      <c r="D517" t="s">
        <v>3493</v>
      </c>
      <c r="E517">
        <f>IF(ISNUMBER(MATCH(marketing_events_raw[[#This Row],[customer_id]], customers_clean!A:A, 0)), 1, 0)</f>
        <v>1</v>
      </c>
    </row>
    <row r="518" spans="1:5" x14ac:dyDescent="0.3">
      <c r="A518">
        <v>104625795</v>
      </c>
      <c r="B518">
        <v>907369</v>
      </c>
      <c r="C518" s="1">
        <v>44712</v>
      </c>
      <c r="D518" t="s">
        <v>3491</v>
      </c>
      <c r="E518">
        <f>IF(ISNUMBER(MATCH(marketing_events_raw[[#This Row],[customer_id]], customers_clean!A:A, 0)), 1, 0)</f>
        <v>1</v>
      </c>
    </row>
    <row r="519" spans="1:5" x14ac:dyDescent="0.3">
      <c r="A519">
        <v>696619707</v>
      </c>
      <c r="B519">
        <v>434400</v>
      </c>
      <c r="C519" s="1">
        <v>44562</v>
      </c>
      <c r="D519" t="s">
        <v>3492</v>
      </c>
      <c r="E519">
        <f>IF(ISNUMBER(MATCH(marketing_events_raw[[#This Row],[customer_id]], customers_clean!A:A, 0)), 1, 0)</f>
        <v>1</v>
      </c>
    </row>
    <row r="520" spans="1:5" x14ac:dyDescent="0.3">
      <c r="A520">
        <v>198801043</v>
      </c>
      <c r="B520">
        <v>641737</v>
      </c>
      <c r="C520" s="1">
        <v>44626</v>
      </c>
      <c r="D520" t="s">
        <v>3489</v>
      </c>
      <c r="E520">
        <f>IF(ISNUMBER(MATCH(marketing_events_raw[[#This Row],[customer_id]], customers_clean!A:A, 0)), 1, 0)</f>
        <v>1</v>
      </c>
    </row>
    <row r="521" spans="1:5" x14ac:dyDescent="0.3">
      <c r="A521">
        <v>672967641</v>
      </c>
      <c r="B521">
        <v>820442</v>
      </c>
      <c r="C521" s="1">
        <v>45322</v>
      </c>
      <c r="D521" t="s">
        <v>3488</v>
      </c>
      <c r="E521">
        <f>IF(ISNUMBER(MATCH(marketing_events_raw[[#This Row],[customer_id]], customers_clean!A:A, 0)), 1, 0)</f>
        <v>1</v>
      </c>
    </row>
    <row r="522" spans="1:5" x14ac:dyDescent="0.3">
      <c r="A522">
        <v>778605820</v>
      </c>
      <c r="B522">
        <v>389930</v>
      </c>
      <c r="C522" s="1">
        <v>44994</v>
      </c>
      <c r="D522" t="s">
        <v>3492</v>
      </c>
      <c r="E522">
        <f>IF(ISNUMBER(MATCH(marketing_events_raw[[#This Row],[customer_id]], customers_clean!A:A, 0)), 1, 0)</f>
        <v>1</v>
      </c>
    </row>
    <row r="523" spans="1:5" x14ac:dyDescent="0.3">
      <c r="A523">
        <v>246799231</v>
      </c>
      <c r="B523">
        <v>265759</v>
      </c>
      <c r="C523" s="1">
        <v>45374</v>
      </c>
      <c r="D523" t="s">
        <v>3493</v>
      </c>
      <c r="E523">
        <f>IF(ISNUMBER(MATCH(marketing_events_raw[[#This Row],[customer_id]], customers_clean!A:A, 0)), 1, 0)</f>
        <v>1</v>
      </c>
    </row>
    <row r="524" spans="1:5" x14ac:dyDescent="0.3">
      <c r="A524">
        <v>180619668</v>
      </c>
      <c r="B524">
        <v>396439</v>
      </c>
      <c r="C524" s="1">
        <v>45626</v>
      </c>
      <c r="D524" t="s">
        <v>3489</v>
      </c>
      <c r="E524">
        <f>IF(ISNUMBER(MATCH(marketing_events_raw[[#This Row],[customer_id]], customers_clean!A:A, 0)), 1, 0)</f>
        <v>1</v>
      </c>
    </row>
    <row r="525" spans="1:5" x14ac:dyDescent="0.3">
      <c r="A525">
        <v>568301555</v>
      </c>
      <c r="B525">
        <v>748985</v>
      </c>
      <c r="C525" s="1">
        <v>45357</v>
      </c>
      <c r="D525" t="s">
        <v>3488</v>
      </c>
      <c r="E525">
        <f>IF(ISNUMBER(MATCH(marketing_events_raw[[#This Row],[customer_id]], customers_clean!A:A, 0)), 1, 0)</f>
        <v>1</v>
      </c>
    </row>
    <row r="526" spans="1:5" x14ac:dyDescent="0.3">
      <c r="A526">
        <v>647690382</v>
      </c>
      <c r="B526">
        <v>377932</v>
      </c>
      <c r="C526" s="1">
        <v>45136</v>
      </c>
      <c r="D526" t="s">
        <v>3487</v>
      </c>
      <c r="E526">
        <f>IF(ISNUMBER(MATCH(marketing_events_raw[[#This Row],[customer_id]], customers_clean!A:A, 0)), 1, 0)</f>
        <v>1</v>
      </c>
    </row>
    <row r="527" spans="1:5" x14ac:dyDescent="0.3">
      <c r="A527">
        <v>508627910</v>
      </c>
      <c r="B527">
        <v>366776</v>
      </c>
      <c r="C527" s="1">
        <v>44985</v>
      </c>
      <c r="D527" t="s">
        <v>3488</v>
      </c>
      <c r="E527">
        <f>IF(ISNUMBER(MATCH(marketing_events_raw[[#This Row],[customer_id]], customers_clean!A:A, 0)), 1, 0)</f>
        <v>1</v>
      </c>
    </row>
    <row r="528" spans="1:5" x14ac:dyDescent="0.3">
      <c r="A528">
        <v>560316655</v>
      </c>
      <c r="B528">
        <v>354235</v>
      </c>
      <c r="C528" s="1">
        <v>44766</v>
      </c>
      <c r="D528" t="s">
        <v>3491</v>
      </c>
      <c r="E528">
        <f>IF(ISNUMBER(MATCH(marketing_events_raw[[#This Row],[customer_id]], customers_clean!A:A, 0)), 1, 0)</f>
        <v>1</v>
      </c>
    </row>
    <row r="529" spans="1:5" x14ac:dyDescent="0.3">
      <c r="A529">
        <v>177038394</v>
      </c>
      <c r="B529">
        <v>948095</v>
      </c>
      <c r="C529" s="1">
        <v>44871</v>
      </c>
      <c r="D529" t="s">
        <v>3491</v>
      </c>
      <c r="E529">
        <f>IF(ISNUMBER(MATCH(marketing_events_raw[[#This Row],[customer_id]], customers_clean!A:A, 0)), 1, 0)</f>
        <v>1</v>
      </c>
    </row>
    <row r="530" spans="1:5" x14ac:dyDescent="0.3">
      <c r="A530">
        <v>946772144</v>
      </c>
      <c r="B530">
        <v>520304</v>
      </c>
      <c r="C530" s="1">
        <v>44545</v>
      </c>
      <c r="D530" t="s">
        <v>3490</v>
      </c>
      <c r="E530">
        <f>IF(ISNUMBER(MATCH(marketing_events_raw[[#This Row],[customer_id]], customers_clean!A:A, 0)), 1, 0)</f>
        <v>1</v>
      </c>
    </row>
    <row r="531" spans="1:5" x14ac:dyDescent="0.3">
      <c r="A531">
        <v>784136920</v>
      </c>
      <c r="B531">
        <v>114400</v>
      </c>
      <c r="C531" s="1">
        <v>45404</v>
      </c>
      <c r="D531" t="s">
        <v>3492</v>
      </c>
      <c r="E531">
        <f>IF(ISNUMBER(MATCH(marketing_events_raw[[#This Row],[customer_id]], customers_clean!A:A, 0)), 1, 0)</f>
        <v>1</v>
      </c>
    </row>
    <row r="532" spans="1:5" x14ac:dyDescent="0.3">
      <c r="A532">
        <v>759992800</v>
      </c>
      <c r="B532">
        <v>576935</v>
      </c>
      <c r="C532" s="1">
        <v>44609</v>
      </c>
      <c r="D532" t="s">
        <v>3493</v>
      </c>
      <c r="E532">
        <f>IF(ISNUMBER(MATCH(marketing_events_raw[[#This Row],[customer_id]], customers_clean!A:A, 0)), 1, 0)</f>
        <v>1</v>
      </c>
    </row>
    <row r="533" spans="1:5" x14ac:dyDescent="0.3">
      <c r="A533">
        <v>506895356</v>
      </c>
      <c r="B533">
        <v>200195</v>
      </c>
      <c r="C533" s="1">
        <v>44632</v>
      </c>
      <c r="D533" t="s">
        <v>3488</v>
      </c>
      <c r="E533">
        <f>IF(ISNUMBER(MATCH(marketing_events_raw[[#This Row],[customer_id]], customers_clean!A:A, 0)), 1, 0)</f>
        <v>1</v>
      </c>
    </row>
    <row r="534" spans="1:5" x14ac:dyDescent="0.3">
      <c r="A534">
        <v>720188275</v>
      </c>
      <c r="B534">
        <v>217683</v>
      </c>
      <c r="C534" s="1">
        <v>44968</v>
      </c>
      <c r="D534" t="s">
        <v>3489</v>
      </c>
      <c r="E534">
        <f>IF(ISNUMBER(MATCH(marketing_events_raw[[#This Row],[customer_id]], customers_clean!A:A, 0)), 1, 0)</f>
        <v>1</v>
      </c>
    </row>
    <row r="535" spans="1:5" x14ac:dyDescent="0.3">
      <c r="A535">
        <v>367902440</v>
      </c>
      <c r="B535">
        <v>188374</v>
      </c>
      <c r="C535" s="1">
        <v>44692</v>
      </c>
      <c r="D535" t="s">
        <v>3490</v>
      </c>
      <c r="E535">
        <f>IF(ISNUMBER(MATCH(marketing_events_raw[[#This Row],[customer_id]], customers_clean!A:A, 0)), 1, 0)</f>
        <v>1</v>
      </c>
    </row>
    <row r="536" spans="1:5" x14ac:dyDescent="0.3">
      <c r="A536">
        <v>474039143</v>
      </c>
      <c r="B536">
        <v>748985</v>
      </c>
      <c r="C536" s="1">
        <v>44963</v>
      </c>
      <c r="D536" t="s">
        <v>3490</v>
      </c>
      <c r="E536">
        <f>IF(ISNUMBER(MATCH(marketing_events_raw[[#This Row],[customer_id]], customers_clean!A:A, 0)), 1, 0)</f>
        <v>1</v>
      </c>
    </row>
    <row r="537" spans="1:5" x14ac:dyDescent="0.3">
      <c r="A537">
        <v>181749503</v>
      </c>
      <c r="B537">
        <v>903702</v>
      </c>
      <c r="C537" s="1">
        <v>44868</v>
      </c>
      <c r="D537" t="s">
        <v>3490</v>
      </c>
      <c r="E537">
        <f>IF(ISNUMBER(MATCH(marketing_events_raw[[#This Row],[customer_id]], customers_clean!A:A, 0)), 1, 0)</f>
        <v>1</v>
      </c>
    </row>
    <row r="538" spans="1:5" x14ac:dyDescent="0.3">
      <c r="A538">
        <v>460256956</v>
      </c>
      <c r="B538">
        <v>384263</v>
      </c>
      <c r="C538" s="1">
        <v>44828</v>
      </c>
      <c r="D538" t="s">
        <v>3492</v>
      </c>
      <c r="E538">
        <f>IF(ISNUMBER(MATCH(marketing_events_raw[[#This Row],[customer_id]], customers_clean!A:A, 0)), 1, 0)</f>
        <v>1</v>
      </c>
    </row>
    <row r="539" spans="1:5" x14ac:dyDescent="0.3">
      <c r="A539">
        <v>155189435</v>
      </c>
      <c r="B539">
        <v>488984</v>
      </c>
      <c r="C539" s="1">
        <v>45223</v>
      </c>
      <c r="D539" t="s">
        <v>3491</v>
      </c>
      <c r="E539">
        <f>IF(ISNUMBER(MATCH(marketing_events_raw[[#This Row],[customer_id]], customers_clean!A:A, 0)), 1, 0)</f>
        <v>1</v>
      </c>
    </row>
    <row r="540" spans="1:5" x14ac:dyDescent="0.3">
      <c r="A540">
        <v>812384153</v>
      </c>
      <c r="B540">
        <v>449031</v>
      </c>
      <c r="C540" s="1">
        <v>45269</v>
      </c>
      <c r="D540" t="s">
        <v>3493</v>
      </c>
      <c r="E540">
        <f>IF(ISNUMBER(MATCH(marketing_events_raw[[#This Row],[customer_id]], customers_clean!A:A, 0)), 1, 0)</f>
        <v>1</v>
      </c>
    </row>
    <row r="541" spans="1:5" x14ac:dyDescent="0.3">
      <c r="A541">
        <v>299228610</v>
      </c>
      <c r="B541">
        <v>263573</v>
      </c>
      <c r="C541" s="1">
        <v>45177</v>
      </c>
      <c r="D541" t="s">
        <v>3490</v>
      </c>
      <c r="E541">
        <f>IF(ISNUMBER(MATCH(marketing_events_raw[[#This Row],[customer_id]], customers_clean!A:A, 0)), 1, 0)</f>
        <v>1</v>
      </c>
    </row>
    <row r="542" spans="1:5" x14ac:dyDescent="0.3">
      <c r="A542">
        <v>536497478</v>
      </c>
      <c r="B542">
        <v>626214</v>
      </c>
      <c r="C542" s="1">
        <v>45504</v>
      </c>
      <c r="D542" t="s">
        <v>3492</v>
      </c>
      <c r="E542">
        <f>IF(ISNUMBER(MATCH(marketing_events_raw[[#This Row],[customer_id]], customers_clean!A:A, 0)), 1, 0)</f>
        <v>1</v>
      </c>
    </row>
    <row r="543" spans="1:5" x14ac:dyDescent="0.3">
      <c r="A543">
        <v>974185572</v>
      </c>
      <c r="B543">
        <v>546768</v>
      </c>
      <c r="C543" s="1">
        <v>45087</v>
      </c>
      <c r="D543" t="s">
        <v>3492</v>
      </c>
      <c r="E543">
        <f>IF(ISNUMBER(MATCH(marketing_events_raw[[#This Row],[customer_id]], customers_clean!A:A, 0)), 1, 0)</f>
        <v>1</v>
      </c>
    </row>
    <row r="544" spans="1:5" x14ac:dyDescent="0.3">
      <c r="A544">
        <v>279551855</v>
      </c>
      <c r="B544">
        <v>988843</v>
      </c>
      <c r="C544" s="1">
        <v>45043</v>
      </c>
      <c r="D544" t="s">
        <v>3489</v>
      </c>
      <c r="E544">
        <f>IF(ISNUMBER(MATCH(marketing_events_raw[[#This Row],[customer_id]], customers_clean!A:A, 0)), 1, 0)</f>
        <v>1</v>
      </c>
    </row>
    <row r="545" spans="1:5" x14ac:dyDescent="0.3">
      <c r="A545">
        <v>913531145</v>
      </c>
      <c r="B545">
        <v>680099</v>
      </c>
      <c r="C545" s="1">
        <v>45399</v>
      </c>
      <c r="D545" t="s">
        <v>3493</v>
      </c>
      <c r="E545">
        <f>IF(ISNUMBER(MATCH(marketing_events_raw[[#This Row],[customer_id]], customers_clean!A:A, 0)), 1, 0)</f>
        <v>1</v>
      </c>
    </row>
    <row r="546" spans="1:5" x14ac:dyDescent="0.3">
      <c r="A546">
        <v>434887063</v>
      </c>
      <c r="B546">
        <v>953047</v>
      </c>
      <c r="C546" s="1">
        <v>44535</v>
      </c>
      <c r="D546" t="s">
        <v>3490</v>
      </c>
      <c r="E546">
        <f>IF(ISNUMBER(MATCH(marketing_events_raw[[#This Row],[customer_id]], customers_clean!A:A, 0)), 1, 0)</f>
        <v>1</v>
      </c>
    </row>
    <row r="547" spans="1:5" x14ac:dyDescent="0.3">
      <c r="A547">
        <v>249175681</v>
      </c>
      <c r="B547">
        <v>488984</v>
      </c>
      <c r="C547" s="1">
        <v>45126</v>
      </c>
      <c r="D547" t="s">
        <v>3492</v>
      </c>
      <c r="E547">
        <f>IF(ISNUMBER(MATCH(marketing_events_raw[[#This Row],[customer_id]], customers_clean!A:A, 0)), 1, 0)</f>
        <v>1</v>
      </c>
    </row>
    <row r="548" spans="1:5" x14ac:dyDescent="0.3">
      <c r="A548">
        <v>622438534</v>
      </c>
      <c r="B548">
        <v>311727</v>
      </c>
      <c r="C548" s="1">
        <v>44515</v>
      </c>
      <c r="D548" t="s">
        <v>3493</v>
      </c>
      <c r="E548">
        <f>IF(ISNUMBER(MATCH(marketing_events_raw[[#This Row],[customer_id]], customers_clean!A:A, 0)), 1, 0)</f>
        <v>1</v>
      </c>
    </row>
    <row r="549" spans="1:5" x14ac:dyDescent="0.3">
      <c r="A549">
        <v>600948542</v>
      </c>
      <c r="B549">
        <v>571932</v>
      </c>
      <c r="C549" s="1">
        <v>45577</v>
      </c>
      <c r="D549" t="s">
        <v>3491</v>
      </c>
      <c r="E549">
        <f>IF(ISNUMBER(MATCH(marketing_events_raw[[#This Row],[customer_id]], customers_clean!A:A, 0)), 1, 0)</f>
        <v>1</v>
      </c>
    </row>
    <row r="550" spans="1:5" x14ac:dyDescent="0.3">
      <c r="A550">
        <v>741250089</v>
      </c>
      <c r="B550">
        <v>975804</v>
      </c>
      <c r="C550" s="1">
        <v>45638</v>
      </c>
      <c r="D550" t="s">
        <v>3492</v>
      </c>
      <c r="E550">
        <f>IF(ISNUMBER(MATCH(marketing_events_raw[[#This Row],[customer_id]], customers_clean!A:A, 0)), 1, 0)</f>
        <v>1</v>
      </c>
    </row>
    <row r="551" spans="1:5" x14ac:dyDescent="0.3">
      <c r="A551">
        <v>658986139</v>
      </c>
      <c r="B551">
        <v>265840</v>
      </c>
      <c r="C551" s="1">
        <v>45458</v>
      </c>
      <c r="D551" t="s">
        <v>3492</v>
      </c>
      <c r="E551">
        <f>IF(ISNUMBER(MATCH(marketing_events_raw[[#This Row],[customer_id]], customers_clean!A:A, 0)), 1, 0)</f>
        <v>1</v>
      </c>
    </row>
    <row r="552" spans="1:5" x14ac:dyDescent="0.3">
      <c r="A552">
        <v>557326856</v>
      </c>
      <c r="B552">
        <v>679989</v>
      </c>
      <c r="C552" s="1">
        <v>45181</v>
      </c>
      <c r="D552" t="s">
        <v>3491</v>
      </c>
      <c r="E552">
        <f>IF(ISNUMBER(MATCH(marketing_events_raw[[#This Row],[customer_id]], customers_clean!A:A, 0)), 1, 0)</f>
        <v>1</v>
      </c>
    </row>
    <row r="553" spans="1:5" x14ac:dyDescent="0.3">
      <c r="A553">
        <v>403145810</v>
      </c>
      <c r="B553">
        <v>474725</v>
      </c>
      <c r="C553" s="1">
        <v>45419</v>
      </c>
      <c r="D553" t="s">
        <v>3491</v>
      </c>
      <c r="E553">
        <f>IF(ISNUMBER(MATCH(marketing_events_raw[[#This Row],[customer_id]], customers_clean!A:A, 0)), 1, 0)</f>
        <v>1</v>
      </c>
    </row>
    <row r="554" spans="1:5" x14ac:dyDescent="0.3">
      <c r="A554">
        <v>741973370</v>
      </c>
      <c r="B554">
        <v>477934</v>
      </c>
      <c r="C554" s="1">
        <v>44834</v>
      </c>
      <c r="D554" t="s">
        <v>3490</v>
      </c>
      <c r="E554">
        <f>IF(ISNUMBER(MATCH(marketing_events_raw[[#This Row],[customer_id]], customers_clean!A:A, 0)), 1, 0)</f>
        <v>1</v>
      </c>
    </row>
    <row r="555" spans="1:5" x14ac:dyDescent="0.3">
      <c r="A555">
        <v>132883895</v>
      </c>
      <c r="B555">
        <v>436208</v>
      </c>
      <c r="C555" s="1">
        <v>45138</v>
      </c>
      <c r="D555" t="s">
        <v>3490</v>
      </c>
      <c r="E555">
        <f>IF(ISNUMBER(MATCH(marketing_events_raw[[#This Row],[customer_id]], customers_clean!A:A, 0)), 1, 0)</f>
        <v>1</v>
      </c>
    </row>
    <row r="556" spans="1:5" x14ac:dyDescent="0.3">
      <c r="A556">
        <v>734417214</v>
      </c>
      <c r="B556">
        <v>652530</v>
      </c>
      <c r="C556" s="1">
        <v>45079</v>
      </c>
      <c r="D556" t="s">
        <v>3487</v>
      </c>
      <c r="E556">
        <f>IF(ISNUMBER(MATCH(marketing_events_raw[[#This Row],[customer_id]], customers_clean!A:A, 0)), 1, 0)</f>
        <v>1</v>
      </c>
    </row>
    <row r="557" spans="1:5" x14ac:dyDescent="0.3">
      <c r="A557">
        <v>584706065</v>
      </c>
      <c r="B557">
        <v>946485</v>
      </c>
      <c r="C557" s="1">
        <v>45094</v>
      </c>
      <c r="D557" t="s">
        <v>3493</v>
      </c>
      <c r="E557">
        <f>IF(ISNUMBER(MATCH(marketing_events_raw[[#This Row],[customer_id]], customers_clean!A:A, 0)), 1, 0)</f>
        <v>1</v>
      </c>
    </row>
    <row r="558" spans="1:5" x14ac:dyDescent="0.3">
      <c r="A558">
        <v>531526565</v>
      </c>
      <c r="B558">
        <v>320073</v>
      </c>
      <c r="C558" s="1">
        <v>44808</v>
      </c>
      <c r="D558" t="s">
        <v>3492</v>
      </c>
      <c r="E558">
        <f>IF(ISNUMBER(MATCH(marketing_events_raw[[#This Row],[customer_id]], customers_clean!A:A, 0)), 1, 0)</f>
        <v>1</v>
      </c>
    </row>
    <row r="559" spans="1:5" x14ac:dyDescent="0.3">
      <c r="A559">
        <v>490908237</v>
      </c>
      <c r="B559">
        <v>650818</v>
      </c>
      <c r="C559" s="1">
        <v>45415</v>
      </c>
      <c r="D559" t="s">
        <v>3492</v>
      </c>
      <c r="E559">
        <f>IF(ISNUMBER(MATCH(marketing_events_raw[[#This Row],[customer_id]], customers_clean!A:A, 0)), 1, 0)</f>
        <v>1</v>
      </c>
    </row>
    <row r="560" spans="1:5" x14ac:dyDescent="0.3">
      <c r="A560">
        <v>256384640</v>
      </c>
      <c r="B560">
        <v>388820</v>
      </c>
      <c r="C560" s="1">
        <v>44759</v>
      </c>
      <c r="D560" t="s">
        <v>3487</v>
      </c>
      <c r="E560">
        <f>IF(ISNUMBER(MATCH(marketing_events_raw[[#This Row],[customer_id]], customers_clean!A:A, 0)), 1, 0)</f>
        <v>1</v>
      </c>
    </row>
    <row r="561" spans="1:5" x14ac:dyDescent="0.3">
      <c r="A561">
        <v>785209984</v>
      </c>
      <c r="B561">
        <v>484264</v>
      </c>
      <c r="C561" s="1">
        <v>44558</v>
      </c>
      <c r="D561" t="s">
        <v>3487</v>
      </c>
      <c r="E561">
        <f>IF(ISNUMBER(MATCH(marketing_events_raw[[#This Row],[customer_id]], customers_clean!A:A, 0)), 1, 0)</f>
        <v>1</v>
      </c>
    </row>
    <row r="562" spans="1:5" x14ac:dyDescent="0.3">
      <c r="A562">
        <v>267570624</v>
      </c>
      <c r="B562">
        <v>147702</v>
      </c>
      <c r="C562" s="1">
        <v>45180</v>
      </c>
      <c r="D562" t="s">
        <v>3487</v>
      </c>
      <c r="E562">
        <f>IF(ISNUMBER(MATCH(marketing_events_raw[[#This Row],[customer_id]], customers_clean!A:A, 0)), 1, 0)</f>
        <v>1</v>
      </c>
    </row>
    <row r="563" spans="1:5" x14ac:dyDescent="0.3">
      <c r="A563">
        <v>243096531</v>
      </c>
      <c r="B563">
        <v>889327</v>
      </c>
      <c r="C563" s="1">
        <v>45122</v>
      </c>
      <c r="D563" t="s">
        <v>3487</v>
      </c>
      <c r="E563">
        <f>IF(ISNUMBER(MATCH(marketing_events_raw[[#This Row],[customer_id]], customers_clean!A:A, 0)), 1, 0)</f>
        <v>1</v>
      </c>
    </row>
    <row r="564" spans="1:5" x14ac:dyDescent="0.3">
      <c r="A564">
        <v>494018505</v>
      </c>
      <c r="B564">
        <v>591699</v>
      </c>
      <c r="C564" s="1">
        <v>44435</v>
      </c>
      <c r="D564" t="s">
        <v>3492</v>
      </c>
      <c r="E564">
        <f>IF(ISNUMBER(MATCH(marketing_events_raw[[#This Row],[customer_id]], customers_clean!A:A, 0)), 1, 0)</f>
        <v>1</v>
      </c>
    </row>
    <row r="565" spans="1:5" x14ac:dyDescent="0.3">
      <c r="A565">
        <v>511008592</v>
      </c>
      <c r="B565">
        <v>944654</v>
      </c>
      <c r="C565" s="1">
        <v>44398</v>
      </c>
      <c r="D565" t="s">
        <v>3487</v>
      </c>
      <c r="E565">
        <f>IF(ISNUMBER(MATCH(marketing_events_raw[[#This Row],[customer_id]], customers_clean!A:A, 0)), 1, 0)</f>
        <v>1</v>
      </c>
    </row>
    <row r="566" spans="1:5" x14ac:dyDescent="0.3">
      <c r="A566">
        <v>124218622</v>
      </c>
      <c r="B566">
        <v>859767</v>
      </c>
      <c r="C566" s="1">
        <v>44469</v>
      </c>
      <c r="D566" t="s">
        <v>3490</v>
      </c>
      <c r="E566">
        <f>IF(ISNUMBER(MATCH(marketing_events_raw[[#This Row],[customer_id]], customers_clean!A:A, 0)), 1, 0)</f>
        <v>1</v>
      </c>
    </row>
    <row r="567" spans="1:5" x14ac:dyDescent="0.3">
      <c r="A567">
        <v>415744816</v>
      </c>
      <c r="B567">
        <v>366105</v>
      </c>
      <c r="C567" s="1">
        <v>44944</v>
      </c>
      <c r="D567" t="s">
        <v>3490</v>
      </c>
      <c r="E567">
        <f>IF(ISNUMBER(MATCH(marketing_events_raw[[#This Row],[customer_id]], customers_clean!A:A, 0)), 1, 0)</f>
        <v>1</v>
      </c>
    </row>
    <row r="568" spans="1:5" x14ac:dyDescent="0.3">
      <c r="A568">
        <v>338888536</v>
      </c>
      <c r="B568">
        <v>989079</v>
      </c>
      <c r="C568" s="1">
        <v>44392</v>
      </c>
      <c r="D568" t="s">
        <v>3488</v>
      </c>
      <c r="E568">
        <f>IF(ISNUMBER(MATCH(marketing_events_raw[[#This Row],[customer_id]], customers_clean!A:A, 0)), 1, 0)</f>
        <v>1</v>
      </c>
    </row>
    <row r="569" spans="1:5" x14ac:dyDescent="0.3">
      <c r="A569">
        <v>505952856</v>
      </c>
      <c r="B569">
        <v>352356</v>
      </c>
      <c r="C569" s="1">
        <v>45424</v>
      </c>
      <c r="D569" t="s">
        <v>3493</v>
      </c>
      <c r="E569">
        <f>IF(ISNUMBER(MATCH(marketing_events_raw[[#This Row],[customer_id]], customers_clean!A:A, 0)), 1, 0)</f>
        <v>1</v>
      </c>
    </row>
    <row r="570" spans="1:5" x14ac:dyDescent="0.3">
      <c r="A570">
        <v>552023094</v>
      </c>
      <c r="B570">
        <v>758816</v>
      </c>
      <c r="C570" s="1">
        <v>44750</v>
      </c>
      <c r="D570" t="s">
        <v>3492</v>
      </c>
      <c r="E570">
        <f>IF(ISNUMBER(MATCH(marketing_events_raw[[#This Row],[customer_id]], customers_clean!A:A, 0)), 1, 0)</f>
        <v>1</v>
      </c>
    </row>
    <row r="571" spans="1:5" x14ac:dyDescent="0.3">
      <c r="A571">
        <v>143513663</v>
      </c>
      <c r="B571">
        <v>305222</v>
      </c>
      <c r="C571" s="1">
        <v>45430</v>
      </c>
      <c r="D571" t="s">
        <v>3487</v>
      </c>
      <c r="E571">
        <f>IF(ISNUMBER(MATCH(marketing_events_raw[[#This Row],[customer_id]], customers_clean!A:A, 0)), 1, 0)</f>
        <v>1</v>
      </c>
    </row>
    <row r="572" spans="1:5" x14ac:dyDescent="0.3">
      <c r="A572">
        <v>935402644</v>
      </c>
      <c r="B572">
        <v>839485</v>
      </c>
      <c r="C572" s="1">
        <v>44592</v>
      </c>
      <c r="D572" t="s">
        <v>3490</v>
      </c>
      <c r="E572">
        <f>IF(ISNUMBER(MATCH(marketing_events_raw[[#This Row],[customer_id]], customers_clean!A:A, 0)), 1, 0)</f>
        <v>1</v>
      </c>
    </row>
    <row r="573" spans="1:5" x14ac:dyDescent="0.3">
      <c r="A573">
        <v>103683345</v>
      </c>
      <c r="B573">
        <v>731661</v>
      </c>
      <c r="C573" s="1">
        <v>45225</v>
      </c>
      <c r="D573" t="s">
        <v>3487</v>
      </c>
      <c r="E573">
        <f>IF(ISNUMBER(MATCH(marketing_events_raw[[#This Row],[customer_id]], customers_clean!A:A, 0)), 1, 0)</f>
        <v>1</v>
      </c>
    </row>
    <row r="574" spans="1:5" x14ac:dyDescent="0.3">
      <c r="A574">
        <v>681426233</v>
      </c>
      <c r="B574">
        <v>229827</v>
      </c>
      <c r="C574" s="1">
        <v>45609</v>
      </c>
      <c r="D574" t="s">
        <v>3490</v>
      </c>
      <c r="E574">
        <f>IF(ISNUMBER(MATCH(marketing_events_raw[[#This Row],[customer_id]], customers_clean!A:A, 0)), 1, 0)</f>
        <v>1</v>
      </c>
    </row>
    <row r="575" spans="1:5" x14ac:dyDescent="0.3">
      <c r="A575">
        <v>821893612</v>
      </c>
      <c r="B575">
        <v>283027</v>
      </c>
      <c r="C575" s="1">
        <v>44938</v>
      </c>
      <c r="D575" t="s">
        <v>3488</v>
      </c>
      <c r="E575">
        <f>IF(ISNUMBER(MATCH(marketing_events_raw[[#This Row],[customer_id]], customers_clean!A:A, 0)), 1, 0)</f>
        <v>1</v>
      </c>
    </row>
    <row r="576" spans="1:5" x14ac:dyDescent="0.3">
      <c r="A576">
        <v>915717668</v>
      </c>
      <c r="B576">
        <v>903774</v>
      </c>
      <c r="C576" s="1">
        <v>44587</v>
      </c>
      <c r="D576" t="s">
        <v>3487</v>
      </c>
      <c r="E576">
        <f>IF(ISNUMBER(MATCH(marketing_events_raw[[#This Row],[customer_id]], customers_clean!A:A, 0)), 1, 0)</f>
        <v>1</v>
      </c>
    </row>
    <row r="577" spans="1:5" x14ac:dyDescent="0.3">
      <c r="A577">
        <v>245573193</v>
      </c>
      <c r="B577">
        <v>456844</v>
      </c>
      <c r="C577" s="1">
        <v>45480</v>
      </c>
      <c r="D577" t="s">
        <v>3489</v>
      </c>
      <c r="E577">
        <f>IF(ISNUMBER(MATCH(marketing_events_raw[[#This Row],[customer_id]], customers_clean!A:A, 0)), 1, 0)</f>
        <v>1</v>
      </c>
    </row>
    <row r="578" spans="1:5" x14ac:dyDescent="0.3">
      <c r="A578">
        <v>108276051</v>
      </c>
      <c r="B578">
        <v>115997</v>
      </c>
      <c r="C578" s="1">
        <v>45348</v>
      </c>
      <c r="D578" t="s">
        <v>3487</v>
      </c>
      <c r="E578">
        <f>IF(ISNUMBER(MATCH(marketing_events_raw[[#This Row],[customer_id]], customers_clean!A:A, 0)), 1, 0)</f>
        <v>1</v>
      </c>
    </row>
    <row r="579" spans="1:5" x14ac:dyDescent="0.3">
      <c r="A579">
        <v>280926067</v>
      </c>
      <c r="B579">
        <v>458224</v>
      </c>
      <c r="C579" s="1">
        <v>44775</v>
      </c>
      <c r="D579" t="s">
        <v>3491</v>
      </c>
      <c r="E579">
        <f>IF(ISNUMBER(MATCH(marketing_events_raw[[#This Row],[customer_id]], customers_clean!A:A, 0)), 1, 0)</f>
        <v>1</v>
      </c>
    </row>
    <row r="580" spans="1:5" x14ac:dyDescent="0.3">
      <c r="A580">
        <v>873217644</v>
      </c>
      <c r="B580">
        <v>758309</v>
      </c>
      <c r="C580" s="1">
        <v>44609</v>
      </c>
      <c r="D580" t="s">
        <v>3490</v>
      </c>
      <c r="E580">
        <f>IF(ISNUMBER(MATCH(marketing_events_raw[[#This Row],[customer_id]], customers_clean!A:A, 0)), 1, 0)</f>
        <v>1</v>
      </c>
    </row>
    <row r="581" spans="1:5" x14ac:dyDescent="0.3">
      <c r="A581">
        <v>477070584</v>
      </c>
      <c r="B581">
        <v>948878</v>
      </c>
      <c r="C581" s="1">
        <v>44712</v>
      </c>
      <c r="D581" t="s">
        <v>3489</v>
      </c>
      <c r="E581">
        <f>IF(ISNUMBER(MATCH(marketing_events_raw[[#This Row],[customer_id]], customers_clean!A:A, 0)), 1, 0)</f>
        <v>1</v>
      </c>
    </row>
    <row r="582" spans="1:5" x14ac:dyDescent="0.3">
      <c r="A582">
        <v>346282525</v>
      </c>
      <c r="B582">
        <v>852470</v>
      </c>
      <c r="C582" s="1">
        <v>44674</v>
      </c>
      <c r="D582" t="s">
        <v>3491</v>
      </c>
      <c r="E582">
        <f>IF(ISNUMBER(MATCH(marketing_events_raw[[#This Row],[customer_id]], customers_clean!A:A, 0)), 1, 0)</f>
        <v>1</v>
      </c>
    </row>
    <row r="583" spans="1:5" x14ac:dyDescent="0.3">
      <c r="A583">
        <v>259003151</v>
      </c>
      <c r="B583">
        <v>408467</v>
      </c>
      <c r="C583" s="1">
        <v>44752</v>
      </c>
      <c r="D583" t="s">
        <v>3489</v>
      </c>
      <c r="E583">
        <f>IF(ISNUMBER(MATCH(marketing_events_raw[[#This Row],[customer_id]], customers_clean!A:A, 0)), 1, 0)</f>
        <v>1</v>
      </c>
    </row>
    <row r="584" spans="1:5" x14ac:dyDescent="0.3">
      <c r="A584">
        <v>697071746</v>
      </c>
      <c r="B584">
        <v>409783</v>
      </c>
      <c r="C584" s="1">
        <v>44699</v>
      </c>
      <c r="D584" t="s">
        <v>3492</v>
      </c>
      <c r="E584">
        <f>IF(ISNUMBER(MATCH(marketing_events_raw[[#This Row],[customer_id]], customers_clean!A:A, 0)), 1, 0)</f>
        <v>1</v>
      </c>
    </row>
    <row r="585" spans="1:5" x14ac:dyDescent="0.3">
      <c r="A585">
        <v>114142209</v>
      </c>
      <c r="B585">
        <v>576133</v>
      </c>
      <c r="C585" s="1">
        <v>45479</v>
      </c>
      <c r="D585" t="s">
        <v>3492</v>
      </c>
      <c r="E585">
        <f>IF(ISNUMBER(MATCH(marketing_events_raw[[#This Row],[customer_id]], customers_clean!A:A, 0)), 1, 0)</f>
        <v>1</v>
      </c>
    </row>
    <row r="586" spans="1:5" x14ac:dyDescent="0.3">
      <c r="A586">
        <v>605777985</v>
      </c>
      <c r="B586">
        <v>645175</v>
      </c>
      <c r="C586" s="1">
        <v>45051</v>
      </c>
      <c r="D586" t="s">
        <v>3488</v>
      </c>
      <c r="E586">
        <f>IF(ISNUMBER(MATCH(marketing_events_raw[[#This Row],[customer_id]], customers_clean!A:A, 0)), 1, 0)</f>
        <v>1</v>
      </c>
    </row>
    <row r="587" spans="1:5" x14ac:dyDescent="0.3">
      <c r="A587">
        <v>267014814</v>
      </c>
      <c r="B587">
        <v>880623</v>
      </c>
      <c r="C587" s="1">
        <v>45459</v>
      </c>
      <c r="D587" t="s">
        <v>3489</v>
      </c>
      <c r="E587">
        <f>IF(ISNUMBER(MATCH(marketing_events_raw[[#This Row],[customer_id]], customers_clean!A:A, 0)), 1, 0)</f>
        <v>1</v>
      </c>
    </row>
    <row r="588" spans="1:5" x14ac:dyDescent="0.3">
      <c r="A588">
        <v>484309225</v>
      </c>
      <c r="B588">
        <v>537110</v>
      </c>
      <c r="C588" s="1">
        <v>45623</v>
      </c>
      <c r="D588" t="s">
        <v>3491</v>
      </c>
      <c r="E588">
        <f>IF(ISNUMBER(MATCH(marketing_events_raw[[#This Row],[customer_id]], customers_clean!A:A, 0)), 1, 0)</f>
        <v>1</v>
      </c>
    </row>
    <row r="589" spans="1:5" x14ac:dyDescent="0.3">
      <c r="A589">
        <v>739408398</v>
      </c>
      <c r="B589">
        <v>984293</v>
      </c>
      <c r="C589" s="1">
        <v>44990</v>
      </c>
      <c r="D589" t="s">
        <v>3490</v>
      </c>
      <c r="E589">
        <f>IF(ISNUMBER(MATCH(marketing_events_raw[[#This Row],[customer_id]], customers_clean!A:A, 0)), 1, 0)</f>
        <v>1</v>
      </c>
    </row>
    <row r="590" spans="1:5" x14ac:dyDescent="0.3">
      <c r="A590">
        <v>101383869</v>
      </c>
      <c r="B590">
        <v>343962</v>
      </c>
      <c r="C590" s="1">
        <v>44940</v>
      </c>
      <c r="D590" t="s">
        <v>3490</v>
      </c>
      <c r="E590">
        <f>IF(ISNUMBER(MATCH(marketing_events_raw[[#This Row],[customer_id]], customers_clean!A:A, 0)), 1, 0)</f>
        <v>1</v>
      </c>
    </row>
    <row r="591" spans="1:5" x14ac:dyDescent="0.3">
      <c r="A591">
        <v>141890667</v>
      </c>
      <c r="B591">
        <v>835575</v>
      </c>
      <c r="C591" s="1">
        <v>45517</v>
      </c>
      <c r="D591" t="s">
        <v>3492</v>
      </c>
      <c r="E591">
        <f>IF(ISNUMBER(MATCH(marketing_events_raw[[#This Row],[customer_id]], customers_clean!A:A, 0)), 1, 0)</f>
        <v>1</v>
      </c>
    </row>
    <row r="592" spans="1:5" x14ac:dyDescent="0.3">
      <c r="A592">
        <v>585729796</v>
      </c>
      <c r="B592">
        <v>888996</v>
      </c>
      <c r="C592" s="1">
        <v>45621</v>
      </c>
      <c r="D592" t="s">
        <v>3488</v>
      </c>
      <c r="E592">
        <f>IF(ISNUMBER(MATCH(marketing_events_raw[[#This Row],[customer_id]], customers_clean!A:A, 0)), 1, 0)</f>
        <v>1</v>
      </c>
    </row>
    <row r="593" spans="1:5" x14ac:dyDescent="0.3">
      <c r="A593">
        <v>224362959</v>
      </c>
      <c r="B593">
        <v>132653</v>
      </c>
      <c r="C593" s="1">
        <v>44849</v>
      </c>
      <c r="D593" t="s">
        <v>3492</v>
      </c>
      <c r="E593">
        <f>IF(ISNUMBER(MATCH(marketing_events_raw[[#This Row],[customer_id]], customers_clean!A:A, 0)), 1, 0)</f>
        <v>1</v>
      </c>
    </row>
    <row r="594" spans="1:5" x14ac:dyDescent="0.3">
      <c r="A594">
        <v>939403372</v>
      </c>
      <c r="B594">
        <v>731661</v>
      </c>
      <c r="C594" s="1">
        <v>44590</v>
      </c>
      <c r="D594" t="s">
        <v>3493</v>
      </c>
      <c r="E594">
        <f>IF(ISNUMBER(MATCH(marketing_events_raw[[#This Row],[customer_id]], customers_clean!A:A, 0)), 1, 0)</f>
        <v>1</v>
      </c>
    </row>
    <row r="595" spans="1:5" x14ac:dyDescent="0.3">
      <c r="A595">
        <v>223975535</v>
      </c>
      <c r="B595">
        <v>998746</v>
      </c>
      <c r="C595" s="1">
        <v>44886</v>
      </c>
      <c r="D595" t="s">
        <v>3492</v>
      </c>
      <c r="E595">
        <f>IF(ISNUMBER(MATCH(marketing_events_raw[[#This Row],[customer_id]], customers_clean!A:A, 0)), 1, 0)</f>
        <v>1</v>
      </c>
    </row>
    <row r="596" spans="1:5" x14ac:dyDescent="0.3">
      <c r="A596">
        <v>816200656</v>
      </c>
      <c r="B596">
        <v>299800</v>
      </c>
      <c r="C596" s="1">
        <v>44442</v>
      </c>
      <c r="D596" t="s">
        <v>3488</v>
      </c>
      <c r="E596">
        <f>IF(ISNUMBER(MATCH(marketing_events_raw[[#This Row],[customer_id]], customers_clean!A:A, 0)), 1, 0)</f>
        <v>1</v>
      </c>
    </row>
    <row r="597" spans="1:5" x14ac:dyDescent="0.3">
      <c r="A597">
        <v>931401864</v>
      </c>
      <c r="B597">
        <v>119943</v>
      </c>
      <c r="C597" s="1">
        <v>45025</v>
      </c>
      <c r="D597" t="s">
        <v>3489</v>
      </c>
      <c r="E597">
        <f>IF(ISNUMBER(MATCH(marketing_events_raw[[#This Row],[customer_id]], customers_clean!A:A, 0)), 1, 0)</f>
        <v>1</v>
      </c>
    </row>
    <row r="598" spans="1:5" x14ac:dyDescent="0.3">
      <c r="A598">
        <v>442184789</v>
      </c>
      <c r="B598">
        <v>493417</v>
      </c>
      <c r="C598" s="1">
        <v>45289</v>
      </c>
      <c r="D598" t="s">
        <v>3489</v>
      </c>
      <c r="E598">
        <f>IF(ISNUMBER(MATCH(marketing_events_raw[[#This Row],[customer_id]], customers_clean!A:A, 0)), 1, 0)</f>
        <v>1</v>
      </c>
    </row>
    <row r="599" spans="1:5" x14ac:dyDescent="0.3">
      <c r="A599">
        <v>276879621</v>
      </c>
      <c r="B599">
        <v>761519</v>
      </c>
      <c r="C599" s="1">
        <v>45468</v>
      </c>
      <c r="D599" t="s">
        <v>3491</v>
      </c>
      <c r="E599">
        <f>IF(ISNUMBER(MATCH(marketing_events_raw[[#This Row],[customer_id]], customers_clean!A:A, 0)), 1, 0)</f>
        <v>1</v>
      </c>
    </row>
    <row r="600" spans="1:5" x14ac:dyDescent="0.3">
      <c r="A600">
        <v>240930757</v>
      </c>
      <c r="B600">
        <v>301774</v>
      </c>
      <c r="C600" s="1">
        <v>44397</v>
      </c>
      <c r="D600" t="s">
        <v>3488</v>
      </c>
      <c r="E600">
        <f>IF(ISNUMBER(MATCH(marketing_events_raw[[#This Row],[customer_id]], customers_clean!A:A, 0)), 1, 0)</f>
        <v>1</v>
      </c>
    </row>
    <row r="601" spans="1:5" x14ac:dyDescent="0.3">
      <c r="A601">
        <v>568882287</v>
      </c>
      <c r="B601">
        <v>972064</v>
      </c>
      <c r="C601" s="1">
        <v>44974</v>
      </c>
      <c r="D601" t="s">
        <v>3490</v>
      </c>
      <c r="E601">
        <f>IF(ISNUMBER(MATCH(marketing_events_raw[[#This Row],[customer_id]], customers_clean!A:A, 0)), 1, 0)</f>
        <v>1</v>
      </c>
    </row>
    <row r="602" spans="1:5" x14ac:dyDescent="0.3">
      <c r="A602">
        <v>786718671</v>
      </c>
      <c r="B602">
        <v>781571</v>
      </c>
      <c r="C602" s="1">
        <v>45118</v>
      </c>
      <c r="D602" t="s">
        <v>3487</v>
      </c>
      <c r="E602">
        <f>IF(ISNUMBER(MATCH(marketing_events_raw[[#This Row],[customer_id]], customers_clean!A:A, 0)), 1, 0)</f>
        <v>1</v>
      </c>
    </row>
    <row r="603" spans="1:5" x14ac:dyDescent="0.3">
      <c r="A603">
        <v>697563674</v>
      </c>
      <c r="B603">
        <v>367747</v>
      </c>
      <c r="C603" s="1">
        <v>44465</v>
      </c>
      <c r="D603" t="s">
        <v>3491</v>
      </c>
      <c r="E603">
        <f>IF(ISNUMBER(MATCH(marketing_events_raw[[#This Row],[customer_id]], customers_clean!A:A, 0)), 1, 0)</f>
        <v>1</v>
      </c>
    </row>
    <row r="604" spans="1:5" x14ac:dyDescent="0.3">
      <c r="A604">
        <v>915153519</v>
      </c>
      <c r="B604">
        <v>661762</v>
      </c>
      <c r="C604" s="1">
        <v>45333</v>
      </c>
      <c r="D604" t="s">
        <v>3491</v>
      </c>
      <c r="E604">
        <f>IF(ISNUMBER(MATCH(marketing_events_raw[[#This Row],[customer_id]], customers_clean!A:A, 0)), 1, 0)</f>
        <v>1</v>
      </c>
    </row>
    <row r="605" spans="1:5" x14ac:dyDescent="0.3">
      <c r="A605">
        <v>357981600</v>
      </c>
      <c r="B605">
        <v>969659</v>
      </c>
      <c r="C605" s="1">
        <v>44441</v>
      </c>
      <c r="D605" t="s">
        <v>3489</v>
      </c>
      <c r="E605">
        <f>IF(ISNUMBER(MATCH(marketing_events_raw[[#This Row],[customer_id]], customers_clean!A:A, 0)), 1, 0)</f>
        <v>1</v>
      </c>
    </row>
    <row r="606" spans="1:5" x14ac:dyDescent="0.3">
      <c r="A606">
        <v>680303132</v>
      </c>
      <c r="B606">
        <v>574001</v>
      </c>
      <c r="C606" s="1">
        <v>44417</v>
      </c>
      <c r="D606" t="s">
        <v>3488</v>
      </c>
      <c r="E606">
        <f>IF(ISNUMBER(MATCH(marketing_events_raw[[#This Row],[customer_id]], customers_clean!A:A, 0)), 1, 0)</f>
        <v>1</v>
      </c>
    </row>
    <row r="607" spans="1:5" x14ac:dyDescent="0.3">
      <c r="A607">
        <v>178155433</v>
      </c>
      <c r="B607">
        <v>534096</v>
      </c>
      <c r="C607" s="1">
        <v>44430</v>
      </c>
      <c r="D607" t="s">
        <v>3492</v>
      </c>
      <c r="E607">
        <f>IF(ISNUMBER(MATCH(marketing_events_raw[[#This Row],[customer_id]], customers_clean!A:A, 0)), 1, 0)</f>
        <v>1</v>
      </c>
    </row>
    <row r="608" spans="1:5" x14ac:dyDescent="0.3">
      <c r="A608">
        <v>209872416</v>
      </c>
      <c r="B608">
        <v>517589</v>
      </c>
      <c r="C608" s="1">
        <v>45655</v>
      </c>
      <c r="D608" t="s">
        <v>3492</v>
      </c>
      <c r="E608">
        <f>IF(ISNUMBER(MATCH(marketing_events_raw[[#This Row],[customer_id]], customers_clean!A:A, 0)), 1, 0)</f>
        <v>1</v>
      </c>
    </row>
    <row r="609" spans="1:5" x14ac:dyDescent="0.3">
      <c r="A609">
        <v>864820968</v>
      </c>
      <c r="B609">
        <v>810032</v>
      </c>
      <c r="C609" s="1">
        <v>45056</v>
      </c>
      <c r="D609" t="s">
        <v>3489</v>
      </c>
      <c r="E609">
        <f>IF(ISNUMBER(MATCH(marketing_events_raw[[#This Row],[customer_id]], customers_clean!A:A, 0)), 1, 0)</f>
        <v>1</v>
      </c>
    </row>
    <row r="610" spans="1:5" x14ac:dyDescent="0.3">
      <c r="A610">
        <v>423499395</v>
      </c>
      <c r="B610">
        <v>720995</v>
      </c>
      <c r="C610" s="1">
        <v>44540</v>
      </c>
      <c r="D610" t="s">
        <v>3491</v>
      </c>
      <c r="E610">
        <f>IF(ISNUMBER(MATCH(marketing_events_raw[[#This Row],[customer_id]], customers_clean!A:A, 0)), 1, 0)</f>
        <v>1</v>
      </c>
    </row>
    <row r="611" spans="1:5" x14ac:dyDescent="0.3">
      <c r="A611">
        <v>457466198</v>
      </c>
      <c r="B611">
        <v>239849</v>
      </c>
      <c r="C611" s="1">
        <v>44640</v>
      </c>
      <c r="D611" t="s">
        <v>3488</v>
      </c>
      <c r="E611">
        <f>IF(ISNUMBER(MATCH(marketing_events_raw[[#This Row],[customer_id]], customers_clean!A:A, 0)), 1, 0)</f>
        <v>1</v>
      </c>
    </row>
    <row r="612" spans="1:5" x14ac:dyDescent="0.3">
      <c r="A612">
        <v>918312027</v>
      </c>
      <c r="B612">
        <v>311469</v>
      </c>
      <c r="C612" s="1">
        <v>45427</v>
      </c>
      <c r="D612" t="s">
        <v>3488</v>
      </c>
      <c r="E612">
        <f>IF(ISNUMBER(MATCH(marketing_events_raw[[#This Row],[customer_id]], customers_clean!A:A, 0)), 1, 0)</f>
        <v>1</v>
      </c>
    </row>
    <row r="613" spans="1:5" x14ac:dyDescent="0.3">
      <c r="A613">
        <v>202657152</v>
      </c>
      <c r="B613">
        <v>464354</v>
      </c>
      <c r="C613" s="1">
        <v>44919</v>
      </c>
      <c r="D613" t="s">
        <v>3492</v>
      </c>
      <c r="E613">
        <f>IF(ISNUMBER(MATCH(marketing_events_raw[[#This Row],[customer_id]], customers_clean!A:A, 0)), 1, 0)</f>
        <v>1</v>
      </c>
    </row>
    <row r="614" spans="1:5" x14ac:dyDescent="0.3">
      <c r="A614">
        <v>604155048</v>
      </c>
      <c r="B614">
        <v>799330</v>
      </c>
      <c r="C614" s="1">
        <v>45520</v>
      </c>
      <c r="D614" t="s">
        <v>3487</v>
      </c>
      <c r="E614">
        <f>IF(ISNUMBER(MATCH(marketing_events_raw[[#This Row],[customer_id]], customers_clean!A:A, 0)), 1, 0)</f>
        <v>1</v>
      </c>
    </row>
    <row r="615" spans="1:5" x14ac:dyDescent="0.3">
      <c r="A615">
        <v>958851130</v>
      </c>
      <c r="B615">
        <v>101657</v>
      </c>
      <c r="C615" s="1">
        <v>45312</v>
      </c>
      <c r="D615" t="s">
        <v>3492</v>
      </c>
      <c r="E615">
        <f>IF(ISNUMBER(MATCH(marketing_events_raw[[#This Row],[customer_id]], customers_clean!A:A, 0)), 1, 0)</f>
        <v>1</v>
      </c>
    </row>
    <row r="616" spans="1:5" x14ac:dyDescent="0.3">
      <c r="A616">
        <v>886799247</v>
      </c>
      <c r="B616">
        <v>682316</v>
      </c>
      <c r="C616" s="1">
        <v>44645</v>
      </c>
      <c r="D616" t="s">
        <v>3491</v>
      </c>
      <c r="E616">
        <f>IF(ISNUMBER(MATCH(marketing_events_raw[[#This Row],[customer_id]], customers_clean!A:A, 0)), 1, 0)</f>
        <v>1</v>
      </c>
    </row>
    <row r="617" spans="1:5" x14ac:dyDescent="0.3">
      <c r="A617">
        <v>139097790</v>
      </c>
      <c r="B617">
        <v>252640</v>
      </c>
      <c r="C617" s="1">
        <v>44740</v>
      </c>
      <c r="D617" t="s">
        <v>3490</v>
      </c>
      <c r="E617">
        <f>IF(ISNUMBER(MATCH(marketing_events_raw[[#This Row],[customer_id]], customers_clean!A:A, 0)), 1, 0)</f>
        <v>1</v>
      </c>
    </row>
    <row r="618" spans="1:5" x14ac:dyDescent="0.3">
      <c r="A618">
        <v>788869169</v>
      </c>
      <c r="B618">
        <v>189318</v>
      </c>
      <c r="C618" s="1">
        <v>45426</v>
      </c>
      <c r="D618" t="s">
        <v>3493</v>
      </c>
      <c r="E618">
        <f>IF(ISNUMBER(MATCH(marketing_events_raw[[#This Row],[customer_id]], customers_clean!A:A, 0)), 1, 0)</f>
        <v>1</v>
      </c>
    </row>
    <row r="619" spans="1:5" x14ac:dyDescent="0.3">
      <c r="A619">
        <v>696426568</v>
      </c>
      <c r="B619">
        <v>444582</v>
      </c>
      <c r="C619" s="1">
        <v>45631</v>
      </c>
      <c r="D619" t="s">
        <v>3489</v>
      </c>
      <c r="E619">
        <f>IF(ISNUMBER(MATCH(marketing_events_raw[[#This Row],[customer_id]], customers_clean!A:A, 0)), 1, 0)</f>
        <v>1</v>
      </c>
    </row>
    <row r="620" spans="1:5" x14ac:dyDescent="0.3">
      <c r="A620">
        <v>124237378</v>
      </c>
      <c r="B620">
        <v>373342</v>
      </c>
      <c r="C620" s="1">
        <v>45171</v>
      </c>
      <c r="D620" t="s">
        <v>3489</v>
      </c>
      <c r="E620">
        <f>IF(ISNUMBER(MATCH(marketing_events_raw[[#This Row],[customer_id]], customers_clean!A:A, 0)), 1, 0)</f>
        <v>1</v>
      </c>
    </row>
    <row r="621" spans="1:5" x14ac:dyDescent="0.3">
      <c r="A621">
        <v>911758204</v>
      </c>
      <c r="B621">
        <v>221660</v>
      </c>
      <c r="C621" s="1">
        <v>45087</v>
      </c>
      <c r="D621" t="s">
        <v>3487</v>
      </c>
      <c r="E621">
        <f>IF(ISNUMBER(MATCH(marketing_events_raw[[#This Row],[customer_id]], customers_clean!A:A, 0)), 1, 0)</f>
        <v>1</v>
      </c>
    </row>
    <row r="622" spans="1:5" x14ac:dyDescent="0.3">
      <c r="A622">
        <v>700485168</v>
      </c>
      <c r="B622">
        <v>651400</v>
      </c>
      <c r="C622" s="1">
        <v>44433</v>
      </c>
      <c r="D622" t="s">
        <v>3493</v>
      </c>
      <c r="E622">
        <f>IF(ISNUMBER(MATCH(marketing_events_raw[[#This Row],[customer_id]], customers_clean!A:A, 0)), 1, 0)</f>
        <v>1</v>
      </c>
    </row>
    <row r="623" spans="1:5" x14ac:dyDescent="0.3">
      <c r="A623">
        <v>344109289</v>
      </c>
      <c r="B623">
        <v>992744</v>
      </c>
      <c r="C623" s="1">
        <v>45333</v>
      </c>
      <c r="D623" t="s">
        <v>3491</v>
      </c>
      <c r="E623">
        <f>IF(ISNUMBER(MATCH(marketing_events_raw[[#This Row],[customer_id]], customers_clean!A:A, 0)), 1, 0)</f>
        <v>1</v>
      </c>
    </row>
    <row r="624" spans="1:5" x14ac:dyDescent="0.3">
      <c r="A624">
        <v>728335264</v>
      </c>
      <c r="B624">
        <v>753534</v>
      </c>
      <c r="C624" s="1">
        <v>44618</v>
      </c>
      <c r="D624" t="s">
        <v>3493</v>
      </c>
      <c r="E624">
        <f>IF(ISNUMBER(MATCH(marketing_events_raw[[#This Row],[customer_id]], customers_clean!A:A, 0)), 1, 0)</f>
        <v>1</v>
      </c>
    </row>
    <row r="625" spans="1:5" x14ac:dyDescent="0.3">
      <c r="A625">
        <v>256668565</v>
      </c>
      <c r="B625">
        <v>631297</v>
      </c>
      <c r="C625" s="1">
        <v>44581</v>
      </c>
      <c r="D625" t="s">
        <v>3489</v>
      </c>
      <c r="E625">
        <f>IF(ISNUMBER(MATCH(marketing_events_raw[[#This Row],[customer_id]], customers_clean!A:A, 0)), 1, 0)</f>
        <v>1</v>
      </c>
    </row>
    <row r="626" spans="1:5" x14ac:dyDescent="0.3">
      <c r="A626">
        <v>984663831</v>
      </c>
      <c r="B626">
        <v>799631</v>
      </c>
      <c r="C626" s="1">
        <v>45652</v>
      </c>
      <c r="D626" t="s">
        <v>3493</v>
      </c>
      <c r="E626">
        <f>IF(ISNUMBER(MATCH(marketing_events_raw[[#This Row],[customer_id]], customers_clean!A:A, 0)), 1, 0)</f>
        <v>1</v>
      </c>
    </row>
    <row r="627" spans="1:5" x14ac:dyDescent="0.3">
      <c r="A627">
        <v>871724641</v>
      </c>
      <c r="B627">
        <v>947684</v>
      </c>
      <c r="C627" s="1">
        <v>45292</v>
      </c>
      <c r="D627" t="s">
        <v>3492</v>
      </c>
      <c r="E627">
        <f>IF(ISNUMBER(MATCH(marketing_events_raw[[#This Row],[customer_id]], customers_clean!A:A, 0)), 1, 0)</f>
        <v>1</v>
      </c>
    </row>
    <row r="628" spans="1:5" x14ac:dyDescent="0.3">
      <c r="A628">
        <v>357215696</v>
      </c>
      <c r="B628">
        <v>871501</v>
      </c>
      <c r="C628" s="1">
        <v>45206</v>
      </c>
      <c r="D628" t="s">
        <v>3491</v>
      </c>
      <c r="E628">
        <f>IF(ISNUMBER(MATCH(marketing_events_raw[[#This Row],[customer_id]], customers_clean!A:A, 0)), 1, 0)</f>
        <v>1</v>
      </c>
    </row>
    <row r="629" spans="1:5" x14ac:dyDescent="0.3">
      <c r="A629">
        <v>718162780</v>
      </c>
      <c r="B629">
        <v>366105</v>
      </c>
      <c r="C629" s="1">
        <v>44410</v>
      </c>
      <c r="D629" t="s">
        <v>3492</v>
      </c>
      <c r="E629">
        <f>IF(ISNUMBER(MATCH(marketing_events_raw[[#This Row],[customer_id]], customers_clean!A:A, 0)), 1, 0)</f>
        <v>1</v>
      </c>
    </row>
    <row r="630" spans="1:5" x14ac:dyDescent="0.3">
      <c r="A630">
        <v>974370733</v>
      </c>
      <c r="B630">
        <v>682667</v>
      </c>
      <c r="C630" s="1">
        <v>45061</v>
      </c>
      <c r="D630" t="s">
        <v>3491</v>
      </c>
      <c r="E630">
        <f>IF(ISNUMBER(MATCH(marketing_events_raw[[#This Row],[customer_id]], customers_clean!A:A, 0)), 1, 0)</f>
        <v>1</v>
      </c>
    </row>
    <row r="631" spans="1:5" x14ac:dyDescent="0.3">
      <c r="A631">
        <v>446993509</v>
      </c>
      <c r="B631">
        <v>599365</v>
      </c>
      <c r="C631" s="1">
        <v>45087</v>
      </c>
      <c r="D631" t="s">
        <v>3487</v>
      </c>
      <c r="E631">
        <f>IF(ISNUMBER(MATCH(marketing_events_raw[[#This Row],[customer_id]], customers_clean!A:A, 0)), 1, 0)</f>
        <v>1</v>
      </c>
    </row>
    <row r="632" spans="1:5" x14ac:dyDescent="0.3">
      <c r="A632">
        <v>942079705</v>
      </c>
      <c r="B632">
        <v>963617</v>
      </c>
      <c r="C632" s="1">
        <v>45144</v>
      </c>
      <c r="D632" t="s">
        <v>3491</v>
      </c>
      <c r="E632">
        <f>IF(ISNUMBER(MATCH(marketing_events_raw[[#This Row],[customer_id]], customers_clean!A:A, 0)), 1, 0)</f>
        <v>1</v>
      </c>
    </row>
    <row r="633" spans="1:5" x14ac:dyDescent="0.3">
      <c r="A633">
        <v>714357562</v>
      </c>
      <c r="B633">
        <v>256189</v>
      </c>
      <c r="C633" s="1">
        <v>45008</v>
      </c>
      <c r="D633" t="s">
        <v>3493</v>
      </c>
      <c r="E633">
        <f>IF(ISNUMBER(MATCH(marketing_events_raw[[#This Row],[customer_id]], customers_clean!A:A, 0)), 1, 0)</f>
        <v>1</v>
      </c>
    </row>
    <row r="634" spans="1:5" x14ac:dyDescent="0.3">
      <c r="A634">
        <v>924801062</v>
      </c>
      <c r="B634">
        <v>974994</v>
      </c>
      <c r="C634" s="1">
        <v>44424</v>
      </c>
      <c r="D634" t="s">
        <v>3491</v>
      </c>
      <c r="E634">
        <f>IF(ISNUMBER(MATCH(marketing_events_raw[[#This Row],[customer_id]], customers_clean!A:A, 0)), 1, 0)</f>
        <v>1</v>
      </c>
    </row>
    <row r="635" spans="1:5" x14ac:dyDescent="0.3">
      <c r="A635">
        <v>915571858</v>
      </c>
      <c r="B635">
        <v>974994</v>
      </c>
      <c r="C635" s="1">
        <v>44951</v>
      </c>
      <c r="D635" t="s">
        <v>3489</v>
      </c>
      <c r="E635">
        <f>IF(ISNUMBER(MATCH(marketing_events_raw[[#This Row],[customer_id]], customers_clean!A:A, 0)), 1, 0)</f>
        <v>1</v>
      </c>
    </row>
    <row r="636" spans="1:5" x14ac:dyDescent="0.3">
      <c r="A636">
        <v>718381406</v>
      </c>
      <c r="B636">
        <v>923914</v>
      </c>
      <c r="C636" s="1">
        <v>44383</v>
      </c>
      <c r="D636" t="s">
        <v>3488</v>
      </c>
      <c r="E636">
        <f>IF(ISNUMBER(MATCH(marketing_events_raw[[#This Row],[customer_id]], customers_clean!A:A, 0)), 1, 0)</f>
        <v>1</v>
      </c>
    </row>
    <row r="637" spans="1:5" x14ac:dyDescent="0.3">
      <c r="A637">
        <v>550007194</v>
      </c>
      <c r="B637">
        <v>531066</v>
      </c>
      <c r="C637" s="1">
        <v>45616</v>
      </c>
      <c r="D637" t="s">
        <v>3487</v>
      </c>
      <c r="E637">
        <f>IF(ISNUMBER(MATCH(marketing_events_raw[[#This Row],[customer_id]], customers_clean!A:A, 0)), 1, 0)</f>
        <v>1</v>
      </c>
    </row>
    <row r="638" spans="1:5" x14ac:dyDescent="0.3">
      <c r="A638">
        <v>708208946</v>
      </c>
      <c r="B638">
        <v>773088</v>
      </c>
      <c r="C638" s="1">
        <v>44482</v>
      </c>
      <c r="D638" t="s">
        <v>3493</v>
      </c>
      <c r="E638">
        <f>IF(ISNUMBER(MATCH(marketing_events_raw[[#This Row],[customer_id]], customers_clean!A:A, 0)), 1, 0)</f>
        <v>1</v>
      </c>
    </row>
    <row r="639" spans="1:5" x14ac:dyDescent="0.3">
      <c r="A639">
        <v>420015135</v>
      </c>
      <c r="B639">
        <v>182020</v>
      </c>
      <c r="C639" s="1">
        <v>45117</v>
      </c>
      <c r="D639" t="s">
        <v>3489</v>
      </c>
      <c r="E639">
        <f>IF(ISNUMBER(MATCH(marketing_events_raw[[#This Row],[customer_id]], customers_clean!A:A, 0)), 1, 0)</f>
        <v>1</v>
      </c>
    </row>
    <row r="640" spans="1:5" x14ac:dyDescent="0.3">
      <c r="A640">
        <v>658154519</v>
      </c>
      <c r="B640">
        <v>735988</v>
      </c>
      <c r="C640" s="1">
        <v>45626</v>
      </c>
      <c r="D640" t="s">
        <v>3488</v>
      </c>
      <c r="E640">
        <f>IF(ISNUMBER(MATCH(marketing_events_raw[[#This Row],[customer_id]], customers_clean!A:A, 0)), 1, 0)</f>
        <v>1</v>
      </c>
    </row>
    <row r="641" spans="1:5" x14ac:dyDescent="0.3">
      <c r="A641">
        <v>683280048</v>
      </c>
      <c r="B641">
        <v>283027</v>
      </c>
      <c r="C641" s="1">
        <v>45260</v>
      </c>
      <c r="D641" t="s">
        <v>3490</v>
      </c>
      <c r="E641">
        <f>IF(ISNUMBER(MATCH(marketing_events_raw[[#This Row],[customer_id]], customers_clean!A:A, 0)), 1, 0)</f>
        <v>1</v>
      </c>
    </row>
    <row r="642" spans="1:5" x14ac:dyDescent="0.3">
      <c r="A642">
        <v>505082191</v>
      </c>
      <c r="B642">
        <v>875165</v>
      </c>
      <c r="C642" s="1">
        <v>44518</v>
      </c>
      <c r="D642" t="s">
        <v>3493</v>
      </c>
      <c r="E642">
        <f>IF(ISNUMBER(MATCH(marketing_events_raw[[#This Row],[customer_id]], customers_clean!A:A, 0)), 1, 0)</f>
        <v>1</v>
      </c>
    </row>
    <row r="643" spans="1:5" x14ac:dyDescent="0.3">
      <c r="A643">
        <v>152045272</v>
      </c>
      <c r="B643">
        <v>505426</v>
      </c>
      <c r="C643" s="1">
        <v>45177</v>
      </c>
      <c r="D643" t="s">
        <v>3492</v>
      </c>
      <c r="E643">
        <f>IF(ISNUMBER(MATCH(marketing_events_raw[[#This Row],[customer_id]], customers_clean!A:A, 0)), 1, 0)</f>
        <v>1</v>
      </c>
    </row>
    <row r="644" spans="1:5" x14ac:dyDescent="0.3">
      <c r="A644">
        <v>551378108</v>
      </c>
      <c r="B644">
        <v>864491</v>
      </c>
      <c r="C644" s="1">
        <v>45323</v>
      </c>
      <c r="D644" t="s">
        <v>3489</v>
      </c>
      <c r="E644">
        <f>IF(ISNUMBER(MATCH(marketing_events_raw[[#This Row],[customer_id]], customers_clean!A:A, 0)), 1, 0)</f>
        <v>1</v>
      </c>
    </row>
    <row r="645" spans="1:5" x14ac:dyDescent="0.3">
      <c r="A645">
        <v>350749016</v>
      </c>
      <c r="B645">
        <v>140115</v>
      </c>
      <c r="C645" s="1">
        <v>45308</v>
      </c>
      <c r="D645" t="s">
        <v>3488</v>
      </c>
      <c r="E645">
        <f>IF(ISNUMBER(MATCH(marketing_events_raw[[#This Row],[customer_id]], customers_clean!A:A, 0)), 1, 0)</f>
        <v>1</v>
      </c>
    </row>
    <row r="646" spans="1:5" x14ac:dyDescent="0.3">
      <c r="A646">
        <v>393527111</v>
      </c>
      <c r="B646">
        <v>802812</v>
      </c>
      <c r="C646" s="1">
        <v>45142</v>
      </c>
      <c r="D646" t="s">
        <v>3487</v>
      </c>
      <c r="E646">
        <f>IF(ISNUMBER(MATCH(marketing_events_raw[[#This Row],[customer_id]], customers_clean!A:A, 0)), 1, 0)</f>
        <v>1</v>
      </c>
    </row>
    <row r="647" spans="1:5" x14ac:dyDescent="0.3">
      <c r="A647">
        <v>146419246</v>
      </c>
      <c r="B647">
        <v>447997</v>
      </c>
      <c r="C647" s="1">
        <v>44551</v>
      </c>
      <c r="D647" t="s">
        <v>3487</v>
      </c>
      <c r="E647">
        <f>IF(ISNUMBER(MATCH(marketing_events_raw[[#This Row],[customer_id]], customers_clean!A:A, 0)), 1, 0)</f>
        <v>1</v>
      </c>
    </row>
    <row r="648" spans="1:5" x14ac:dyDescent="0.3">
      <c r="A648">
        <v>441822918</v>
      </c>
      <c r="B648">
        <v>447177</v>
      </c>
      <c r="C648" s="1">
        <v>44676</v>
      </c>
      <c r="D648" t="s">
        <v>3487</v>
      </c>
      <c r="E648">
        <f>IF(ISNUMBER(MATCH(marketing_events_raw[[#This Row],[customer_id]], customers_clean!A:A, 0)), 1, 0)</f>
        <v>1</v>
      </c>
    </row>
    <row r="649" spans="1:5" x14ac:dyDescent="0.3">
      <c r="A649">
        <v>544931228</v>
      </c>
      <c r="B649">
        <v>609232</v>
      </c>
      <c r="C649" s="1">
        <v>44572</v>
      </c>
      <c r="D649" t="s">
        <v>3489</v>
      </c>
      <c r="E649">
        <f>IF(ISNUMBER(MATCH(marketing_events_raw[[#This Row],[customer_id]], customers_clean!A:A, 0)), 1, 0)</f>
        <v>1</v>
      </c>
    </row>
    <row r="650" spans="1:5" x14ac:dyDescent="0.3">
      <c r="A650">
        <v>549097560</v>
      </c>
      <c r="B650">
        <v>548377</v>
      </c>
      <c r="C650" s="1">
        <v>45529</v>
      </c>
      <c r="D650" t="s">
        <v>3490</v>
      </c>
      <c r="E650">
        <f>IF(ISNUMBER(MATCH(marketing_events_raw[[#This Row],[customer_id]], customers_clean!A:A, 0)), 1, 0)</f>
        <v>1</v>
      </c>
    </row>
    <row r="651" spans="1:5" x14ac:dyDescent="0.3">
      <c r="A651">
        <v>420878001</v>
      </c>
      <c r="B651">
        <v>613989</v>
      </c>
      <c r="C651" s="1">
        <v>45585</v>
      </c>
      <c r="D651" t="s">
        <v>3491</v>
      </c>
      <c r="E651">
        <f>IF(ISNUMBER(MATCH(marketing_events_raw[[#This Row],[customer_id]], customers_clean!A:A, 0)), 1, 0)</f>
        <v>1</v>
      </c>
    </row>
    <row r="652" spans="1:5" x14ac:dyDescent="0.3">
      <c r="A652">
        <v>162906470</v>
      </c>
      <c r="B652">
        <v>744883</v>
      </c>
      <c r="C652" s="1">
        <v>44668</v>
      </c>
      <c r="D652" t="s">
        <v>3492</v>
      </c>
      <c r="E652">
        <f>IF(ISNUMBER(MATCH(marketing_events_raw[[#This Row],[customer_id]], customers_clean!A:A, 0)), 1, 0)</f>
        <v>1</v>
      </c>
    </row>
    <row r="653" spans="1:5" x14ac:dyDescent="0.3">
      <c r="A653">
        <v>336171651</v>
      </c>
      <c r="B653">
        <v>257782</v>
      </c>
      <c r="C653" s="1">
        <v>44423</v>
      </c>
      <c r="D653" t="s">
        <v>3491</v>
      </c>
      <c r="E653">
        <f>IF(ISNUMBER(MATCH(marketing_events_raw[[#This Row],[customer_id]], customers_clean!A:A, 0)), 1, 0)</f>
        <v>1</v>
      </c>
    </row>
    <row r="654" spans="1:5" x14ac:dyDescent="0.3">
      <c r="A654">
        <v>401026616</v>
      </c>
      <c r="B654">
        <v>927094</v>
      </c>
      <c r="C654" s="1">
        <v>44780</v>
      </c>
      <c r="D654" t="s">
        <v>3487</v>
      </c>
      <c r="E654">
        <f>IF(ISNUMBER(MATCH(marketing_events_raw[[#This Row],[customer_id]], customers_clean!A:A, 0)), 1, 0)</f>
        <v>1</v>
      </c>
    </row>
    <row r="655" spans="1:5" x14ac:dyDescent="0.3">
      <c r="A655">
        <v>876192887</v>
      </c>
      <c r="B655">
        <v>139286</v>
      </c>
      <c r="C655" s="1">
        <v>45198</v>
      </c>
      <c r="D655" t="s">
        <v>3491</v>
      </c>
      <c r="E655">
        <f>IF(ISNUMBER(MATCH(marketing_events_raw[[#This Row],[customer_id]], customers_clean!A:A, 0)), 1, 0)</f>
        <v>1</v>
      </c>
    </row>
    <row r="656" spans="1:5" x14ac:dyDescent="0.3">
      <c r="A656">
        <v>759041919</v>
      </c>
      <c r="B656">
        <v>409531</v>
      </c>
      <c r="C656" s="1">
        <v>44711</v>
      </c>
      <c r="D656" t="s">
        <v>3493</v>
      </c>
      <c r="E656">
        <f>IF(ISNUMBER(MATCH(marketing_events_raw[[#This Row],[customer_id]], customers_clean!A:A, 0)), 1, 0)</f>
        <v>1</v>
      </c>
    </row>
    <row r="657" spans="1:5" x14ac:dyDescent="0.3">
      <c r="A657">
        <v>758063738</v>
      </c>
      <c r="B657">
        <v>843963</v>
      </c>
      <c r="C657" s="1">
        <v>45196</v>
      </c>
      <c r="D657" t="s">
        <v>3492</v>
      </c>
      <c r="E657">
        <f>IF(ISNUMBER(MATCH(marketing_events_raw[[#This Row],[customer_id]], customers_clean!A:A, 0)), 1, 0)</f>
        <v>1</v>
      </c>
    </row>
    <row r="658" spans="1:5" x14ac:dyDescent="0.3">
      <c r="A658">
        <v>389215848</v>
      </c>
      <c r="B658">
        <v>979414</v>
      </c>
      <c r="C658" s="1">
        <v>44999</v>
      </c>
      <c r="D658" t="s">
        <v>3487</v>
      </c>
      <c r="E658">
        <f>IF(ISNUMBER(MATCH(marketing_events_raw[[#This Row],[customer_id]], customers_clean!A:A, 0)), 1, 0)</f>
        <v>1</v>
      </c>
    </row>
    <row r="659" spans="1:5" x14ac:dyDescent="0.3">
      <c r="A659">
        <v>930938733</v>
      </c>
      <c r="B659">
        <v>817555</v>
      </c>
      <c r="C659" s="1">
        <v>45403</v>
      </c>
      <c r="D659" t="s">
        <v>3488</v>
      </c>
      <c r="E659">
        <f>IF(ISNUMBER(MATCH(marketing_events_raw[[#This Row],[customer_id]], customers_clean!A:A, 0)), 1, 0)</f>
        <v>1</v>
      </c>
    </row>
    <row r="660" spans="1:5" x14ac:dyDescent="0.3">
      <c r="A660">
        <v>293649379</v>
      </c>
      <c r="B660">
        <v>288056</v>
      </c>
      <c r="C660" s="1">
        <v>45043</v>
      </c>
      <c r="D660" t="s">
        <v>3488</v>
      </c>
      <c r="E660">
        <f>IF(ISNUMBER(MATCH(marketing_events_raw[[#This Row],[customer_id]], customers_clean!A:A, 0)), 1, 0)</f>
        <v>1</v>
      </c>
    </row>
    <row r="661" spans="1:5" x14ac:dyDescent="0.3">
      <c r="A661">
        <v>971440353</v>
      </c>
      <c r="B661">
        <v>212157</v>
      </c>
      <c r="C661" s="1">
        <v>44400</v>
      </c>
      <c r="D661" t="s">
        <v>3491</v>
      </c>
      <c r="E661">
        <f>IF(ISNUMBER(MATCH(marketing_events_raw[[#This Row],[customer_id]], customers_clean!A:A, 0)), 1, 0)</f>
        <v>1</v>
      </c>
    </row>
    <row r="662" spans="1:5" x14ac:dyDescent="0.3">
      <c r="A662">
        <v>402778221</v>
      </c>
      <c r="B662">
        <v>419739</v>
      </c>
      <c r="C662" s="1">
        <v>44759</v>
      </c>
      <c r="D662" t="s">
        <v>3489</v>
      </c>
      <c r="E662">
        <f>IF(ISNUMBER(MATCH(marketing_events_raw[[#This Row],[customer_id]], customers_clean!A:A, 0)), 1, 0)</f>
        <v>1</v>
      </c>
    </row>
    <row r="663" spans="1:5" x14ac:dyDescent="0.3">
      <c r="A663">
        <v>898806620</v>
      </c>
      <c r="B663">
        <v>114463</v>
      </c>
      <c r="C663" s="1">
        <v>44670</v>
      </c>
      <c r="D663" t="s">
        <v>3492</v>
      </c>
      <c r="E663">
        <f>IF(ISNUMBER(MATCH(marketing_events_raw[[#This Row],[customer_id]], customers_clean!A:A, 0)), 1, 0)</f>
        <v>1</v>
      </c>
    </row>
    <row r="664" spans="1:5" x14ac:dyDescent="0.3">
      <c r="A664">
        <v>286948009</v>
      </c>
      <c r="B664">
        <v>644951</v>
      </c>
      <c r="C664" s="1">
        <v>44817</v>
      </c>
      <c r="D664" t="s">
        <v>3492</v>
      </c>
      <c r="E664">
        <f>IF(ISNUMBER(MATCH(marketing_events_raw[[#This Row],[customer_id]], customers_clean!A:A, 0)), 1, 0)</f>
        <v>1</v>
      </c>
    </row>
    <row r="665" spans="1:5" x14ac:dyDescent="0.3">
      <c r="A665">
        <v>650060512</v>
      </c>
      <c r="B665">
        <v>808011</v>
      </c>
      <c r="C665" s="1">
        <v>44391</v>
      </c>
      <c r="D665" t="s">
        <v>3488</v>
      </c>
      <c r="E665">
        <f>IF(ISNUMBER(MATCH(marketing_events_raw[[#This Row],[customer_id]], customers_clean!A:A, 0)), 1, 0)</f>
        <v>1</v>
      </c>
    </row>
    <row r="666" spans="1:5" x14ac:dyDescent="0.3">
      <c r="A666">
        <v>134262820</v>
      </c>
      <c r="B666">
        <v>849014</v>
      </c>
      <c r="C666" s="1">
        <v>44942</v>
      </c>
      <c r="D666" t="s">
        <v>3490</v>
      </c>
      <c r="E666">
        <f>IF(ISNUMBER(MATCH(marketing_events_raw[[#This Row],[customer_id]], customers_clean!A:A, 0)), 1, 0)</f>
        <v>1</v>
      </c>
    </row>
    <row r="667" spans="1:5" x14ac:dyDescent="0.3">
      <c r="A667">
        <v>587875211</v>
      </c>
      <c r="B667">
        <v>817611</v>
      </c>
      <c r="C667" s="1">
        <v>44640</v>
      </c>
      <c r="D667" t="s">
        <v>3492</v>
      </c>
      <c r="E667">
        <f>IF(ISNUMBER(MATCH(marketing_events_raw[[#This Row],[customer_id]], customers_clean!A:A, 0)), 1, 0)</f>
        <v>1</v>
      </c>
    </row>
    <row r="668" spans="1:5" x14ac:dyDescent="0.3">
      <c r="A668">
        <v>218767591</v>
      </c>
      <c r="B668">
        <v>895262</v>
      </c>
      <c r="C668" s="1">
        <v>45059</v>
      </c>
      <c r="D668" t="s">
        <v>3492</v>
      </c>
      <c r="E668">
        <f>IF(ISNUMBER(MATCH(marketing_events_raw[[#This Row],[customer_id]], customers_clean!A:A, 0)), 1, 0)</f>
        <v>1</v>
      </c>
    </row>
    <row r="669" spans="1:5" x14ac:dyDescent="0.3">
      <c r="A669">
        <v>364785282</v>
      </c>
      <c r="B669">
        <v>771088</v>
      </c>
      <c r="C669" s="1">
        <v>45197</v>
      </c>
      <c r="D669" t="s">
        <v>3491</v>
      </c>
      <c r="E669">
        <f>IF(ISNUMBER(MATCH(marketing_events_raw[[#This Row],[customer_id]], customers_clean!A:A, 0)), 1, 0)</f>
        <v>1</v>
      </c>
    </row>
    <row r="670" spans="1:5" x14ac:dyDescent="0.3">
      <c r="A670">
        <v>215977395</v>
      </c>
      <c r="B670">
        <v>981473</v>
      </c>
      <c r="C670" s="1">
        <v>45052</v>
      </c>
      <c r="D670" t="s">
        <v>3491</v>
      </c>
      <c r="E670">
        <f>IF(ISNUMBER(MATCH(marketing_events_raw[[#This Row],[customer_id]], customers_clean!A:A, 0)), 1, 0)</f>
        <v>1</v>
      </c>
    </row>
    <row r="671" spans="1:5" x14ac:dyDescent="0.3">
      <c r="A671">
        <v>462964007</v>
      </c>
      <c r="B671">
        <v>444625</v>
      </c>
      <c r="C671" s="1">
        <v>45027</v>
      </c>
      <c r="D671" t="s">
        <v>3487</v>
      </c>
      <c r="E671">
        <f>IF(ISNUMBER(MATCH(marketing_events_raw[[#This Row],[customer_id]], customers_clean!A:A, 0)), 1, 0)</f>
        <v>1</v>
      </c>
    </row>
    <row r="672" spans="1:5" x14ac:dyDescent="0.3">
      <c r="A672">
        <v>402568230</v>
      </c>
      <c r="B672">
        <v>488984</v>
      </c>
      <c r="C672" s="1">
        <v>45579</v>
      </c>
      <c r="D672" t="s">
        <v>3490</v>
      </c>
      <c r="E672">
        <f>IF(ISNUMBER(MATCH(marketing_events_raw[[#This Row],[customer_id]], customers_clean!A:A, 0)), 1, 0)</f>
        <v>1</v>
      </c>
    </row>
    <row r="673" spans="1:5" x14ac:dyDescent="0.3">
      <c r="A673">
        <v>512502316</v>
      </c>
      <c r="B673">
        <v>820767</v>
      </c>
      <c r="C673" s="1">
        <v>44738</v>
      </c>
      <c r="D673" t="s">
        <v>3488</v>
      </c>
      <c r="E673">
        <f>IF(ISNUMBER(MATCH(marketing_events_raw[[#This Row],[customer_id]], customers_clean!A:A, 0)), 1, 0)</f>
        <v>1</v>
      </c>
    </row>
    <row r="674" spans="1:5" x14ac:dyDescent="0.3">
      <c r="A674">
        <v>635783799</v>
      </c>
      <c r="B674">
        <v>897257</v>
      </c>
      <c r="C674" s="1">
        <v>45535</v>
      </c>
      <c r="D674" t="s">
        <v>3488</v>
      </c>
      <c r="E674">
        <f>IF(ISNUMBER(MATCH(marketing_events_raw[[#This Row],[customer_id]], customers_clean!A:A, 0)), 1, 0)</f>
        <v>1</v>
      </c>
    </row>
    <row r="675" spans="1:5" x14ac:dyDescent="0.3">
      <c r="A675">
        <v>506758780</v>
      </c>
      <c r="B675">
        <v>233534</v>
      </c>
      <c r="C675" s="1">
        <v>44412</v>
      </c>
      <c r="D675" t="s">
        <v>3489</v>
      </c>
      <c r="E675">
        <f>IF(ISNUMBER(MATCH(marketing_events_raw[[#This Row],[customer_id]], customers_clean!A:A, 0)), 1, 0)</f>
        <v>1</v>
      </c>
    </row>
    <row r="676" spans="1:5" x14ac:dyDescent="0.3">
      <c r="A676">
        <v>398017489</v>
      </c>
      <c r="B676">
        <v>856086</v>
      </c>
      <c r="C676" s="1">
        <v>44718</v>
      </c>
      <c r="D676" t="s">
        <v>3492</v>
      </c>
      <c r="E676">
        <f>IF(ISNUMBER(MATCH(marketing_events_raw[[#This Row],[customer_id]], customers_clean!A:A, 0)), 1, 0)</f>
        <v>1</v>
      </c>
    </row>
    <row r="677" spans="1:5" x14ac:dyDescent="0.3">
      <c r="A677">
        <v>585522856</v>
      </c>
      <c r="B677">
        <v>764873</v>
      </c>
      <c r="C677" s="1">
        <v>44507</v>
      </c>
      <c r="D677" t="s">
        <v>3489</v>
      </c>
      <c r="E677">
        <f>IF(ISNUMBER(MATCH(marketing_events_raw[[#This Row],[customer_id]], customers_clean!A:A, 0)), 1, 0)</f>
        <v>1</v>
      </c>
    </row>
    <row r="678" spans="1:5" x14ac:dyDescent="0.3">
      <c r="A678">
        <v>919145719</v>
      </c>
      <c r="B678">
        <v>581037</v>
      </c>
      <c r="C678" s="1">
        <v>44818</v>
      </c>
      <c r="D678" t="s">
        <v>3489</v>
      </c>
      <c r="E678">
        <f>IF(ISNUMBER(MATCH(marketing_events_raw[[#This Row],[customer_id]], customers_clean!A:A, 0)), 1, 0)</f>
        <v>1</v>
      </c>
    </row>
    <row r="679" spans="1:5" x14ac:dyDescent="0.3">
      <c r="A679">
        <v>805619076</v>
      </c>
      <c r="B679">
        <v>514798</v>
      </c>
      <c r="C679" s="1">
        <v>44677</v>
      </c>
      <c r="D679" t="s">
        <v>3491</v>
      </c>
      <c r="E679">
        <f>IF(ISNUMBER(MATCH(marketing_events_raw[[#This Row],[customer_id]], customers_clean!A:A, 0)), 1, 0)</f>
        <v>1</v>
      </c>
    </row>
    <row r="680" spans="1:5" x14ac:dyDescent="0.3">
      <c r="A680">
        <v>953440301</v>
      </c>
      <c r="B680">
        <v>588533</v>
      </c>
      <c r="C680" s="1">
        <v>45074</v>
      </c>
      <c r="D680" t="s">
        <v>3493</v>
      </c>
      <c r="E680">
        <f>IF(ISNUMBER(MATCH(marketing_events_raw[[#This Row],[customer_id]], customers_clean!A:A, 0)), 1, 0)</f>
        <v>1</v>
      </c>
    </row>
    <row r="681" spans="1:5" x14ac:dyDescent="0.3">
      <c r="A681">
        <v>744012916</v>
      </c>
      <c r="B681">
        <v>528625</v>
      </c>
      <c r="C681" s="1">
        <v>44978</v>
      </c>
      <c r="D681" t="s">
        <v>3492</v>
      </c>
      <c r="E681">
        <f>IF(ISNUMBER(MATCH(marketing_events_raw[[#This Row],[customer_id]], customers_clean!A:A, 0)), 1, 0)</f>
        <v>1</v>
      </c>
    </row>
    <row r="682" spans="1:5" x14ac:dyDescent="0.3">
      <c r="A682">
        <v>294651280</v>
      </c>
      <c r="B682">
        <v>703853</v>
      </c>
      <c r="C682" s="1">
        <v>44837</v>
      </c>
      <c r="D682" t="s">
        <v>3488</v>
      </c>
      <c r="E682">
        <f>IF(ISNUMBER(MATCH(marketing_events_raw[[#This Row],[customer_id]], customers_clean!A:A, 0)), 1, 0)</f>
        <v>1</v>
      </c>
    </row>
    <row r="683" spans="1:5" x14ac:dyDescent="0.3">
      <c r="A683">
        <v>188655524</v>
      </c>
      <c r="B683">
        <v>343962</v>
      </c>
      <c r="C683" s="1">
        <v>45041</v>
      </c>
      <c r="D683" t="s">
        <v>3493</v>
      </c>
      <c r="E683">
        <f>IF(ISNUMBER(MATCH(marketing_events_raw[[#This Row],[customer_id]], customers_clean!A:A, 0)), 1, 0)</f>
        <v>1</v>
      </c>
    </row>
    <row r="684" spans="1:5" x14ac:dyDescent="0.3">
      <c r="A684">
        <v>677480205</v>
      </c>
      <c r="B684">
        <v>470141</v>
      </c>
      <c r="C684" s="1">
        <v>44667</v>
      </c>
      <c r="D684" t="s">
        <v>3491</v>
      </c>
      <c r="E684">
        <f>IF(ISNUMBER(MATCH(marketing_events_raw[[#This Row],[customer_id]], customers_clean!A:A, 0)), 1, 0)</f>
        <v>1</v>
      </c>
    </row>
    <row r="685" spans="1:5" x14ac:dyDescent="0.3">
      <c r="A685">
        <v>515403733</v>
      </c>
      <c r="B685">
        <v>538065</v>
      </c>
      <c r="C685" s="1">
        <v>44845</v>
      </c>
      <c r="D685" t="s">
        <v>3490</v>
      </c>
      <c r="E685">
        <f>IF(ISNUMBER(MATCH(marketing_events_raw[[#This Row],[customer_id]], customers_clean!A:A, 0)), 1, 0)</f>
        <v>1</v>
      </c>
    </row>
    <row r="686" spans="1:5" x14ac:dyDescent="0.3">
      <c r="A686">
        <v>400147499</v>
      </c>
      <c r="B686">
        <v>255362</v>
      </c>
      <c r="C686" s="1">
        <v>44423</v>
      </c>
      <c r="D686" t="s">
        <v>3488</v>
      </c>
      <c r="E686">
        <f>IF(ISNUMBER(MATCH(marketing_events_raw[[#This Row],[customer_id]], customers_clean!A:A, 0)), 1, 0)</f>
        <v>1</v>
      </c>
    </row>
    <row r="687" spans="1:5" x14ac:dyDescent="0.3">
      <c r="A687">
        <v>250132142</v>
      </c>
      <c r="B687">
        <v>468292</v>
      </c>
      <c r="C687" s="1">
        <v>45621</v>
      </c>
      <c r="D687" t="s">
        <v>3487</v>
      </c>
      <c r="E687">
        <f>IF(ISNUMBER(MATCH(marketing_events_raw[[#This Row],[customer_id]], customers_clean!A:A, 0)), 1, 0)</f>
        <v>1</v>
      </c>
    </row>
    <row r="688" spans="1:5" x14ac:dyDescent="0.3">
      <c r="A688">
        <v>521239642</v>
      </c>
      <c r="B688">
        <v>998746</v>
      </c>
      <c r="C688" s="1">
        <v>44758</v>
      </c>
      <c r="D688" t="s">
        <v>3493</v>
      </c>
      <c r="E688">
        <f>IF(ISNUMBER(MATCH(marketing_events_raw[[#This Row],[customer_id]], customers_clean!A:A, 0)), 1, 0)</f>
        <v>1</v>
      </c>
    </row>
    <row r="689" spans="1:5" x14ac:dyDescent="0.3">
      <c r="A689">
        <v>762752783</v>
      </c>
      <c r="B689">
        <v>574001</v>
      </c>
      <c r="C689" s="1">
        <v>45610</v>
      </c>
      <c r="D689" t="s">
        <v>3490</v>
      </c>
      <c r="E689">
        <f>IF(ISNUMBER(MATCH(marketing_events_raw[[#This Row],[customer_id]], customers_clean!A:A, 0)), 1, 0)</f>
        <v>1</v>
      </c>
    </row>
    <row r="690" spans="1:5" x14ac:dyDescent="0.3">
      <c r="A690">
        <v>575261602</v>
      </c>
      <c r="B690">
        <v>677390</v>
      </c>
      <c r="C690" s="1">
        <v>44705</v>
      </c>
      <c r="D690" t="s">
        <v>3490</v>
      </c>
      <c r="E690">
        <f>IF(ISNUMBER(MATCH(marketing_events_raw[[#This Row],[customer_id]], customers_clean!A:A, 0)), 1, 0)</f>
        <v>1</v>
      </c>
    </row>
    <row r="691" spans="1:5" x14ac:dyDescent="0.3">
      <c r="A691">
        <v>621165231</v>
      </c>
      <c r="B691">
        <v>855276</v>
      </c>
      <c r="C691" s="1">
        <v>44987</v>
      </c>
      <c r="D691" t="s">
        <v>3489</v>
      </c>
      <c r="E691">
        <f>IF(ISNUMBER(MATCH(marketing_events_raw[[#This Row],[customer_id]], customers_clean!A:A, 0)), 1, 0)</f>
        <v>1</v>
      </c>
    </row>
    <row r="692" spans="1:5" x14ac:dyDescent="0.3">
      <c r="A692">
        <v>744501483</v>
      </c>
      <c r="B692">
        <v>921609</v>
      </c>
      <c r="C692" s="1">
        <v>44666</v>
      </c>
      <c r="D692" t="s">
        <v>3488</v>
      </c>
      <c r="E692">
        <f>IF(ISNUMBER(MATCH(marketing_events_raw[[#This Row],[customer_id]], customers_clean!A:A, 0)), 1, 0)</f>
        <v>1</v>
      </c>
    </row>
    <row r="693" spans="1:5" x14ac:dyDescent="0.3">
      <c r="A693">
        <v>240683760</v>
      </c>
      <c r="B693">
        <v>374258</v>
      </c>
      <c r="C693" s="1">
        <v>44436</v>
      </c>
      <c r="D693" t="s">
        <v>3492</v>
      </c>
      <c r="E693">
        <f>IF(ISNUMBER(MATCH(marketing_events_raw[[#This Row],[customer_id]], customers_clean!A:A, 0)), 1, 0)</f>
        <v>1</v>
      </c>
    </row>
    <row r="694" spans="1:5" x14ac:dyDescent="0.3">
      <c r="A694">
        <v>193429353</v>
      </c>
      <c r="B694">
        <v>979940</v>
      </c>
      <c r="C694" s="1">
        <v>45216</v>
      </c>
      <c r="D694" t="s">
        <v>3487</v>
      </c>
      <c r="E694">
        <f>IF(ISNUMBER(MATCH(marketing_events_raw[[#This Row],[customer_id]], customers_clean!A:A, 0)), 1, 0)</f>
        <v>1</v>
      </c>
    </row>
    <row r="695" spans="1:5" x14ac:dyDescent="0.3">
      <c r="A695">
        <v>681510765</v>
      </c>
      <c r="B695">
        <v>325258</v>
      </c>
      <c r="C695" s="1">
        <v>44744</v>
      </c>
      <c r="D695" t="s">
        <v>3490</v>
      </c>
      <c r="E695">
        <f>IF(ISNUMBER(MATCH(marketing_events_raw[[#This Row],[customer_id]], customers_clean!A:A, 0)), 1, 0)</f>
        <v>1</v>
      </c>
    </row>
    <row r="696" spans="1:5" x14ac:dyDescent="0.3">
      <c r="A696">
        <v>485669380</v>
      </c>
      <c r="B696">
        <v>126240</v>
      </c>
      <c r="C696" s="1">
        <v>44875</v>
      </c>
      <c r="D696" t="s">
        <v>3491</v>
      </c>
      <c r="E696">
        <f>IF(ISNUMBER(MATCH(marketing_events_raw[[#This Row],[customer_id]], customers_clean!A:A, 0)), 1, 0)</f>
        <v>1</v>
      </c>
    </row>
    <row r="697" spans="1:5" x14ac:dyDescent="0.3">
      <c r="A697">
        <v>289078350</v>
      </c>
      <c r="B697">
        <v>311895</v>
      </c>
      <c r="C697" s="1">
        <v>45213</v>
      </c>
      <c r="D697" t="s">
        <v>3487</v>
      </c>
      <c r="E697">
        <f>IF(ISNUMBER(MATCH(marketing_events_raw[[#This Row],[customer_id]], customers_clean!A:A, 0)), 1, 0)</f>
        <v>1</v>
      </c>
    </row>
    <row r="698" spans="1:5" x14ac:dyDescent="0.3">
      <c r="A698">
        <v>748672787</v>
      </c>
      <c r="B698">
        <v>221886</v>
      </c>
      <c r="C698" s="1">
        <v>44811</v>
      </c>
      <c r="D698" t="s">
        <v>3487</v>
      </c>
      <c r="E698">
        <f>IF(ISNUMBER(MATCH(marketing_events_raw[[#This Row],[customer_id]], customers_clean!A:A, 0)), 1, 0)</f>
        <v>1</v>
      </c>
    </row>
    <row r="699" spans="1:5" x14ac:dyDescent="0.3">
      <c r="A699">
        <v>995729198</v>
      </c>
      <c r="B699">
        <v>311895</v>
      </c>
      <c r="C699" s="1">
        <v>44392</v>
      </c>
      <c r="D699" t="s">
        <v>3487</v>
      </c>
      <c r="E699">
        <f>IF(ISNUMBER(MATCH(marketing_events_raw[[#This Row],[customer_id]], customers_clean!A:A, 0)), 1, 0)</f>
        <v>1</v>
      </c>
    </row>
    <row r="700" spans="1:5" x14ac:dyDescent="0.3">
      <c r="A700">
        <v>337609168</v>
      </c>
      <c r="B700">
        <v>885342</v>
      </c>
      <c r="C700" s="1">
        <v>44640</v>
      </c>
      <c r="D700" t="s">
        <v>3488</v>
      </c>
      <c r="E700">
        <f>IF(ISNUMBER(MATCH(marketing_events_raw[[#This Row],[customer_id]], customers_clean!A:A, 0)), 1, 0)</f>
        <v>1</v>
      </c>
    </row>
    <row r="701" spans="1:5" x14ac:dyDescent="0.3">
      <c r="A701">
        <v>481126005</v>
      </c>
      <c r="B701">
        <v>292847</v>
      </c>
      <c r="C701" s="1">
        <v>44449</v>
      </c>
      <c r="D701" t="s">
        <v>3489</v>
      </c>
      <c r="E701">
        <f>IF(ISNUMBER(MATCH(marketing_events_raw[[#This Row],[customer_id]], customers_clean!A:A, 0)), 1, 0)</f>
        <v>1</v>
      </c>
    </row>
    <row r="702" spans="1:5" x14ac:dyDescent="0.3">
      <c r="A702">
        <v>230040865</v>
      </c>
      <c r="B702">
        <v>447148</v>
      </c>
      <c r="C702" s="1">
        <v>44854</v>
      </c>
      <c r="D702" t="s">
        <v>3491</v>
      </c>
      <c r="E702">
        <f>IF(ISNUMBER(MATCH(marketing_events_raw[[#This Row],[customer_id]], customers_clean!A:A, 0)), 1, 0)</f>
        <v>1</v>
      </c>
    </row>
    <row r="703" spans="1:5" x14ac:dyDescent="0.3">
      <c r="A703">
        <v>268460904</v>
      </c>
      <c r="B703">
        <v>114463</v>
      </c>
      <c r="C703" s="1">
        <v>45406</v>
      </c>
      <c r="D703" t="s">
        <v>3490</v>
      </c>
      <c r="E703">
        <f>IF(ISNUMBER(MATCH(marketing_events_raw[[#This Row],[customer_id]], customers_clean!A:A, 0)), 1, 0)</f>
        <v>1</v>
      </c>
    </row>
    <row r="704" spans="1:5" x14ac:dyDescent="0.3">
      <c r="A704">
        <v>424345573</v>
      </c>
      <c r="B704">
        <v>896386</v>
      </c>
      <c r="C704" s="1">
        <v>45470</v>
      </c>
      <c r="D704" t="s">
        <v>3488</v>
      </c>
      <c r="E704">
        <f>IF(ISNUMBER(MATCH(marketing_events_raw[[#This Row],[customer_id]], customers_clean!A:A, 0)), 1, 0)</f>
        <v>1</v>
      </c>
    </row>
    <row r="705" spans="1:5" x14ac:dyDescent="0.3">
      <c r="A705">
        <v>981889514</v>
      </c>
      <c r="B705">
        <v>831531</v>
      </c>
      <c r="C705" s="1">
        <v>45115</v>
      </c>
      <c r="D705" t="s">
        <v>3490</v>
      </c>
      <c r="E705">
        <f>IF(ISNUMBER(MATCH(marketing_events_raw[[#This Row],[customer_id]], customers_clean!A:A, 0)), 1, 0)</f>
        <v>1</v>
      </c>
    </row>
    <row r="706" spans="1:5" x14ac:dyDescent="0.3">
      <c r="A706">
        <v>298584850</v>
      </c>
      <c r="B706">
        <v>124393</v>
      </c>
      <c r="C706" s="1">
        <v>44691</v>
      </c>
      <c r="D706" t="s">
        <v>3490</v>
      </c>
      <c r="E706">
        <f>IF(ISNUMBER(MATCH(marketing_events_raw[[#This Row],[customer_id]], customers_clean!A:A, 0)), 1, 0)</f>
        <v>1</v>
      </c>
    </row>
    <row r="707" spans="1:5" x14ac:dyDescent="0.3">
      <c r="A707">
        <v>548809963</v>
      </c>
      <c r="B707">
        <v>883790</v>
      </c>
      <c r="C707" s="1">
        <v>44577</v>
      </c>
      <c r="D707" t="s">
        <v>3493</v>
      </c>
      <c r="E707">
        <f>IF(ISNUMBER(MATCH(marketing_events_raw[[#This Row],[customer_id]], customers_clean!A:A, 0)), 1, 0)</f>
        <v>1</v>
      </c>
    </row>
    <row r="708" spans="1:5" x14ac:dyDescent="0.3">
      <c r="A708">
        <v>728180486</v>
      </c>
      <c r="B708">
        <v>580854</v>
      </c>
      <c r="C708" s="1">
        <v>44481</v>
      </c>
      <c r="D708" t="s">
        <v>3490</v>
      </c>
      <c r="E708">
        <f>IF(ISNUMBER(MATCH(marketing_events_raw[[#This Row],[customer_id]], customers_clean!A:A, 0)), 1, 0)</f>
        <v>1</v>
      </c>
    </row>
    <row r="709" spans="1:5" x14ac:dyDescent="0.3">
      <c r="A709">
        <v>718963008</v>
      </c>
      <c r="B709">
        <v>492127</v>
      </c>
      <c r="C709" s="1">
        <v>44872</v>
      </c>
      <c r="D709" t="s">
        <v>3493</v>
      </c>
      <c r="E709">
        <f>IF(ISNUMBER(MATCH(marketing_events_raw[[#This Row],[customer_id]], customers_clean!A:A, 0)), 1, 0)</f>
        <v>1</v>
      </c>
    </row>
    <row r="710" spans="1:5" x14ac:dyDescent="0.3">
      <c r="A710">
        <v>361476152</v>
      </c>
      <c r="B710">
        <v>192422</v>
      </c>
      <c r="C710" s="1">
        <v>44815</v>
      </c>
      <c r="D710" t="s">
        <v>3492</v>
      </c>
      <c r="E710">
        <f>IF(ISNUMBER(MATCH(marketing_events_raw[[#This Row],[customer_id]], customers_clean!A:A, 0)), 1, 0)</f>
        <v>1</v>
      </c>
    </row>
    <row r="711" spans="1:5" x14ac:dyDescent="0.3">
      <c r="A711">
        <v>764641015</v>
      </c>
      <c r="B711">
        <v>606489</v>
      </c>
      <c r="C711" s="1">
        <v>44844</v>
      </c>
      <c r="D711" t="s">
        <v>3487</v>
      </c>
      <c r="E711">
        <f>IF(ISNUMBER(MATCH(marketing_events_raw[[#This Row],[customer_id]], customers_clean!A:A, 0)), 1, 0)</f>
        <v>1</v>
      </c>
    </row>
    <row r="712" spans="1:5" x14ac:dyDescent="0.3">
      <c r="A712">
        <v>748749790</v>
      </c>
      <c r="B712">
        <v>862400</v>
      </c>
      <c r="C712" s="1">
        <v>45379</v>
      </c>
      <c r="D712" t="s">
        <v>3490</v>
      </c>
      <c r="E712">
        <f>IF(ISNUMBER(MATCH(marketing_events_raw[[#This Row],[customer_id]], customers_clean!A:A, 0)), 1, 0)</f>
        <v>1</v>
      </c>
    </row>
    <row r="713" spans="1:5" x14ac:dyDescent="0.3">
      <c r="A713">
        <v>748220964</v>
      </c>
      <c r="B713">
        <v>356600</v>
      </c>
      <c r="C713" s="1">
        <v>44508</v>
      </c>
      <c r="D713" t="s">
        <v>3490</v>
      </c>
      <c r="E713">
        <f>IF(ISNUMBER(MATCH(marketing_events_raw[[#This Row],[customer_id]], customers_clean!A:A, 0)), 1, 0)</f>
        <v>1</v>
      </c>
    </row>
    <row r="714" spans="1:5" x14ac:dyDescent="0.3">
      <c r="A714">
        <v>162421799</v>
      </c>
      <c r="B714">
        <v>297509</v>
      </c>
      <c r="C714" s="1">
        <v>44426</v>
      </c>
      <c r="D714" t="s">
        <v>3489</v>
      </c>
      <c r="E714">
        <f>IF(ISNUMBER(MATCH(marketing_events_raw[[#This Row],[customer_id]], customers_clean!A:A, 0)), 1, 0)</f>
        <v>1</v>
      </c>
    </row>
    <row r="715" spans="1:5" x14ac:dyDescent="0.3">
      <c r="A715">
        <v>860996453</v>
      </c>
      <c r="B715">
        <v>668787</v>
      </c>
      <c r="C715" s="1">
        <v>45573</v>
      </c>
      <c r="D715" t="s">
        <v>3493</v>
      </c>
      <c r="E715">
        <f>IF(ISNUMBER(MATCH(marketing_events_raw[[#This Row],[customer_id]], customers_clean!A:A, 0)), 1, 0)</f>
        <v>1</v>
      </c>
    </row>
    <row r="716" spans="1:5" x14ac:dyDescent="0.3">
      <c r="A716">
        <v>466781205</v>
      </c>
      <c r="B716">
        <v>944809</v>
      </c>
      <c r="C716" s="1">
        <v>45263</v>
      </c>
      <c r="D716" t="s">
        <v>3490</v>
      </c>
      <c r="E716">
        <f>IF(ISNUMBER(MATCH(marketing_events_raw[[#This Row],[customer_id]], customers_clean!A:A, 0)), 1, 0)</f>
        <v>1</v>
      </c>
    </row>
    <row r="717" spans="1:5" x14ac:dyDescent="0.3">
      <c r="A717">
        <v>504567520</v>
      </c>
      <c r="B717">
        <v>677390</v>
      </c>
      <c r="C717" s="1">
        <v>44681</v>
      </c>
      <c r="D717" t="s">
        <v>3489</v>
      </c>
      <c r="E717">
        <f>IF(ISNUMBER(MATCH(marketing_events_raw[[#This Row],[customer_id]], customers_clean!A:A, 0)), 1, 0)</f>
        <v>1</v>
      </c>
    </row>
    <row r="718" spans="1:5" x14ac:dyDescent="0.3">
      <c r="A718">
        <v>465622014</v>
      </c>
      <c r="B718">
        <v>792282</v>
      </c>
      <c r="C718" s="1">
        <v>45153</v>
      </c>
      <c r="D718" t="s">
        <v>3493</v>
      </c>
      <c r="E718">
        <f>IF(ISNUMBER(MATCH(marketing_events_raw[[#This Row],[customer_id]], customers_clean!A:A, 0)), 1, 0)</f>
        <v>1</v>
      </c>
    </row>
    <row r="719" spans="1:5" x14ac:dyDescent="0.3">
      <c r="A719">
        <v>870883944</v>
      </c>
      <c r="B719">
        <v>354235</v>
      </c>
      <c r="C719" s="1">
        <v>44957</v>
      </c>
      <c r="D719" t="s">
        <v>3493</v>
      </c>
      <c r="E719">
        <f>IF(ISNUMBER(MATCH(marketing_events_raw[[#This Row],[customer_id]], customers_clean!A:A, 0)), 1, 0)</f>
        <v>1</v>
      </c>
    </row>
    <row r="720" spans="1:5" x14ac:dyDescent="0.3">
      <c r="A720">
        <v>628527305</v>
      </c>
      <c r="B720">
        <v>797883</v>
      </c>
      <c r="C720" s="1">
        <v>44513</v>
      </c>
      <c r="D720" t="s">
        <v>3491</v>
      </c>
      <c r="E720">
        <f>IF(ISNUMBER(MATCH(marketing_events_raw[[#This Row],[customer_id]], customers_clean!A:A, 0)), 1, 0)</f>
        <v>1</v>
      </c>
    </row>
    <row r="721" spans="1:5" x14ac:dyDescent="0.3">
      <c r="A721">
        <v>894528092</v>
      </c>
      <c r="B721">
        <v>241268</v>
      </c>
      <c r="C721" s="1">
        <v>45136</v>
      </c>
      <c r="D721" t="s">
        <v>3492</v>
      </c>
      <c r="E721">
        <f>IF(ISNUMBER(MATCH(marketing_events_raw[[#This Row],[customer_id]], customers_clean!A:A, 0)), 1, 0)</f>
        <v>1</v>
      </c>
    </row>
    <row r="722" spans="1:5" x14ac:dyDescent="0.3">
      <c r="A722">
        <v>743925238</v>
      </c>
      <c r="B722">
        <v>343962</v>
      </c>
      <c r="C722" s="1">
        <v>45015</v>
      </c>
      <c r="D722" t="s">
        <v>3490</v>
      </c>
      <c r="E722">
        <f>IF(ISNUMBER(MATCH(marketing_events_raw[[#This Row],[customer_id]], customers_clean!A:A, 0)), 1, 0)</f>
        <v>1</v>
      </c>
    </row>
    <row r="723" spans="1:5" x14ac:dyDescent="0.3">
      <c r="A723">
        <v>880711349</v>
      </c>
      <c r="B723">
        <v>982023</v>
      </c>
      <c r="C723" s="1">
        <v>45302</v>
      </c>
      <c r="D723" t="s">
        <v>3491</v>
      </c>
      <c r="E723">
        <f>IF(ISNUMBER(MATCH(marketing_events_raw[[#This Row],[customer_id]], customers_clean!A:A, 0)), 1, 0)</f>
        <v>1</v>
      </c>
    </row>
    <row r="724" spans="1:5" x14ac:dyDescent="0.3">
      <c r="A724">
        <v>767490610</v>
      </c>
      <c r="B724">
        <v>202170</v>
      </c>
      <c r="C724" s="1">
        <v>44674</v>
      </c>
      <c r="D724" t="s">
        <v>3489</v>
      </c>
      <c r="E724">
        <f>IF(ISNUMBER(MATCH(marketing_events_raw[[#This Row],[customer_id]], customers_clean!A:A, 0)), 1, 0)</f>
        <v>1</v>
      </c>
    </row>
    <row r="725" spans="1:5" x14ac:dyDescent="0.3">
      <c r="A725">
        <v>100505160</v>
      </c>
      <c r="B725">
        <v>560767</v>
      </c>
      <c r="C725" s="1">
        <v>44967</v>
      </c>
      <c r="D725" t="s">
        <v>3488</v>
      </c>
      <c r="E725">
        <f>IF(ISNUMBER(MATCH(marketing_events_raw[[#This Row],[customer_id]], customers_clean!A:A, 0)), 1, 0)</f>
        <v>1</v>
      </c>
    </row>
    <row r="726" spans="1:5" x14ac:dyDescent="0.3">
      <c r="A726">
        <v>937127843</v>
      </c>
      <c r="B726">
        <v>641593</v>
      </c>
      <c r="C726" s="1">
        <v>45086</v>
      </c>
      <c r="D726" t="s">
        <v>3493</v>
      </c>
      <c r="E726">
        <f>IF(ISNUMBER(MATCH(marketing_events_raw[[#This Row],[customer_id]], customers_clean!A:A, 0)), 1, 0)</f>
        <v>1</v>
      </c>
    </row>
    <row r="727" spans="1:5" x14ac:dyDescent="0.3">
      <c r="A727">
        <v>963075210</v>
      </c>
      <c r="B727">
        <v>356622</v>
      </c>
      <c r="C727" s="1">
        <v>44826</v>
      </c>
      <c r="D727" t="s">
        <v>3489</v>
      </c>
      <c r="E727">
        <f>IF(ISNUMBER(MATCH(marketing_events_raw[[#This Row],[customer_id]], customers_clean!A:A, 0)), 1, 0)</f>
        <v>1</v>
      </c>
    </row>
    <row r="728" spans="1:5" x14ac:dyDescent="0.3">
      <c r="A728">
        <v>897682626</v>
      </c>
      <c r="B728">
        <v>722665</v>
      </c>
      <c r="C728" s="1">
        <v>44861</v>
      </c>
      <c r="D728" t="s">
        <v>3490</v>
      </c>
      <c r="E728">
        <f>IF(ISNUMBER(MATCH(marketing_events_raw[[#This Row],[customer_id]], customers_clean!A:A, 0)), 1, 0)</f>
        <v>1</v>
      </c>
    </row>
    <row r="729" spans="1:5" x14ac:dyDescent="0.3">
      <c r="A729">
        <v>513466574</v>
      </c>
      <c r="B729">
        <v>150578</v>
      </c>
      <c r="C729" s="1">
        <v>45341</v>
      </c>
      <c r="D729" t="s">
        <v>3487</v>
      </c>
      <c r="E729">
        <f>IF(ISNUMBER(MATCH(marketing_events_raw[[#This Row],[customer_id]], customers_clean!A:A, 0)), 1, 0)</f>
        <v>1</v>
      </c>
    </row>
    <row r="730" spans="1:5" x14ac:dyDescent="0.3">
      <c r="A730">
        <v>939494253</v>
      </c>
      <c r="B730">
        <v>337798</v>
      </c>
      <c r="C730" s="1">
        <v>45476</v>
      </c>
      <c r="D730" t="s">
        <v>3488</v>
      </c>
      <c r="E730">
        <f>IF(ISNUMBER(MATCH(marketing_events_raw[[#This Row],[customer_id]], customers_clean!A:A, 0)), 1, 0)</f>
        <v>1</v>
      </c>
    </row>
    <row r="731" spans="1:5" x14ac:dyDescent="0.3">
      <c r="A731">
        <v>181033974</v>
      </c>
      <c r="B731">
        <v>405407</v>
      </c>
      <c r="C731" s="1">
        <v>44965</v>
      </c>
      <c r="D731" t="s">
        <v>3492</v>
      </c>
      <c r="E731">
        <f>IF(ISNUMBER(MATCH(marketing_events_raw[[#This Row],[customer_id]], customers_clean!A:A, 0)), 1, 0)</f>
        <v>1</v>
      </c>
    </row>
    <row r="732" spans="1:5" x14ac:dyDescent="0.3">
      <c r="A732">
        <v>504633664</v>
      </c>
      <c r="B732">
        <v>820767</v>
      </c>
      <c r="C732" s="1">
        <v>44975</v>
      </c>
      <c r="D732" t="s">
        <v>3487</v>
      </c>
      <c r="E732">
        <f>IF(ISNUMBER(MATCH(marketing_events_raw[[#This Row],[customer_id]], customers_clean!A:A, 0)), 1, 0)</f>
        <v>1</v>
      </c>
    </row>
    <row r="733" spans="1:5" x14ac:dyDescent="0.3">
      <c r="A733">
        <v>888037262</v>
      </c>
      <c r="B733">
        <v>901834</v>
      </c>
      <c r="C733" s="1">
        <v>44971</v>
      </c>
      <c r="D733" t="s">
        <v>3488</v>
      </c>
      <c r="E733">
        <f>IF(ISNUMBER(MATCH(marketing_events_raw[[#This Row],[customer_id]], customers_clean!A:A, 0)), 1, 0)</f>
        <v>1</v>
      </c>
    </row>
    <row r="734" spans="1:5" x14ac:dyDescent="0.3">
      <c r="A734">
        <v>363134226</v>
      </c>
      <c r="B734">
        <v>508396</v>
      </c>
      <c r="C734" s="1">
        <v>45291</v>
      </c>
      <c r="D734" t="s">
        <v>3490</v>
      </c>
      <c r="E734">
        <f>IF(ISNUMBER(MATCH(marketing_events_raw[[#This Row],[customer_id]], customers_clean!A:A, 0)), 1, 0)</f>
        <v>1</v>
      </c>
    </row>
    <row r="735" spans="1:5" x14ac:dyDescent="0.3">
      <c r="A735">
        <v>940064818</v>
      </c>
      <c r="B735">
        <v>665892</v>
      </c>
      <c r="C735" s="1">
        <v>44624</v>
      </c>
      <c r="D735" t="s">
        <v>3491</v>
      </c>
      <c r="E735">
        <f>IF(ISNUMBER(MATCH(marketing_events_raw[[#This Row],[customer_id]], customers_clean!A:A, 0)), 1, 0)</f>
        <v>1</v>
      </c>
    </row>
    <row r="736" spans="1:5" x14ac:dyDescent="0.3">
      <c r="A736">
        <v>417514400</v>
      </c>
      <c r="B736">
        <v>785592</v>
      </c>
      <c r="C736" s="1">
        <v>45104</v>
      </c>
      <c r="D736" t="s">
        <v>3489</v>
      </c>
      <c r="E736">
        <f>IF(ISNUMBER(MATCH(marketing_events_raw[[#This Row],[customer_id]], customers_clean!A:A, 0)), 1, 0)</f>
        <v>1</v>
      </c>
    </row>
    <row r="737" spans="1:5" x14ac:dyDescent="0.3">
      <c r="A737">
        <v>827652457</v>
      </c>
      <c r="B737">
        <v>402808</v>
      </c>
      <c r="C737" s="1">
        <v>45640</v>
      </c>
      <c r="D737" t="s">
        <v>3493</v>
      </c>
      <c r="E737">
        <f>IF(ISNUMBER(MATCH(marketing_events_raw[[#This Row],[customer_id]], customers_clean!A:A, 0)), 1, 0)</f>
        <v>1</v>
      </c>
    </row>
    <row r="738" spans="1:5" x14ac:dyDescent="0.3">
      <c r="A738">
        <v>212109502</v>
      </c>
      <c r="B738">
        <v>920347</v>
      </c>
      <c r="C738" s="1">
        <v>44546</v>
      </c>
      <c r="D738" t="s">
        <v>3493</v>
      </c>
      <c r="E738">
        <f>IF(ISNUMBER(MATCH(marketing_events_raw[[#This Row],[customer_id]], customers_clean!A:A, 0)), 1, 0)</f>
        <v>1</v>
      </c>
    </row>
    <row r="739" spans="1:5" x14ac:dyDescent="0.3">
      <c r="A739">
        <v>584643845</v>
      </c>
      <c r="B739">
        <v>222692</v>
      </c>
      <c r="C739" s="1">
        <v>45403</v>
      </c>
      <c r="D739" t="s">
        <v>3487</v>
      </c>
      <c r="E739">
        <f>IF(ISNUMBER(MATCH(marketing_events_raw[[#This Row],[customer_id]], customers_clean!A:A, 0)), 1, 0)</f>
        <v>1</v>
      </c>
    </row>
    <row r="740" spans="1:5" x14ac:dyDescent="0.3">
      <c r="A740">
        <v>551744840</v>
      </c>
      <c r="B740">
        <v>419409</v>
      </c>
      <c r="C740" s="1">
        <v>45258</v>
      </c>
      <c r="D740" t="s">
        <v>3492</v>
      </c>
      <c r="E740">
        <f>IF(ISNUMBER(MATCH(marketing_events_raw[[#This Row],[customer_id]], customers_clean!A:A, 0)), 1, 0)</f>
        <v>1</v>
      </c>
    </row>
    <row r="741" spans="1:5" x14ac:dyDescent="0.3">
      <c r="A741">
        <v>162720822</v>
      </c>
      <c r="B741">
        <v>392075</v>
      </c>
      <c r="C741" s="1">
        <v>45087</v>
      </c>
      <c r="D741" t="s">
        <v>3489</v>
      </c>
      <c r="E741">
        <f>IF(ISNUMBER(MATCH(marketing_events_raw[[#This Row],[customer_id]], customers_clean!A:A, 0)), 1, 0)</f>
        <v>1</v>
      </c>
    </row>
    <row r="742" spans="1:5" x14ac:dyDescent="0.3">
      <c r="A742">
        <v>807417013</v>
      </c>
      <c r="B742">
        <v>434367</v>
      </c>
      <c r="C742" s="1">
        <v>45346</v>
      </c>
      <c r="D742" t="s">
        <v>3493</v>
      </c>
      <c r="E742">
        <f>IF(ISNUMBER(MATCH(marketing_events_raw[[#This Row],[customer_id]], customers_clean!A:A, 0)), 1, 0)</f>
        <v>1</v>
      </c>
    </row>
    <row r="743" spans="1:5" x14ac:dyDescent="0.3">
      <c r="A743">
        <v>915684902</v>
      </c>
      <c r="B743">
        <v>124559</v>
      </c>
      <c r="C743" s="1">
        <v>45238</v>
      </c>
      <c r="D743" t="s">
        <v>3490</v>
      </c>
      <c r="E743">
        <f>IF(ISNUMBER(MATCH(marketing_events_raw[[#This Row],[customer_id]], customers_clean!A:A, 0)), 1, 0)</f>
        <v>1</v>
      </c>
    </row>
    <row r="744" spans="1:5" x14ac:dyDescent="0.3">
      <c r="A744">
        <v>234240941</v>
      </c>
      <c r="B744">
        <v>802812</v>
      </c>
      <c r="C744" s="1">
        <v>44436</v>
      </c>
      <c r="D744" t="s">
        <v>3488</v>
      </c>
      <c r="E744">
        <f>IF(ISNUMBER(MATCH(marketing_events_raw[[#This Row],[customer_id]], customers_clean!A:A, 0)), 1, 0)</f>
        <v>1</v>
      </c>
    </row>
    <row r="745" spans="1:5" x14ac:dyDescent="0.3">
      <c r="A745">
        <v>717936964</v>
      </c>
      <c r="B745">
        <v>546768</v>
      </c>
      <c r="C745" s="1">
        <v>44709</v>
      </c>
      <c r="D745" t="s">
        <v>3491</v>
      </c>
      <c r="E745">
        <f>IF(ISNUMBER(MATCH(marketing_events_raw[[#This Row],[customer_id]], customers_clean!A:A, 0)), 1, 0)</f>
        <v>1</v>
      </c>
    </row>
    <row r="746" spans="1:5" x14ac:dyDescent="0.3">
      <c r="A746">
        <v>192922198</v>
      </c>
      <c r="B746">
        <v>303663</v>
      </c>
      <c r="C746" s="1">
        <v>45039</v>
      </c>
      <c r="D746" t="s">
        <v>3487</v>
      </c>
      <c r="E746">
        <f>IF(ISNUMBER(MATCH(marketing_events_raw[[#This Row],[customer_id]], customers_clean!A:A, 0)), 1, 0)</f>
        <v>1</v>
      </c>
    </row>
    <row r="747" spans="1:5" x14ac:dyDescent="0.3">
      <c r="A747">
        <v>687809201</v>
      </c>
      <c r="B747">
        <v>627276</v>
      </c>
      <c r="C747" s="1">
        <v>44494</v>
      </c>
      <c r="D747" t="s">
        <v>3487</v>
      </c>
      <c r="E747">
        <f>IF(ISNUMBER(MATCH(marketing_events_raw[[#This Row],[customer_id]], customers_clean!A:A, 0)), 1, 0)</f>
        <v>1</v>
      </c>
    </row>
    <row r="748" spans="1:5" x14ac:dyDescent="0.3">
      <c r="A748">
        <v>811011291</v>
      </c>
      <c r="B748">
        <v>711680</v>
      </c>
      <c r="C748" s="1">
        <v>44533</v>
      </c>
      <c r="D748" t="s">
        <v>3488</v>
      </c>
      <c r="E748">
        <f>IF(ISNUMBER(MATCH(marketing_events_raw[[#This Row],[customer_id]], customers_clean!A:A, 0)), 1, 0)</f>
        <v>1</v>
      </c>
    </row>
    <row r="749" spans="1:5" x14ac:dyDescent="0.3">
      <c r="A749">
        <v>874555716</v>
      </c>
      <c r="B749">
        <v>908977</v>
      </c>
      <c r="C749" s="1">
        <v>44504</v>
      </c>
      <c r="D749" t="s">
        <v>3489</v>
      </c>
      <c r="E749">
        <f>IF(ISNUMBER(MATCH(marketing_events_raw[[#This Row],[customer_id]], customers_clean!A:A, 0)), 1, 0)</f>
        <v>1</v>
      </c>
    </row>
    <row r="750" spans="1:5" x14ac:dyDescent="0.3">
      <c r="A750">
        <v>241782701</v>
      </c>
      <c r="B750">
        <v>902328</v>
      </c>
      <c r="C750" s="1">
        <v>44885</v>
      </c>
      <c r="D750" t="s">
        <v>3490</v>
      </c>
      <c r="E750">
        <f>IF(ISNUMBER(MATCH(marketing_events_raw[[#This Row],[customer_id]], customers_clean!A:A, 0)), 1, 0)</f>
        <v>1</v>
      </c>
    </row>
    <row r="751" spans="1:5" x14ac:dyDescent="0.3">
      <c r="A751">
        <v>824960881</v>
      </c>
      <c r="B751">
        <v>321449</v>
      </c>
      <c r="C751" s="1">
        <v>44615</v>
      </c>
      <c r="D751" t="s">
        <v>3487</v>
      </c>
      <c r="E751">
        <f>IF(ISNUMBER(MATCH(marketing_events_raw[[#This Row],[customer_id]], customers_clean!A:A, 0)), 1, 0)</f>
        <v>1</v>
      </c>
    </row>
    <row r="752" spans="1:5" x14ac:dyDescent="0.3">
      <c r="A752">
        <v>613742973</v>
      </c>
      <c r="B752">
        <v>138815</v>
      </c>
      <c r="C752" s="1">
        <v>45502</v>
      </c>
      <c r="D752" t="s">
        <v>3493</v>
      </c>
      <c r="E752">
        <f>IF(ISNUMBER(MATCH(marketing_events_raw[[#This Row],[customer_id]], customers_clean!A:A, 0)), 1, 0)</f>
        <v>1</v>
      </c>
    </row>
    <row r="753" spans="1:5" x14ac:dyDescent="0.3">
      <c r="A753">
        <v>574378104</v>
      </c>
      <c r="B753">
        <v>264951</v>
      </c>
      <c r="C753" s="1">
        <v>44431</v>
      </c>
      <c r="D753" t="s">
        <v>3487</v>
      </c>
      <c r="E753">
        <f>IF(ISNUMBER(MATCH(marketing_events_raw[[#This Row],[customer_id]], customers_clean!A:A, 0)), 1, 0)</f>
        <v>1</v>
      </c>
    </row>
    <row r="754" spans="1:5" x14ac:dyDescent="0.3">
      <c r="A754">
        <v>775597843</v>
      </c>
      <c r="B754">
        <v>419987</v>
      </c>
      <c r="C754" s="1">
        <v>45360</v>
      </c>
      <c r="D754" t="s">
        <v>3493</v>
      </c>
      <c r="E754">
        <f>IF(ISNUMBER(MATCH(marketing_events_raw[[#This Row],[customer_id]], customers_clean!A:A, 0)), 1, 0)</f>
        <v>1</v>
      </c>
    </row>
    <row r="755" spans="1:5" x14ac:dyDescent="0.3">
      <c r="A755">
        <v>559108389</v>
      </c>
      <c r="B755">
        <v>583214</v>
      </c>
      <c r="C755" s="1">
        <v>44800</v>
      </c>
      <c r="D755" t="s">
        <v>3492</v>
      </c>
      <c r="E755">
        <f>IF(ISNUMBER(MATCH(marketing_events_raw[[#This Row],[customer_id]], customers_clean!A:A, 0)), 1, 0)</f>
        <v>1</v>
      </c>
    </row>
    <row r="756" spans="1:5" x14ac:dyDescent="0.3">
      <c r="A756">
        <v>364220420</v>
      </c>
      <c r="B756">
        <v>439121</v>
      </c>
      <c r="C756" s="1">
        <v>44659</v>
      </c>
      <c r="D756" t="s">
        <v>3489</v>
      </c>
      <c r="E756">
        <f>IF(ISNUMBER(MATCH(marketing_events_raw[[#This Row],[customer_id]], customers_clean!A:A, 0)), 1, 0)</f>
        <v>1</v>
      </c>
    </row>
    <row r="757" spans="1:5" x14ac:dyDescent="0.3">
      <c r="A757">
        <v>313054541</v>
      </c>
      <c r="B757">
        <v>835575</v>
      </c>
      <c r="C757" s="1">
        <v>45377</v>
      </c>
      <c r="D757" t="s">
        <v>3490</v>
      </c>
      <c r="E757">
        <f>IF(ISNUMBER(MATCH(marketing_events_raw[[#This Row],[customer_id]], customers_clean!A:A, 0)), 1, 0)</f>
        <v>1</v>
      </c>
    </row>
    <row r="758" spans="1:5" x14ac:dyDescent="0.3">
      <c r="A758">
        <v>678909057</v>
      </c>
      <c r="B758">
        <v>256130</v>
      </c>
      <c r="C758" s="1">
        <v>45110</v>
      </c>
      <c r="D758" t="s">
        <v>3491</v>
      </c>
      <c r="E758">
        <f>IF(ISNUMBER(MATCH(marketing_events_raw[[#This Row],[customer_id]], customers_clean!A:A, 0)), 1, 0)</f>
        <v>1</v>
      </c>
    </row>
    <row r="759" spans="1:5" x14ac:dyDescent="0.3">
      <c r="A759">
        <v>266765379</v>
      </c>
      <c r="B759">
        <v>693643</v>
      </c>
      <c r="C759" s="1">
        <v>44528</v>
      </c>
      <c r="D759" t="s">
        <v>3488</v>
      </c>
      <c r="E759">
        <f>IF(ISNUMBER(MATCH(marketing_events_raw[[#This Row],[customer_id]], customers_clean!A:A, 0)), 1, 0)</f>
        <v>1</v>
      </c>
    </row>
    <row r="760" spans="1:5" x14ac:dyDescent="0.3">
      <c r="A760">
        <v>248240250</v>
      </c>
      <c r="B760">
        <v>552686</v>
      </c>
      <c r="C760" s="1">
        <v>45157</v>
      </c>
      <c r="D760" t="s">
        <v>3488</v>
      </c>
      <c r="E760">
        <f>IF(ISNUMBER(MATCH(marketing_events_raw[[#This Row],[customer_id]], customers_clean!A:A, 0)), 1, 0)</f>
        <v>1</v>
      </c>
    </row>
    <row r="761" spans="1:5" x14ac:dyDescent="0.3">
      <c r="A761">
        <v>782640932</v>
      </c>
      <c r="B761">
        <v>447177</v>
      </c>
      <c r="C761" s="1">
        <v>45440</v>
      </c>
      <c r="D761" t="s">
        <v>3493</v>
      </c>
      <c r="E761">
        <f>IF(ISNUMBER(MATCH(marketing_events_raw[[#This Row],[customer_id]], customers_clean!A:A, 0)), 1, 0)</f>
        <v>1</v>
      </c>
    </row>
    <row r="762" spans="1:5" x14ac:dyDescent="0.3">
      <c r="A762">
        <v>405462246</v>
      </c>
      <c r="B762">
        <v>997343</v>
      </c>
      <c r="C762" s="1">
        <v>45431</v>
      </c>
      <c r="D762" t="s">
        <v>3492</v>
      </c>
      <c r="E762">
        <f>IF(ISNUMBER(MATCH(marketing_events_raw[[#This Row],[customer_id]], customers_clean!A:A, 0)), 1, 0)</f>
        <v>1</v>
      </c>
    </row>
    <row r="763" spans="1:5" x14ac:dyDescent="0.3">
      <c r="A763">
        <v>544620463</v>
      </c>
      <c r="B763">
        <v>491172</v>
      </c>
      <c r="C763" s="1">
        <v>44833</v>
      </c>
      <c r="D763" t="s">
        <v>3487</v>
      </c>
      <c r="E763">
        <f>IF(ISNUMBER(MATCH(marketing_events_raw[[#This Row],[customer_id]], customers_clean!A:A, 0)), 1, 0)</f>
        <v>1</v>
      </c>
    </row>
    <row r="764" spans="1:5" x14ac:dyDescent="0.3">
      <c r="A764">
        <v>189966735</v>
      </c>
      <c r="B764">
        <v>433507</v>
      </c>
      <c r="C764" s="1">
        <v>44552</v>
      </c>
      <c r="D764" t="s">
        <v>3492</v>
      </c>
      <c r="E764">
        <f>IF(ISNUMBER(MATCH(marketing_events_raw[[#This Row],[customer_id]], customers_clean!A:A, 0)), 1, 0)</f>
        <v>1</v>
      </c>
    </row>
    <row r="765" spans="1:5" x14ac:dyDescent="0.3">
      <c r="A765">
        <v>263447025</v>
      </c>
      <c r="B765">
        <v>426775</v>
      </c>
      <c r="C765" s="1">
        <v>45623</v>
      </c>
      <c r="D765" t="s">
        <v>3492</v>
      </c>
      <c r="E765">
        <f>IF(ISNUMBER(MATCH(marketing_events_raw[[#This Row],[customer_id]], customers_clean!A:A, 0)), 1, 0)</f>
        <v>1</v>
      </c>
    </row>
    <row r="766" spans="1:5" x14ac:dyDescent="0.3">
      <c r="A766">
        <v>306765234</v>
      </c>
      <c r="B766">
        <v>105447</v>
      </c>
      <c r="C766" s="1">
        <v>44426</v>
      </c>
      <c r="D766" t="s">
        <v>3490</v>
      </c>
      <c r="E766">
        <f>IF(ISNUMBER(MATCH(marketing_events_raw[[#This Row],[customer_id]], customers_clean!A:A, 0)), 1, 0)</f>
        <v>1</v>
      </c>
    </row>
    <row r="767" spans="1:5" x14ac:dyDescent="0.3">
      <c r="A767">
        <v>131050464</v>
      </c>
      <c r="B767">
        <v>491738</v>
      </c>
      <c r="C767" s="1">
        <v>44883</v>
      </c>
      <c r="D767" t="s">
        <v>3487</v>
      </c>
      <c r="E767">
        <f>IF(ISNUMBER(MATCH(marketing_events_raw[[#This Row],[customer_id]], customers_clean!A:A, 0)), 1, 0)</f>
        <v>1</v>
      </c>
    </row>
    <row r="768" spans="1:5" x14ac:dyDescent="0.3">
      <c r="A768">
        <v>991396939</v>
      </c>
      <c r="B768">
        <v>202972</v>
      </c>
      <c r="C768" s="1">
        <v>45071</v>
      </c>
      <c r="D768" t="s">
        <v>3488</v>
      </c>
      <c r="E768">
        <f>IF(ISNUMBER(MATCH(marketing_events_raw[[#This Row],[customer_id]], customers_clean!A:A, 0)), 1, 0)</f>
        <v>1</v>
      </c>
    </row>
    <row r="769" spans="1:5" x14ac:dyDescent="0.3">
      <c r="A769">
        <v>363773421</v>
      </c>
      <c r="B769">
        <v>170394</v>
      </c>
      <c r="C769" s="1">
        <v>45548</v>
      </c>
      <c r="D769" t="s">
        <v>3488</v>
      </c>
      <c r="E769">
        <f>IF(ISNUMBER(MATCH(marketing_events_raw[[#This Row],[customer_id]], customers_clean!A:A, 0)), 1, 0)</f>
        <v>1</v>
      </c>
    </row>
    <row r="770" spans="1:5" x14ac:dyDescent="0.3">
      <c r="A770">
        <v>677537806</v>
      </c>
      <c r="B770">
        <v>984293</v>
      </c>
      <c r="C770" s="1">
        <v>45538</v>
      </c>
      <c r="D770" t="s">
        <v>3493</v>
      </c>
      <c r="E770">
        <f>IF(ISNUMBER(MATCH(marketing_events_raw[[#This Row],[customer_id]], customers_clean!A:A, 0)), 1, 0)</f>
        <v>1</v>
      </c>
    </row>
    <row r="771" spans="1:5" x14ac:dyDescent="0.3">
      <c r="A771">
        <v>259453509</v>
      </c>
      <c r="B771">
        <v>732789</v>
      </c>
      <c r="C771" s="1">
        <v>44880</v>
      </c>
      <c r="D771" t="s">
        <v>3493</v>
      </c>
      <c r="E771">
        <f>IF(ISNUMBER(MATCH(marketing_events_raw[[#This Row],[customer_id]], customers_clean!A:A, 0)), 1, 0)</f>
        <v>1</v>
      </c>
    </row>
    <row r="772" spans="1:5" x14ac:dyDescent="0.3">
      <c r="A772">
        <v>848710964</v>
      </c>
      <c r="B772">
        <v>937838</v>
      </c>
      <c r="C772" s="1">
        <v>44531</v>
      </c>
      <c r="D772" t="s">
        <v>3489</v>
      </c>
      <c r="E772">
        <f>IF(ISNUMBER(MATCH(marketing_events_raw[[#This Row],[customer_id]], customers_clean!A:A, 0)), 1, 0)</f>
        <v>1</v>
      </c>
    </row>
    <row r="773" spans="1:5" x14ac:dyDescent="0.3">
      <c r="A773">
        <v>253761150</v>
      </c>
      <c r="B773">
        <v>767830</v>
      </c>
      <c r="C773" s="1">
        <v>44913</v>
      </c>
      <c r="D773" t="s">
        <v>3487</v>
      </c>
      <c r="E773">
        <f>IF(ISNUMBER(MATCH(marketing_events_raw[[#This Row],[customer_id]], customers_clean!A:A, 0)), 1, 0)</f>
        <v>1</v>
      </c>
    </row>
    <row r="774" spans="1:5" x14ac:dyDescent="0.3">
      <c r="A774">
        <v>469989543</v>
      </c>
      <c r="B774">
        <v>631297</v>
      </c>
      <c r="C774" s="1">
        <v>45609</v>
      </c>
      <c r="D774" t="s">
        <v>3493</v>
      </c>
      <c r="E774">
        <f>IF(ISNUMBER(MATCH(marketing_events_raw[[#This Row],[customer_id]], customers_clean!A:A, 0)), 1, 0)</f>
        <v>1</v>
      </c>
    </row>
    <row r="775" spans="1:5" x14ac:dyDescent="0.3">
      <c r="A775">
        <v>772558716</v>
      </c>
      <c r="B775">
        <v>826894</v>
      </c>
      <c r="C775" s="1">
        <v>45410</v>
      </c>
      <c r="D775" t="s">
        <v>3488</v>
      </c>
      <c r="E775">
        <f>IF(ISNUMBER(MATCH(marketing_events_raw[[#This Row],[customer_id]], customers_clean!A:A, 0)), 1, 0)</f>
        <v>1</v>
      </c>
    </row>
    <row r="776" spans="1:5" x14ac:dyDescent="0.3">
      <c r="A776">
        <v>508127996</v>
      </c>
      <c r="B776">
        <v>905625</v>
      </c>
      <c r="C776" s="1">
        <v>45160</v>
      </c>
      <c r="D776" t="s">
        <v>3491</v>
      </c>
      <c r="E776">
        <f>IF(ISNUMBER(MATCH(marketing_events_raw[[#This Row],[customer_id]], customers_clean!A:A, 0)), 1, 0)</f>
        <v>1</v>
      </c>
    </row>
    <row r="777" spans="1:5" x14ac:dyDescent="0.3">
      <c r="A777">
        <v>324081095</v>
      </c>
      <c r="B777">
        <v>147285</v>
      </c>
      <c r="C777" s="1">
        <v>44641</v>
      </c>
      <c r="D777" t="s">
        <v>3487</v>
      </c>
      <c r="E777">
        <f>IF(ISNUMBER(MATCH(marketing_events_raw[[#This Row],[customer_id]], customers_clean!A:A, 0)), 1, 0)</f>
        <v>1</v>
      </c>
    </row>
    <row r="778" spans="1:5" x14ac:dyDescent="0.3">
      <c r="A778">
        <v>910638281</v>
      </c>
      <c r="B778">
        <v>936433</v>
      </c>
      <c r="C778" s="1">
        <v>45478</v>
      </c>
      <c r="D778" t="s">
        <v>3493</v>
      </c>
      <c r="E778">
        <f>IF(ISNUMBER(MATCH(marketing_events_raw[[#This Row],[customer_id]], customers_clean!A:A, 0)), 1, 0)</f>
        <v>1</v>
      </c>
    </row>
    <row r="779" spans="1:5" x14ac:dyDescent="0.3">
      <c r="A779">
        <v>376869382</v>
      </c>
      <c r="B779">
        <v>454508</v>
      </c>
      <c r="C779" s="1">
        <v>44593</v>
      </c>
      <c r="D779" t="s">
        <v>3487</v>
      </c>
      <c r="E779">
        <f>IF(ISNUMBER(MATCH(marketing_events_raw[[#This Row],[customer_id]], customers_clean!A:A, 0)), 1, 0)</f>
        <v>1</v>
      </c>
    </row>
    <row r="780" spans="1:5" x14ac:dyDescent="0.3">
      <c r="A780">
        <v>807714938</v>
      </c>
      <c r="B780">
        <v>592198</v>
      </c>
      <c r="C780" s="1">
        <v>45516</v>
      </c>
      <c r="D780" t="s">
        <v>3489</v>
      </c>
      <c r="E780">
        <f>IF(ISNUMBER(MATCH(marketing_events_raw[[#This Row],[customer_id]], customers_clean!A:A, 0)), 1, 0)</f>
        <v>1</v>
      </c>
    </row>
    <row r="781" spans="1:5" x14ac:dyDescent="0.3">
      <c r="A781">
        <v>960547563</v>
      </c>
      <c r="B781">
        <v>789305</v>
      </c>
      <c r="C781" s="1">
        <v>45399</v>
      </c>
      <c r="D781" t="s">
        <v>3487</v>
      </c>
      <c r="E781">
        <f>IF(ISNUMBER(MATCH(marketing_events_raw[[#This Row],[customer_id]], customers_clean!A:A, 0)), 1, 0)</f>
        <v>1</v>
      </c>
    </row>
    <row r="782" spans="1:5" x14ac:dyDescent="0.3">
      <c r="A782">
        <v>467754980</v>
      </c>
      <c r="B782">
        <v>230824</v>
      </c>
      <c r="C782" s="1">
        <v>45549</v>
      </c>
      <c r="D782" t="s">
        <v>3490</v>
      </c>
      <c r="E782">
        <f>IF(ISNUMBER(MATCH(marketing_events_raw[[#This Row],[customer_id]], customers_clean!A:A, 0)), 1, 0)</f>
        <v>1</v>
      </c>
    </row>
    <row r="783" spans="1:5" x14ac:dyDescent="0.3">
      <c r="A783">
        <v>465960428</v>
      </c>
      <c r="B783">
        <v>726909</v>
      </c>
      <c r="C783" s="1">
        <v>44812</v>
      </c>
      <c r="D783" t="s">
        <v>3491</v>
      </c>
      <c r="E783">
        <f>IF(ISNUMBER(MATCH(marketing_events_raw[[#This Row],[customer_id]], customers_clean!A:A, 0)), 1, 0)</f>
        <v>1</v>
      </c>
    </row>
    <row r="784" spans="1:5" x14ac:dyDescent="0.3">
      <c r="A784">
        <v>249745158</v>
      </c>
      <c r="B784">
        <v>591699</v>
      </c>
      <c r="C784" s="1">
        <v>44466</v>
      </c>
      <c r="D784" t="s">
        <v>3490</v>
      </c>
      <c r="E784">
        <f>IF(ISNUMBER(MATCH(marketing_events_raw[[#This Row],[customer_id]], customers_clean!A:A, 0)), 1, 0)</f>
        <v>1</v>
      </c>
    </row>
    <row r="785" spans="1:5" x14ac:dyDescent="0.3">
      <c r="A785">
        <v>205615216</v>
      </c>
      <c r="B785">
        <v>550961</v>
      </c>
      <c r="C785" s="1">
        <v>44944</v>
      </c>
      <c r="D785" t="s">
        <v>3493</v>
      </c>
      <c r="E785">
        <f>IF(ISNUMBER(MATCH(marketing_events_raw[[#This Row],[customer_id]], customers_clean!A:A, 0)), 1, 0)</f>
        <v>1</v>
      </c>
    </row>
    <row r="786" spans="1:5" x14ac:dyDescent="0.3">
      <c r="A786">
        <v>132570735</v>
      </c>
      <c r="B786">
        <v>288274</v>
      </c>
      <c r="C786" s="1">
        <v>45176</v>
      </c>
      <c r="D786" t="s">
        <v>3488</v>
      </c>
      <c r="E786">
        <f>IF(ISNUMBER(MATCH(marketing_events_raw[[#This Row],[customer_id]], customers_clean!A:A, 0)), 1, 0)</f>
        <v>1</v>
      </c>
    </row>
    <row r="787" spans="1:5" x14ac:dyDescent="0.3">
      <c r="A787">
        <v>479137402</v>
      </c>
      <c r="B787">
        <v>644951</v>
      </c>
      <c r="C787" s="1">
        <v>44717</v>
      </c>
      <c r="D787" t="s">
        <v>3493</v>
      </c>
      <c r="E787">
        <f>IF(ISNUMBER(MATCH(marketing_events_raw[[#This Row],[customer_id]], customers_clean!A:A, 0)), 1, 0)</f>
        <v>1</v>
      </c>
    </row>
    <row r="788" spans="1:5" x14ac:dyDescent="0.3">
      <c r="A788">
        <v>559529593</v>
      </c>
      <c r="B788">
        <v>926952</v>
      </c>
      <c r="C788" s="1">
        <v>45186</v>
      </c>
      <c r="D788" t="s">
        <v>3492</v>
      </c>
      <c r="E788">
        <f>IF(ISNUMBER(MATCH(marketing_events_raw[[#This Row],[customer_id]], customers_clean!A:A, 0)), 1, 0)</f>
        <v>1</v>
      </c>
    </row>
    <row r="789" spans="1:5" x14ac:dyDescent="0.3">
      <c r="A789">
        <v>297556804</v>
      </c>
      <c r="B789">
        <v>927899</v>
      </c>
      <c r="C789" s="1">
        <v>45264</v>
      </c>
      <c r="D789" t="s">
        <v>3487</v>
      </c>
      <c r="E789">
        <f>IF(ISNUMBER(MATCH(marketing_events_raw[[#This Row],[customer_id]], customers_clean!A:A, 0)), 1, 0)</f>
        <v>1</v>
      </c>
    </row>
    <row r="790" spans="1:5" x14ac:dyDescent="0.3">
      <c r="A790">
        <v>951494641</v>
      </c>
      <c r="B790">
        <v>457943</v>
      </c>
      <c r="C790" s="1">
        <v>44833</v>
      </c>
      <c r="D790" t="s">
        <v>3488</v>
      </c>
      <c r="E790">
        <f>IF(ISNUMBER(MATCH(marketing_events_raw[[#This Row],[customer_id]], customers_clean!A:A, 0)), 1, 0)</f>
        <v>1</v>
      </c>
    </row>
    <row r="791" spans="1:5" x14ac:dyDescent="0.3">
      <c r="A791">
        <v>495996250</v>
      </c>
      <c r="B791">
        <v>534037</v>
      </c>
      <c r="C791" s="1">
        <v>44512</v>
      </c>
      <c r="D791" t="s">
        <v>3488</v>
      </c>
      <c r="E791">
        <f>IF(ISNUMBER(MATCH(marketing_events_raw[[#This Row],[customer_id]], customers_clean!A:A, 0)), 1, 0)</f>
        <v>1</v>
      </c>
    </row>
    <row r="792" spans="1:5" x14ac:dyDescent="0.3">
      <c r="A792">
        <v>255155606</v>
      </c>
      <c r="B792">
        <v>104895</v>
      </c>
      <c r="C792" s="1">
        <v>45381</v>
      </c>
      <c r="D792" t="s">
        <v>3489</v>
      </c>
      <c r="E792">
        <f>IF(ISNUMBER(MATCH(marketing_events_raw[[#This Row],[customer_id]], customers_clean!A:A, 0)), 1, 0)</f>
        <v>1</v>
      </c>
    </row>
    <row r="793" spans="1:5" x14ac:dyDescent="0.3">
      <c r="A793">
        <v>400271755</v>
      </c>
      <c r="B793">
        <v>946335</v>
      </c>
      <c r="C793" s="1">
        <v>45029</v>
      </c>
      <c r="D793" t="s">
        <v>3492</v>
      </c>
      <c r="E793">
        <f>IF(ISNUMBER(MATCH(marketing_events_raw[[#This Row],[customer_id]], customers_clean!A:A, 0)), 1, 0)</f>
        <v>1</v>
      </c>
    </row>
    <row r="794" spans="1:5" x14ac:dyDescent="0.3">
      <c r="A794">
        <v>336875344</v>
      </c>
      <c r="B794">
        <v>643623</v>
      </c>
      <c r="C794" s="1">
        <v>44891</v>
      </c>
      <c r="D794" t="s">
        <v>3487</v>
      </c>
      <c r="E794">
        <f>IF(ISNUMBER(MATCH(marketing_events_raw[[#This Row],[customer_id]], customers_clean!A:A, 0)), 1, 0)</f>
        <v>1</v>
      </c>
    </row>
    <row r="795" spans="1:5" x14ac:dyDescent="0.3">
      <c r="A795">
        <v>995954606</v>
      </c>
      <c r="B795">
        <v>517821</v>
      </c>
      <c r="C795" s="1">
        <v>45130</v>
      </c>
      <c r="D795" t="s">
        <v>3493</v>
      </c>
      <c r="E795">
        <f>IF(ISNUMBER(MATCH(marketing_events_raw[[#This Row],[customer_id]], customers_clean!A:A, 0)), 1, 0)</f>
        <v>1</v>
      </c>
    </row>
    <row r="796" spans="1:5" x14ac:dyDescent="0.3">
      <c r="A796">
        <v>521177263</v>
      </c>
      <c r="B796">
        <v>801474</v>
      </c>
      <c r="C796" s="1">
        <v>45025</v>
      </c>
      <c r="D796" t="s">
        <v>3488</v>
      </c>
      <c r="E796">
        <f>IF(ISNUMBER(MATCH(marketing_events_raw[[#This Row],[customer_id]], customers_clean!A:A, 0)), 1, 0)</f>
        <v>1</v>
      </c>
    </row>
    <row r="797" spans="1:5" x14ac:dyDescent="0.3">
      <c r="A797">
        <v>514360037</v>
      </c>
      <c r="B797">
        <v>981473</v>
      </c>
      <c r="C797" s="1">
        <v>45638</v>
      </c>
      <c r="D797" t="s">
        <v>3487</v>
      </c>
      <c r="E797">
        <f>IF(ISNUMBER(MATCH(marketing_events_raw[[#This Row],[customer_id]], customers_clean!A:A, 0)), 1, 0)</f>
        <v>1</v>
      </c>
    </row>
    <row r="798" spans="1:5" x14ac:dyDescent="0.3">
      <c r="A798">
        <v>541020874</v>
      </c>
      <c r="B798">
        <v>640869</v>
      </c>
      <c r="C798" s="1">
        <v>44914</v>
      </c>
      <c r="D798" t="s">
        <v>3491</v>
      </c>
      <c r="E798">
        <f>IF(ISNUMBER(MATCH(marketing_events_raw[[#This Row],[customer_id]], customers_clean!A:A, 0)), 1, 0)</f>
        <v>1</v>
      </c>
    </row>
    <row r="799" spans="1:5" x14ac:dyDescent="0.3">
      <c r="A799">
        <v>573828119</v>
      </c>
      <c r="B799">
        <v>695225</v>
      </c>
      <c r="C799" s="1">
        <v>45429</v>
      </c>
      <c r="D799" t="s">
        <v>3492</v>
      </c>
      <c r="E799">
        <f>IF(ISNUMBER(MATCH(marketing_events_raw[[#This Row],[customer_id]], customers_clean!A:A, 0)), 1, 0)</f>
        <v>1</v>
      </c>
    </row>
    <row r="800" spans="1:5" x14ac:dyDescent="0.3">
      <c r="A800">
        <v>732090958</v>
      </c>
      <c r="B800">
        <v>843167</v>
      </c>
      <c r="C800" s="1">
        <v>45254</v>
      </c>
      <c r="D800" t="s">
        <v>3489</v>
      </c>
      <c r="E800">
        <f>IF(ISNUMBER(MATCH(marketing_events_raw[[#This Row],[customer_id]], customers_clean!A:A, 0)), 1, 0)</f>
        <v>1</v>
      </c>
    </row>
    <row r="801" spans="1:5" x14ac:dyDescent="0.3">
      <c r="A801">
        <v>276831027</v>
      </c>
      <c r="B801">
        <v>419409</v>
      </c>
      <c r="C801" s="1">
        <v>44952</v>
      </c>
      <c r="D801" t="s">
        <v>3488</v>
      </c>
      <c r="E801">
        <f>IF(ISNUMBER(MATCH(marketing_events_raw[[#This Row],[customer_id]], customers_clean!A:A, 0)), 1, 0)</f>
        <v>1</v>
      </c>
    </row>
    <row r="802" spans="1:5" x14ac:dyDescent="0.3">
      <c r="A802">
        <v>961323023</v>
      </c>
      <c r="B802">
        <v>695148</v>
      </c>
      <c r="C802" s="1">
        <v>45565</v>
      </c>
      <c r="D802" t="s">
        <v>3492</v>
      </c>
      <c r="E802">
        <f>IF(ISNUMBER(MATCH(marketing_events_raw[[#This Row],[customer_id]], customers_clean!A:A, 0)), 1, 0)</f>
        <v>1</v>
      </c>
    </row>
    <row r="803" spans="1:5" x14ac:dyDescent="0.3">
      <c r="A803">
        <v>860378644</v>
      </c>
      <c r="B803">
        <v>584498</v>
      </c>
      <c r="C803" s="1">
        <v>45134</v>
      </c>
      <c r="D803" t="s">
        <v>3488</v>
      </c>
      <c r="E803">
        <f>IF(ISNUMBER(MATCH(marketing_events_raw[[#This Row],[customer_id]], customers_clean!A:A, 0)), 1, 0)</f>
        <v>1</v>
      </c>
    </row>
    <row r="804" spans="1:5" x14ac:dyDescent="0.3">
      <c r="A804">
        <v>229185889</v>
      </c>
      <c r="B804">
        <v>989079</v>
      </c>
      <c r="C804" s="1">
        <v>44426</v>
      </c>
      <c r="D804" t="s">
        <v>3492</v>
      </c>
      <c r="E804">
        <f>IF(ISNUMBER(MATCH(marketing_events_raw[[#This Row],[customer_id]], customers_clean!A:A, 0)), 1, 0)</f>
        <v>1</v>
      </c>
    </row>
    <row r="805" spans="1:5" x14ac:dyDescent="0.3">
      <c r="A805">
        <v>536793882</v>
      </c>
      <c r="B805">
        <v>349185</v>
      </c>
      <c r="C805" s="1">
        <v>44664</v>
      </c>
      <c r="D805" t="s">
        <v>3492</v>
      </c>
      <c r="E805">
        <f>IF(ISNUMBER(MATCH(marketing_events_raw[[#This Row],[customer_id]], customers_clean!A:A, 0)), 1, 0)</f>
        <v>1</v>
      </c>
    </row>
    <row r="806" spans="1:5" x14ac:dyDescent="0.3">
      <c r="A806">
        <v>106242265</v>
      </c>
      <c r="B806">
        <v>262656</v>
      </c>
      <c r="C806" s="1">
        <v>45228</v>
      </c>
      <c r="D806" t="s">
        <v>3491</v>
      </c>
      <c r="E806">
        <f>IF(ISNUMBER(MATCH(marketing_events_raw[[#This Row],[customer_id]], customers_clean!A:A, 0)), 1, 0)</f>
        <v>1</v>
      </c>
    </row>
    <row r="807" spans="1:5" x14ac:dyDescent="0.3">
      <c r="A807">
        <v>239171831</v>
      </c>
      <c r="B807">
        <v>468591</v>
      </c>
      <c r="C807" s="1">
        <v>45544</v>
      </c>
      <c r="D807" t="s">
        <v>3487</v>
      </c>
      <c r="E807">
        <f>IF(ISNUMBER(MATCH(marketing_events_raw[[#This Row],[customer_id]], customers_clean!A:A, 0)), 1, 0)</f>
        <v>1</v>
      </c>
    </row>
    <row r="808" spans="1:5" x14ac:dyDescent="0.3">
      <c r="A808">
        <v>451103958</v>
      </c>
      <c r="B808">
        <v>343962</v>
      </c>
      <c r="C808" s="1">
        <v>45166</v>
      </c>
      <c r="D808" t="s">
        <v>3491</v>
      </c>
      <c r="E808">
        <f>IF(ISNUMBER(MATCH(marketing_events_raw[[#This Row],[customer_id]], customers_clean!A:A, 0)), 1, 0)</f>
        <v>1</v>
      </c>
    </row>
    <row r="809" spans="1:5" x14ac:dyDescent="0.3">
      <c r="A809">
        <v>458418069</v>
      </c>
      <c r="B809">
        <v>292811</v>
      </c>
      <c r="C809" s="1">
        <v>44606</v>
      </c>
      <c r="D809" t="s">
        <v>3489</v>
      </c>
      <c r="E809">
        <f>IF(ISNUMBER(MATCH(marketing_events_raw[[#This Row],[customer_id]], customers_clean!A:A, 0)), 1, 0)</f>
        <v>1</v>
      </c>
    </row>
    <row r="810" spans="1:5" x14ac:dyDescent="0.3">
      <c r="A810">
        <v>978775469</v>
      </c>
      <c r="B810">
        <v>755322</v>
      </c>
      <c r="C810" s="1">
        <v>44493</v>
      </c>
      <c r="D810" t="s">
        <v>3488</v>
      </c>
      <c r="E810">
        <f>IF(ISNUMBER(MATCH(marketing_events_raw[[#This Row],[customer_id]], customers_clean!A:A, 0)), 1, 0)</f>
        <v>1</v>
      </c>
    </row>
    <row r="811" spans="1:5" x14ac:dyDescent="0.3">
      <c r="A811">
        <v>552798452</v>
      </c>
      <c r="B811">
        <v>586279</v>
      </c>
      <c r="C811" s="1">
        <v>44640</v>
      </c>
      <c r="D811" t="s">
        <v>3488</v>
      </c>
      <c r="E811">
        <f>IF(ISNUMBER(MATCH(marketing_events_raw[[#This Row],[customer_id]], customers_clean!A:A, 0)), 1, 0)</f>
        <v>1</v>
      </c>
    </row>
    <row r="812" spans="1:5" x14ac:dyDescent="0.3">
      <c r="A812">
        <v>580295534</v>
      </c>
      <c r="B812">
        <v>178898</v>
      </c>
      <c r="C812" s="1">
        <v>45237</v>
      </c>
      <c r="D812" t="s">
        <v>3493</v>
      </c>
      <c r="E812">
        <f>IF(ISNUMBER(MATCH(marketing_events_raw[[#This Row],[customer_id]], customers_clean!A:A, 0)), 1, 0)</f>
        <v>1</v>
      </c>
    </row>
    <row r="813" spans="1:5" x14ac:dyDescent="0.3">
      <c r="A813">
        <v>628485005</v>
      </c>
      <c r="B813">
        <v>534649</v>
      </c>
      <c r="C813" s="1">
        <v>44749</v>
      </c>
      <c r="D813" t="s">
        <v>3491</v>
      </c>
      <c r="E813">
        <f>IF(ISNUMBER(MATCH(marketing_events_raw[[#This Row],[customer_id]], customers_clean!A:A, 0)), 1, 0)</f>
        <v>1</v>
      </c>
    </row>
    <row r="814" spans="1:5" x14ac:dyDescent="0.3">
      <c r="A814">
        <v>348480008</v>
      </c>
      <c r="B814">
        <v>571706</v>
      </c>
      <c r="C814" s="1">
        <v>45036</v>
      </c>
      <c r="D814" t="s">
        <v>3493</v>
      </c>
      <c r="E814">
        <f>IF(ISNUMBER(MATCH(marketing_events_raw[[#This Row],[customer_id]], customers_clean!A:A, 0)), 1, 0)</f>
        <v>1</v>
      </c>
    </row>
    <row r="815" spans="1:5" x14ac:dyDescent="0.3">
      <c r="A815">
        <v>123391364</v>
      </c>
      <c r="B815">
        <v>903774</v>
      </c>
      <c r="C815" s="1">
        <v>45639</v>
      </c>
      <c r="D815" t="s">
        <v>3487</v>
      </c>
      <c r="E815">
        <f>IF(ISNUMBER(MATCH(marketing_events_raw[[#This Row],[customer_id]], customers_clean!A:A, 0)), 1, 0)</f>
        <v>1</v>
      </c>
    </row>
    <row r="816" spans="1:5" x14ac:dyDescent="0.3">
      <c r="A816">
        <v>727394633</v>
      </c>
      <c r="B816">
        <v>137581</v>
      </c>
      <c r="C816" s="1">
        <v>44823</v>
      </c>
      <c r="D816" t="s">
        <v>3492</v>
      </c>
      <c r="E816">
        <f>IF(ISNUMBER(MATCH(marketing_events_raw[[#This Row],[customer_id]], customers_clean!A:A, 0)), 1, 0)</f>
        <v>1</v>
      </c>
    </row>
    <row r="817" spans="1:5" x14ac:dyDescent="0.3">
      <c r="A817">
        <v>835314311</v>
      </c>
      <c r="B817">
        <v>188049</v>
      </c>
      <c r="C817" s="1">
        <v>44933</v>
      </c>
      <c r="D817" t="s">
        <v>3488</v>
      </c>
      <c r="E817">
        <f>IF(ISNUMBER(MATCH(marketing_events_raw[[#This Row],[customer_id]], customers_clean!A:A, 0)), 1, 0)</f>
        <v>1</v>
      </c>
    </row>
    <row r="818" spans="1:5" x14ac:dyDescent="0.3">
      <c r="A818">
        <v>248695033</v>
      </c>
      <c r="B818">
        <v>974994</v>
      </c>
      <c r="C818" s="1">
        <v>44531</v>
      </c>
      <c r="D818" t="s">
        <v>3489</v>
      </c>
      <c r="E818">
        <f>IF(ISNUMBER(MATCH(marketing_events_raw[[#This Row],[customer_id]], customers_clean!A:A, 0)), 1, 0)</f>
        <v>1</v>
      </c>
    </row>
    <row r="819" spans="1:5" x14ac:dyDescent="0.3">
      <c r="A819">
        <v>717968512</v>
      </c>
      <c r="B819">
        <v>456324</v>
      </c>
      <c r="C819" s="1">
        <v>44607</v>
      </c>
      <c r="D819" t="s">
        <v>3492</v>
      </c>
      <c r="E819">
        <f>IF(ISNUMBER(MATCH(marketing_events_raw[[#This Row],[customer_id]], customers_clean!A:A, 0)), 1, 0)</f>
        <v>1</v>
      </c>
    </row>
    <row r="820" spans="1:5" x14ac:dyDescent="0.3">
      <c r="A820">
        <v>569317765</v>
      </c>
      <c r="B820">
        <v>106185</v>
      </c>
      <c r="C820" s="1">
        <v>45142</v>
      </c>
      <c r="D820" t="s">
        <v>3490</v>
      </c>
      <c r="E820">
        <f>IF(ISNUMBER(MATCH(marketing_events_raw[[#This Row],[customer_id]], customers_clean!A:A, 0)), 1, 0)</f>
        <v>1</v>
      </c>
    </row>
    <row r="821" spans="1:5" x14ac:dyDescent="0.3">
      <c r="A821">
        <v>299765871</v>
      </c>
      <c r="B821">
        <v>926952</v>
      </c>
      <c r="C821" s="1">
        <v>44683</v>
      </c>
      <c r="D821" t="s">
        <v>3488</v>
      </c>
      <c r="E821">
        <f>IF(ISNUMBER(MATCH(marketing_events_raw[[#This Row],[customer_id]], customers_clean!A:A, 0)), 1, 0)</f>
        <v>1</v>
      </c>
    </row>
    <row r="822" spans="1:5" x14ac:dyDescent="0.3">
      <c r="A822">
        <v>310328409</v>
      </c>
      <c r="B822">
        <v>457943</v>
      </c>
      <c r="C822" s="1">
        <v>44981</v>
      </c>
      <c r="D822" t="s">
        <v>3487</v>
      </c>
      <c r="E822">
        <f>IF(ISNUMBER(MATCH(marketing_events_raw[[#This Row],[customer_id]], customers_clean!A:A, 0)), 1, 0)</f>
        <v>1</v>
      </c>
    </row>
    <row r="823" spans="1:5" x14ac:dyDescent="0.3">
      <c r="A823">
        <v>595498654</v>
      </c>
      <c r="B823">
        <v>817611</v>
      </c>
      <c r="C823" s="1">
        <v>45508</v>
      </c>
      <c r="D823" t="s">
        <v>3488</v>
      </c>
      <c r="E823">
        <f>IF(ISNUMBER(MATCH(marketing_events_raw[[#This Row],[customer_id]], customers_clean!A:A, 0)), 1, 0)</f>
        <v>1</v>
      </c>
    </row>
    <row r="824" spans="1:5" x14ac:dyDescent="0.3">
      <c r="A824">
        <v>840423738</v>
      </c>
      <c r="B824">
        <v>943584</v>
      </c>
      <c r="C824" s="1">
        <v>44394</v>
      </c>
      <c r="D824" t="s">
        <v>3492</v>
      </c>
      <c r="E824">
        <f>IF(ISNUMBER(MATCH(marketing_events_raw[[#This Row],[customer_id]], customers_clean!A:A, 0)), 1, 0)</f>
        <v>1</v>
      </c>
    </row>
    <row r="825" spans="1:5" x14ac:dyDescent="0.3">
      <c r="A825">
        <v>470321653</v>
      </c>
      <c r="B825">
        <v>934904</v>
      </c>
      <c r="C825" s="1">
        <v>45391</v>
      </c>
      <c r="D825" t="s">
        <v>3493</v>
      </c>
      <c r="E825">
        <f>IF(ISNUMBER(MATCH(marketing_events_raw[[#This Row],[customer_id]], customers_clean!A:A, 0)), 1, 0)</f>
        <v>1</v>
      </c>
    </row>
    <row r="826" spans="1:5" x14ac:dyDescent="0.3">
      <c r="A826">
        <v>709066840</v>
      </c>
      <c r="B826">
        <v>239849</v>
      </c>
      <c r="C826" s="1">
        <v>45331</v>
      </c>
      <c r="D826" t="s">
        <v>3488</v>
      </c>
      <c r="E826">
        <f>IF(ISNUMBER(MATCH(marketing_events_raw[[#This Row],[customer_id]], customers_clean!A:A, 0)), 1, 0)</f>
        <v>1</v>
      </c>
    </row>
    <row r="827" spans="1:5" x14ac:dyDescent="0.3">
      <c r="A827">
        <v>247038561</v>
      </c>
      <c r="B827">
        <v>705748</v>
      </c>
      <c r="C827" s="1">
        <v>45147</v>
      </c>
      <c r="D827" t="s">
        <v>3490</v>
      </c>
      <c r="E827">
        <f>IF(ISNUMBER(MATCH(marketing_events_raw[[#This Row],[customer_id]], customers_clean!A:A, 0)), 1, 0)</f>
        <v>1</v>
      </c>
    </row>
    <row r="828" spans="1:5" x14ac:dyDescent="0.3">
      <c r="A828">
        <v>658079886</v>
      </c>
      <c r="B828">
        <v>920375</v>
      </c>
      <c r="C828" s="1">
        <v>44978</v>
      </c>
      <c r="D828" t="s">
        <v>3493</v>
      </c>
      <c r="E828">
        <f>IF(ISNUMBER(MATCH(marketing_events_raw[[#This Row],[customer_id]], customers_clean!A:A, 0)), 1, 0)</f>
        <v>1</v>
      </c>
    </row>
    <row r="829" spans="1:5" x14ac:dyDescent="0.3">
      <c r="A829">
        <v>803772538</v>
      </c>
      <c r="B829">
        <v>753534</v>
      </c>
      <c r="C829" s="1">
        <v>44488</v>
      </c>
      <c r="D829" t="s">
        <v>3487</v>
      </c>
      <c r="E829">
        <f>IF(ISNUMBER(MATCH(marketing_events_raw[[#This Row],[customer_id]], customers_clean!A:A, 0)), 1, 0)</f>
        <v>1</v>
      </c>
    </row>
    <row r="830" spans="1:5" x14ac:dyDescent="0.3">
      <c r="A830">
        <v>126013922</v>
      </c>
      <c r="B830">
        <v>217683</v>
      </c>
      <c r="C830" s="1">
        <v>44798</v>
      </c>
      <c r="D830" t="s">
        <v>3489</v>
      </c>
      <c r="E830">
        <f>IF(ISNUMBER(MATCH(marketing_events_raw[[#This Row],[customer_id]], customers_clean!A:A, 0)), 1, 0)</f>
        <v>1</v>
      </c>
    </row>
    <row r="831" spans="1:5" x14ac:dyDescent="0.3">
      <c r="A831">
        <v>797642338</v>
      </c>
      <c r="B831">
        <v>850435</v>
      </c>
      <c r="C831" s="1">
        <v>45633</v>
      </c>
      <c r="D831" t="s">
        <v>3491</v>
      </c>
      <c r="E831">
        <f>IF(ISNUMBER(MATCH(marketing_events_raw[[#This Row],[customer_id]], customers_clean!A:A, 0)), 1, 0)</f>
        <v>1</v>
      </c>
    </row>
    <row r="832" spans="1:5" x14ac:dyDescent="0.3">
      <c r="A832">
        <v>243832413</v>
      </c>
      <c r="B832">
        <v>731548</v>
      </c>
      <c r="C832" s="1">
        <v>44573</v>
      </c>
      <c r="D832" t="s">
        <v>3492</v>
      </c>
      <c r="E832">
        <f>IF(ISNUMBER(MATCH(marketing_events_raw[[#This Row],[customer_id]], customers_clean!A:A, 0)), 1, 0)</f>
        <v>1</v>
      </c>
    </row>
    <row r="833" spans="1:5" x14ac:dyDescent="0.3">
      <c r="A833">
        <v>586172634</v>
      </c>
      <c r="B833">
        <v>783823</v>
      </c>
      <c r="C833" s="1">
        <v>45519</v>
      </c>
      <c r="D833" t="s">
        <v>3493</v>
      </c>
      <c r="E833">
        <f>IF(ISNUMBER(MATCH(marketing_events_raw[[#This Row],[customer_id]], customers_clean!A:A, 0)), 1, 0)</f>
        <v>1</v>
      </c>
    </row>
    <row r="834" spans="1:5" x14ac:dyDescent="0.3">
      <c r="A834">
        <v>254638447</v>
      </c>
      <c r="B834">
        <v>843167</v>
      </c>
      <c r="C834" s="1">
        <v>44879</v>
      </c>
      <c r="D834" t="s">
        <v>3489</v>
      </c>
      <c r="E834">
        <f>IF(ISNUMBER(MATCH(marketing_events_raw[[#This Row],[customer_id]], customers_clean!A:A, 0)), 1, 0)</f>
        <v>1</v>
      </c>
    </row>
    <row r="835" spans="1:5" x14ac:dyDescent="0.3">
      <c r="A835">
        <v>577500910</v>
      </c>
      <c r="B835">
        <v>595401</v>
      </c>
      <c r="C835" s="1">
        <v>44701</v>
      </c>
      <c r="D835" t="s">
        <v>3493</v>
      </c>
      <c r="E835">
        <f>IF(ISNUMBER(MATCH(marketing_events_raw[[#This Row],[customer_id]], customers_clean!A:A, 0)), 1, 0)</f>
        <v>1</v>
      </c>
    </row>
    <row r="836" spans="1:5" x14ac:dyDescent="0.3">
      <c r="A836">
        <v>160237222</v>
      </c>
      <c r="B836">
        <v>233620</v>
      </c>
      <c r="C836" s="1">
        <v>45544</v>
      </c>
      <c r="D836" t="s">
        <v>3493</v>
      </c>
      <c r="E836">
        <f>IF(ISNUMBER(MATCH(marketing_events_raw[[#This Row],[customer_id]], customers_clean!A:A, 0)), 1, 0)</f>
        <v>1</v>
      </c>
    </row>
    <row r="837" spans="1:5" x14ac:dyDescent="0.3">
      <c r="A837">
        <v>855012516</v>
      </c>
      <c r="B837">
        <v>909652</v>
      </c>
      <c r="C837" s="1">
        <v>44934</v>
      </c>
      <c r="D837" t="s">
        <v>3492</v>
      </c>
      <c r="E837">
        <f>IF(ISNUMBER(MATCH(marketing_events_raw[[#This Row],[customer_id]], customers_clean!A:A, 0)), 1, 0)</f>
        <v>1</v>
      </c>
    </row>
    <row r="838" spans="1:5" x14ac:dyDescent="0.3">
      <c r="A838">
        <v>168753065</v>
      </c>
      <c r="B838">
        <v>629663</v>
      </c>
      <c r="C838" s="1">
        <v>45190</v>
      </c>
      <c r="D838" t="s">
        <v>3487</v>
      </c>
      <c r="E838">
        <f>IF(ISNUMBER(MATCH(marketing_events_raw[[#This Row],[customer_id]], customers_clean!A:A, 0)), 1, 0)</f>
        <v>1</v>
      </c>
    </row>
    <row r="839" spans="1:5" x14ac:dyDescent="0.3">
      <c r="A839">
        <v>529712592</v>
      </c>
      <c r="B839">
        <v>721497</v>
      </c>
      <c r="C839" s="1">
        <v>45293</v>
      </c>
      <c r="D839" t="s">
        <v>3490</v>
      </c>
      <c r="E839">
        <f>IF(ISNUMBER(MATCH(marketing_events_raw[[#This Row],[customer_id]], customers_clean!A:A, 0)), 1, 0)</f>
        <v>1</v>
      </c>
    </row>
    <row r="840" spans="1:5" x14ac:dyDescent="0.3">
      <c r="A840">
        <v>524583449</v>
      </c>
      <c r="B840">
        <v>645175</v>
      </c>
      <c r="C840" s="1">
        <v>44785</v>
      </c>
      <c r="D840" t="s">
        <v>3487</v>
      </c>
      <c r="E840">
        <f>IF(ISNUMBER(MATCH(marketing_events_raw[[#This Row],[customer_id]], customers_clean!A:A, 0)), 1, 0)</f>
        <v>1</v>
      </c>
    </row>
    <row r="841" spans="1:5" x14ac:dyDescent="0.3">
      <c r="A841">
        <v>776607861</v>
      </c>
      <c r="B841">
        <v>440881</v>
      </c>
      <c r="C841" s="1">
        <v>44831</v>
      </c>
      <c r="D841" t="s">
        <v>3493</v>
      </c>
      <c r="E841">
        <f>IF(ISNUMBER(MATCH(marketing_events_raw[[#This Row],[customer_id]], customers_clean!A:A, 0)), 1, 0)</f>
        <v>1</v>
      </c>
    </row>
    <row r="842" spans="1:5" x14ac:dyDescent="0.3">
      <c r="A842">
        <v>250994689</v>
      </c>
      <c r="B842">
        <v>425486</v>
      </c>
      <c r="C842" s="1">
        <v>45447</v>
      </c>
      <c r="D842" t="s">
        <v>3487</v>
      </c>
      <c r="E842">
        <f>IF(ISNUMBER(MATCH(marketing_events_raw[[#This Row],[customer_id]], customers_clean!A:A, 0)), 1, 0)</f>
        <v>1</v>
      </c>
    </row>
    <row r="843" spans="1:5" x14ac:dyDescent="0.3">
      <c r="A843">
        <v>315243627</v>
      </c>
      <c r="B843">
        <v>359822</v>
      </c>
      <c r="C843" s="1">
        <v>44390</v>
      </c>
      <c r="D843" t="s">
        <v>3490</v>
      </c>
      <c r="E843">
        <f>IF(ISNUMBER(MATCH(marketing_events_raw[[#This Row],[customer_id]], customers_clean!A:A, 0)), 1, 0)</f>
        <v>1</v>
      </c>
    </row>
    <row r="844" spans="1:5" x14ac:dyDescent="0.3">
      <c r="A844">
        <v>172331127</v>
      </c>
      <c r="B844">
        <v>443000</v>
      </c>
      <c r="C844" s="1">
        <v>44665</v>
      </c>
      <c r="D844" t="s">
        <v>3488</v>
      </c>
      <c r="E844">
        <f>IF(ISNUMBER(MATCH(marketing_events_raw[[#This Row],[customer_id]], customers_clean!A:A, 0)), 1, 0)</f>
        <v>1</v>
      </c>
    </row>
    <row r="845" spans="1:5" x14ac:dyDescent="0.3">
      <c r="A845">
        <v>986310870</v>
      </c>
      <c r="B845">
        <v>487585</v>
      </c>
      <c r="C845" s="1">
        <v>44692</v>
      </c>
      <c r="D845" t="s">
        <v>3490</v>
      </c>
      <c r="E845">
        <f>IF(ISNUMBER(MATCH(marketing_events_raw[[#This Row],[customer_id]], customers_clean!A:A, 0)), 1, 0)</f>
        <v>1</v>
      </c>
    </row>
    <row r="846" spans="1:5" x14ac:dyDescent="0.3">
      <c r="A846">
        <v>982300157</v>
      </c>
      <c r="B846">
        <v>323072</v>
      </c>
      <c r="C846" s="1">
        <v>44482</v>
      </c>
      <c r="D846" t="s">
        <v>3493</v>
      </c>
      <c r="E846">
        <f>IF(ISNUMBER(MATCH(marketing_events_raw[[#This Row],[customer_id]], customers_clean!A:A, 0)), 1, 0)</f>
        <v>1</v>
      </c>
    </row>
    <row r="847" spans="1:5" x14ac:dyDescent="0.3">
      <c r="A847">
        <v>825730325</v>
      </c>
      <c r="B847">
        <v>408467</v>
      </c>
      <c r="C847" s="1">
        <v>45442</v>
      </c>
      <c r="D847" t="s">
        <v>3492</v>
      </c>
      <c r="E847">
        <f>IF(ISNUMBER(MATCH(marketing_events_raw[[#This Row],[customer_id]], customers_clean!A:A, 0)), 1, 0)</f>
        <v>1</v>
      </c>
    </row>
    <row r="848" spans="1:5" x14ac:dyDescent="0.3">
      <c r="A848">
        <v>640499929</v>
      </c>
      <c r="B848">
        <v>890075</v>
      </c>
      <c r="C848" s="1">
        <v>44931</v>
      </c>
      <c r="D848" t="s">
        <v>3489</v>
      </c>
      <c r="E848">
        <f>IF(ISNUMBER(MATCH(marketing_events_raw[[#This Row],[customer_id]], customers_clean!A:A, 0)), 1, 0)</f>
        <v>1</v>
      </c>
    </row>
    <row r="849" spans="1:5" x14ac:dyDescent="0.3">
      <c r="A849">
        <v>516287826</v>
      </c>
      <c r="B849">
        <v>575637</v>
      </c>
      <c r="C849" s="1">
        <v>44900</v>
      </c>
      <c r="D849" t="s">
        <v>3488</v>
      </c>
      <c r="E849">
        <f>IF(ISNUMBER(MATCH(marketing_events_raw[[#This Row],[customer_id]], customers_clean!A:A, 0)), 1, 0)</f>
        <v>1</v>
      </c>
    </row>
    <row r="850" spans="1:5" x14ac:dyDescent="0.3">
      <c r="A850">
        <v>683188962</v>
      </c>
      <c r="B850">
        <v>964607</v>
      </c>
      <c r="C850" s="1">
        <v>44798</v>
      </c>
      <c r="D850" t="s">
        <v>3489</v>
      </c>
      <c r="E850">
        <f>IF(ISNUMBER(MATCH(marketing_events_raw[[#This Row],[customer_id]], customers_clean!A:A, 0)), 1, 0)</f>
        <v>1</v>
      </c>
    </row>
    <row r="851" spans="1:5" x14ac:dyDescent="0.3">
      <c r="A851">
        <v>908246350</v>
      </c>
      <c r="B851">
        <v>130359</v>
      </c>
      <c r="C851" s="1">
        <v>44817</v>
      </c>
      <c r="D851" t="s">
        <v>3487</v>
      </c>
      <c r="E851">
        <f>IF(ISNUMBER(MATCH(marketing_events_raw[[#This Row],[customer_id]], customers_clean!A:A, 0)), 1, 0)</f>
        <v>1</v>
      </c>
    </row>
    <row r="852" spans="1:5" x14ac:dyDescent="0.3">
      <c r="A852">
        <v>584642883</v>
      </c>
      <c r="B852">
        <v>948095</v>
      </c>
      <c r="C852" s="1">
        <v>45562</v>
      </c>
      <c r="D852" t="s">
        <v>3487</v>
      </c>
      <c r="E852">
        <f>IF(ISNUMBER(MATCH(marketing_events_raw[[#This Row],[customer_id]], customers_clean!A:A, 0)), 1, 0)</f>
        <v>1</v>
      </c>
    </row>
    <row r="853" spans="1:5" x14ac:dyDescent="0.3">
      <c r="A853">
        <v>124632666</v>
      </c>
      <c r="B853">
        <v>986340</v>
      </c>
      <c r="C853" s="1">
        <v>45425</v>
      </c>
      <c r="D853" t="s">
        <v>3489</v>
      </c>
      <c r="E853">
        <f>IF(ISNUMBER(MATCH(marketing_events_raw[[#This Row],[customer_id]], customers_clean!A:A, 0)), 1, 0)</f>
        <v>1</v>
      </c>
    </row>
    <row r="854" spans="1:5" x14ac:dyDescent="0.3">
      <c r="A854">
        <v>842318351</v>
      </c>
      <c r="B854">
        <v>936433</v>
      </c>
      <c r="C854" s="1">
        <v>45488</v>
      </c>
      <c r="D854" t="s">
        <v>3491</v>
      </c>
      <c r="E854">
        <f>IF(ISNUMBER(MATCH(marketing_events_raw[[#This Row],[customer_id]], customers_clean!A:A, 0)), 1, 0)</f>
        <v>1</v>
      </c>
    </row>
    <row r="855" spans="1:5" x14ac:dyDescent="0.3">
      <c r="A855">
        <v>535371900</v>
      </c>
      <c r="B855">
        <v>907503</v>
      </c>
      <c r="C855" s="1">
        <v>45403</v>
      </c>
      <c r="D855" t="s">
        <v>3493</v>
      </c>
      <c r="E855">
        <f>IF(ISNUMBER(MATCH(marketing_events_raw[[#This Row],[customer_id]], customers_clean!A:A, 0)), 1, 0)</f>
        <v>1</v>
      </c>
    </row>
    <row r="856" spans="1:5" x14ac:dyDescent="0.3">
      <c r="A856">
        <v>894639988</v>
      </c>
      <c r="B856">
        <v>249375</v>
      </c>
      <c r="C856" s="1">
        <v>44557</v>
      </c>
      <c r="D856" t="s">
        <v>3493</v>
      </c>
      <c r="E856">
        <f>IF(ISNUMBER(MATCH(marketing_events_raw[[#This Row],[customer_id]], customers_clean!A:A, 0)), 1, 0)</f>
        <v>1</v>
      </c>
    </row>
    <row r="857" spans="1:5" x14ac:dyDescent="0.3">
      <c r="A857">
        <v>322098659</v>
      </c>
      <c r="B857">
        <v>263573</v>
      </c>
      <c r="C857" s="1">
        <v>45162</v>
      </c>
      <c r="D857" t="s">
        <v>3490</v>
      </c>
      <c r="E857">
        <f>IF(ISNUMBER(MATCH(marketing_events_raw[[#This Row],[customer_id]], customers_clean!A:A, 0)), 1, 0)</f>
        <v>1</v>
      </c>
    </row>
    <row r="858" spans="1:5" x14ac:dyDescent="0.3">
      <c r="A858">
        <v>460313580</v>
      </c>
      <c r="B858">
        <v>275284</v>
      </c>
      <c r="C858" s="1">
        <v>44900</v>
      </c>
      <c r="D858" t="s">
        <v>3491</v>
      </c>
      <c r="E858">
        <f>IF(ISNUMBER(MATCH(marketing_events_raw[[#This Row],[customer_id]], customers_clean!A:A, 0)), 1, 0)</f>
        <v>1</v>
      </c>
    </row>
    <row r="859" spans="1:5" x14ac:dyDescent="0.3">
      <c r="A859">
        <v>407133414</v>
      </c>
      <c r="B859">
        <v>473897</v>
      </c>
      <c r="C859" s="1">
        <v>45272</v>
      </c>
      <c r="D859" t="s">
        <v>3491</v>
      </c>
      <c r="E859">
        <f>IF(ISNUMBER(MATCH(marketing_events_raw[[#This Row],[customer_id]], customers_clean!A:A, 0)), 1, 0)</f>
        <v>1</v>
      </c>
    </row>
    <row r="860" spans="1:5" x14ac:dyDescent="0.3">
      <c r="A860">
        <v>242894408</v>
      </c>
      <c r="B860">
        <v>317264</v>
      </c>
      <c r="C860" s="1">
        <v>44431</v>
      </c>
      <c r="D860" t="s">
        <v>3491</v>
      </c>
      <c r="E860">
        <f>IF(ISNUMBER(MATCH(marketing_events_raw[[#This Row],[customer_id]], customers_clean!A:A, 0)), 1, 0)</f>
        <v>1</v>
      </c>
    </row>
    <row r="861" spans="1:5" x14ac:dyDescent="0.3">
      <c r="A861">
        <v>497790904</v>
      </c>
      <c r="B861">
        <v>978157</v>
      </c>
      <c r="C861" s="1">
        <v>45240</v>
      </c>
      <c r="D861" t="s">
        <v>3492</v>
      </c>
      <c r="E861">
        <f>IF(ISNUMBER(MATCH(marketing_events_raw[[#This Row],[customer_id]], customers_clean!A:A, 0)), 1, 0)</f>
        <v>1</v>
      </c>
    </row>
    <row r="862" spans="1:5" x14ac:dyDescent="0.3">
      <c r="A862">
        <v>710163726</v>
      </c>
      <c r="B862">
        <v>699809</v>
      </c>
      <c r="C862" s="1">
        <v>44488</v>
      </c>
      <c r="D862" t="s">
        <v>3490</v>
      </c>
      <c r="E862">
        <f>IF(ISNUMBER(MATCH(marketing_events_raw[[#This Row],[customer_id]], customers_clean!A:A, 0)), 1, 0)</f>
        <v>1</v>
      </c>
    </row>
    <row r="863" spans="1:5" x14ac:dyDescent="0.3">
      <c r="A863">
        <v>301645728</v>
      </c>
      <c r="B863">
        <v>721497</v>
      </c>
      <c r="C863" s="1">
        <v>44680</v>
      </c>
      <c r="D863" t="s">
        <v>3492</v>
      </c>
      <c r="E863">
        <f>IF(ISNUMBER(MATCH(marketing_events_raw[[#This Row],[customer_id]], customers_clean!A:A, 0)), 1, 0)</f>
        <v>1</v>
      </c>
    </row>
    <row r="864" spans="1:5" x14ac:dyDescent="0.3">
      <c r="A864">
        <v>767471886</v>
      </c>
      <c r="B864">
        <v>786393</v>
      </c>
      <c r="C864" s="1">
        <v>45138</v>
      </c>
      <c r="D864" t="s">
        <v>3488</v>
      </c>
      <c r="E864">
        <f>IF(ISNUMBER(MATCH(marketing_events_raw[[#This Row],[customer_id]], customers_clean!A:A, 0)), 1, 0)</f>
        <v>1</v>
      </c>
    </row>
    <row r="865" spans="1:5" x14ac:dyDescent="0.3">
      <c r="A865">
        <v>200482595</v>
      </c>
      <c r="B865">
        <v>464750</v>
      </c>
      <c r="C865" s="1">
        <v>45536</v>
      </c>
      <c r="D865" t="s">
        <v>3489</v>
      </c>
      <c r="E865">
        <f>IF(ISNUMBER(MATCH(marketing_events_raw[[#This Row],[customer_id]], customers_clean!A:A, 0)), 1, 0)</f>
        <v>1</v>
      </c>
    </row>
    <row r="866" spans="1:5" x14ac:dyDescent="0.3">
      <c r="A866">
        <v>501794646</v>
      </c>
      <c r="B866">
        <v>922366</v>
      </c>
      <c r="C866" s="1">
        <v>44484</v>
      </c>
      <c r="D866" t="s">
        <v>3488</v>
      </c>
      <c r="E866">
        <f>IF(ISNUMBER(MATCH(marketing_events_raw[[#This Row],[customer_id]], customers_clean!A:A, 0)), 1, 0)</f>
        <v>1</v>
      </c>
    </row>
    <row r="867" spans="1:5" x14ac:dyDescent="0.3">
      <c r="A867">
        <v>801243466</v>
      </c>
      <c r="B867">
        <v>517821</v>
      </c>
      <c r="C867" s="1">
        <v>44383</v>
      </c>
      <c r="D867" t="s">
        <v>3490</v>
      </c>
      <c r="E867">
        <f>IF(ISNUMBER(MATCH(marketing_events_raw[[#This Row],[customer_id]], customers_clean!A:A, 0)), 1, 0)</f>
        <v>1</v>
      </c>
    </row>
    <row r="868" spans="1:5" x14ac:dyDescent="0.3">
      <c r="A868">
        <v>216266052</v>
      </c>
      <c r="B868">
        <v>826596</v>
      </c>
      <c r="C868" s="1">
        <v>45061</v>
      </c>
      <c r="D868" t="s">
        <v>3492</v>
      </c>
      <c r="E868">
        <f>IF(ISNUMBER(MATCH(marketing_events_raw[[#This Row],[customer_id]], customers_clean!A:A, 0)), 1, 0)</f>
        <v>1</v>
      </c>
    </row>
    <row r="869" spans="1:5" x14ac:dyDescent="0.3">
      <c r="A869">
        <v>520374694</v>
      </c>
      <c r="B869">
        <v>785592</v>
      </c>
      <c r="C869" s="1">
        <v>44606</v>
      </c>
      <c r="D869" t="s">
        <v>3487</v>
      </c>
      <c r="E869">
        <f>IF(ISNUMBER(MATCH(marketing_events_raw[[#This Row],[customer_id]], customers_clean!A:A, 0)), 1, 0)</f>
        <v>1</v>
      </c>
    </row>
    <row r="870" spans="1:5" x14ac:dyDescent="0.3">
      <c r="A870">
        <v>470420116</v>
      </c>
      <c r="B870">
        <v>904377</v>
      </c>
      <c r="C870" s="1">
        <v>45468</v>
      </c>
      <c r="D870" t="s">
        <v>3493</v>
      </c>
      <c r="E870">
        <f>IF(ISNUMBER(MATCH(marketing_events_raw[[#This Row],[customer_id]], customers_clean!A:A, 0)), 1, 0)</f>
        <v>1</v>
      </c>
    </row>
    <row r="871" spans="1:5" x14ac:dyDescent="0.3">
      <c r="A871">
        <v>841873046</v>
      </c>
      <c r="B871">
        <v>373342</v>
      </c>
      <c r="C871" s="1">
        <v>44504</v>
      </c>
      <c r="D871" t="s">
        <v>3491</v>
      </c>
      <c r="E871">
        <f>IF(ISNUMBER(MATCH(marketing_events_raw[[#This Row],[customer_id]], customers_clean!A:A, 0)), 1, 0)</f>
        <v>1</v>
      </c>
    </row>
    <row r="872" spans="1:5" x14ac:dyDescent="0.3">
      <c r="A872">
        <v>152385253</v>
      </c>
      <c r="B872">
        <v>106658</v>
      </c>
      <c r="C872" s="1">
        <v>44825</v>
      </c>
      <c r="D872" t="s">
        <v>3491</v>
      </c>
      <c r="E872">
        <f>IF(ISNUMBER(MATCH(marketing_events_raw[[#This Row],[customer_id]], customers_clean!A:A, 0)), 1, 0)</f>
        <v>1</v>
      </c>
    </row>
    <row r="873" spans="1:5" x14ac:dyDescent="0.3">
      <c r="A873">
        <v>887856332</v>
      </c>
      <c r="B873">
        <v>325258</v>
      </c>
      <c r="C873" s="1">
        <v>45425</v>
      </c>
      <c r="D873" t="s">
        <v>3491</v>
      </c>
      <c r="E873">
        <f>IF(ISNUMBER(MATCH(marketing_events_raw[[#This Row],[customer_id]], customers_clean!A:A, 0)), 1, 0)</f>
        <v>1</v>
      </c>
    </row>
    <row r="874" spans="1:5" x14ac:dyDescent="0.3">
      <c r="A874">
        <v>786037629</v>
      </c>
      <c r="B874">
        <v>726258</v>
      </c>
      <c r="C874" s="1">
        <v>44455</v>
      </c>
      <c r="D874" t="s">
        <v>3492</v>
      </c>
      <c r="E874">
        <f>IF(ISNUMBER(MATCH(marketing_events_raw[[#This Row],[customer_id]], customers_clean!A:A, 0)), 1, 0)</f>
        <v>1</v>
      </c>
    </row>
    <row r="875" spans="1:5" x14ac:dyDescent="0.3">
      <c r="A875">
        <v>374105773</v>
      </c>
      <c r="B875">
        <v>913185</v>
      </c>
      <c r="C875" s="1">
        <v>44521</v>
      </c>
      <c r="D875" t="s">
        <v>3490</v>
      </c>
      <c r="E875">
        <f>IF(ISNUMBER(MATCH(marketing_events_raw[[#This Row],[customer_id]], customers_clean!A:A, 0)), 1, 0)</f>
        <v>1</v>
      </c>
    </row>
    <row r="876" spans="1:5" x14ac:dyDescent="0.3">
      <c r="A876">
        <v>402629335</v>
      </c>
      <c r="B876">
        <v>479205</v>
      </c>
      <c r="C876" s="1">
        <v>44507</v>
      </c>
      <c r="D876" t="s">
        <v>3492</v>
      </c>
      <c r="E876">
        <f>IF(ISNUMBER(MATCH(marketing_events_raw[[#This Row],[customer_id]], customers_clean!A:A, 0)), 1, 0)</f>
        <v>1</v>
      </c>
    </row>
    <row r="877" spans="1:5" x14ac:dyDescent="0.3">
      <c r="A877">
        <v>359835090</v>
      </c>
      <c r="B877">
        <v>495400</v>
      </c>
      <c r="C877" s="1">
        <v>44512</v>
      </c>
      <c r="D877" t="s">
        <v>3492</v>
      </c>
      <c r="E877">
        <f>IF(ISNUMBER(MATCH(marketing_events_raw[[#This Row],[customer_id]], customers_clean!A:A, 0)), 1, 0)</f>
        <v>1</v>
      </c>
    </row>
    <row r="878" spans="1:5" x14ac:dyDescent="0.3">
      <c r="A878">
        <v>535581497</v>
      </c>
      <c r="B878">
        <v>974994</v>
      </c>
      <c r="C878" s="1">
        <v>45170</v>
      </c>
      <c r="D878" t="s">
        <v>3491</v>
      </c>
      <c r="E878">
        <f>IF(ISNUMBER(MATCH(marketing_events_raw[[#This Row],[customer_id]], customers_clean!A:A, 0)), 1, 0)</f>
        <v>1</v>
      </c>
    </row>
    <row r="879" spans="1:5" x14ac:dyDescent="0.3">
      <c r="A879">
        <v>464997557</v>
      </c>
      <c r="B879">
        <v>986925</v>
      </c>
      <c r="C879" s="1">
        <v>44537</v>
      </c>
      <c r="D879" t="s">
        <v>3493</v>
      </c>
      <c r="E879">
        <f>IF(ISNUMBER(MATCH(marketing_events_raw[[#This Row],[customer_id]], customers_clean!A:A, 0)), 1, 0)</f>
        <v>1</v>
      </c>
    </row>
    <row r="880" spans="1:5" x14ac:dyDescent="0.3">
      <c r="A880">
        <v>329326428</v>
      </c>
      <c r="B880">
        <v>386436</v>
      </c>
      <c r="C880" s="1">
        <v>45058</v>
      </c>
      <c r="D880" t="s">
        <v>3489</v>
      </c>
      <c r="E880">
        <f>IF(ISNUMBER(MATCH(marketing_events_raw[[#This Row],[customer_id]], customers_clean!A:A, 0)), 1, 0)</f>
        <v>1</v>
      </c>
    </row>
    <row r="881" spans="1:5" x14ac:dyDescent="0.3">
      <c r="A881">
        <v>660966411</v>
      </c>
      <c r="B881">
        <v>275073</v>
      </c>
      <c r="C881" s="1">
        <v>44593</v>
      </c>
      <c r="D881" t="s">
        <v>3492</v>
      </c>
      <c r="E881">
        <f>IF(ISNUMBER(MATCH(marketing_events_raw[[#This Row],[customer_id]], customers_clean!A:A, 0)), 1, 0)</f>
        <v>1</v>
      </c>
    </row>
    <row r="882" spans="1:5" x14ac:dyDescent="0.3">
      <c r="A882">
        <v>653032433</v>
      </c>
      <c r="B882">
        <v>508396</v>
      </c>
      <c r="C882" s="1">
        <v>44826</v>
      </c>
      <c r="D882" t="s">
        <v>3487</v>
      </c>
      <c r="E882">
        <f>IF(ISNUMBER(MATCH(marketing_events_raw[[#This Row],[customer_id]], customers_clean!A:A, 0)), 1, 0)</f>
        <v>1</v>
      </c>
    </row>
    <row r="883" spans="1:5" x14ac:dyDescent="0.3">
      <c r="A883">
        <v>433175966</v>
      </c>
      <c r="B883">
        <v>351516</v>
      </c>
      <c r="C883" s="1">
        <v>45320</v>
      </c>
      <c r="D883" t="s">
        <v>3492</v>
      </c>
      <c r="E883">
        <f>IF(ISNUMBER(MATCH(marketing_events_raw[[#This Row],[customer_id]], customers_clean!A:A, 0)), 1, 0)</f>
        <v>1</v>
      </c>
    </row>
    <row r="884" spans="1:5" x14ac:dyDescent="0.3">
      <c r="A884">
        <v>478240172</v>
      </c>
      <c r="B884">
        <v>680771</v>
      </c>
      <c r="C884" s="1">
        <v>45417</v>
      </c>
      <c r="D884" t="s">
        <v>3490</v>
      </c>
      <c r="E884">
        <f>IF(ISNUMBER(MATCH(marketing_events_raw[[#This Row],[customer_id]], customers_clean!A:A, 0)), 1, 0)</f>
        <v>1</v>
      </c>
    </row>
    <row r="885" spans="1:5" x14ac:dyDescent="0.3">
      <c r="A885">
        <v>311618404</v>
      </c>
      <c r="B885">
        <v>903774</v>
      </c>
      <c r="C885" s="1">
        <v>44468</v>
      </c>
      <c r="D885" t="s">
        <v>3491</v>
      </c>
      <c r="E885">
        <f>IF(ISNUMBER(MATCH(marketing_events_raw[[#This Row],[customer_id]], customers_clean!A:A, 0)), 1, 0)</f>
        <v>1</v>
      </c>
    </row>
    <row r="886" spans="1:5" x14ac:dyDescent="0.3">
      <c r="A886">
        <v>786294662</v>
      </c>
      <c r="B886">
        <v>738359</v>
      </c>
      <c r="C886" s="1">
        <v>44406</v>
      </c>
      <c r="D886" t="s">
        <v>3490</v>
      </c>
      <c r="E886">
        <f>IF(ISNUMBER(MATCH(marketing_events_raw[[#This Row],[customer_id]], customers_clean!A:A, 0)), 1, 0)</f>
        <v>1</v>
      </c>
    </row>
    <row r="887" spans="1:5" x14ac:dyDescent="0.3">
      <c r="A887">
        <v>533057132</v>
      </c>
      <c r="B887">
        <v>884225</v>
      </c>
      <c r="C887" s="1">
        <v>45439</v>
      </c>
      <c r="D887" t="s">
        <v>3492</v>
      </c>
      <c r="E887">
        <f>IF(ISNUMBER(MATCH(marketing_events_raw[[#This Row],[customer_id]], customers_clean!A:A, 0)), 1, 0)</f>
        <v>1</v>
      </c>
    </row>
    <row r="888" spans="1:5" x14ac:dyDescent="0.3">
      <c r="A888">
        <v>509560759</v>
      </c>
      <c r="B888">
        <v>495129</v>
      </c>
      <c r="C888" s="1">
        <v>44959</v>
      </c>
      <c r="D888" t="s">
        <v>3487</v>
      </c>
      <c r="E888">
        <f>IF(ISNUMBER(MATCH(marketing_events_raw[[#This Row],[customer_id]], customers_clean!A:A, 0)), 1, 0)</f>
        <v>1</v>
      </c>
    </row>
    <row r="889" spans="1:5" x14ac:dyDescent="0.3">
      <c r="A889">
        <v>218100704</v>
      </c>
      <c r="B889">
        <v>359822</v>
      </c>
      <c r="C889" s="1">
        <v>45379</v>
      </c>
      <c r="D889" t="s">
        <v>3488</v>
      </c>
      <c r="E889">
        <f>IF(ISNUMBER(MATCH(marketing_events_raw[[#This Row],[customer_id]], customers_clean!A:A, 0)), 1, 0)</f>
        <v>1</v>
      </c>
    </row>
    <row r="890" spans="1:5" x14ac:dyDescent="0.3">
      <c r="A890">
        <v>975788656</v>
      </c>
      <c r="B890">
        <v>336444</v>
      </c>
      <c r="C890" s="1">
        <v>45305</v>
      </c>
      <c r="D890" t="s">
        <v>3491</v>
      </c>
      <c r="E890">
        <f>IF(ISNUMBER(MATCH(marketing_events_raw[[#This Row],[customer_id]], customers_clean!A:A, 0)), 1, 0)</f>
        <v>1</v>
      </c>
    </row>
    <row r="891" spans="1:5" x14ac:dyDescent="0.3">
      <c r="A891">
        <v>381603866</v>
      </c>
      <c r="B891">
        <v>695225</v>
      </c>
      <c r="C891" s="1">
        <v>44455</v>
      </c>
      <c r="D891" t="s">
        <v>3490</v>
      </c>
      <c r="E891">
        <f>IF(ISNUMBER(MATCH(marketing_events_raw[[#This Row],[customer_id]], customers_clean!A:A, 0)), 1, 0)</f>
        <v>1</v>
      </c>
    </row>
    <row r="892" spans="1:5" x14ac:dyDescent="0.3">
      <c r="A892">
        <v>753048081</v>
      </c>
      <c r="B892">
        <v>398910</v>
      </c>
      <c r="C892" s="1">
        <v>44458</v>
      </c>
      <c r="D892" t="s">
        <v>3489</v>
      </c>
      <c r="E892">
        <f>IF(ISNUMBER(MATCH(marketing_events_raw[[#This Row],[customer_id]], customers_clean!A:A, 0)), 1, 0)</f>
        <v>1</v>
      </c>
    </row>
    <row r="893" spans="1:5" x14ac:dyDescent="0.3">
      <c r="A893">
        <v>596701882</v>
      </c>
      <c r="B893">
        <v>648887</v>
      </c>
      <c r="C893" s="1">
        <v>44592</v>
      </c>
      <c r="D893" t="s">
        <v>3487</v>
      </c>
      <c r="E893">
        <f>IF(ISNUMBER(MATCH(marketing_events_raw[[#This Row],[customer_id]], customers_clean!A:A, 0)), 1, 0)</f>
        <v>1</v>
      </c>
    </row>
    <row r="894" spans="1:5" x14ac:dyDescent="0.3">
      <c r="A894">
        <v>751019699</v>
      </c>
      <c r="B894">
        <v>886365</v>
      </c>
      <c r="C894" s="1">
        <v>45461</v>
      </c>
      <c r="D894" t="s">
        <v>3493</v>
      </c>
      <c r="E894">
        <f>IF(ISNUMBER(MATCH(marketing_events_raw[[#This Row],[customer_id]], customers_clean!A:A, 0)), 1, 0)</f>
        <v>1</v>
      </c>
    </row>
    <row r="895" spans="1:5" x14ac:dyDescent="0.3">
      <c r="A895">
        <v>699958121</v>
      </c>
      <c r="B895">
        <v>571980</v>
      </c>
      <c r="C895" s="1">
        <v>44800</v>
      </c>
      <c r="D895" t="s">
        <v>3487</v>
      </c>
      <c r="E895">
        <f>IF(ISNUMBER(MATCH(marketing_events_raw[[#This Row],[customer_id]], customers_clean!A:A, 0)), 1, 0)</f>
        <v>1</v>
      </c>
    </row>
    <row r="896" spans="1:5" x14ac:dyDescent="0.3">
      <c r="A896">
        <v>853473348</v>
      </c>
      <c r="B896">
        <v>514798</v>
      </c>
      <c r="C896" s="1">
        <v>44592</v>
      </c>
      <c r="D896" t="s">
        <v>3487</v>
      </c>
      <c r="E896">
        <f>IF(ISNUMBER(MATCH(marketing_events_raw[[#This Row],[customer_id]], customers_clean!A:A, 0)), 1, 0)</f>
        <v>1</v>
      </c>
    </row>
    <row r="897" spans="1:5" x14ac:dyDescent="0.3">
      <c r="A897">
        <v>200296964</v>
      </c>
      <c r="B897">
        <v>985364</v>
      </c>
      <c r="C897" s="1">
        <v>44600</v>
      </c>
      <c r="D897" t="s">
        <v>3492</v>
      </c>
      <c r="E897">
        <f>IF(ISNUMBER(MATCH(marketing_events_raw[[#This Row],[customer_id]], customers_clean!A:A, 0)), 1, 0)</f>
        <v>1</v>
      </c>
    </row>
    <row r="898" spans="1:5" x14ac:dyDescent="0.3">
      <c r="A898">
        <v>654004494</v>
      </c>
      <c r="B898">
        <v>534037</v>
      </c>
      <c r="C898" s="1">
        <v>45179</v>
      </c>
      <c r="D898" t="s">
        <v>3487</v>
      </c>
      <c r="E898">
        <f>IF(ISNUMBER(MATCH(marketing_events_raw[[#This Row],[customer_id]], customers_clean!A:A, 0)), 1, 0)</f>
        <v>1</v>
      </c>
    </row>
    <row r="899" spans="1:5" x14ac:dyDescent="0.3">
      <c r="A899">
        <v>957740558</v>
      </c>
      <c r="B899">
        <v>140140</v>
      </c>
      <c r="C899" s="1">
        <v>45441</v>
      </c>
      <c r="D899" t="s">
        <v>3487</v>
      </c>
      <c r="E899">
        <f>IF(ISNUMBER(MATCH(marketing_events_raw[[#This Row],[customer_id]], customers_clean!A:A, 0)), 1, 0)</f>
        <v>1</v>
      </c>
    </row>
    <row r="900" spans="1:5" x14ac:dyDescent="0.3">
      <c r="A900">
        <v>221142507</v>
      </c>
      <c r="B900">
        <v>233534</v>
      </c>
      <c r="C900" s="1">
        <v>44556</v>
      </c>
      <c r="D900" t="s">
        <v>3491</v>
      </c>
      <c r="E900">
        <f>IF(ISNUMBER(MATCH(marketing_events_raw[[#This Row],[customer_id]], customers_clean!A:A, 0)), 1, 0)</f>
        <v>1</v>
      </c>
    </row>
    <row r="901" spans="1:5" x14ac:dyDescent="0.3">
      <c r="A901">
        <v>713413941</v>
      </c>
      <c r="B901">
        <v>668373</v>
      </c>
      <c r="C901" s="1">
        <v>45344</v>
      </c>
      <c r="D901" t="s">
        <v>3488</v>
      </c>
      <c r="E901">
        <f>IF(ISNUMBER(MATCH(marketing_events_raw[[#This Row],[customer_id]], customers_clean!A:A, 0)), 1, 0)</f>
        <v>1</v>
      </c>
    </row>
    <row r="902" spans="1:5" x14ac:dyDescent="0.3">
      <c r="A902">
        <v>992928535</v>
      </c>
      <c r="B902">
        <v>105066</v>
      </c>
      <c r="C902" s="1">
        <v>45171</v>
      </c>
      <c r="D902" t="s">
        <v>3487</v>
      </c>
      <c r="E902">
        <f>IF(ISNUMBER(MATCH(marketing_events_raw[[#This Row],[customer_id]], customers_clean!A:A, 0)), 1, 0)</f>
        <v>1</v>
      </c>
    </row>
    <row r="903" spans="1:5" x14ac:dyDescent="0.3">
      <c r="A903">
        <v>482518213</v>
      </c>
      <c r="B903">
        <v>825318</v>
      </c>
      <c r="C903" s="1">
        <v>45568</v>
      </c>
      <c r="D903" t="s">
        <v>3493</v>
      </c>
      <c r="E903">
        <f>IF(ISNUMBER(MATCH(marketing_events_raw[[#This Row],[customer_id]], customers_clean!A:A, 0)), 1, 0)</f>
        <v>1</v>
      </c>
    </row>
    <row r="904" spans="1:5" x14ac:dyDescent="0.3">
      <c r="A904">
        <v>865370460</v>
      </c>
      <c r="B904">
        <v>225151</v>
      </c>
      <c r="C904" s="1">
        <v>45449</v>
      </c>
      <c r="D904" t="s">
        <v>3489</v>
      </c>
      <c r="E904">
        <f>IF(ISNUMBER(MATCH(marketing_events_raw[[#This Row],[customer_id]], customers_clean!A:A, 0)), 1, 0)</f>
        <v>1</v>
      </c>
    </row>
    <row r="905" spans="1:5" x14ac:dyDescent="0.3">
      <c r="A905">
        <v>812959837</v>
      </c>
      <c r="B905">
        <v>182020</v>
      </c>
      <c r="C905" s="1">
        <v>44789</v>
      </c>
      <c r="D905" t="s">
        <v>3489</v>
      </c>
      <c r="E905">
        <f>IF(ISNUMBER(MATCH(marketing_events_raw[[#This Row],[customer_id]], customers_clean!A:A, 0)), 1, 0)</f>
        <v>1</v>
      </c>
    </row>
    <row r="906" spans="1:5" x14ac:dyDescent="0.3">
      <c r="A906">
        <v>544339294</v>
      </c>
      <c r="B906">
        <v>166803</v>
      </c>
      <c r="C906" s="1">
        <v>44516</v>
      </c>
      <c r="D906" t="s">
        <v>3487</v>
      </c>
      <c r="E906">
        <f>IF(ISNUMBER(MATCH(marketing_events_raw[[#This Row],[customer_id]], customers_clean!A:A, 0)), 1, 0)</f>
        <v>1</v>
      </c>
    </row>
    <row r="907" spans="1:5" x14ac:dyDescent="0.3">
      <c r="A907">
        <v>144758304</v>
      </c>
      <c r="B907">
        <v>761519</v>
      </c>
      <c r="C907" s="1">
        <v>45039</v>
      </c>
      <c r="D907" t="s">
        <v>3488</v>
      </c>
      <c r="E907">
        <f>IF(ISNUMBER(MATCH(marketing_events_raw[[#This Row],[customer_id]], customers_clean!A:A, 0)), 1, 0)</f>
        <v>1</v>
      </c>
    </row>
    <row r="908" spans="1:5" x14ac:dyDescent="0.3">
      <c r="A908">
        <v>130154837</v>
      </c>
      <c r="B908">
        <v>936433</v>
      </c>
      <c r="C908" s="1">
        <v>45063</v>
      </c>
      <c r="D908" t="s">
        <v>3491</v>
      </c>
      <c r="E908">
        <f>IF(ISNUMBER(MATCH(marketing_events_raw[[#This Row],[customer_id]], customers_clean!A:A, 0)), 1, 0)</f>
        <v>1</v>
      </c>
    </row>
    <row r="909" spans="1:5" x14ac:dyDescent="0.3">
      <c r="A909">
        <v>322671897</v>
      </c>
      <c r="B909">
        <v>998746</v>
      </c>
      <c r="C909" s="1">
        <v>45149</v>
      </c>
      <c r="D909" t="s">
        <v>3489</v>
      </c>
      <c r="E909">
        <f>IF(ISNUMBER(MATCH(marketing_events_raw[[#This Row],[customer_id]], customers_clean!A:A, 0)), 1, 0)</f>
        <v>1</v>
      </c>
    </row>
    <row r="910" spans="1:5" x14ac:dyDescent="0.3">
      <c r="A910">
        <v>374430601</v>
      </c>
      <c r="B910">
        <v>598969</v>
      </c>
      <c r="C910" s="1">
        <v>45112</v>
      </c>
      <c r="D910" t="s">
        <v>3493</v>
      </c>
      <c r="E910">
        <f>IF(ISNUMBER(MATCH(marketing_events_raw[[#This Row],[customer_id]], customers_clean!A:A, 0)), 1, 0)</f>
        <v>1</v>
      </c>
    </row>
    <row r="911" spans="1:5" x14ac:dyDescent="0.3">
      <c r="A911">
        <v>678874106</v>
      </c>
      <c r="B911">
        <v>644559</v>
      </c>
      <c r="C911" s="1">
        <v>44519</v>
      </c>
      <c r="D911" t="s">
        <v>3491</v>
      </c>
      <c r="E911">
        <f>IF(ISNUMBER(MATCH(marketing_events_raw[[#This Row],[customer_id]], customers_clean!A:A, 0)), 1, 0)</f>
        <v>1</v>
      </c>
    </row>
    <row r="912" spans="1:5" x14ac:dyDescent="0.3">
      <c r="A912">
        <v>473423258</v>
      </c>
      <c r="B912">
        <v>939482</v>
      </c>
      <c r="C912" s="1">
        <v>45246</v>
      </c>
      <c r="D912" t="s">
        <v>3492</v>
      </c>
      <c r="E912">
        <f>IF(ISNUMBER(MATCH(marketing_events_raw[[#This Row],[customer_id]], customers_clean!A:A, 0)), 1, 0)</f>
        <v>1</v>
      </c>
    </row>
    <row r="913" spans="1:5" x14ac:dyDescent="0.3">
      <c r="A913">
        <v>572158255</v>
      </c>
      <c r="B913">
        <v>965401</v>
      </c>
      <c r="C913" s="1">
        <v>44689</v>
      </c>
      <c r="D913" t="s">
        <v>3491</v>
      </c>
      <c r="E913">
        <f>IF(ISNUMBER(MATCH(marketing_events_raw[[#This Row],[customer_id]], customers_clean!A:A, 0)), 1, 0)</f>
        <v>1</v>
      </c>
    </row>
    <row r="914" spans="1:5" x14ac:dyDescent="0.3">
      <c r="A914">
        <v>496873790</v>
      </c>
      <c r="B914">
        <v>890075</v>
      </c>
      <c r="C914" s="1">
        <v>44887</v>
      </c>
      <c r="D914" t="s">
        <v>3492</v>
      </c>
      <c r="E914">
        <f>IF(ISNUMBER(MATCH(marketing_events_raw[[#This Row],[customer_id]], customers_clean!A:A, 0)), 1, 0)</f>
        <v>1</v>
      </c>
    </row>
    <row r="915" spans="1:5" x14ac:dyDescent="0.3">
      <c r="A915">
        <v>357070361</v>
      </c>
      <c r="B915">
        <v>196214</v>
      </c>
      <c r="C915" s="1">
        <v>44888</v>
      </c>
      <c r="D915" t="s">
        <v>3491</v>
      </c>
      <c r="E915">
        <f>IF(ISNUMBER(MATCH(marketing_events_raw[[#This Row],[customer_id]], customers_clean!A:A, 0)), 1, 0)</f>
        <v>1</v>
      </c>
    </row>
    <row r="916" spans="1:5" x14ac:dyDescent="0.3">
      <c r="A916">
        <v>804518080</v>
      </c>
      <c r="B916">
        <v>332823</v>
      </c>
      <c r="C916" s="1">
        <v>45597</v>
      </c>
      <c r="D916" t="s">
        <v>3488</v>
      </c>
      <c r="E916">
        <f>IF(ISNUMBER(MATCH(marketing_events_raw[[#This Row],[customer_id]], customers_clean!A:A, 0)), 1, 0)</f>
        <v>1</v>
      </c>
    </row>
    <row r="917" spans="1:5" x14ac:dyDescent="0.3">
      <c r="A917">
        <v>917208344</v>
      </c>
      <c r="B917">
        <v>215266</v>
      </c>
      <c r="C917" s="1">
        <v>45424</v>
      </c>
      <c r="D917" t="s">
        <v>3489</v>
      </c>
      <c r="E917">
        <f>IF(ISNUMBER(MATCH(marketing_events_raw[[#This Row],[customer_id]], customers_clean!A:A, 0)), 1, 0)</f>
        <v>1</v>
      </c>
    </row>
    <row r="918" spans="1:5" x14ac:dyDescent="0.3">
      <c r="A918">
        <v>403105147</v>
      </c>
      <c r="B918">
        <v>651400</v>
      </c>
      <c r="C918" s="1">
        <v>44708</v>
      </c>
      <c r="D918" t="s">
        <v>3487</v>
      </c>
      <c r="E918">
        <f>IF(ISNUMBER(MATCH(marketing_events_raw[[#This Row],[customer_id]], customers_clean!A:A, 0)), 1, 0)</f>
        <v>1</v>
      </c>
    </row>
    <row r="919" spans="1:5" x14ac:dyDescent="0.3">
      <c r="A919">
        <v>529689726</v>
      </c>
      <c r="B919">
        <v>402218</v>
      </c>
      <c r="C919" s="1">
        <v>44672</v>
      </c>
      <c r="D919" t="s">
        <v>3490</v>
      </c>
      <c r="E919">
        <f>IF(ISNUMBER(MATCH(marketing_events_raw[[#This Row],[customer_id]], customers_clean!A:A, 0)), 1, 0)</f>
        <v>1</v>
      </c>
    </row>
    <row r="920" spans="1:5" x14ac:dyDescent="0.3">
      <c r="A920">
        <v>602644932</v>
      </c>
      <c r="B920">
        <v>415779</v>
      </c>
      <c r="C920" s="1">
        <v>45369</v>
      </c>
      <c r="D920" t="s">
        <v>3492</v>
      </c>
      <c r="E920">
        <f>IF(ISNUMBER(MATCH(marketing_events_raw[[#This Row],[customer_id]], customers_clean!A:A, 0)), 1, 0)</f>
        <v>1</v>
      </c>
    </row>
    <row r="921" spans="1:5" x14ac:dyDescent="0.3">
      <c r="A921">
        <v>700820902</v>
      </c>
      <c r="B921">
        <v>276556</v>
      </c>
      <c r="C921" s="1">
        <v>44470</v>
      </c>
      <c r="D921" t="s">
        <v>3490</v>
      </c>
      <c r="E921">
        <f>IF(ISNUMBER(MATCH(marketing_events_raw[[#This Row],[customer_id]], customers_clean!A:A, 0)), 1, 0)</f>
        <v>1</v>
      </c>
    </row>
    <row r="922" spans="1:5" x14ac:dyDescent="0.3">
      <c r="A922">
        <v>831561186</v>
      </c>
      <c r="B922">
        <v>233620</v>
      </c>
      <c r="C922" s="1">
        <v>45058</v>
      </c>
      <c r="D922" t="s">
        <v>3491</v>
      </c>
      <c r="E922">
        <f>IF(ISNUMBER(MATCH(marketing_events_raw[[#This Row],[customer_id]], customers_clean!A:A, 0)), 1, 0)</f>
        <v>1</v>
      </c>
    </row>
    <row r="923" spans="1:5" x14ac:dyDescent="0.3">
      <c r="A923">
        <v>974438089</v>
      </c>
      <c r="B923">
        <v>279130</v>
      </c>
      <c r="C923" s="1">
        <v>44930</v>
      </c>
      <c r="D923" t="s">
        <v>3487</v>
      </c>
      <c r="E923">
        <f>IF(ISNUMBER(MATCH(marketing_events_raw[[#This Row],[customer_id]], customers_clean!A:A, 0)), 1, 0)</f>
        <v>1</v>
      </c>
    </row>
    <row r="924" spans="1:5" x14ac:dyDescent="0.3">
      <c r="A924">
        <v>559300570</v>
      </c>
      <c r="B924">
        <v>831531</v>
      </c>
      <c r="C924" s="1">
        <v>45504</v>
      </c>
      <c r="D924" t="s">
        <v>3487</v>
      </c>
      <c r="E924">
        <f>IF(ISNUMBER(MATCH(marketing_events_raw[[#This Row],[customer_id]], customers_clean!A:A, 0)), 1, 0)</f>
        <v>1</v>
      </c>
    </row>
    <row r="925" spans="1:5" x14ac:dyDescent="0.3">
      <c r="A925">
        <v>749347883</v>
      </c>
      <c r="B925">
        <v>107482</v>
      </c>
      <c r="C925" s="1">
        <v>44808</v>
      </c>
      <c r="D925" t="s">
        <v>3490</v>
      </c>
      <c r="E925">
        <f>IF(ISNUMBER(MATCH(marketing_events_raw[[#This Row],[customer_id]], customers_clean!A:A, 0)), 1, 0)</f>
        <v>1</v>
      </c>
    </row>
    <row r="926" spans="1:5" x14ac:dyDescent="0.3">
      <c r="A926">
        <v>974871150</v>
      </c>
      <c r="B926">
        <v>612855</v>
      </c>
      <c r="C926" s="1">
        <v>44796</v>
      </c>
      <c r="D926" t="s">
        <v>3490</v>
      </c>
      <c r="E926">
        <f>IF(ISNUMBER(MATCH(marketing_events_raw[[#This Row],[customer_id]], customers_clean!A:A, 0)), 1, 0)</f>
        <v>1</v>
      </c>
    </row>
    <row r="927" spans="1:5" x14ac:dyDescent="0.3">
      <c r="A927">
        <v>262806001</v>
      </c>
      <c r="B927">
        <v>608312</v>
      </c>
      <c r="C927" s="1">
        <v>45437</v>
      </c>
      <c r="D927" t="s">
        <v>3492</v>
      </c>
      <c r="E927">
        <f>IF(ISNUMBER(MATCH(marketing_events_raw[[#This Row],[customer_id]], customers_clean!A:A, 0)), 1, 0)</f>
        <v>1</v>
      </c>
    </row>
    <row r="928" spans="1:5" x14ac:dyDescent="0.3">
      <c r="A928">
        <v>319589386</v>
      </c>
      <c r="B928">
        <v>420214</v>
      </c>
      <c r="C928" s="1">
        <v>44704</v>
      </c>
      <c r="D928" t="s">
        <v>3488</v>
      </c>
      <c r="E928">
        <f>IF(ISNUMBER(MATCH(marketing_events_raw[[#This Row],[customer_id]], customers_clean!A:A, 0)), 1, 0)</f>
        <v>1</v>
      </c>
    </row>
    <row r="929" spans="1:5" x14ac:dyDescent="0.3">
      <c r="A929">
        <v>596096543</v>
      </c>
      <c r="B929">
        <v>562094</v>
      </c>
      <c r="C929" s="1">
        <v>44748</v>
      </c>
      <c r="D929" t="s">
        <v>3487</v>
      </c>
      <c r="E929">
        <f>IF(ISNUMBER(MATCH(marketing_events_raw[[#This Row],[customer_id]], customers_clean!A:A, 0)), 1, 0)</f>
        <v>1</v>
      </c>
    </row>
    <row r="930" spans="1:5" x14ac:dyDescent="0.3">
      <c r="A930">
        <v>909547419</v>
      </c>
      <c r="B930">
        <v>441819</v>
      </c>
      <c r="C930" s="1">
        <v>45168</v>
      </c>
      <c r="D930" t="s">
        <v>3487</v>
      </c>
      <c r="E930">
        <f>IF(ISNUMBER(MATCH(marketing_events_raw[[#This Row],[customer_id]], customers_clean!A:A, 0)), 1, 0)</f>
        <v>1</v>
      </c>
    </row>
    <row r="931" spans="1:5" x14ac:dyDescent="0.3">
      <c r="A931">
        <v>736220988</v>
      </c>
      <c r="B931">
        <v>111691</v>
      </c>
      <c r="C931" s="1">
        <v>45529</v>
      </c>
      <c r="D931" t="s">
        <v>3488</v>
      </c>
      <c r="E931">
        <f>IF(ISNUMBER(MATCH(marketing_events_raw[[#This Row],[customer_id]], customers_clean!A:A, 0)), 1, 0)</f>
        <v>1</v>
      </c>
    </row>
    <row r="932" spans="1:5" x14ac:dyDescent="0.3">
      <c r="A932">
        <v>795085691</v>
      </c>
      <c r="B932">
        <v>581894</v>
      </c>
      <c r="C932" s="1">
        <v>44836</v>
      </c>
      <c r="D932" t="s">
        <v>3492</v>
      </c>
      <c r="E932">
        <f>IF(ISNUMBER(MATCH(marketing_events_raw[[#This Row],[customer_id]], customers_clean!A:A, 0)), 1, 0)</f>
        <v>1</v>
      </c>
    </row>
    <row r="933" spans="1:5" x14ac:dyDescent="0.3">
      <c r="A933">
        <v>440006560</v>
      </c>
      <c r="B933">
        <v>498458</v>
      </c>
      <c r="C933" s="1">
        <v>44524</v>
      </c>
      <c r="D933" t="s">
        <v>3493</v>
      </c>
      <c r="E933">
        <f>IF(ISNUMBER(MATCH(marketing_events_raw[[#This Row],[customer_id]], customers_clean!A:A, 0)), 1, 0)</f>
        <v>1</v>
      </c>
    </row>
    <row r="934" spans="1:5" x14ac:dyDescent="0.3">
      <c r="A934">
        <v>498331717</v>
      </c>
      <c r="B934">
        <v>158014</v>
      </c>
      <c r="C934" s="1">
        <v>44507</v>
      </c>
      <c r="D934" t="s">
        <v>3489</v>
      </c>
      <c r="E934">
        <f>IF(ISNUMBER(MATCH(marketing_events_raw[[#This Row],[customer_id]], customers_clean!A:A, 0)), 1, 0)</f>
        <v>1</v>
      </c>
    </row>
    <row r="935" spans="1:5" x14ac:dyDescent="0.3">
      <c r="A935">
        <v>443527807</v>
      </c>
      <c r="B935">
        <v>581061</v>
      </c>
      <c r="C935" s="1">
        <v>44639</v>
      </c>
      <c r="D935" t="s">
        <v>3488</v>
      </c>
      <c r="E935">
        <f>IF(ISNUMBER(MATCH(marketing_events_raw[[#This Row],[customer_id]], customers_clean!A:A, 0)), 1, 0)</f>
        <v>1</v>
      </c>
    </row>
    <row r="936" spans="1:5" x14ac:dyDescent="0.3">
      <c r="A936">
        <v>656046834</v>
      </c>
      <c r="B936">
        <v>559469</v>
      </c>
      <c r="C936" s="1">
        <v>45141</v>
      </c>
      <c r="D936" t="s">
        <v>3492</v>
      </c>
      <c r="E936">
        <f>IF(ISNUMBER(MATCH(marketing_events_raw[[#This Row],[customer_id]], customers_clean!A:A, 0)), 1, 0)</f>
        <v>1</v>
      </c>
    </row>
    <row r="937" spans="1:5" x14ac:dyDescent="0.3">
      <c r="A937">
        <v>557917712</v>
      </c>
      <c r="B937">
        <v>866437</v>
      </c>
      <c r="C937" s="1">
        <v>44600</v>
      </c>
      <c r="D937" t="s">
        <v>3489</v>
      </c>
      <c r="E937">
        <f>IF(ISNUMBER(MATCH(marketing_events_raw[[#This Row],[customer_id]], customers_clean!A:A, 0)), 1, 0)</f>
        <v>1</v>
      </c>
    </row>
    <row r="938" spans="1:5" x14ac:dyDescent="0.3">
      <c r="A938">
        <v>104743978</v>
      </c>
      <c r="B938">
        <v>678866</v>
      </c>
      <c r="C938" s="1">
        <v>45496</v>
      </c>
      <c r="D938" t="s">
        <v>3487</v>
      </c>
      <c r="E938">
        <f>IF(ISNUMBER(MATCH(marketing_events_raw[[#This Row],[customer_id]], customers_clean!A:A, 0)), 1, 0)</f>
        <v>1</v>
      </c>
    </row>
    <row r="939" spans="1:5" x14ac:dyDescent="0.3">
      <c r="A939">
        <v>978518852</v>
      </c>
      <c r="B939">
        <v>425486</v>
      </c>
      <c r="C939" s="1">
        <v>44772</v>
      </c>
      <c r="D939" t="s">
        <v>3490</v>
      </c>
      <c r="E939">
        <f>IF(ISNUMBER(MATCH(marketing_events_raw[[#This Row],[customer_id]], customers_clean!A:A, 0)), 1, 0)</f>
        <v>1</v>
      </c>
    </row>
    <row r="940" spans="1:5" x14ac:dyDescent="0.3">
      <c r="A940">
        <v>674635345</v>
      </c>
      <c r="B940">
        <v>152046</v>
      </c>
      <c r="C940" s="1">
        <v>45537</v>
      </c>
      <c r="D940" t="s">
        <v>3487</v>
      </c>
      <c r="E940">
        <f>IF(ISNUMBER(MATCH(marketing_events_raw[[#This Row],[customer_id]], customers_clean!A:A, 0)), 1, 0)</f>
        <v>1</v>
      </c>
    </row>
    <row r="941" spans="1:5" x14ac:dyDescent="0.3">
      <c r="A941">
        <v>234283913</v>
      </c>
      <c r="B941">
        <v>901968</v>
      </c>
      <c r="C941" s="1">
        <v>44398</v>
      </c>
      <c r="D941" t="s">
        <v>3493</v>
      </c>
      <c r="E941">
        <f>IF(ISNUMBER(MATCH(marketing_events_raw[[#This Row],[customer_id]], customers_clean!A:A, 0)), 1, 0)</f>
        <v>1</v>
      </c>
    </row>
    <row r="942" spans="1:5" x14ac:dyDescent="0.3">
      <c r="A942">
        <v>590356388</v>
      </c>
      <c r="B942">
        <v>911242</v>
      </c>
      <c r="C942" s="1">
        <v>44840</v>
      </c>
      <c r="D942" t="s">
        <v>3491</v>
      </c>
      <c r="E942">
        <f>IF(ISNUMBER(MATCH(marketing_events_raw[[#This Row],[customer_id]], customers_clean!A:A, 0)), 1, 0)</f>
        <v>1</v>
      </c>
    </row>
    <row r="943" spans="1:5" x14ac:dyDescent="0.3">
      <c r="A943">
        <v>867751816</v>
      </c>
      <c r="B943">
        <v>236543</v>
      </c>
      <c r="C943" s="1">
        <v>44723</v>
      </c>
      <c r="D943" t="s">
        <v>3487</v>
      </c>
      <c r="E943">
        <f>IF(ISNUMBER(MATCH(marketing_events_raw[[#This Row],[customer_id]], customers_clean!A:A, 0)), 1, 0)</f>
        <v>1</v>
      </c>
    </row>
    <row r="944" spans="1:5" x14ac:dyDescent="0.3">
      <c r="A944">
        <v>951861812</v>
      </c>
      <c r="B944">
        <v>539122</v>
      </c>
      <c r="C944" s="1">
        <v>45355</v>
      </c>
      <c r="D944" t="s">
        <v>3487</v>
      </c>
      <c r="E944">
        <f>IF(ISNUMBER(MATCH(marketing_events_raw[[#This Row],[customer_id]], customers_clean!A:A, 0)), 1, 0)</f>
        <v>1</v>
      </c>
    </row>
    <row r="945" spans="1:5" x14ac:dyDescent="0.3">
      <c r="A945">
        <v>589498004</v>
      </c>
      <c r="B945">
        <v>744481</v>
      </c>
      <c r="C945" s="1">
        <v>44619</v>
      </c>
      <c r="D945" t="s">
        <v>3490</v>
      </c>
      <c r="E945">
        <f>IF(ISNUMBER(MATCH(marketing_events_raw[[#This Row],[customer_id]], customers_clean!A:A, 0)), 1, 0)</f>
        <v>1</v>
      </c>
    </row>
    <row r="946" spans="1:5" x14ac:dyDescent="0.3">
      <c r="A946">
        <v>915995939</v>
      </c>
      <c r="B946">
        <v>106658</v>
      </c>
      <c r="C946" s="1">
        <v>45408</v>
      </c>
      <c r="D946" t="s">
        <v>3492</v>
      </c>
      <c r="E946">
        <f>IF(ISNUMBER(MATCH(marketing_events_raw[[#This Row],[customer_id]], customers_clean!A:A, 0)), 1, 0)</f>
        <v>1</v>
      </c>
    </row>
    <row r="947" spans="1:5" x14ac:dyDescent="0.3">
      <c r="A947">
        <v>250547787</v>
      </c>
      <c r="B947">
        <v>975804</v>
      </c>
      <c r="C947" s="1">
        <v>45035</v>
      </c>
      <c r="D947" t="s">
        <v>3489</v>
      </c>
      <c r="E947">
        <f>IF(ISNUMBER(MATCH(marketing_events_raw[[#This Row],[customer_id]], customers_clean!A:A, 0)), 1, 0)</f>
        <v>1</v>
      </c>
    </row>
    <row r="948" spans="1:5" x14ac:dyDescent="0.3">
      <c r="A948">
        <v>844418816</v>
      </c>
      <c r="B948">
        <v>854701</v>
      </c>
      <c r="C948" s="1">
        <v>45366</v>
      </c>
      <c r="D948" t="s">
        <v>3493</v>
      </c>
      <c r="E948">
        <f>IF(ISNUMBER(MATCH(marketing_events_raw[[#This Row],[customer_id]], customers_clean!A:A, 0)), 1, 0)</f>
        <v>1</v>
      </c>
    </row>
    <row r="949" spans="1:5" x14ac:dyDescent="0.3">
      <c r="A949">
        <v>641116823</v>
      </c>
      <c r="B949">
        <v>119943</v>
      </c>
      <c r="C949" s="1">
        <v>45180</v>
      </c>
      <c r="D949" t="s">
        <v>3489</v>
      </c>
      <c r="E949">
        <f>IF(ISNUMBER(MATCH(marketing_events_raw[[#This Row],[customer_id]], customers_clean!A:A, 0)), 1, 0)</f>
        <v>1</v>
      </c>
    </row>
    <row r="950" spans="1:5" x14ac:dyDescent="0.3">
      <c r="A950">
        <v>101177582</v>
      </c>
      <c r="B950">
        <v>212157</v>
      </c>
      <c r="C950" s="1">
        <v>45616</v>
      </c>
      <c r="D950" t="s">
        <v>3490</v>
      </c>
      <c r="E950">
        <f>IF(ISNUMBER(MATCH(marketing_events_raw[[#This Row],[customer_id]], customers_clean!A:A, 0)), 1, 0)</f>
        <v>1</v>
      </c>
    </row>
    <row r="951" spans="1:5" x14ac:dyDescent="0.3">
      <c r="A951">
        <v>109255799</v>
      </c>
      <c r="B951">
        <v>902156</v>
      </c>
      <c r="C951" s="1">
        <v>45288</v>
      </c>
      <c r="D951" t="s">
        <v>3490</v>
      </c>
      <c r="E951">
        <f>IF(ISNUMBER(MATCH(marketing_events_raw[[#This Row],[customer_id]], customers_clean!A:A, 0)), 1, 0)</f>
        <v>1</v>
      </c>
    </row>
    <row r="952" spans="1:5" x14ac:dyDescent="0.3">
      <c r="A952">
        <v>257224640</v>
      </c>
      <c r="B952">
        <v>720859</v>
      </c>
      <c r="C952" s="1">
        <v>44531</v>
      </c>
      <c r="D952" t="s">
        <v>3490</v>
      </c>
      <c r="E952">
        <f>IF(ISNUMBER(MATCH(marketing_events_raw[[#This Row],[customer_id]], customers_clean!A:A, 0)), 1, 0)</f>
        <v>1</v>
      </c>
    </row>
    <row r="953" spans="1:5" x14ac:dyDescent="0.3">
      <c r="A953">
        <v>988285493</v>
      </c>
      <c r="B953">
        <v>502233</v>
      </c>
      <c r="C953" s="1">
        <v>44671</v>
      </c>
      <c r="D953" t="s">
        <v>3493</v>
      </c>
      <c r="E953">
        <f>IF(ISNUMBER(MATCH(marketing_events_raw[[#This Row],[customer_id]], customers_clean!A:A, 0)), 1, 0)</f>
        <v>1</v>
      </c>
    </row>
    <row r="954" spans="1:5" x14ac:dyDescent="0.3">
      <c r="A954">
        <v>399206819</v>
      </c>
      <c r="B954">
        <v>468900</v>
      </c>
      <c r="C954" s="1">
        <v>44670</v>
      </c>
      <c r="D954" t="s">
        <v>3489</v>
      </c>
      <c r="E954">
        <f>IF(ISNUMBER(MATCH(marketing_events_raw[[#This Row],[customer_id]], customers_clean!A:A, 0)), 1, 0)</f>
        <v>1</v>
      </c>
    </row>
    <row r="955" spans="1:5" x14ac:dyDescent="0.3">
      <c r="A955">
        <v>416972106</v>
      </c>
      <c r="B955">
        <v>433193</v>
      </c>
      <c r="C955" s="1">
        <v>44976</v>
      </c>
      <c r="D955" t="s">
        <v>3487</v>
      </c>
      <c r="E955">
        <f>IF(ISNUMBER(MATCH(marketing_events_raw[[#This Row],[customer_id]], customers_clean!A:A, 0)), 1, 0)</f>
        <v>1</v>
      </c>
    </row>
    <row r="956" spans="1:5" x14ac:dyDescent="0.3">
      <c r="A956">
        <v>332579277</v>
      </c>
      <c r="B956">
        <v>399628</v>
      </c>
      <c r="C956" s="1">
        <v>44488</v>
      </c>
      <c r="D956" t="s">
        <v>3492</v>
      </c>
      <c r="E956">
        <f>IF(ISNUMBER(MATCH(marketing_events_raw[[#This Row],[customer_id]], customers_clean!A:A, 0)), 1, 0)</f>
        <v>1</v>
      </c>
    </row>
    <row r="957" spans="1:5" x14ac:dyDescent="0.3">
      <c r="A957">
        <v>893344209</v>
      </c>
      <c r="B957">
        <v>235193</v>
      </c>
      <c r="C957" s="1">
        <v>45372</v>
      </c>
      <c r="D957" t="s">
        <v>3488</v>
      </c>
      <c r="E957">
        <f>IF(ISNUMBER(MATCH(marketing_events_raw[[#This Row],[customer_id]], customers_clean!A:A, 0)), 1, 0)</f>
        <v>1</v>
      </c>
    </row>
    <row r="958" spans="1:5" x14ac:dyDescent="0.3">
      <c r="A958">
        <v>982240807</v>
      </c>
      <c r="B958">
        <v>457356</v>
      </c>
      <c r="C958" s="1">
        <v>45297</v>
      </c>
      <c r="D958" t="s">
        <v>3487</v>
      </c>
      <c r="E958">
        <f>IF(ISNUMBER(MATCH(marketing_events_raw[[#This Row],[customer_id]], customers_clean!A:A, 0)), 1, 0)</f>
        <v>1</v>
      </c>
    </row>
    <row r="959" spans="1:5" x14ac:dyDescent="0.3">
      <c r="A959">
        <v>200862648</v>
      </c>
      <c r="B959">
        <v>714549</v>
      </c>
      <c r="C959" s="1">
        <v>45649</v>
      </c>
      <c r="D959" t="s">
        <v>3488</v>
      </c>
      <c r="E959">
        <f>IF(ISNUMBER(MATCH(marketing_events_raw[[#This Row],[customer_id]], customers_clean!A:A, 0)), 1, 0)</f>
        <v>1</v>
      </c>
    </row>
    <row r="960" spans="1:5" x14ac:dyDescent="0.3">
      <c r="A960">
        <v>941494948</v>
      </c>
      <c r="B960">
        <v>145594</v>
      </c>
      <c r="C960" s="1">
        <v>45256</v>
      </c>
      <c r="D960" t="s">
        <v>3490</v>
      </c>
      <c r="E960">
        <f>IF(ISNUMBER(MATCH(marketing_events_raw[[#This Row],[customer_id]], customers_clean!A:A, 0)), 1, 0)</f>
        <v>1</v>
      </c>
    </row>
    <row r="961" spans="1:5" x14ac:dyDescent="0.3">
      <c r="A961">
        <v>827842037</v>
      </c>
      <c r="B961">
        <v>812591</v>
      </c>
      <c r="C961" s="1">
        <v>45569</v>
      </c>
      <c r="D961" t="s">
        <v>3491</v>
      </c>
      <c r="E961">
        <f>IF(ISNUMBER(MATCH(marketing_events_raw[[#This Row],[customer_id]], customers_clean!A:A, 0)), 1, 0)</f>
        <v>1</v>
      </c>
    </row>
    <row r="962" spans="1:5" x14ac:dyDescent="0.3">
      <c r="A962">
        <v>777420300</v>
      </c>
      <c r="B962">
        <v>498458</v>
      </c>
      <c r="C962" s="1">
        <v>45354</v>
      </c>
      <c r="D962" t="s">
        <v>3490</v>
      </c>
      <c r="E962">
        <f>IF(ISNUMBER(MATCH(marketing_events_raw[[#This Row],[customer_id]], customers_clean!A:A, 0)), 1, 0)</f>
        <v>1</v>
      </c>
    </row>
    <row r="963" spans="1:5" x14ac:dyDescent="0.3">
      <c r="A963">
        <v>503939756</v>
      </c>
      <c r="B963">
        <v>342397</v>
      </c>
      <c r="C963" s="1">
        <v>45129</v>
      </c>
      <c r="D963" t="s">
        <v>3493</v>
      </c>
      <c r="E963">
        <f>IF(ISNUMBER(MATCH(marketing_events_raw[[#This Row],[customer_id]], customers_clean!A:A, 0)), 1, 0)</f>
        <v>1</v>
      </c>
    </row>
    <row r="964" spans="1:5" x14ac:dyDescent="0.3">
      <c r="A964">
        <v>754890063</v>
      </c>
      <c r="B964">
        <v>777366</v>
      </c>
      <c r="C964" s="1">
        <v>45271</v>
      </c>
      <c r="D964" t="s">
        <v>3492</v>
      </c>
      <c r="E964">
        <f>IF(ISNUMBER(MATCH(marketing_events_raw[[#This Row],[customer_id]], customers_clean!A:A, 0)), 1, 0)</f>
        <v>1</v>
      </c>
    </row>
    <row r="965" spans="1:5" x14ac:dyDescent="0.3">
      <c r="A965">
        <v>928800626</v>
      </c>
      <c r="B965">
        <v>408467</v>
      </c>
      <c r="C965" s="1">
        <v>45198</v>
      </c>
      <c r="D965" t="s">
        <v>3487</v>
      </c>
      <c r="E965">
        <f>IF(ISNUMBER(MATCH(marketing_events_raw[[#This Row],[customer_id]], customers_clean!A:A, 0)), 1, 0)</f>
        <v>1</v>
      </c>
    </row>
    <row r="966" spans="1:5" x14ac:dyDescent="0.3">
      <c r="A966">
        <v>926421753</v>
      </c>
      <c r="B966">
        <v>436272</v>
      </c>
      <c r="C966" s="1">
        <v>45314</v>
      </c>
      <c r="D966" t="s">
        <v>3487</v>
      </c>
      <c r="E966">
        <f>IF(ISNUMBER(MATCH(marketing_events_raw[[#This Row],[customer_id]], customers_clean!A:A, 0)), 1, 0)</f>
        <v>1</v>
      </c>
    </row>
    <row r="967" spans="1:5" x14ac:dyDescent="0.3">
      <c r="A967">
        <v>417822889</v>
      </c>
      <c r="B967">
        <v>817611</v>
      </c>
      <c r="C967" s="1">
        <v>44465</v>
      </c>
      <c r="D967" t="s">
        <v>3491</v>
      </c>
      <c r="E967">
        <f>IF(ISNUMBER(MATCH(marketing_events_raw[[#This Row],[customer_id]], customers_clean!A:A, 0)), 1, 0)</f>
        <v>1</v>
      </c>
    </row>
    <row r="968" spans="1:5" x14ac:dyDescent="0.3">
      <c r="A968">
        <v>754338257</v>
      </c>
      <c r="B968">
        <v>688285</v>
      </c>
      <c r="C968" s="1">
        <v>45155</v>
      </c>
      <c r="D968" t="s">
        <v>3491</v>
      </c>
      <c r="E968">
        <f>IF(ISNUMBER(MATCH(marketing_events_raw[[#This Row],[customer_id]], customers_clean!A:A, 0)), 1, 0)</f>
        <v>1</v>
      </c>
    </row>
    <row r="969" spans="1:5" x14ac:dyDescent="0.3">
      <c r="A969">
        <v>351823281</v>
      </c>
      <c r="B969">
        <v>584106</v>
      </c>
      <c r="C969" s="1">
        <v>44780</v>
      </c>
      <c r="D969" t="s">
        <v>3492</v>
      </c>
      <c r="E969">
        <f>IF(ISNUMBER(MATCH(marketing_events_raw[[#This Row],[customer_id]], customers_clean!A:A, 0)), 1, 0)</f>
        <v>1</v>
      </c>
    </row>
    <row r="970" spans="1:5" x14ac:dyDescent="0.3">
      <c r="A970">
        <v>936421995</v>
      </c>
      <c r="B970">
        <v>156700</v>
      </c>
      <c r="C970" s="1">
        <v>44926</v>
      </c>
      <c r="D970" t="s">
        <v>3490</v>
      </c>
      <c r="E970">
        <f>IF(ISNUMBER(MATCH(marketing_events_raw[[#This Row],[customer_id]], customers_clean!A:A, 0)), 1, 0)</f>
        <v>1</v>
      </c>
    </row>
    <row r="971" spans="1:5" x14ac:dyDescent="0.3">
      <c r="A971">
        <v>118753331</v>
      </c>
      <c r="B971">
        <v>849014</v>
      </c>
      <c r="C971" s="1">
        <v>45641</v>
      </c>
      <c r="D971" t="s">
        <v>3493</v>
      </c>
      <c r="E971">
        <f>IF(ISNUMBER(MATCH(marketing_events_raw[[#This Row],[customer_id]], customers_clean!A:A, 0)), 1, 0)</f>
        <v>1</v>
      </c>
    </row>
    <row r="972" spans="1:5" x14ac:dyDescent="0.3">
      <c r="A972">
        <v>493682606</v>
      </c>
      <c r="B972">
        <v>781571</v>
      </c>
      <c r="C972" s="1">
        <v>44693</v>
      </c>
      <c r="D972" t="s">
        <v>3489</v>
      </c>
      <c r="E972">
        <f>IF(ISNUMBER(MATCH(marketing_events_raw[[#This Row],[customer_id]], customers_clean!A:A, 0)), 1, 0)</f>
        <v>1</v>
      </c>
    </row>
    <row r="973" spans="1:5" x14ac:dyDescent="0.3">
      <c r="A973">
        <v>984892178</v>
      </c>
      <c r="B973">
        <v>882758</v>
      </c>
      <c r="C973" s="1">
        <v>44958</v>
      </c>
      <c r="D973" t="s">
        <v>3489</v>
      </c>
      <c r="E973">
        <f>IF(ISNUMBER(MATCH(marketing_events_raw[[#This Row],[customer_id]], customers_clean!A:A, 0)), 1, 0)</f>
        <v>1</v>
      </c>
    </row>
    <row r="974" spans="1:5" x14ac:dyDescent="0.3">
      <c r="A974">
        <v>824200423</v>
      </c>
      <c r="B974">
        <v>562094</v>
      </c>
      <c r="C974" s="1">
        <v>45159</v>
      </c>
      <c r="D974" t="s">
        <v>3493</v>
      </c>
      <c r="E974">
        <f>IF(ISNUMBER(MATCH(marketing_events_raw[[#This Row],[customer_id]], customers_clean!A:A, 0)), 1, 0)</f>
        <v>1</v>
      </c>
    </row>
    <row r="975" spans="1:5" x14ac:dyDescent="0.3">
      <c r="A975">
        <v>865198335</v>
      </c>
      <c r="B975">
        <v>108105</v>
      </c>
      <c r="C975" s="1">
        <v>45128</v>
      </c>
      <c r="D975" t="s">
        <v>3489</v>
      </c>
      <c r="E975">
        <f>IF(ISNUMBER(MATCH(marketing_events_raw[[#This Row],[customer_id]], customers_clean!A:A, 0)), 1, 0)</f>
        <v>1</v>
      </c>
    </row>
    <row r="976" spans="1:5" x14ac:dyDescent="0.3">
      <c r="A976">
        <v>937874378</v>
      </c>
      <c r="B976">
        <v>840719</v>
      </c>
      <c r="C976" s="1">
        <v>45321</v>
      </c>
      <c r="D976" t="s">
        <v>3491</v>
      </c>
      <c r="E976">
        <f>IF(ISNUMBER(MATCH(marketing_events_raw[[#This Row],[customer_id]], customers_clean!A:A, 0)), 1, 0)</f>
        <v>1</v>
      </c>
    </row>
    <row r="977" spans="1:5" x14ac:dyDescent="0.3">
      <c r="A977">
        <v>315060555</v>
      </c>
      <c r="B977">
        <v>437145</v>
      </c>
      <c r="C977" s="1">
        <v>44755</v>
      </c>
      <c r="D977" t="s">
        <v>3489</v>
      </c>
      <c r="E977">
        <f>IF(ISNUMBER(MATCH(marketing_events_raw[[#This Row],[customer_id]], customers_clean!A:A, 0)), 1, 0)</f>
        <v>1</v>
      </c>
    </row>
    <row r="978" spans="1:5" x14ac:dyDescent="0.3">
      <c r="A978">
        <v>999568632</v>
      </c>
      <c r="B978">
        <v>938016</v>
      </c>
      <c r="C978" s="1">
        <v>44562</v>
      </c>
      <c r="D978" t="s">
        <v>3491</v>
      </c>
      <c r="E978">
        <f>IF(ISNUMBER(MATCH(marketing_events_raw[[#This Row],[customer_id]], customers_clean!A:A, 0)), 1, 0)</f>
        <v>1</v>
      </c>
    </row>
    <row r="979" spans="1:5" x14ac:dyDescent="0.3">
      <c r="A979">
        <v>181538656</v>
      </c>
      <c r="B979">
        <v>364650</v>
      </c>
      <c r="C979" s="1">
        <v>44911</v>
      </c>
      <c r="D979" t="s">
        <v>3489</v>
      </c>
      <c r="E979">
        <f>IF(ISNUMBER(MATCH(marketing_events_raw[[#This Row],[customer_id]], customers_clean!A:A, 0)), 1, 0)</f>
        <v>1</v>
      </c>
    </row>
    <row r="980" spans="1:5" x14ac:dyDescent="0.3">
      <c r="A980">
        <v>769764671</v>
      </c>
      <c r="B980">
        <v>643042</v>
      </c>
      <c r="C980" s="1">
        <v>44409</v>
      </c>
      <c r="D980" t="s">
        <v>3487</v>
      </c>
      <c r="E980">
        <f>IF(ISNUMBER(MATCH(marketing_events_raw[[#This Row],[customer_id]], customers_clean!A:A, 0)), 1, 0)</f>
        <v>1</v>
      </c>
    </row>
    <row r="981" spans="1:5" x14ac:dyDescent="0.3">
      <c r="A981">
        <v>122818301</v>
      </c>
      <c r="B981">
        <v>623956</v>
      </c>
      <c r="C981" s="1">
        <v>45123</v>
      </c>
      <c r="D981" t="s">
        <v>3493</v>
      </c>
      <c r="E981">
        <f>IF(ISNUMBER(MATCH(marketing_events_raw[[#This Row],[customer_id]], customers_clean!A:A, 0)), 1, 0)</f>
        <v>1</v>
      </c>
    </row>
    <row r="982" spans="1:5" x14ac:dyDescent="0.3">
      <c r="A982">
        <v>405494488</v>
      </c>
      <c r="B982">
        <v>758589</v>
      </c>
      <c r="C982" s="1">
        <v>45361</v>
      </c>
      <c r="D982" t="s">
        <v>3493</v>
      </c>
      <c r="E982">
        <f>IF(ISNUMBER(MATCH(marketing_events_raw[[#This Row],[customer_id]], customers_clean!A:A, 0)), 1, 0)</f>
        <v>1</v>
      </c>
    </row>
    <row r="983" spans="1:5" x14ac:dyDescent="0.3">
      <c r="A983">
        <v>361184112</v>
      </c>
      <c r="B983">
        <v>666366</v>
      </c>
      <c r="C983" s="1">
        <v>45244</v>
      </c>
      <c r="D983" t="s">
        <v>3490</v>
      </c>
      <c r="E983">
        <f>IF(ISNUMBER(MATCH(marketing_events_raw[[#This Row],[customer_id]], customers_clean!A:A, 0)), 1, 0)</f>
        <v>1</v>
      </c>
    </row>
    <row r="984" spans="1:5" x14ac:dyDescent="0.3">
      <c r="A984">
        <v>918473705</v>
      </c>
      <c r="B984">
        <v>557409</v>
      </c>
      <c r="C984" s="1">
        <v>44615</v>
      </c>
      <c r="D984" t="s">
        <v>3492</v>
      </c>
      <c r="E984">
        <f>IF(ISNUMBER(MATCH(marketing_events_raw[[#This Row],[customer_id]], customers_clean!A:A, 0)), 1, 0)</f>
        <v>1</v>
      </c>
    </row>
    <row r="985" spans="1:5" x14ac:dyDescent="0.3">
      <c r="A985">
        <v>629184822</v>
      </c>
      <c r="B985">
        <v>591699</v>
      </c>
      <c r="C985" s="1">
        <v>45583</v>
      </c>
      <c r="D985" t="s">
        <v>3490</v>
      </c>
      <c r="E985">
        <f>IF(ISNUMBER(MATCH(marketing_events_raw[[#This Row],[customer_id]], customers_clean!A:A, 0)), 1, 0)</f>
        <v>1</v>
      </c>
    </row>
    <row r="986" spans="1:5" x14ac:dyDescent="0.3">
      <c r="A986">
        <v>188708282</v>
      </c>
      <c r="B986">
        <v>909652</v>
      </c>
      <c r="C986" s="1">
        <v>45055</v>
      </c>
      <c r="D986" t="s">
        <v>3490</v>
      </c>
      <c r="E986">
        <f>IF(ISNUMBER(MATCH(marketing_events_raw[[#This Row],[customer_id]], customers_clean!A:A, 0)), 1, 0)</f>
        <v>1</v>
      </c>
    </row>
    <row r="987" spans="1:5" x14ac:dyDescent="0.3">
      <c r="A987">
        <v>900175629</v>
      </c>
      <c r="B987">
        <v>687997</v>
      </c>
      <c r="C987" s="1">
        <v>44578</v>
      </c>
      <c r="D987" t="s">
        <v>3490</v>
      </c>
      <c r="E987">
        <f>IF(ISNUMBER(MATCH(marketing_events_raw[[#This Row],[customer_id]], customers_clean!A:A, 0)), 1, 0)</f>
        <v>1</v>
      </c>
    </row>
    <row r="988" spans="1:5" x14ac:dyDescent="0.3">
      <c r="A988">
        <v>174348891</v>
      </c>
      <c r="B988">
        <v>104895</v>
      </c>
      <c r="C988" s="1">
        <v>45194</v>
      </c>
      <c r="D988" t="s">
        <v>3493</v>
      </c>
      <c r="E988">
        <f>IF(ISNUMBER(MATCH(marketing_events_raw[[#This Row],[customer_id]], customers_clean!A:A, 0)), 1, 0)</f>
        <v>1</v>
      </c>
    </row>
    <row r="989" spans="1:5" x14ac:dyDescent="0.3">
      <c r="A989">
        <v>989921576</v>
      </c>
      <c r="B989">
        <v>967182</v>
      </c>
      <c r="C989" s="1">
        <v>44692</v>
      </c>
      <c r="D989" t="s">
        <v>3487</v>
      </c>
      <c r="E989">
        <f>IF(ISNUMBER(MATCH(marketing_events_raw[[#This Row],[customer_id]], customers_clean!A:A, 0)), 1, 0)</f>
        <v>1</v>
      </c>
    </row>
    <row r="990" spans="1:5" x14ac:dyDescent="0.3">
      <c r="A990">
        <v>109570651</v>
      </c>
      <c r="B990">
        <v>166803</v>
      </c>
      <c r="C990" s="1">
        <v>44444</v>
      </c>
      <c r="D990" t="s">
        <v>3491</v>
      </c>
      <c r="E990">
        <f>IF(ISNUMBER(MATCH(marketing_events_raw[[#This Row],[customer_id]], customers_clean!A:A, 0)), 1, 0)</f>
        <v>1</v>
      </c>
    </row>
    <row r="991" spans="1:5" x14ac:dyDescent="0.3">
      <c r="A991">
        <v>135107823</v>
      </c>
      <c r="B991">
        <v>678944</v>
      </c>
      <c r="C991" s="1">
        <v>44657</v>
      </c>
      <c r="D991" t="s">
        <v>3487</v>
      </c>
      <c r="E991">
        <f>IF(ISNUMBER(MATCH(marketing_events_raw[[#This Row],[customer_id]], customers_clean!A:A, 0)), 1, 0)</f>
        <v>1</v>
      </c>
    </row>
    <row r="992" spans="1:5" x14ac:dyDescent="0.3">
      <c r="A992">
        <v>474359078</v>
      </c>
      <c r="B992">
        <v>620248</v>
      </c>
      <c r="C992" s="1">
        <v>45529</v>
      </c>
      <c r="D992" t="s">
        <v>3491</v>
      </c>
      <c r="E992">
        <f>IF(ISNUMBER(MATCH(marketing_events_raw[[#This Row],[customer_id]], customers_clean!A:A, 0)), 1, 0)</f>
        <v>1</v>
      </c>
    </row>
    <row r="993" spans="1:5" x14ac:dyDescent="0.3">
      <c r="A993">
        <v>870697312</v>
      </c>
      <c r="B993">
        <v>724094</v>
      </c>
      <c r="C993" s="1">
        <v>44809</v>
      </c>
      <c r="D993" t="s">
        <v>3493</v>
      </c>
      <c r="E993">
        <f>IF(ISNUMBER(MATCH(marketing_events_raw[[#This Row],[customer_id]], customers_clean!A:A, 0)), 1, 0)</f>
        <v>1</v>
      </c>
    </row>
    <row r="994" spans="1:5" x14ac:dyDescent="0.3">
      <c r="A994">
        <v>380949032</v>
      </c>
      <c r="B994">
        <v>699573</v>
      </c>
      <c r="C994" s="1">
        <v>45341</v>
      </c>
      <c r="D994" t="s">
        <v>3492</v>
      </c>
      <c r="E994">
        <f>IF(ISNUMBER(MATCH(marketing_events_raw[[#This Row],[customer_id]], customers_clean!A:A, 0)), 1, 0)</f>
        <v>1</v>
      </c>
    </row>
    <row r="995" spans="1:5" x14ac:dyDescent="0.3">
      <c r="A995">
        <v>741961632</v>
      </c>
      <c r="B995">
        <v>688730</v>
      </c>
      <c r="C995" s="1">
        <v>45315</v>
      </c>
      <c r="D995" t="s">
        <v>3488</v>
      </c>
      <c r="E995">
        <f>IF(ISNUMBER(MATCH(marketing_events_raw[[#This Row],[customer_id]], customers_clean!A:A, 0)), 1, 0)</f>
        <v>1</v>
      </c>
    </row>
    <row r="996" spans="1:5" x14ac:dyDescent="0.3">
      <c r="A996">
        <v>697328599</v>
      </c>
      <c r="B996">
        <v>840356</v>
      </c>
      <c r="C996" s="1">
        <v>44798</v>
      </c>
      <c r="D996" t="s">
        <v>3489</v>
      </c>
      <c r="E996">
        <f>IF(ISNUMBER(MATCH(marketing_events_raw[[#This Row],[customer_id]], customers_clean!A:A, 0)), 1, 0)</f>
        <v>1</v>
      </c>
    </row>
    <row r="997" spans="1:5" x14ac:dyDescent="0.3">
      <c r="A997">
        <v>442141929</v>
      </c>
      <c r="B997">
        <v>508396</v>
      </c>
      <c r="C997" s="1">
        <v>44973</v>
      </c>
      <c r="D997" t="s">
        <v>3491</v>
      </c>
      <c r="E997">
        <f>IF(ISNUMBER(MATCH(marketing_events_raw[[#This Row],[customer_id]], customers_clean!A:A, 0)), 1, 0)</f>
        <v>1</v>
      </c>
    </row>
    <row r="998" spans="1:5" x14ac:dyDescent="0.3">
      <c r="A998">
        <v>637293625</v>
      </c>
      <c r="B998">
        <v>375504</v>
      </c>
      <c r="C998" s="1">
        <v>44805</v>
      </c>
      <c r="D998" t="s">
        <v>3492</v>
      </c>
      <c r="E998">
        <f>IF(ISNUMBER(MATCH(marketing_events_raw[[#This Row],[customer_id]], customers_clean!A:A, 0)), 1, 0)</f>
        <v>1</v>
      </c>
    </row>
    <row r="999" spans="1:5" x14ac:dyDescent="0.3">
      <c r="A999">
        <v>628277329</v>
      </c>
      <c r="B999">
        <v>982804</v>
      </c>
      <c r="C999" s="1">
        <v>44564</v>
      </c>
      <c r="D999" t="s">
        <v>3491</v>
      </c>
      <c r="E999">
        <f>IF(ISNUMBER(MATCH(marketing_events_raw[[#This Row],[customer_id]], customers_clean!A:A, 0)), 1, 0)</f>
        <v>1</v>
      </c>
    </row>
    <row r="1000" spans="1:5" x14ac:dyDescent="0.3">
      <c r="A1000">
        <v>300672736</v>
      </c>
      <c r="B1000">
        <v>810032</v>
      </c>
      <c r="C1000" s="1">
        <v>44602</v>
      </c>
      <c r="D1000" t="s">
        <v>3492</v>
      </c>
      <c r="E1000">
        <f>IF(ISNUMBER(MATCH(marketing_events_raw[[#This Row],[customer_id]], customers_clean!A:A, 0)), 1, 0)</f>
        <v>1</v>
      </c>
    </row>
    <row r="1001" spans="1:5" x14ac:dyDescent="0.3">
      <c r="A1001">
        <v>712521417</v>
      </c>
      <c r="B1001">
        <v>641593</v>
      </c>
      <c r="C1001" s="1">
        <v>45207</v>
      </c>
      <c r="D1001" t="s">
        <v>3487</v>
      </c>
      <c r="E1001">
        <f>IF(ISNUMBER(MATCH(marketing_events_raw[[#This Row],[customer_id]], customers_clean!A:A, 0)), 1, 0)</f>
        <v>1</v>
      </c>
    </row>
    <row r="1002" spans="1:5" x14ac:dyDescent="0.3">
      <c r="A1002">
        <v>712177133</v>
      </c>
      <c r="B1002">
        <v>555157</v>
      </c>
      <c r="C1002" s="1">
        <v>44568</v>
      </c>
      <c r="D1002" t="s">
        <v>3488</v>
      </c>
      <c r="E1002">
        <f>IF(ISNUMBER(MATCH(marketing_events_raw[[#This Row],[customer_id]], customers_clean!A:A, 0)), 1, 0)</f>
        <v>1</v>
      </c>
    </row>
    <row r="1003" spans="1:5" x14ac:dyDescent="0.3">
      <c r="A1003">
        <v>370743043</v>
      </c>
      <c r="B1003">
        <v>324116</v>
      </c>
      <c r="C1003" s="1">
        <v>45169</v>
      </c>
      <c r="D1003" t="s">
        <v>3489</v>
      </c>
      <c r="E1003">
        <f>IF(ISNUMBER(MATCH(marketing_events_raw[[#This Row],[customer_id]], customers_clean!A:A, 0)), 1, 0)</f>
        <v>1</v>
      </c>
    </row>
    <row r="1004" spans="1:5" x14ac:dyDescent="0.3">
      <c r="A1004">
        <v>863302178</v>
      </c>
      <c r="B1004">
        <v>612977</v>
      </c>
      <c r="C1004" s="1">
        <v>45416</v>
      </c>
      <c r="D1004" t="s">
        <v>3487</v>
      </c>
      <c r="E1004">
        <f>IF(ISNUMBER(MATCH(marketing_events_raw[[#This Row],[customer_id]], customers_clean!A:A, 0)), 1, 0)</f>
        <v>1</v>
      </c>
    </row>
    <row r="1005" spans="1:5" x14ac:dyDescent="0.3">
      <c r="A1005">
        <v>780290934</v>
      </c>
      <c r="B1005">
        <v>608069</v>
      </c>
      <c r="C1005" s="1">
        <v>45175</v>
      </c>
      <c r="D1005" t="s">
        <v>3488</v>
      </c>
      <c r="E1005">
        <f>IF(ISNUMBER(MATCH(marketing_events_raw[[#This Row],[customer_id]], customers_clean!A:A, 0)), 1, 0)</f>
        <v>1</v>
      </c>
    </row>
    <row r="1006" spans="1:5" x14ac:dyDescent="0.3">
      <c r="A1006">
        <v>404546652</v>
      </c>
      <c r="B1006">
        <v>129824</v>
      </c>
      <c r="C1006" s="1">
        <v>44873</v>
      </c>
      <c r="D1006" t="s">
        <v>3488</v>
      </c>
      <c r="E1006">
        <f>IF(ISNUMBER(MATCH(marketing_events_raw[[#This Row],[customer_id]], customers_clean!A:A, 0)), 1, 0)</f>
        <v>1</v>
      </c>
    </row>
    <row r="1007" spans="1:5" x14ac:dyDescent="0.3">
      <c r="A1007">
        <v>267252825</v>
      </c>
      <c r="B1007">
        <v>536646</v>
      </c>
      <c r="C1007" s="1">
        <v>44428</v>
      </c>
      <c r="D1007" t="s">
        <v>3489</v>
      </c>
      <c r="E1007">
        <f>IF(ISNUMBER(MATCH(marketing_events_raw[[#This Row],[customer_id]], customers_clean!A:A, 0)), 1, 0)</f>
        <v>1</v>
      </c>
    </row>
    <row r="1008" spans="1:5" x14ac:dyDescent="0.3">
      <c r="A1008">
        <v>198375408</v>
      </c>
      <c r="B1008">
        <v>112210</v>
      </c>
      <c r="C1008" s="1">
        <v>45395</v>
      </c>
      <c r="D1008" t="s">
        <v>3493</v>
      </c>
      <c r="E1008">
        <f>IF(ISNUMBER(MATCH(marketing_events_raw[[#This Row],[customer_id]], customers_clean!A:A, 0)), 1, 0)</f>
        <v>1</v>
      </c>
    </row>
    <row r="1009" spans="1:5" x14ac:dyDescent="0.3">
      <c r="A1009">
        <v>248937726</v>
      </c>
      <c r="B1009">
        <v>813666</v>
      </c>
      <c r="C1009" s="1">
        <v>45216</v>
      </c>
      <c r="D1009" t="s">
        <v>3487</v>
      </c>
      <c r="E1009">
        <f>IF(ISNUMBER(MATCH(marketing_events_raw[[#This Row],[customer_id]], customers_clean!A:A, 0)), 1, 0)</f>
        <v>1</v>
      </c>
    </row>
    <row r="1010" spans="1:5" x14ac:dyDescent="0.3">
      <c r="A1010">
        <v>491773126</v>
      </c>
      <c r="B1010">
        <v>414295</v>
      </c>
      <c r="C1010" s="1">
        <v>44681</v>
      </c>
      <c r="D1010" t="s">
        <v>3488</v>
      </c>
      <c r="E1010">
        <f>IF(ISNUMBER(MATCH(marketing_events_raw[[#This Row],[customer_id]], customers_clean!A:A, 0)), 1, 0)</f>
        <v>1</v>
      </c>
    </row>
    <row r="1011" spans="1:5" x14ac:dyDescent="0.3">
      <c r="A1011">
        <v>656678956</v>
      </c>
      <c r="B1011">
        <v>364239</v>
      </c>
      <c r="C1011" s="1">
        <v>44672</v>
      </c>
      <c r="D1011" t="s">
        <v>3492</v>
      </c>
      <c r="E1011">
        <f>IF(ISNUMBER(MATCH(marketing_events_raw[[#This Row],[customer_id]], customers_clean!A:A, 0)), 1, 0)</f>
        <v>1</v>
      </c>
    </row>
    <row r="1012" spans="1:5" x14ac:dyDescent="0.3">
      <c r="A1012">
        <v>521814526</v>
      </c>
      <c r="B1012">
        <v>590110</v>
      </c>
      <c r="C1012" s="1">
        <v>45485</v>
      </c>
      <c r="D1012" t="s">
        <v>3492</v>
      </c>
      <c r="E1012">
        <f>IF(ISNUMBER(MATCH(marketing_events_raw[[#This Row],[customer_id]], customers_clean!A:A, 0)), 1, 0)</f>
        <v>1</v>
      </c>
    </row>
    <row r="1013" spans="1:5" x14ac:dyDescent="0.3">
      <c r="A1013">
        <v>383327863</v>
      </c>
      <c r="B1013">
        <v>468591</v>
      </c>
      <c r="C1013" s="1">
        <v>45594</v>
      </c>
      <c r="D1013" t="s">
        <v>3489</v>
      </c>
      <c r="E1013">
        <f>IF(ISNUMBER(MATCH(marketing_events_raw[[#This Row],[customer_id]], customers_clean!A:A, 0)), 1, 0)</f>
        <v>1</v>
      </c>
    </row>
    <row r="1014" spans="1:5" x14ac:dyDescent="0.3">
      <c r="A1014">
        <v>873742895</v>
      </c>
      <c r="B1014">
        <v>725726</v>
      </c>
      <c r="C1014" s="1">
        <v>45402</v>
      </c>
      <c r="D1014" t="s">
        <v>3493</v>
      </c>
      <c r="E1014">
        <f>IF(ISNUMBER(MATCH(marketing_events_raw[[#This Row],[customer_id]], customers_clean!A:A, 0)), 1, 0)</f>
        <v>1</v>
      </c>
    </row>
    <row r="1015" spans="1:5" x14ac:dyDescent="0.3">
      <c r="A1015">
        <v>238014144</v>
      </c>
      <c r="B1015">
        <v>920375</v>
      </c>
      <c r="C1015" s="1">
        <v>44976</v>
      </c>
      <c r="D1015" t="s">
        <v>3490</v>
      </c>
      <c r="E1015">
        <f>IF(ISNUMBER(MATCH(marketing_events_raw[[#This Row],[customer_id]], customers_clean!A:A, 0)), 1, 0)</f>
        <v>1</v>
      </c>
    </row>
    <row r="1016" spans="1:5" x14ac:dyDescent="0.3">
      <c r="A1016">
        <v>142302950</v>
      </c>
      <c r="B1016">
        <v>398301</v>
      </c>
      <c r="C1016" s="1">
        <v>44452</v>
      </c>
      <c r="D1016" t="s">
        <v>3493</v>
      </c>
      <c r="E1016">
        <f>IF(ISNUMBER(MATCH(marketing_events_raw[[#This Row],[customer_id]], customers_clean!A:A, 0)), 1, 0)</f>
        <v>1</v>
      </c>
    </row>
    <row r="1017" spans="1:5" x14ac:dyDescent="0.3">
      <c r="A1017">
        <v>888810946</v>
      </c>
      <c r="B1017">
        <v>158840</v>
      </c>
      <c r="C1017" s="1">
        <v>44671</v>
      </c>
      <c r="D1017" t="s">
        <v>3490</v>
      </c>
      <c r="E1017">
        <f>IF(ISNUMBER(MATCH(marketing_events_raw[[#This Row],[customer_id]], customers_clean!A:A, 0)), 1, 0)</f>
        <v>1</v>
      </c>
    </row>
    <row r="1018" spans="1:5" x14ac:dyDescent="0.3">
      <c r="A1018">
        <v>686375085</v>
      </c>
      <c r="B1018">
        <v>884225</v>
      </c>
      <c r="C1018" s="1">
        <v>45183</v>
      </c>
      <c r="D1018" t="s">
        <v>3493</v>
      </c>
      <c r="E1018">
        <f>IF(ISNUMBER(MATCH(marketing_events_raw[[#This Row],[customer_id]], customers_clean!A:A, 0)), 1, 0)</f>
        <v>1</v>
      </c>
    </row>
    <row r="1019" spans="1:5" x14ac:dyDescent="0.3">
      <c r="A1019">
        <v>153289269</v>
      </c>
      <c r="B1019">
        <v>846606</v>
      </c>
      <c r="C1019" s="1">
        <v>44558</v>
      </c>
      <c r="D1019" t="s">
        <v>3492</v>
      </c>
      <c r="E1019">
        <f>IF(ISNUMBER(MATCH(marketing_events_raw[[#This Row],[customer_id]], customers_clean!A:A, 0)), 1, 0)</f>
        <v>1</v>
      </c>
    </row>
    <row r="1020" spans="1:5" x14ac:dyDescent="0.3">
      <c r="A1020">
        <v>815691545</v>
      </c>
      <c r="B1020">
        <v>927659</v>
      </c>
      <c r="C1020" s="1">
        <v>45154</v>
      </c>
      <c r="D1020" t="s">
        <v>3488</v>
      </c>
      <c r="E1020">
        <f>IF(ISNUMBER(MATCH(marketing_events_raw[[#This Row],[customer_id]], customers_clean!A:A, 0)), 1, 0)</f>
        <v>1</v>
      </c>
    </row>
    <row r="1021" spans="1:5" x14ac:dyDescent="0.3">
      <c r="A1021">
        <v>118756147</v>
      </c>
      <c r="B1021">
        <v>464750</v>
      </c>
      <c r="C1021" s="1">
        <v>45036</v>
      </c>
      <c r="D1021" t="s">
        <v>3490</v>
      </c>
      <c r="E1021">
        <f>IF(ISNUMBER(MATCH(marketing_events_raw[[#This Row],[customer_id]], customers_clean!A:A, 0)), 1, 0)</f>
        <v>1</v>
      </c>
    </row>
    <row r="1022" spans="1:5" x14ac:dyDescent="0.3">
      <c r="A1022">
        <v>732679040</v>
      </c>
      <c r="B1022">
        <v>623956</v>
      </c>
      <c r="C1022" s="1">
        <v>44431</v>
      </c>
      <c r="D1022" t="s">
        <v>3491</v>
      </c>
      <c r="E1022">
        <f>IF(ISNUMBER(MATCH(marketing_events_raw[[#This Row],[customer_id]], customers_clean!A:A, 0)), 1, 0)</f>
        <v>1</v>
      </c>
    </row>
    <row r="1023" spans="1:5" x14ac:dyDescent="0.3">
      <c r="A1023">
        <v>922153544</v>
      </c>
      <c r="B1023">
        <v>507341</v>
      </c>
      <c r="C1023" s="1">
        <v>45074</v>
      </c>
      <c r="D1023" t="s">
        <v>3492</v>
      </c>
      <c r="E1023">
        <f>IF(ISNUMBER(MATCH(marketing_events_raw[[#This Row],[customer_id]], customers_clean!A:A, 0)), 1, 0)</f>
        <v>1</v>
      </c>
    </row>
    <row r="1024" spans="1:5" x14ac:dyDescent="0.3">
      <c r="A1024">
        <v>323844554</v>
      </c>
      <c r="B1024">
        <v>376021</v>
      </c>
      <c r="C1024" s="1">
        <v>44675</v>
      </c>
      <c r="D1024" t="s">
        <v>3487</v>
      </c>
      <c r="E1024">
        <f>IF(ISNUMBER(MATCH(marketing_events_raw[[#This Row],[customer_id]], customers_clean!A:A, 0)), 1, 0)</f>
        <v>1</v>
      </c>
    </row>
    <row r="1025" spans="1:5" x14ac:dyDescent="0.3">
      <c r="A1025">
        <v>222988105</v>
      </c>
      <c r="B1025">
        <v>749813</v>
      </c>
      <c r="C1025" s="1">
        <v>45202</v>
      </c>
      <c r="D1025" t="s">
        <v>3493</v>
      </c>
      <c r="E1025">
        <f>IF(ISNUMBER(MATCH(marketing_events_raw[[#This Row],[customer_id]], customers_clean!A:A, 0)), 1, 0)</f>
        <v>1</v>
      </c>
    </row>
    <row r="1026" spans="1:5" x14ac:dyDescent="0.3">
      <c r="A1026">
        <v>317881772</v>
      </c>
      <c r="B1026">
        <v>425486</v>
      </c>
      <c r="C1026" s="1">
        <v>44498</v>
      </c>
      <c r="D1026" t="s">
        <v>3493</v>
      </c>
      <c r="E1026">
        <f>IF(ISNUMBER(MATCH(marketing_events_raw[[#This Row],[customer_id]], customers_clean!A:A, 0)), 1, 0)</f>
        <v>1</v>
      </c>
    </row>
    <row r="1027" spans="1:5" x14ac:dyDescent="0.3">
      <c r="A1027">
        <v>847403765</v>
      </c>
      <c r="B1027">
        <v>299742</v>
      </c>
      <c r="C1027" s="1">
        <v>44787</v>
      </c>
      <c r="D1027" t="s">
        <v>3489</v>
      </c>
      <c r="E1027">
        <f>IF(ISNUMBER(MATCH(marketing_events_raw[[#This Row],[customer_id]], customers_clean!A:A, 0)), 1, 0)</f>
        <v>1</v>
      </c>
    </row>
    <row r="1028" spans="1:5" x14ac:dyDescent="0.3">
      <c r="A1028">
        <v>443885411</v>
      </c>
      <c r="B1028">
        <v>657062</v>
      </c>
      <c r="C1028" s="1">
        <v>45243</v>
      </c>
      <c r="D1028" t="s">
        <v>3488</v>
      </c>
      <c r="E1028">
        <f>IF(ISNUMBER(MATCH(marketing_events_raw[[#This Row],[customer_id]], customers_clean!A:A, 0)), 1, 0)</f>
        <v>1</v>
      </c>
    </row>
    <row r="1029" spans="1:5" x14ac:dyDescent="0.3">
      <c r="A1029">
        <v>803789100</v>
      </c>
      <c r="B1029">
        <v>593403</v>
      </c>
      <c r="C1029" s="1">
        <v>44826</v>
      </c>
      <c r="D1029" t="s">
        <v>3487</v>
      </c>
      <c r="E1029">
        <f>IF(ISNUMBER(MATCH(marketing_events_raw[[#This Row],[customer_id]], customers_clean!A:A, 0)), 1, 0)</f>
        <v>1</v>
      </c>
    </row>
    <row r="1030" spans="1:5" x14ac:dyDescent="0.3">
      <c r="A1030">
        <v>742390409</v>
      </c>
      <c r="B1030">
        <v>182020</v>
      </c>
      <c r="C1030" s="1">
        <v>44793</v>
      </c>
      <c r="D1030" t="s">
        <v>3488</v>
      </c>
      <c r="E1030">
        <f>IF(ISNUMBER(MATCH(marketing_events_raw[[#This Row],[customer_id]], customers_clean!A:A, 0)), 1, 0)</f>
        <v>1</v>
      </c>
    </row>
    <row r="1031" spans="1:5" x14ac:dyDescent="0.3">
      <c r="A1031">
        <v>113812050</v>
      </c>
      <c r="B1031">
        <v>517589</v>
      </c>
      <c r="C1031" s="1">
        <v>44565</v>
      </c>
      <c r="D1031" t="s">
        <v>3490</v>
      </c>
      <c r="E1031">
        <f>IF(ISNUMBER(MATCH(marketing_events_raw[[#This Row],[customer_id]], customers_clean!A:A, 0)), 1, 0)</f>
        <v>1</v>
      </c>
    </row>
    <row r="1032" spans="1:5" x14ac:dyDescent="0.3">
      <c r="A1032">
        <v>161057708</v>
      </c>
      <c r="B1032">
        <v>392075</v>
      </c>
      <c r="C1032" s="1">
        <v>44459</v>
      </c>
      <c r="D1032" t="s">
        <v>3491</v>
      </c>
      <c r="E1032">
        <f>IF(ISNUMBER(MATCH(marketing_events_raw[[#This Row],[customer_id]], customers_clean!A:A, 0)), 1, 0)</f>
        <v>1</v>
      </c>
    </row>
    <row r="1033" spans="1:5" x14ac:dyDescent="0.3">
      <c r="A1033">
        <v>156280443</v>
      </c>
      <c r="B1033">
        <v>829765</v>
      </c>
      <c r="C1033" s="1">
        <v>45459</v>
      </c>
      <c r="D1033" t="s">
        <v>3488</v>
      </c>
      <c r="E1033">
        <f>IF(ISNUMBER(MATCH(marketing_events_raw[[#This Row],[customer_id]], customers_clean!A:A, 0)), 1, 0)</f>
        <v>1</v>
      </c>
    </row>
    <row r="1034" spans="1:5" x14ac:dyDescent="0.3">
      <c r="A1034">
        <v>739078945</v>
      </c>
      <c r="B1034">
        <v>292847</v>
      </c>
      <c r="C1034" s="1">
        <v>45587</v>
      </c>
      <c r="D1034" t="s">
        <v>3489</v>
      </c>
      <c r="E1034">
        <f>IF(ISNUMBER(MATCH(marketing_events_raw[[#This Row],[customer_id]], customers_clean!A:A, 0)), 1, 0)</f>
        <v>1</v>
      </c>
    </row>
    <row r="1035" spans="1:5" x14ac:dyDescent="0.3">
      <c r="A1035">
        <v>170830990</v>
      </c>
      <c r="B1035">
        <v>617459</v>
      </c>
      <c r="C1035" s="1">
        <v>45514</v>
      </c>
      <c r="D1035" t="s">
        <v>3487</v>
      </c>
      <c r="E1035">
        <f>IF(ISNUMBER(MATCH(marketing_events_raw[[#This Row],[customer_id]], customers_clean!A:A, 0)), 1, 0)</f>
        <v>1</v>
      </c>
    </row>
    <row r="1036" spans="1:5" x14ac:dyDescent="0.3">
      <c r="A1036">
        <v>659463658</v>
      </c>
      <c r="B1036">
        <v>155708</v>
      </c>
      <c r="C1036" s="1">
        <v>44615</v>
      </c>
      <c r="D1036" t="s">
        <v>3493</v>
      </c>
      <c r="E1036">
        <f>IF(ISNUMBER(MATCH(marketing_events_raw[[#This Row],[customer_id]], customers_clean!A:A, 0)), 1, 0)</f>
        <v>1</v>
      </c>
    </row>
    <row r="1037" spans="1:5" x14ac:dyDescent="0.3">
      <c r="A1037">
        <v>103813398</v>
      </c>
      <c r="B1037">
        <v>657487</v>
      </c>
      <c r="C1037" s="1">
        <v>45016</v>
      </c>
      <c r="D1037" t="s">
        <v>3488</v>
      </c>
      <c r="E1037">
        <f>IF(ISNUMBER(MATCH(marketing_events_raw[[#This Row],[customer_id]], customers_clean!A:A, 0)), 1, 0)</f>
        <v>1</v>
      </c>
    </row>
    <row r="1038" spans="1:5" x14ac:dyDescent="0.3">
      <c r="A1038">
        <v>984709241</v>
      </c>
      <c r="B1038">
        <v>882758</v>
      </c>
      <c r="C1038" s="1">
        <v>45470</v>
      </c>
      <c r="D1038" t="s">
        <v>3490</v>
      </c>
      <c r="E1038">
        <f>IF(ISNUMBER(MATCH(marketing_events_raw[[#This Row],[customer_id]], customers_clean!A:A, 0)), 1, 0)</f>
        <v>1</v>
      </c>
    </row>
    <row r="1039" spans="1:5" x14ac:dyDescent="0.3">
      <c r="A1039">
        <v>286283655</v>
      </c>
      <c r="B1039">
        <v>541996</v>
      </c>
      <c r="C1039" s="1">
        <v>45460</v>
      </c>
      <c r="D1039" t="s">
        <v>3493</v>
      </c>
      <c r="E1039">
        <f>IF(ISNUMBER(MATCH(marketing_events_raw[[#This Row],[customer_id]], customers_clean!A:A, 0)), 1, 0)</f>
        <v>1</v>
      </c>
    </row>
    <row r="1040" spans="1:5" x14ac:dyDescent="0.3">
      <c r="A1040">
        <v>347648853</v>
      </c>
      <c r="B1040">
        <v>576133</v>
      </c>
      <c r="C1040" s="1">
        <v>45069</v>
      </c>
      <c r="D1040" t="s">
        <v>3493</v>
      </c>
      <c r="E1040">
        <f>IF(ISNUMBER(MATCH(marketing_events_raw[[#This Row],[customer_id]], customers_clean!A:A, 0)), 1, 0)</f>
        <v>1</v>
      </c>
    </row>
    <row r="1041" spans="1:5" x14ac:dyDescent="0.3">
      <c r="A1041">
        <v>399229348</v>
      </c>
      <c r="B1041">
        <v>277735</v>
      </c>
      <c r="C1041" s="1">
        <v>44514</v>
      </c>
      <c r="D1041" t="s">
        <v>3492</v>
      </c>
      <c r="E1041">
        <f>IF(ISNUMBER(MATCH(marketing_events_raw[[#This Row],[customer_id]], customers_clean!A:A, 0)), 1, 0)</f>
        <v>1</v>
      </c>
    </row>
    <row r="1042" spans="1:5" x14ac:dyDescent="0.3">
      <c r="A1042">
        <v>683852627</v>
      </c>
      <c r="B1042">
        <v>974994</v>
      </c>
      <c r="C1042" s="1">
        <v>45611</v>
      </c>
      <c r="D1042" t="s">
        <v>3488</v>
      </c>
      <c r="E1042">
        <f>IF(ISNUMBER(MATCH(marketing_events_raw[[#This Row],[customer_id]], customers_clean!A:A, 0)), 1, 0)</f>
        <v>1</v>
      </c>
    </row>
    <row r="1043" spans="1:5" x14ac:dyDescent="0.3">
      <c r="A1043">
        <v>292962728</v>
      </c>
      <c r="B1043">
        <v>364039</v>
      </c>
      <c r="C1043" s="1">
        <v>44485</v>
      </c>
      <c r="D1043" t="s">
        <v>3491</v>
      </c>
      <c r="E1043">
        <f>IF(ISNUMBER(MATCH(marketing_events_raw[[#This Row],[customer_id]], customers_clean!A:A, 0)), 1, 0)</f>
        <v>1</v>
      </c>
    </row>
    <row r="1044" spans="1:5" x14ac:dyDescent="0.3">
      <c r="A1044">
        <v>894134179</v>
      </c>
      <c r="B1044">
        <v>820420</v>
      </c>
      <c r="C1044" s="1">
        <v>44853</v>
      </c>
      <c r="D1044" t="s">
        <v>3490</v>
      </c>
      <c r="E1044">
        <f>IF(ISNUMBER(MATCH(marketing_events_raw[[#This Row],[customer_id]], customers_clean!A:A, 0)), 1, 0)</f>
        <v>1</v>
      </c>
    </row>
    <row r="1045" spans="1:5" x14ac:dyDescent="0.3">
      <c r="A1045">
        <v>381870230</v>
      </c>
      <c r="B1045">
        <v>517821</v>
      </c>
      <c r="C1045" s="1">
        <v>44833</v>
      </c>
      <c r="D1045" t="s">
        <v>3493</v>
      </c>
      <c r="E1045">
        <f>IF(ISNUMBER(MATCH(marketing_events_raw[[#This Row],[customer_id]], customers_clean!A:A, 0)), 1, 0)</f>
        <v>1</v>
      </c>
    </row>
    <row r="1046" spans="1:5" x14ac:dyDescent="0.3">
      <c r="A1046">
        <v>576184654</v>
      </c>
      <c r="B1046">
        <v>615607</v>
      </c>
      <c r="C1046" s="1">
        <v>45236</v>
      </c>
      <c r="D1046" t="s">
        <v>3487</v>
      </c>
      <c r="E1046">
        <f>IF(ISNUMBER(MATCH(marketing_events_raw[[#This Row],[customer_id]], customers_clean!A:A, 0)), 1, 0)</f>
        <v>1</v>
      </c>
    </row>
    <row r="1047" spans="1:5" x14ac:dyDescent="0.3">
      <c r="A1047">
        <v>195048123</v>
      </c>
      <c r="B1047">
        <v>396439</v>
      </c>
      <c r="C1047" s="1">
        <v>44878</v>
      </c>
      <c r="D1047" t="s">
        <v>3488</v>
      </c>
      <c r="E1047">
        <f>IF(ISNUMBER(MATCH(marketing_events_raw[[#This Row],[customer_id]], customers_clean!A:A, 0)), 1, 0)</f>
        <v>1</v>
      </c>
    </row>
    <row r="1048" spans="1:5" x14ac:dyDescent="0.3">
      <c r="A1048">
        <v>548270215</v>
      </c>
      <c r="B1048">
        <v>710527</v>
      </c>
      <c r="C1048" s="1">
        <v>45188</v>
      </c>
      <c r="D1048" t="s">
        <v>3489</v>
      </c>
      <c r="E1048">
        <f>IF(ISNUMBER(MATCH(marketing_events_raw[[#This Row],[customer_id]], customers_clean!A:A, 0)), 1, 0)</f>
        <v>1</v>
      </c>
    </row>
    <row r="1049" spans="1:5" x14ac:dyDescent="0.3">
      <c r="A1049">
        <v>673152204</v>
      </c>
      <c r="B1049">
        <v>955662</v>
      </c>
      <c r="C1049" s="1">
        <v>44432</v>
      </c>
      <c r="D1049" t="s">
        <v>3491</v>
      </c>
      <c r="E1049">
        <f>IF(ISNUMBER(MATCH(marketing_events_raw[[#This Row],[customer_id]], customers_clean!A:A, 0)), 1, 0)</f>
        <v>1</v>
      </c>
    </row>
    <row r="1050" spans="1:5" x14ac:dyDescent="0.3">
      <c r="A1050">
        <v>947042343</v>
      </c>
      <c r="B1050">
        <v>621433</v>
      </c>
      <c r="C1050" s="1">
        <v>44550</v>
      </c>
      <c r="D1050" t="s">
        <v>3489</v>
      </c>
      <c r="E1050">
        <f>IF(ISNUMBER(MATCH(marketing_events_raw[[#This Row],[customer_id]], customers_clean!A:A, 0)), 1, 0)</f>
        <v>1</v>
      </c>
    </row>
    <row r="1051" spans="1:5" x14ac:dyDescent="0.3">
      <c r="A1051">
        <v>247215786</v>
      </c>
      <c r="B1051">
        <v>743687</v>
      </c>
      <c r="C1051" s="1">
        <v>45260</v>
      </c>
      <c r="D1051" t="s">
        <v>3491</v>
      </c>
      <c r="E1051">
        <f>IF(ISNUMBER(MATCH(marketing_events_raw[[#This Row],[customer_id]], customers_clean!A:A, 0)), 1, 0)</f>
        <v>1</v>
      </c>
    </row>
    <row r="1052" spans="1:5" x14ac:dyDescent="0.3">
      <c r="A1052">
        <v>171704290</v>
      </c>
      <c r="B1052">
        <v>938016</v>
      </c>
      <c r="C1052" s="1">
        <v>45096</v>
      </c>
      <c r="D1052" t="s">
        <v>3488</v>
      </c>
      <c r="E1052">
        <f>IF(ISNUMBER(MATCH(marketing_events_raw[[#This Row],[customer_id]], customers_clean!A:A, 0)), 1, 0)</f>
        <v>1</v>
      </c>
    </row>
    <row r="1053" spans="1:5" x14ac:dyDescent="0.3">
      <c r="A1053">
        <v>917152142</v>
      </c>
      <c r="B1053">
        <v>336444</v>
      </c>
      <c r="C1053" s="1">
        <v>45553</v>
      </c>
      <c r="D1053" t="s">
        <v>3492</v>
      </c>
      <c r="E1053">
        <f>IF(ISNUMBER(MATCH(marketing_events_raw[[#This Row],[customer_id]], customers_clean!A:A, 0)), 1, 0)</f>
        <v>1</v>
      </c>
    </row>
    <row r="1054" spans="1:5" x14ac:dyDescent="0.3">
      <c r="A1054">
        <v>937314397</v>
      </c>
      <c r="B1054">
        <v>640869</v>
      </c>
      <c r="C1054" s="1">
        <v>45321</v>
      </c>
      <c r="D1054" t="s">
        <v>3493</v>
      </c>
      <c r="E1054">
        <f>IF(ISNUMBER(MATCH(marketing_events_raw[[#This Row],[customer_id]], customers_clean!A:A, 0)), 1, 0)</f>
        <v>1</v>
      </c>
    </row>
    <row r="1055" spans="1:5" x14ac:dyDescent="0.3">
      <c r="A1055">
        <v>375344572</v>
      </c>
      <c r="B1055">
        <v>826894</v>
      </c>
      <c r="C1055" s="1">
        <v>45319</v>
      </c>
      <c r="D1055" t="s">
        <v>3488</v>
      </c>
      <c r="E1055">
        <f>IF(ISNUMBER(MATCH(marketing_events_raw[[#This Row],[customer_id]], customers_clean!A:A, 0)), 1, 0)</f>
        <v>1</v>
      </c>
    </row>
    <row r="1056" spans="1:5" x14ac:dyDescent="0.3">
      <c r="A1056">
        <v>104022109</v>
      </c>
      <c r="B1056">
        <v>962253</v>
      </c>
      <c r="C1056" s="1">
        <v>45093</v>
      </c>
      <c r="D1056" t="s">
        <v>3493</v>
      </c>
      <c r="E1056">
        <f>IF(ISNUMBER(MATCH(marketing_events_raw[[#This Row],[customer_id]], customers_clean!A:A, 0)), 1, 0)</f>
        <v>1</v>
      </c>
    </row>
    <row r="1057" spans="1:5" x14ac:dyDescent="0.3">
      <c r="A1057">
        <v>336532420</v>
      </c>
      <c r="B1057">
        <v>995336</v>
      </c>
      <c r="C1057" s="1">
        <v>44532</v>
      </c>
      <c r="D1057" t="s">
        <v>3488</v>
      </c>
      <c r="E1057">
        <f>IF(ISNUMBER(MATCH(marketing_events_raw[[#This Row],[customer_id]], customers_clean!A:A, 0)), 1, 0)</f>
        <v>1</v>
      </c>
    </row>
    <row r="1058" spans="1:5" x14ac:dyDescent="0.3">
      <c r="A1058">
        <v>194786655</v>
      </c>
      <c r="B1058">
        <v>524035</v>
      </c>
      <c r="C1058" s="1">
        <v>44456</v>
      </c>
      <c r="D1058" t="s">
        <v>3492</v>
      </c>
      <c r="E1058">
        <f>IF(ISNUMBER(MATCH(marketing_events_raw[[#This Row],[customer_id]], customers_clean!A:A, 0)), 1, 0)</f>
        <v>1</v>
      </c>
    </row>
    <row r="1059" spans="1:5" x14ac:dyDescent="0.3">
      <c r="A1059">
        <v>831090035</v>
      </c>
      <c r="B1059">
        <v>441183</v>
      </c>
      <c r="C1059" s="1">
        <v>45505</v>
      </c>
      <c r="D1059" t="s">
        <v>3489</v>
      </c>
      <c r="E1059">
        <f>IF(ISNUMBER(MATCH(marketing_events_raw[[#This Row],[customer_id]], customers_clean!A:A, 0)), 1, 0)</f>
        <v>1</v>
      </c>
    </row>
    <row r="1060" spans="1:5" x14ac:dyDescent="0.3">
      <c r="A1060">
        <v>824070476</v>
      </c>
      <c r="B1060">
        <v>684194</v>
      </c>
      <c r="C1060" s="1">
        <v>44882</v>
      </c>
      <c r="D1060" t="s">
        <v>3490</v>
      </c>
      <c r="E1060">
        <f>IF(ISNUMBER(MATCH(marketing_events_raw[[#This Row],[customer_id]], customers_clean!A:A, 0)), 1, 0)</f>
        <v>1</v>
      </c>
    </row>
    <row r="1061" spans="1:5" x14ac:dyDescent="0.3">
      <c r="A1061">
        <v>758067306</v>
      </c>
      <c r="B1061">
        <v>457356</v>
      </c>
      <c r="C1061" s="1">
        <v>45268</v>
      </c>
      <c r="D1061" t="s">
        <v>3487</v>
      </c>
      <c r="E1061">
        <f>IF(ISNUMBER(MATCH(marketing_events_raw[[#This Row],[customer_id]], customers_clean!A:A, 0)), 1, 0)</f>
        <v>1</v>
      </c>
    </row>
    <row r="1062" spans="1:5" x14ac:dyDescent="0.3">
      <c r="A1062">
        <v>317758061</v>
      </c>
      <c r="B1062">
        <v>890870</v>
      </c>
      <c r="C1062" s="1">
        <v>45620</v>
      </c>
      <c r="D1062" t="s">
        <v>3487</v>
      </c>
      <c r="E1062">
        <f>IF(ISNUMBER(MATCH(marketing_events_raw[[#This Row],[customer_id]], customers_clean!A:A, 0)), 1, 0)</f>
        <v>1</v>
      </c>
    </row>
    <row r="1063" spans="1:5" x14ac:dyDescent="0.3">
      <c r="A1063">
        <v>764360436</v>
      </c>
      <c r="B1063">
        <v>980155</v>
      </c>
      <c r="C1063" s="1">
        <v>45413</v>
      </c>
      <c r="D1063" t="s">
        <v>3492</v>
      </c>
      <c r="E1063">
        <f>IF(ISNUMBER(MATCH(marketing_events_raw[[#This Row],[customer_id]], customers_clean!A:A, 0)), 1, 0)</f>
        <v>1</v>
      </c>
    </row>
    <row r="1064" spans="1:5" x14ac:dyDescent="0.3">
      <c r="A1064">
        <v>249795747</v>
      </c>
      <c r="B1064">
        <v>920375</v>
      </c>
      <c r="C1064" s="1">
        <v>44575</v>
      </c>
      <c r="D1064" t="s">
        <v>3491</v>
      </c>
      <c r="E1064">
        <f>IF(ISNUMBER(MATCH(marketing_events_raw[[#This Row],[customer_id]], customers_clean!A:A, 0)), 1, 0)</f>
        <v>1</v>
      </c>
    </row>
    <row r="1065" spans="1:5" x14ac:dyDescent="0.3">
      <c r="A1065">
        <v>727633816</v>
      </c>
      <c r="B1065">
        <v>981473</v>
      </c>
      <c r="C1065" s="1">
        <v>44637</v>
      </c>
      <c r="D1065" t="s">
        <v>3493</v>
      </c>
      <c r="E1065">
        <f>IF(ISNUMBER(MATCH(marketing_events_raw[[#This Row],[customer_id]], customers_clean!A:A, 0)), 1, 0)</f>
        <v>1</v>
      </c>
    </row>
    <row r="1066" spans="1:5" x14ac:dyDescent="0.3">
      <c r="A1066">
        <v>431168543</v>
      </c>
      <c r="B1066">
        <v>804314</v>
      </c>
      <c r="C1066" s="1">
        <v>44668</v>
      </c>
      <c r="D1066" t="s">
        <v>3493</v>
      </c>
      <c r="E1066">
        <f>IF(ISNUMBER(MATCH(marketing_events_raw[[#This Row],[customer_id]], customers_clean!A:A, 0)), 1, 0)</f>
        <v>1</v>
      </c>
    </row>
    <row r="1067" spans="1:5" x14ac:dyDescent="0.3">
      <c r="A1067">
        <v>553323855</v>
      </c>
      <c r="B1067">
        <v>402865</v>
      </c>
      <c r="C1067" s="1">
        <v>45623</v>
      </c>
      <c r="D1067" t="s">
        <v>3489</v>
      </c>
      <c r="E1067">
        <f>IF(ISNUMBER(MATCH(marketing_events_raw[[#This Row],[customer_id]], customers_clean!A:A, 0)), 1, 0)</f>
        <v>1</v>
      </c>
    </row>
    <row r="1068" spans="1:5" x14ac:dyDescent="0.3">
      <c r="A1068">
        <v>609351789</v>
      </c>
      <c r="B1068">
        <v>694116</v>
      </c>
      <c r="C1068" s="1">
        <v>45217</v>
      </c>
      <c r="D1068" t="s">
        <v>3493</v>
      </c>
      <c r="E1068">
        <f>IF(ISNUMBER(MATCH(marketing_events_raw[[#This Row],[customer_id]], customers_clean!A:A, 0)), 1, 0)</f>
        <v>1</v>
      </c>
    </row>
    <row r="1069" spans="1:5" x14ac:dyDescent="0.3">
      <c r="A1069">
        <v>482228740</v>
      </c>
      <c r="B1069">
        <v>231113</v>
      </c>
      <c r="C1069" s="1">
        <v>44440</v>
      </c>
      <c r="D1069" t="s">
        <v>3488</v>
      </c>
      <c r="E1069">
        <f>IF(ISNUMBER(MATCH(marketing_events_raw[[#This Row],[customer_id]], customers_clean!A:A, 0)), 1, 0)</f>
        <v>1</v>
      </c>
    </row>
    <row r="1070" spans="1:5" x14ac:dyDescent="0.3">
      <c r="A1070">
        <v>882192229</v>
      </c>
      <c r="B1070">
        <v>189374</v>
      </c>
      <c r="C1070" s="1">
        <v>44594</v>
      </c>
      <c r="D1070" t="s">
        <v>3487</v>
      </c>
      <c r="E1070">
        <f>IF(ISNUMBER(MATCH(marketing_events_raw[[#This Row],[customer_id]], customers_clean!A:A, 0)), 1, 0)</f>
        <v>1</v>
      </c>
    </row>
    <row r="1071" spans="1:5" x14ac:dyDescent="0.3">
      <c r="A1071">
        <v>972194552</v>
      </c>
      <c r="B1071">
        <v>560767</v>
      </c>
      <c r="C1071" s="1">
        <v>45376</v>
      </c>
      <c r="D1071" t="s">
        <v>3487</v>
      </c>
      <c r="E1071">
        <f>IF(ISNUMBER(MATCH(marketing_events_raw[[#This Row],[customer_id]], customers_clean!A:A, 0)), 1, 0)</f>
        <v>1</v>
      </c>
    </row>
    <row r="1072" spans="1:5" x14ac:dyDescent="0.3">
      <c r="A1072">
        <v>614253838</v>
      </c>
      <c r="B1072">
        <v>321634</v>
      </c>
      <c r="C1072" s="1">
        <v>44583</v>
      </c>
      <c r="D1072" t="s">
        <v>3491</v>
      </c>
      <c r="E1072">
        <f>IF(ISNUMBER(MATCH(marketing_events_raw[[#This Row],[customer_id]], customers_clean!A:A, 0)), 1, 0)</f>
        <v>1</v>
      </c>
    </row>
    <row r="1073" spans="1:5" x14ac:dyDescent="0.3">
      <c r="A1073">
        <v>631759472</v>
      </c>
      <c r="B1073">
        <v>171269</v>
      </c>
      <c r="C1073" s="1">
        <v>45362</v>
      </c>
      <c r="D1073" t="s">
        <v>3487</v>
      </c>
      <c r="E1073">
        <f>IF(ISNUMBER(MATCH(marketing_events_raw[[#This Row],[customer_id]], customers_clean!A:A, 0)), 1, 0)</f>
        <v>1</v>
      </c>
    </row>
    <row r="1074" spans="1:5" x14ac:dyDescent="0.3">
      <c r="A1074">
        <v>234502571</v>
      </c>
      <c r="B1074">
        <v>468292</v>
      </c>
      <c r="C1074" s="1">
        <v>45469</v>
      </c>
      <c r="D1074" t="s">
        <v>3491</v>
      </c>
      <c r="E1074">
        <f>IF(ISNUMBER(MATCH(marketing_events_raw[[#This Row],[customer_id]], customers_clean!A:A, 0)), 1, 0)</f>
        <v>1</v>
      </c>
    </row>
    <row r="1075" spans="1:5" x14ac:dyDescent="0.3">
      <c r="A1075">
        <v>970258472</v>
      </c>
      <c r="B1075">
        <v>299659</v>
      </c>
      <c r="C1075" s="1">
        <v>44825</v>
      </c>
      <c r="D1075" t="s">
        <v>3487</v>
      </c>
      <c r="E1075">
        <f>IF(ISNUMBER(MATCH(marketing_events_raw[[#This Row],[customer_id]], customers_clean!A:A, 0)), 1, 0)</f>
        <v>1</v>
      </c>
    </row>
    <row r="1076" spans="1:5" x14ac:dyDescent="0.3">
      <c r="A1076">
        <v>353604416</v>
      </c>
      <c r="B1076">
        <v>985447</v>
      </c>
      <c r="C1076" s="1">
        <v>45267</v>
      </c>
      <c r="D1076" t="s">
        <v>3491</v>
      </c>
      <c r="E1076">
        <f>IF(ISNUMBER(MATCH(marketing_events_raw[[#This Row],[customer_id]], customers_clean!A:A, 0)), 1, 0)</f>
        <v>1</v>
      </c>
    </row>
    <row r="1077" spans="1:5" x14ac:dyDescent="0.3">
      <c r="A1077">
        <v>664750192</v>
      </c>
      <c r="B1077">
        <v>979940</v>
      </c>
      <c r="C1077" s="1">
        <v>45114</v>
      </c>
      <c r="D1077" t="s">
        <v>3490</v>
      </c>
      <c r="E1077">
        <f>IF(ISNUMBER(MATCH(marketing_events_raw[[#This Row],[customer_id]], customers_clean!A:A, 0)), 1, 0)</f>
        <v>1</v>
      </c>
    </row>
    <row r="1078" spans="1:5" x14ac:dyDescent="0.3">
      <c r="A1078">
        <v>194254760</v>
      </c>
      <c r="B1078">
        <v>586288</v>
      </c>
      <c r="C1078" s="1">
        <v>45194</v>
      </c>
      <c r="D1078" t="s">
        <v>3488</v>
      </c>
      <c r="E1078">
        <f>IF(ISNUMBER(MATCH(marketing_events_raw[[#This Row],[customer_id]], customers_clean!A:A, 0)), 1, 0)</f>
        <v>1</v>
      </c>
    </row>
    <row r="1079" spans="1:5" x14ac:dyDescent="0.3">
      <c r="A1079">
        <v>940006267</v>
      </c>
      <c r="B1079">
        <v>541996</v>
      </c>
      <c r="C1079" s="1">
        <v>44712</v>
      </c>
      <c r="D1079" t="s">
        <v>3487</v>
      </c>
      <c r="E1079">
        <f>IF(ISNUMBER(MATCH(marketing_events_raw[[#This Row],[customer_id]], customers_clean!A:A, 0)), 1, 0)</f>
        <v>1</v>
      </c>
    </row>
    <row r="1080" spans="1:5" x14ac:dyDescent="0.3">
      <c r="A1080">
        <v>531126807</v>
      </c>
      <c r="B1080">
        <v>472724</v>
      </c>
      <c r="C1080" s="1">
        <v>44734</v>
      </c>
      <c r="D1080" t="s">
        <v>3491</v>
      </c>
      <c r="E1080">
        <f>IF(ISNUMBER(MATCH(marketing_events_raw[[#This Row],[customer_id]], customers_clean!A:A, 0)), 1, 0)</f>
        <v>1</v>
      </c>
    </row>
    <row r="1081" spans="1:5" x14ac:dyDescent="0.3">
      <c r="A1081">
        <v>270634009</v>
      </c>
      <c r="B1081">
        <v>286710</v>
      </c>
      <c r="C1081" s="1">
        <v>44758</v>
      </c>
      <c r="D1081" t="s">
        <v>3487</v>
      </c>
      <c r="E1081">
        <f>IF(ISNUMBER(MATCH(marketing_events_raw[[#This Row],[customer_id]], customers_clean!A:A, 0)), 1, 0)</f>
        <v>1</v>
      </c>
    </row>
    <row r="1082" spans="1:5" x14ac:dyDescent="0.3">
      <c r="A1082">
        <v>564130702</v>
      </c>
      <c r="B1082">
        <v>964607</v>
      </c>
      <c r="C1082" s="1">
        <v>45272</v>
      </c>
      <c r="D1082" t="s">
        <v>3487</v>
      </c>
      <c r="E1082">
        <f>IF(ISNUMBER(MATCH(marketing_events_raw[[#This Row],[customer_id]], customers_clean!A:A, 0)), 1, 0)</f>
        <v>1</v>
      </c>
    </row>
    <row r="1083" spans="1:5" x14ac:dyDescent="0.3">
      <c r="A1083">
        <v>652679869</v>
      </c>
      <c r="B1083">
        <v>595401</v>
      </c>
      <c r="C1083" s="1">
        <v>45436</v>
      </c>
      <c r="D1083" t="s">
        <v>3490</v>
      </c>
      <c r="E1083">
        <f>IF(ISNUMBER(MATCH(marketing_events_raw[[#This Row],[customer_id]], customers_clean!A:A, 0)), 1, 0)</f>
        <v>1</v>
      </c>
    </row>
    <row r="1084" spans="1:5" x14ac:dyDescent="0.3">
      <c r="A1084">
        <v>711899667</v>
      </c>
      <c r="B1084">
        <v>147285</v>
      </c>
      <c r="C1084" s="1">
        <v>44780</v>
      </c>
      <c r="D1084" t="s">
        <v>3487</v>
      </c>
      <c r="E1084">
        <f>IF(ISNUMBER(MATCH(marketing_events_raw[[#This Row],[customer_id]], customers_clean!A:A, 0)), 1, 0)</f>
        <v>1</v>
      </c>
    </row>
    <row r="1085" spans="1:5" x14ac:dyDescent="0.3">
      <c r="A1085">
        <v>791040228</v>
      </c>
      <c r="B1085">
        <v>592198</v>
      </c>
      <c r="C1085" s="1">
        <v>45195</v>
      </c>
      <c r="D1085" t="s">
        <v>3490</v>
      </c>
      <c r="E1085">
        <f>IF(ISNUMBER(MATCH(marketing_events_raw[[#This Row],[customer_id]], customers_clean!A:A, 0)), 1, 0)</f>
        <v>1</v>
      </c>
    </row>
    <row r="1086" spans="1:5" x14ac:dyDescent="0.3">
      <c r="A1086">
        <v>524314330</v>
      </c>
      <c r="B1086">
        <v>883159</v>
      </c>
      <c r="C1086" s="1">
        <v>45047</v>
      </c>
      <c r="D1086" t="s">
        <v>3489</v>
      </c>
      <c r="E1086">
        <f>IF(ISNUMBER(MATCH(marketing_events_raw[[#This Row],[customer_id]], customers_clean!A:A, 0)), 1, 0)</f>
        <v>1</v>
      </c>
    </row>
    <row r="1087" spans="1:5" x14ac:dyDescent="0.3">
      <c r="A1087">
        <v>301070301</v>
      </c>
      <c r="B1087">
        <v>434367</v>
      </c>
      <c r="C1087" s="1">
        <v>45509</v>
      </c>
      <c r="D1087" t="s">
        <v>3493</v>
      </c>
      <c r="E1087">
        <f>IF(ISNUMBER(MATCH(marketing_events_raw[[#This Row],[customer_id]], customers_clean!A:A, 0)), 1, 0)</f>
        <v>1</v>
      </c>
    </row>
    <row r="1088" spans="1:5" x14ac:dyDescent="0.3">
      <c r="A1088">
        <v>746635665</v>
      </c>
      <c r="B1088">
        <v>458224</v>
      </c>
      <c r="C1088" s="1">
        <v>45483</v>
      </c>
      <c r="D1088" t="s">
        <v>3491</v>
      </c>
      <c r="E1088">
        <f>IF(ISNUMBER(MATCH(marketing_events_raw[[#This Row],[customer_id]], customers_clean!A:A, 0)), 1, 0)</f>
        <v>1</v>
      </c>
    </row>
    <row r="1089" spans="1:5" x14ac:dyDescent="0.3">
      <c r="A1089">
        <v>100725588</v>
      </c>
      <c r="B1089">
        <v>201913</v>
      </c>
      <c r="C1089" s="1">
        <v>45331</v>
      </c>
      <c r="D1089" t="s">
        <v>3492</v>
      </c>
      <c r="E1089">
        <f>IF(ISNUMBER(MATCH(marketing_events_raw[[#This Row],[customer_id]], customers_clean!A:A, 0)), 1, 0)</f>
        <v>1</v>
      </c>
    </row>
    <row r="1090" spans="1:5" x14ac:dyDescent="0.3">
      <c r="A1090">
        <v>723607953</v>
      </c>
      <c r="B1090">
        <v>761519</v>
      </c>
      <c r="C1090" s="1">
        <v>45577</v>
      </c>
      <c r="D1090" t="s">
        <v>3489</v>
      </c>
      <c r="E1090">
        <f>IF(ISNUMBER(MATCH(marketing_events_raw[[#This Row],[customer_id]], customers_clean!A:A, 0)), 1, 0)</f>
        <v>1</v>
      </c>
    </row>
    <row r="1091" spans="1:5" x14ac:dyDescent="0.3">
      <c r="A1091">
        <v>968038114</v>
      </c>
      <c r="B1091">
        <v>885342</v>
      </c>
      <c r="C1091" s="1">
        <v>45033</v>
      </c>
      <c r="D1091" t="s">
        <v>3491</v>
      </c>
      <c r="E1091">
        <f>IF(ISNUMBER(MATCH(marketing_events_raw[[#This Row],[customer_id]], customers_clean!A:A, 0)), 1, 0)</f>
        <v>1</v>
      </c>
    </row>
    <row r="1092" spans="1:5" x14ac:dyDescent="0.3">
      <c r="A1092">
        <v>674946492</v>
      </c>
      <c r="B1092">
        <v>610135</v>
      </c>
      <c r="C1092" s="1">
        <v>44599</v>
      </c>
      <c r="D1092" t="s">
        <v>3489</v>
      </c>
      <c r="E1092">
        <f>IF(ISNUMBER(MATCH(marketing_events_raw[[#This Row],[customer_id]], customers_clean!A:A, 0)), 1, 0)</f>
        <v>1</v>
      </c>
    </row>
    <row r="1093" spans="1:5" x14ac:dyDescent="0.3">
      <c r="A1093">
        <v>447311290</v>
      </c>
      <c r="B1093">
        <v>288056</v>
      </c>
      <c r="C1093" s="1">
        <v>45081</v>
      </c>
      <c r="D1093" t="s">
        <v>3491</v>
      </c>
      <c r="E1093">
        <f>IF(ISNUMBER(MATCH(marketing_events_raw[[#This Row],[customer_id]], customers_clean!A:A, 0)), 1, 0)</f>
        <v>1</v>
      </c>
    </row>
    <row r="1094" spans="1:5" x14ac:dyDescent="0.3">
      <c r="A1094">
        <v>611768104</v>
      </c>
      <c r="B1094">
        <v>599380</v>
      </c>
      <c r="C1094" s="1">
        <v>45365</v>
      </c>
      <c r="D1094" t="s">
        <v>3487</v>
      </c>
      <c r="E1094">
        <f>IF(ISNUMBER(MATCH(marketing_events_raw[[#This Row],[customer_id]], customers_clean!A:A, 0)), 1, 0)</f>
        <v>1</v>
      </c>
    </row>
    <row r="1095" spans="1:5" x14ac:dyDescent="0.3">
      <c r="A1095">
        <v>263524359</v>
      </c>
      <c r="B1095">
        <v>147694</v>
      </c>
      <c r="C1095" s="1">
        <v>45270</v>
      </c>
      <c r="D1095" t="s">
        <v>3492</v>
      </c>
      <c r="E1095">
        <f>IF(ISNUMBER(MATCH(marketing_events_raw[[#This Row],[customer_id]], customers_clean!A:A, 0)), 1, 0)</f>
        <v>1</v>
      </c>
    </row>
    <row r="1096" spans="1:5" x14ac:dyDescent="0.3">
      <c r="A1096">
        <v>747747224</v>
      </c>
      <c r="B1096">
        <v>721497</v>
      </c>
      <c r="C1096" s="1">
        <v>45397</v>
      </c>
      <c r="D1096" t="s">
        <v>3487</v>
      </c>
      <c r="E1096">
        <f>IF(ISNUMBER(MATCH(marketing_events_raw[[#This Row],[customer_id]], customers_clean!A:A, 0)), 1, 0)</f>
        <v>1</v>
      </c>
    </row>
    <row r="1097" spans="1:5" x14ac:dyDescent="0.3">
      <c r="A1097">
        <v>418241848</v>
      </c>
      <c r="B1097">
        <v>773440</v>
      </c>
      <c r="C1097" s="1">
        <v>44433</v>
      </c>
      <c r="D1097" t="s">
        <v>3491</v>
      </c>
      <c r="E1097">
        <f>IF(ISNUMBER(MATCH(marketing_events_raw[[#This Row],[customer_id]], customers_clean!A:A, 0)), 1, 0)</f>
        <v>1</v>
      </c>
    </row>
    <row r="1098" spans="1:5" x14ac:dyDescent="0.3">
      <c r="A1098">
        <v>301821554</v>
      </c>
      <c r="B1098">
        <v>943687</v>
      </c>
      <c r="C1098" s="1">
        <v>45522</v>
      </c>
      <c r="D1098" t="s">
        <v>3492</v>
      </c>
      <c r="E1098">
        <f>IF(ISNUMBER(MATCH(marketing_events_raw[[#This Row],[customer_id]], customers_clean!A:A, 0)), 1, 0)</f>
        <v>1</v>
      </c>
    </row>
    <row r="1099" spans="1:5" x14ac:dyDescent="0.3">
      <c r="A1099">
        <v>896772337</v>
      </c>
      <c r="B1099">
        <v>520304</v>
      </c>
      <c r="C1099" s="1">
        <v>45471</v>
      </c>
      <c r="D1099" t="s">
        <v>3490</v>
      </c>
      <c r="E1099">
        <f>IF(ISNUMBER(MATCH(marketing_events_raw[[#This Row],[customer_id]], customers_clean!A:A, 0)), 1, 0)</f>
        <v>1</v>
      </c>
    </row>
    <row r="1100" spans="1:5" x14ac:dyDescent="0.3">
      <c r="A1100">
        <v>440470409</v>
      </c>
      <c r="B1100">
        <v>979940</v>
      </c>
      <c r="C1100" s="1">
        <v>44442</v>
      </c>
      <c r="D1100" t="s">
        <v>3490</v>
      </c>
      <c r="E1100">
        <f>IF(ISNUMBER(MATCH(marketing_events_raw[[#This Row],[customer_id]], customers_clean!A:A, 0)), 1, 0)</f>
        <v>1</v>
      </c>
    </row>
    <row r="1101" spans="1:5" x14ac:dyDescent="0.3">
      <c r="A1101">
        <v>862982133</v>
      </c>
      <c r="B1101">
        <v>281201</v>
      </c>
      <c r="C1101" s="1">
        <v>44977</v>
      </c>
      <c r="D1101" t="s">
        <v>3490</v>
      </c>
      <c r="E1101">
        <f>IF(ISNUMBER(MATCH(marketing_events_raw[[#This Row],[customer_id]], customers_clean!A:A, 0)), 1, 0)</f>
        <v>1</v>
      </c>
    </row>
    <row r="1102" spans="1:5" x14ac:dyDescent="0.3">
      <c r="A1102">
        <v>930224364</v>
      </c>
      <c r="B1102">
        <v>885408</v>
      </c>
      <c r="C1102" s="1">
        <v>45284</v>
      </c>
      <c r="D1102" t="s">
        <v>3490</v>
      </c>
      <c r="E1102">
        <f>IF(ISNUMBER(MATCH(marketing_events_raw[[#This Row],[customer_id]], customers_clean!A:A, 0)), 1, 0)</f>
        <v>1</v>
      </c>
    </row>
    <row r="1103" spans="1:5" x14ac:dyDescent="0.3">
      <c r="A1103">
        <v>938279315</v>
      </c>
      <c r="B1103">
        <v>517821</v>
      </c>
      <c r="C1103" s="1">
        <v>45175</v>
      </c>
      <c r="D1103" t="s">
        <v>3492</v>
      </c>
      <c r="E1103">
        <f>IF(ISNUMBER(MATCH(marketing_events_raw[[#This Row],[customer_id]], customers_clean!A:A, 0)), 1, 0)</f>
        <v>1</v>
      </c>
    </row>
    <row r="1104" spans="1:5" x14ac:dyDescent="0.3">
      <c r="A1104">
        <v>618451887</v>
      </c>
      <c r="B1104">
        <v>276556</v>
      </c>
      <c r="C1104" s="1">
        <v>45511</v>
      </c>
      <c r="D1104" t="s">
        <v>3491</v>
      </c>
      <c r="E1104">
        <f>IF(ISNUMBER(MATCH(marketing_events_raw[[#This Row],[customer_id]], customers_clean!A:A, 0)), 1, 0)</f>
        <v>1</v>
      </c>
    </row>
    <row r="1105" spans="1:5" x14ac:dyDescent="0.3">
      <c r="A1105">
        <v>302369193</v>
      </c>
      <c r="B1105">
        <v>299834</v>
      </c>
      <c r="C1105" s="1">
        <v>45552</v>
      </c>
      <c r="D1105" t="s">
        <v>3490</v>
      </c>
      <c r="E1105">
        <f>IF(ISNUMBER(MATCH(marketing_events_raw[[#This Row],[customer_id]], customers_clean!A:A, 0)), 1, 0)</f>
        <v>1</v>
      </c>
    </row>
    <row r="1106" spans="1:5" x14ac:dyDescent="0.3">
      <c r="A1106">
        <v>983651753</v>
      </c>
      <c r="B1106">
        <v>908977</v>
      </c>
      <c r="C1106" s="1">
        <v>44666</v>
      </c>
      <c r="D1106" t="s">
        <v>3491</v>
      </c>
      <c r="E1106">
        <f>IF(ISNUMBER(MATCH(marketing_events_raw[[#This Row],[customer_id]], customers_clean!A:A, 0)), 1, 0)</f>
        <v>1</v>
      </c>
    </row>
    <row r="1107" spans="1:5" x14ac:dyDescent="0.3">
      <c r="A1107">
        <v>478472089</v>
      </c>
      <c r="B1107">
        <v>424620</v>
      </c>
      <c r="C1107" s="1">
        <v>45193</v>
      </c>
      <c r="D1107" t="s">
        <v>3492</v>
      </c>
      <c r="E1107">
        <f>IF(ISNUMBER(MATCH(marketing_events_raw[[#This Row],[customer_id]], customers_clean!A:A, 0)), 1, 0)</f>
        <v>1</v>
      </c>
    </row>
    <row r="1108" spans="1:5" x14ac:dyDescent="0.3">
      <c r="A1108">
        <v>960531478</v>
      </c>
      <c r="B1108">
        <v>744883</v>
      </c>
      <c r="C1108" s="1">
        <v>44572</v>
      </c>
      <c r="D1108" t="s">
        <v>3491</v>
      </c>
      <c r="E1108">
        <f>IF(ISNUMBER(MATCH(marketing_events_raw[[#This Row],[customer_id]], customers_clean!A:A, 0)), 1, 0)</f>
        <v>1</v>
      </c>
    </row>
    <row r="1109" spans="1:5" x14ac:dyDescent="0.3">
      <c r="A1109">
        <v>672172146</v>
      </c>
      <c r="B1109">
        <v>744883</v>
      </c>
      <c r="C1109" s="1">
        <v>45285</v>
      </c>
      <c r="D1109" t="s">
        <v>3490</v>
      </c>
      <c r="E1109">
        <f>IF(ISNUMBER(MATCH(marketing_events_raw[[#This Row],[customer_id]], customers_clean!A:A, 0)), 1, 0)</f>
        <v>1</v>
      </c>
    </row>
    <row r="1110" spans="1:5" x14ac:dyDescent="0.3">
      <c r="A1110">
        <v>796093047</v>
      </c>
      <c r="B1110">
        <v>970645</v>
      </c>
      <c r="C1110" s="1">
        <v>44615</v>
      </c>
      <c r="D1110" t="s">
        <v>3488</v>
      </c>
      <c r="E1110">
        <f>IF(ISNUMBER(MATCH(marketing_events_raw[[#This Row],[customer_id]], customers_clean!A:A, 0)), 1, 0)</f>
        <v>1</v>
      </c>
    </row>
    <row r="1111" spans="1:5" x14ac:dyDescent="0.3">
      <c r="A1111">
        <v>431109618</v>
      </c>
      <c r="B1111">
        <v>920375</v>
      </c>
      <c r="C1111" s="1">
        <v>45458</v>
      </c>
      <c r="D1111" t="s">
        <v>3487</v>
      </c>
      <c r="E1111">
        <f>IF(ISNUMBER(MATCH(marketing_events_raw[[#This Row],[customer_id]], customers_clean!A:A, 0)), 1, 0)</f>
        <v>1</v>
      </c>
    </row>
    <row r="1112" spans="1:5" x14ac:dyDescent="0.3">
      <c r="A1112">
        <v>142281596</v>
      </c>
      <c r="B1112">
        <v>575755</v>
      </c>
      <c r="C1112" s="1">
        <v>44496</v>
      </c>
      <c r="D1112" t="s">
        <v>3488</v>
      </c>
      <c r="E1112">
        <f>IF(ISNUMBER(MATCH(marketing_events_raw[[#This Row],[customer_id]], customers_clean!A:A, 0)), 1, 0)</f>
        <v>1</v>
      </c>
    </row>
    <row r="1113" spans="1:5" x14ac:dyDescent="0.3">
      <c r="A1113">
        <v>799530232</v>
      </c>
      <c r="B1113">
        <v>493282</v>
      </c>
      <c r="C1113" s="1">
        <v>45121</v>
      </c>
      <c r="D1113" t="s">
        <v>3488</v>
      </c>
      <c r="E1113">
        <f>IF(ISNUMBER(MATCH(marketing_events_raw[[#This Row],[customer_id]], customers_clean!A:A, 0)), 1, 0)</f>
        <v>1</v>
      </c>
    </row>
    <row r="1114" spans="1:5" x14ac:dyDescent="0.3">
      <c r="A1114">
        <v>146801065</v>
      </c>
      <c r="B1114">
        <v>356736</v>
      </c>
      <c r="C1114" s="1">
        <v>44390</v>
      </c>
      <c r="D1114" t="s">
        <v>3493</v>
      </c>
      <c r="E1114">
        <f>IF(ISNUMBER(MATCH(marketing_events_raw[[#This Row],[customer_id]], customers_clean!A:A, 0)), 1, 0)</f>
        <v>1</v>
      </c>
    </row>
    <row r="1115" spans="1:5" x14ac:dyDescent="0.3">
      <c r="A1115">
        <v>747969968</v>
      </c>
      <c r="B1115">
        <v>202170</v>
      </c>
      <c r="C1115" s="1">
        <v>44758</v>
      </c>
      <c r="D1115" t="s">
        <v>3492</v>
      </c>
      <c r="E1115">
        <f>IF(ISNUMBER(MATCH(marketing_events_raw[[#This Row],[customer_id]], customers_clean!A:A, 0)), 1, 0)</f>
        <v>1</v>
      </c>
    </row>
    <row r="1116" spans="1:5" x14ac:dyDescent="0.3">
      <c r="A1116">
        <v>389663020</v>
      </c>
      <c r="B1116">
        <v>377312</v>
      </c>
      <c r="C1116" s="1">
        <v>45599</v>
      </c>
      <c r="D1116" t="s">
        <v>3493</v>
      </c>
      <c r="E1116">
        <f>IF(ISNUMBER(MATCH(marketing_events_raw[[#This Row],[customer_id]], customers_clean!A:A, 0)), 1, 0)</f>
        <v>1</v>
      </c>
    </row>
    <row r="1117" spans="1:5" x14ac:dyDescent="0.3">
      <c r="A1117">
        <v>785688236</v>
      </c>
      <c r="B1117">
        <v>995420</v>
      </c>
      <c r="C1117" s="1">
        <v>44752</v>
      </c>
      <c r="D1117" t="s">
        <v>3491</v>
      </c>
      <c r="E1117">
        <f>IF(ISNUMBER(MATCH(marketing_events_raw[[#This Row],[customer_id]], customers_clean!A:A, 0)), 1, 0)</f>
        <v>1</v>
      </c>
    </row>
    <row r="1118" spans="1:5" x14ac:dyDescent="0.3">
      <c r="A1118">
        <v>580183488</v>
      </c>
      <c r="B1118">
        <v>642085</v>
      </c>
      <c r="C1118" s="1">
        <v>45531</v>
      </c>
      <c r="D1118" t="s">
        <v>3488</v>
      </c>
      <c r="E1118">
        <f>IF(ISNUMBER(MATCH(marketing_events_raw[[#This Row],[customer_id]], customers_clean!A:A, 0)), 1, 0)</f>
        <v>1</v>
      </c>
    </row>
    <row r="1119" spans="1:5" x14ac:dyDescent="0.3">
      <c r="A1119">
        <v>627502839</v>
      </c>
      <c r="B1119">
        <v>443000</v>
      </c>
      <c r="C1119" s="1">
        <v>45097</v>
      </c>
      <c r="D1119" t="s">
        <v>3493</v>
      </c>
      <c r="E1119">
        <f>IF(ISNUMBER(MATCH(marketing_events_raw[[#This Row],[customer_id]], customers_clean!A:A, 0)), 1, 0)</f>
        <v>1</v>
      </c>
    </row>
    <row r="1120" spans="1:5" x14ac:dyDescent="0.3">
      <c r="A1120">
        <v>597202093</v>
      </c>
      <c r="B1120">
        <v>340497</v>
      </c>
      <c r="C1120" s="1">
        <v>44483</v>
      </c>
      <c r="D1120" t="s">
        <v>3493</v>
      </c>
      <c r="E1120">
        <f>IF(ISNUMBER(MATCH(marketing_events_raw[[#This Row],[customer_id]], customers_clean!A:A, 0)), 1, 0)</f>
        <v>1</v>
      </c>
    </row>
    <row r="1121" spans="1:5" x14ac:dyDescent="0.3">
      <c r="A1121">
        <v>350090089</v>
      </c>
      <c r="B1121">
        <v>563849</v>
      </c>
      <c r="C1121" s="1">
        <v>44416</v>
      </c>
      <c r="D1121" t="s">
        <v>3488</v>
      </c>
      <c r="E1121">
        <f>IF(ISNUMBER(MATCH(marketing_events_raw[[#This Row],[customer_id]], customers_clean!A:A, 0)), 1, 0)</f>
        <v>1</v>
      </c>
    </row>
    <row r="1122" spans="1:5" x14ac:dyDescent="0.3">
      <c r="A1122">
        <v>251715311</v>
      </c>
      <c r="B1122">
        <v>506951</v>
      </c>
      <c r="C1122" s="1">
        <v>45589</v>
      </c>
      <c r="D1122" t="s">
        <v>3489</v>
      </c>
      <c r="E1122">
        <f>IF(ISNUMBER(MATCH(marketing_events_raw[[#This Row],[customer_id]], customers_clean!A:A, 0)), 1, 0)</f>
        <v>1</v>
      </c>
    </row>
    <row r="1123" spans="1:5" x14ac:dyDescent="0.3">
      <c r="A1123">
        <v>119346520</v>
      </c>
      <c r="B1123">
        <v>572398</v>
      </c>
      <c r="C1123" s="1">
        <v>44634</v>
      </c>
      <c r="D1123" t="s">
        <v>3490</v>
      </c>
      <c r="E1123">
        <f>IF(ISNUMBER(MATCH(marketing_events_raw[[#This Row],[customer_id]], customers_clean!A:A, 0)), 1, 0)</f>
        <v>1</v>
      </c>
    </row>
    <row r="1124" spans="1:5" x14ac:dyDescent="0.3">
      <c r="A1124">
        <v>884998043</v>
      </c>
      <c r="B1124">
        <v>614259</v>
      </c>
      <c r="C1124" s="1">
        <v>44689</v>
      </c>
      <c r="D1124" t="s">
        <v>3492</v>
      </c>
      <c r="E1124">
        <f>IF(ISNUMBER(MATCH(marketing_events_raw[[#This Row],[customer_id]], customers_clean!A:A, 0)), 1, 0)</f>
        <v>1</v>
      </c>
    </row>
    <row r="1125" spans="1:5" x14ac:dyDescent="0.3">
      <c r="A1125">
        <v>780344392</v>
      </c>
      <c r="B1125">
        <v>802695</v>
      </c>
      <c r="C1125" s="1">
        <v>44409</v>
      </c>
      <c r="D1125" t="s">
        <v>3490</v>
      </c>
      <c r="E1125">
        <f>IF(ISNUMBER(MATCH(marketing_events_raw[[#This Row],[customer_id]], customers_clean!A:A, 0)), 1, 0)</f>
        <v>1</v>
      </c>
    </row>
    <row r="1126" spans="1:5" x14ac:dyDescent="0.3">
      <c r="A1126">
        <v>791217014</v>
      </c>
      <c r="B1126">
        <v>434367</v>
      </c>
      <c r="C1126" s="1">
        <v>45420</v>
      </c>
      <c r="D1126" t="s">
        <v>3487</v>
      </c>
      <c r="E1126">
        <f>IF(ISNUMBER(MATCH(marketing_events_raw[[#This Row],[customer_id]], customers_clean!A:A, 0)), 1, 0)</f>
        <v>1</v>
      </c>
    </row>
    <row r="1127" spans="1:5" x14ac:dyDescent="0.3">
      <c r="A1127">
        <v>997232806</v>
      </c>
      <c r="B1127">
        <v>854701</v>
      </c>
      <c r="C1127" s="1">
        <v>44455</v>
      </c>
      <c r="D1127" t="s">
        <v>3487</v>
      </c>
      <c r="E1127">
        <f>IF(ISNUMBER(MATCH(marketing_events_raw[[#This Row],[customer_id]], customers_clean!A:A, 0)), 1, 0)</f>
        <v>1</v>
      </c>
    </row>
    <row r="1128" spans="1:5" x14ac:dyDescent="0.3">
      <c r="A1128">
        <v>395533528</v>
      </c>
      <c r="B1128">
        <v>685126</v>
      </c>
      <c r="C1128" s="1">
        <v>44732</v>
      </c>
      <c r="D1128" t="s">
        <v>3491</v>
      </c>
      <c r="E1128">
        <f>IF(ISNUMBER(MATCH(marketing_events_raw[[#This Row],[customer_id]], customers_clean!A:A, 0)), 1, 0)</f>
        <v>1</v>
      </c>
    </row>
    <row r="1129" spans="1:5" x14ac:dyDescent="0.3">
      <c r="A1129">
        <v>909853997</v>
      </c>
      <c r="B1129">
        <v>638051</v>
      </c>
      <c r="C1129" s="1">
        <v>44429</v>
      </c>
      <c r="D1129" t="s">
        <v>3487</v>
      </c>
      <c r="E1129">
        <f>IF(ISNUMBER(MATCH(marketing_events_raw[[#This Row],[customer_id]], customers_clean!A:A, 0)), 1, 0)</f>
        <v>1</v>
      </c>
    </row>
    <row r="1130" spans="1:5" x14ac:dyDescent="0.3">
      <c r="A1130">
        <v>810352841</v>
      </c>
      <c r="B1130">
        <v>440881</v>
      </c>
      <c r="C1130" s="1">
        <v>45612</v>
      </c>
      <c r="D1130" t="s">
        <v>3492</v>
      </c>
      <c r="E1130">
        <f>IF(ISNUMBER(MATCH(marketing_events_raw[[#This Row],[customer_id]], customers_clean!A:A, 0)), 1, 0)</f>
        <v>1</v>
      </c>
    </row>
    <row r="1131" spans="1:5" x14ac:dyDescent="0.3">
      <c r="A1131">
        <v>260239713</v>
      </c>
      <c r="B1131">
        <v>688933</v>
      </c>
      <c r="C1131" s="1">
        <v>44753</v>
      </c>
      <c r="D1131" t="s">
        <v>3489</v>
      </c>
      <c r="E1131">
        <f>IF(ISNUMBER(MATCH(marketing_events_raw[[#This Row],[customer_id]], customers_clean!A:A, 0)), 1, 0)</f>
        <v>1</v>
      </c>
    </row>
    <row r="1132" spans="1:5" x14ac:dyDescent="0.3">
      <c r="A1132">
        <v>343805889</v>
      </c>
      <c r="B1132">
        <v>113266</v>
      </c>
      <c r="C1132" s="1">
        <v>44769</v>
      </c>
      <c r="D1132" t="s">
        <v>3487</v>
      </c>
      <c r="E1132">
        <f>IF(ISNUMBER(MATCH(marketing_events_raw[[#This Row],[customer_id]], customers_clean!A:A, 0)), 1, 0)</f>
        <v>1</v>
      </c>
    </row>
    <row r="1133" spans="1:5" x14ac:dyDescent="0.3">
      <c r="A1133">
        <v>749321858</v>
      </c>
      <c r="B1133">
        <v>193520</v>
      </c>
      <c r="C1133" s="1">
        <v>44813</v>
      </c>
      <c r="D1133" t="s">
        <v>3488</v>
      </c>
      <c r="E1133">
        <f>IF(ISNUMBER(MATCH(marketing_events_raw[[#This Row],[customer_id]], customers_clean!A:A, 0)), 1, 0)</f>
        <v>1</v>
      </c>
    </row>
    <row r="1134" spans="1:5" x14ac:dyDescent="0.3">
      <c r="A1134">
        <v>227846391</v>
      </c>
      <c r="B1134">
        <v>668573</v>
      </c>
      <c r="C1134" s="1">
        <v>45530</v>
      </c>
      <c r="D1134" t="s">
        <v>3490</v>
      </c>
      <c r="E1134">
        <f>IF(ISNUMBER(MATCH(marketing_events_raw[[#This Row],[customer_id]], customers_clean!A:A, 0)), 1, 0)</f>
        <v>1</v>
      </c>
    </row>
    <row r="1135" spans="1:5" x14ac:dyDescent="0.3">
      <c r="A1135">
        <v>512791218</v>
      </c>
      <c r="B1135">
        <v>670968</v>
      </c>
      <c r="C1135" s="1">
        <v>44726</v>
      </c>
      <c r="D1135" t="s">
        <v>3490</v>
      </c>
      <c r="E1135">
        <f>IF(ISNUMBER(MATCH(marketing_events_raw[[#This Row],[customer_id]], customers_clean!A:A, 0)), 1, 0)</f>
        <v>1</v>
      </c>
    </row>
    <row r="1136" spans="1:5" x14ac:dyDescent="0.3">
      <c r="A1136">
        <v>114645927</v>
      </c>
      <c r="B1136">
        <v>437145</v>
      </c>
      <c r="C1136" s="1">
        <v>45402</v>
      </c>
      <c r="D1136" t="s">
        <v>3493</v>
      </c>
      <c r="E1136">
        <f>IF(ISNUMBER(MATCH(marketing_events_raw[[#This Row],[customer_id]], customers_clean!A:A, 0)), 1, 0)</f>
        <v>1</v>
      </c>
    </row>
    <row r="1137" spans="1:5" x14ac:dyDescent="0.3">
      <c r="A1137">
        <v>309986949</v>
      </c>
      <c r="B1137">
        <v>432006</v>
      </c>
      <c r="C1137" s="1">
        <v>44422</v>
      </c>
      <c r="D1137" t="s">
        <v>3489</v>
      </c>
      <c r="E1137">
        <f>IF(ISNUMBER(MATCH(marketing_events_raw[[#This Row],[customer_id]], customers_clean!A:A, 0)), 1, 0)</f>
        <v>1</v>
      </c>
    </row>
    <row r="1138" spans="1:5" x14ac:dyDescent="0.3">
      <c r="A1138">
        <v>972293080</v>
      </c>
      <c r="B1138">
        <v>738359</v>
      </c>
      <c r="C1138" s="1">
        <v>44917</v>
      </c>
      <c r="D1138" t="s">
        <v>3488</v>
      </c>
      <c r="E1138">
        <f>IF(ISNUMBER(MATCH(marketing_events_raw[[#This Row],[customer_id]], customers_clean!A:A, 0)), 1, 0)</f>
        <v>1</v>
      </c>
    </row>
    <row r="1139" spans="1:5" x14ac:dyDescent="0.3">
      <c r="A1139">
        <v>285500793</v>
      </c>
      <c r="B1139">
        <v>520884</v>
      </c>
      <c r="C1139" s="1">
        <v>45170</v>
      </c>
      <c r="D1139" t="s">
        <v>3493</v>
      </c>
      <c r="E1139">
        <f>IF(ISNUMBER(MATCH(marketing_events_raw[[#This Row],[customer_id]], customers_clean!A:A, 0)), 1, 0)</f>
        <v>1</v>
      </c>
    </row>
    <row r="1140" spans="1:5" x14ac:dyDescent="0.3">
      <c r="A1140">
        <v>862985537</v>
      </c>
      <c r="B1140">
        <v>332823</v>
      </c>
      <c r="C1140" s="1">
        <v>45249</v>
      </c>
      <c r="D1140" t="s">
        <v>3489</v>
      </c>
      <c r="E1140">
        <f>IF(ISNUMBER(MATCH(marketing_events_raw[[#This Row],[customer_id]], customers_clean!A:A, 0)), 1, 0)</f>
        <v>1</v>
      </c>
    </row>
    <row r="1141" spans="1:5" x14ac:dyDescent="0.3">
      <c r="A1141">
        <v>378702972</v>
      </c>
      <c r="B1141">
        <v>265092</v>
      </c>
      <c r="C1141" s="1">
        <v>45557</v>
      </c>
      <c r="D1141" t="s">
        <v>3487</v>
      </c>
      <c r="E1141">
        <f>IF(ISNUMBER(MATCH(marketing_events_raw[[#This Row],[customer_id]], customers_clean!A:A, 0)), 1, 0)</f>
        <v>1</v>
      </c>
    </row>
    <row r="1142" spans="1:5" x14ac:dyDescent="0.3">
      <c r="A1142">
        <v>490283723</v>
      </c>
      <c r="B1142">
        <v>578975</v>
      </c>
      <c r="C1142" s="1">
        <v>44871</v>
      </c>
      <c r="D1142" t="s">
        <v>3487</v>
      </c>
      <c r="E1142">
        <f>IF(ISNUMBER(MATCH(marketing_events_raw[[#This Row],[customer_id]], customers_clean!A:A, 0)), 1, 0)</f>
        <v>1</v>
      </c>
    </row>
    <row r="1143" spans="1:5" x14ac:dyDescent="0.3">
      <c r="A1143">
        <v>951053161</v>
      </c>
      <c r="B1143">
        <v>361609</v>
      </c>
      <c r="C1143" s="1">
        <v>44972</v>
      </c>
      <c r="D1143" t="s">
        <v>3490</v>
      </c>
      <c r="E1143">
        <f>IF(ISNUMBER(MATCH(marketing_events_raw[[#This Row],[customer_id]], customers_clean!A:A, 0)), 1, 0)</f>
        <v>1</v>
      </c>
    </row>
    <row r="1144" spans="1:5" x14ac:dyDescent="0.3">
      <c r="A1144">
        <v>848705340</v>
      </c>
      <c r="B1144">
        <v>265759</v>
      </c>
      <c r="C1144" s="1">
        <v>45050</v>
      </c>
      <c r="D1144" t="s">
        <v>3487</v>
      </c>
      <c r="E1144">
        <f>IF(ISNUMBER(MATCH(marketing_events_raw[[#This Row],[customer_id]], customers_clean!A:A, 0)), 1, 0)</f>
        <v>1</v>
      </c>
    </row>
    <row r="1145" spans="1:5" x14ac:dyDescent="0.3">
      <c r="A1145">
        <v>939552941</v>
      </c>
      <c r="B1145">
        <v>141406</v>
      </c>
      <c r="C1145" s="1">
        <v>44570</v>
      </c>
      <c r="D1145" t="s">
        <v>3488</v>
      </c>
      <c r="E1145">
        <f>IF(ISNUMBER(MATCH(marketing_events_raw[[#This Row],[customer_id]], customers_clean!A:A, 0)), 1, 0)</f>
        <v>1</v>
      </c>
    </row>
    <row r="1146" spans="1:5" x14ac:dyDescent="0.3">
      <c r="A1146">
        <v>789343306</v>
      </c>
      <c r="B1146">
        <v>780130</v>
      </c>
      <c r="C1146" s="1">
        <v>44949</v>
      </c>
      <c r="D1146" t="s">
        <v>3492</v>
      </c>
      <c r="E1146">
        <f>IF(ISNUMBER(MATCH(marketing_events_raw[[#This Row],[customer_id]], customers_clean!A:A, 0)), 1, 0)</f>
        <v>1</v>
      </c>
    </row>
    <row r="1147" spans="1:5" x14ac:dyDescent="0.3">
      <c r="A1147">
        <v>519863392</v>
      </c>
      <c r="B1147">
        <v>443199</v>
      </c>
      <c r="C1147" s="1">
        <v>45605</v>
      </c>
      <c r="D1147" t="s">
        <v>3492</v>
      </c>
      <c r="E1147">
        <f>IF(ISNUMBER(MATCH(marketing_events_raw[[#This Row],[customer_id]], customers_clean!A:A, 0)), 1, 0)</f>
        <v>1</v>
      </c>
    </row>
    <row r="1148" spans="1:5" x14ac:dyDescent="0.3">
      <c r="A1148">
        <v>538093907</v>
      </c>
      <c r="B1148">
        <v>398910</v>
      </c>
      <c r="C1148" s="1">
        <v>45397</v>
      </c>
      <c r="D1148" t="s">
        <v>3492</v>
      </c>
      <c r="E1148">
        <f>IF(ISNUMBER(MATCH(marketing_events_raw[[#This Row],[customer_id]], customers_clean!A:A, 0)), 1, 0)</f>
        <v>1</v>
      </c>
    </row>
    <row r="1149" spans="1:5" x14ac:dyDescent="0.3">
      <c r="A1149">
        <v>153364641</v>
      </c>
      <c r="B1149">
        <v>969032</v>
      </c>
      <c r="C1149" s="1">
        <v>45161</v>
      </c>
      <c r="D1149" t="s">
        <v>3491</v>
      </c>
      <c r="E1149">
        <f>IF(ISNUMBER(MATCH(marketing_events_raw[[#This Row],[customer_id]], customers_clean!A:A, 0)), 1, 0)</f>
        <v>1</v>
      </c>
    </row>
    <row r="1150" spans="1:5" x14ac:dyDescent="0.3">
      <c r="A1150">
        <v>629297623</v>
      </c>
      <c r="B1150">
        <v>980103</v>
      </c>
      <c r="C1150" s="1">
        <v>44808</v>
      </c>
      <c r="D1150" t="s">
        <v>3492</v>
      </c>
      <c r="E1150">
        <f>IF(ISNUMBER(MATCH(marketing_events_raw[[#This Row],[customer_id]], customers_clean!A:A, 0)), 1, 0)</f>
        <v>1</v>
      </c>
    </row>
    <row r="1151" spans="1:5" x14ac:dyDescent="0.3">
      <c r="A1151">
        <v>793574127</v>
      </c>
      <c r="B1151">
        <v>813666</v>
      </c>
      <c r="C1151" s="1">
        <v>45004</v>
      </c>
      <c r="D1151" t="s">
        <v>3492</v>
      </c>
      <c r="E1151">
        <f>IF(ISNUMBER(MATCH(marketing_events_raw[[#This Row],[customer_id]], customers_clean!A:A, 0)), 1, 0)</f>
        <v>1</v>
      </c>
    </row>
    <row r="1152" spans="1:5" x14ac:dyDescent="0.3">
      <c r="A1152">
        <v>500159634</v>
      </c>
      <c r="B1152">
        <v>235691</v>
      </c>
      <c r="C1152" s="1">
        <v>44830</v>
      </c>
      <c r="D1152" t="s">
        <v>3492</v>
      </c>
      <c r="E1152">
        <f>IF(ISNUMBER(MATCH(marketing_events_raw[[#This Row],[customer_id]], customers_clean!A:A, 0)), 1, 0)</f>
        <v>1</v>
      </c>
    </row>
    <row r="1153" spans="1:5" x14ac:dyDescent="0.3">
      <c r="A1153">
        <v>454663748</v>
      </c>
      <c r="B1153">
        <v>608608</v>
      </c>
      <c r="C1153" s="1">
        <v>44516</v>
      </c>
      <c r="D1153" t="s">
        <v>3492</v>
      </c>
      <c r="E1153">
        <f>IF(ISNUMBER(MATCH(marketing_events_raw[[#This Row],[customer_id]], customers_clean!A:A, 0)), 1, 0)</f>
        <v>1</v>
      </c>
    </row>
    <row r="1154" spans="1:5" x14ac:dyDescent="0.3">
      <c r="A1154">
        <v>508899382</v>
      </c>
      <c r="B1154">
        <v>196781</v>
      </c>
      <c r="C1154" s="1">
        <v>45260</v>
      </c>
      <c r="D1154" t="s">
        <v>3491</v>
      </c>
      <c r="E1154">
        <f>IF(ISNUMBER(MATCH(marketing_events_raw[[#This Row],[customer_id]], customers_clean!A:A, 0)), 1, 0)</f>
        <v>1</v>
      </c>
    </row>
    <row r="1155" spans="1:5" x14ac:dyDescent="0.3">
      <c r="A1155">
        <v>676018658</v>
      </c>
      <c r="B1155">
        <v>883997</v>
      </c>
      <c r="C1155" s="1">
        <v>45239</v>
      </c>
      <c r="D1155" t="s">
        <v>3492</v>
      </c>
      <c r="E1155">
        <f>IF(ISNUMBER(MATCH(marketing_events_raw[[#This Row],[customer_id]], customers_clean!A:A, 0)), 1, 0)</f>
        <v>1</v>
      </c>
    </row>
    <row r="1156" spans="1:5" x14ac:dyDescent="0.3">
      <c r="A1156">
        <v>652024999</v>
      </c>
      <c r="B1156">
        <v>666692</v>
      </c>
      <c r="C1156" s="1">
        <v>44788</v>
      </c>
      <c r="D1156" t="s">
        <v>3493</v>
      </c>
      <c r="E1156">
        <f>IF(ISNUMBER(MATCH(marketing_events_raw[[#This Row],[customer_id]], customers_clean!A:A, 0)), 1, 0)</f>
        <v>1</v>
      </c>
    </row>
    <row r="1157" spans="1:5" x14ac:dyDescent="0.3">
      <c r="A1157">
        <v>902663164</v>
      </c>
      <c r="B1157">
        <v>597643</v>
      </c>
      <c r="C1157" s="1">
        <v>44930</v>
      </c>
      <c r="D1157" t="s">
        <v>3491</v>
      </c>
      <c r="E1157">
        <f>IF(ISNUMBER(MATCH(marketing_events_raw[[#This Row],[customer_id]], customers_clean!A:A, 0)), 1, 0)</f>
        <v>1</v>
      </c>
    </row>
    <row r="1158" spans="1:5" x14ac:dyDescent="0.3">
      <c r="A1158">
        <v>312922086</v>
      </c>
      <c r="B1158">
        <v>475691</v>
      </c>
      <c r="C1158" s="1">
        <v>44989</v>
      </c>
      <c r="D1158" t="s">
        <v>3491</v>
      </c>
      <c r="E1158">
        <f>IF(ISNUMBER(MATCH(marketing_events_raw[[#This Row],[customer_id]], customers_clean!A:A, 0)), 1, 0)</f>
        <v>1</v>
      </c>
    </row>
    <row r="1159" spans="1:5" x14ac:dyDescent="0.3">
      <c r="A1159">
        <v>896082218</v>
      </c>
      <c r="B1159">
        <v>388820</v>
      </c>
      <c r="C1159" s="1">
        <v>44850</v>
      </c>
      <c r="D1159" t="s">
        <v>3493</v>
      </c>
      <c r="E1159">
        <f>IF(ISNUMBER(MATCH(marketing_events_raw[[#This Row],[customer_id]], customers_clean!A:A, 0)), 1, 0)</f>
        <v>1</v>
      </c>
    </row>
    <row r="1160" spans="1:5" x14ac:dyDescent="0.3">
      <c r="A1160">
        <v>479217387</v>
      </c>
      <c r="B1160">
        <v>105919</v>
      </c>
      <c r="C1160" s="1">
        <v>45502</v>
      </c>
      <c r="D1160" t="s">
        <v>3487</v>
      </c>
      <c r="E1160">
        <f>IF(ISNUMBER(MATCH(marketing_events_raw[[#This Row],[customer_id]], customers_clean!A:A, 0)), 1, 0)</f>
        <v>1</v>
      </c>
    </row>
    <row r="1161" spans="1:5" x14ac:dyDescent="0.3">
      <c r="A1161">
        <v>776437011</v>
      </c>
      <c r="B1161">
        <v>934883</v>
      </c>
      <c r="C1161" s="1">
        <v>44709</v>
      </c>
      <c r="D1161" t="s">
        <v>3488</v>
      </c>
      <c r="E1161">
        <f>IF(ISNUMBER(MATCH(marketing_events_raw[[#This Row],[customer_id]], customers_clean!A:A, 0)), 1, 0)</f>
        <v>1</v>
      </c>
    </row>
    <row r="1162" spans="1:5" x14ac:dyDescent="0.3">
      <c r="A1162">
        <v>547203716</v>
      </c>
      <c r="B1162">
        <v>885408</v>
      </c>
      <c r="C1162" s="1">
        <v>45394</v>
      </c>
      <c r="D1162" t="s">
        <v>3489</v>
      </c>
      <c r="E1162">
        <f>IF(ISNUMBER(MATCH(marketing_events_raw[[#This Row],[customer_id]], customers_clean!A:A, 0)), 1, 0)</f>
        <v>1</v>
      </c>
    </row>
    <row r="1163" spans="1:5" x14ac:dyDescent="0.3">
      <c r="A1163">
        <v>566193554</v>
      </c>
      <c r="B1163">
        <v>226460</v>
      </c>
      <c r="C1163" s="1">
        <v>45184</v>
      </c>
      <c r="D1163" t="s">
        <v>3488</v>
      </c>
      <c r="E1163">
        <f>IF(ISNUMBER(MATCH(marketing_events_raw[[#This Row],[customer_id]], customers_clean!A:A, 0)), 1, 0)</f>
        <v>1</v>
      </c>
    </row>
    <row r="1164" spans="1:5" x14ac:dyDescent="0.3">
      <c r="A1164">
        <v>421814971</v>
      </c>
      <c r="B1164">
        <v>853240</v>
      </c>
      <c r="C1164" s="1">
        <v>45442</v>
      </c>
      <c r="D1164" t="s">
        <v>3492</v>
      </c>
      <c r="E1164">
        <f>IF(ISNUMBER(MATCH(marketing_events_raw[[#This Row],[customer_id]], customers_clean!A:A, 0)), 1, 0)</f>
        <v>1</v>
      </c>
    </row>
    <row r="1165" spans="1:5" x14ac:dyDescent="0.3">
      <c r="A1165">
        <v>358060505</v>
      </c>
      <c r="B1165">
        <v>468154</v>
      </c>
      <c r="C1165" s="1">
        <v>44697</v>
      </c>
      <c r="D1165" t="s">
        <v>3490</v>
      </c>
      <c r="E1165">
        <f>IF(ISNUMBER(MATCH(marketing_events_raw[[#This Row],[customer_id]], customers_clean!A:A, 0)), 1, 0)</f>
        <v>1</v>
      </c>
    </row>
    <row r="1166" spans="1:5" x14ac:dyDescent="0.3">
      <c r="A1166">
        <v>811885912</v>
      </c>
      <c r="B1166">
        <v>884225</v>
      </c>
      <c r="C1166" s="1">
        <v>45325</v>
      </c>
      <c r="D1166" t="s">
        <v>3487</v>
      </c>
      <c r="E1166">
        <f>IF(ISNUMBER(MATCH(marketing_events_raw[[#This Row],[customer_id]], customers_clean!A:A, 0)), 1, 0)</f>
        <v>1</v>
      </c>
    </row>
    <row r="1167" spans="1:5" x14ac:dyDescent="0.3">
      <c r="A1167">
        <v>491828352</v>
      </c>
      <c r="B1167">
        <v>283568</v>
      </c>
      <c r="C1167" s="1">
        <v>45456</v>
      </c>
      <c r="D1167" t="s">
        <v>3487</v>
      </c>
      <c r="E1167">
        <f>IF(ISNUMBER(MATCH(marketing_events_raw[[#This Row],[customer_id]], customers_clean!A:A, 0)), 1, 0)</f>
        <v>1</v>
      </c>
    </row>
    <row r="1168" spans="1:5" x14ac:dyDescent="0.3">
      <c r="A1168">
        <v>104912821</v>
      </c>
      <c r="B1168">
        <v>440881</v>
      </c>
      <c r="C1168" s="1">
        <v>45422</v>
      </c>
      <c r="D1168" t="s">
        <v>3491</v>
      </c>
      <c r="E1168">
        <f>IF(ISNUMBER(MATCH(marketing_events_raw[[#This Row],[customer_id]], customers_clean!A:A, 0)), 1, 0)</f>
        <v>1</v>
      </c>
    </row>
    <row r="1169" spans="1:5" x14ac:dyDescent="0.3">
      <c r="A1169">
        <v>412166485</v>
      </c>
      <c r="B1169">
        <v>802812</v>
      </c>
      <c r="C1169" s="1">
        <v>44881</v>
      </c>
      <c r="D1169" t="s">
        <v>3489</v>
      </c>
      <c r="E1169">
        <f>IF(ISNUMBER(MATCH(marketing_events_raw[[#This Row],[customer_id]], customers_clean!A:A, 0)), 1, 0)</f>
        <v>1</v>
      </c>
    </row>
    <row r="1170" spans="1:5" x14ac:dyDescent="0.3">
      <c r="A1170">
        <v>930152283</v>
      </c>
      <c r="B1170">
        <v>159645</v>
      </c>
      <c r="C1170" s="1">
        <v>45218</v>
      </c>
      <c r="D1170" t="s">
        <v>3488</v>
      </c>
      <c r="E1170">
        <f>IF(ISNUMBER(MATCH(marketing_events_raw[[#This Row],[customer_id]], customers_clean!A:A, 0)), 1, 0)</f>
        <v>1</v>
      </c>
    </row>
    <row r="1171" spans="1:5" x14ac:dyDescent="0.3">
      <c r="A1171">
        <v>963483721</v>
      </c>
      <c r="B1171">
        <v>137581</v>
      </c>
      <c r="C1171" s="1">
        <v>45631</v>
      </c>
      <c r="D1171" t="s">
        <v>3491</v>
      </c>
      <c r="E1171">
        <f>IF(ISNUMBER(MATCH(marketing_events_raw[[#This Row],[customer_id]], customers_clean!A:A, 0)), 1, 0)</f>
        <v>1</v>
      </c>
    </row>
    <row r="1172" spans="1:5" x14ac:dyDescent="0.3">
      <c r="A1172">
        <v>334551455</v>
      </c>
      <c r="B1172">
        <v>729232</v>
      </c>
      <c r="C1172" s="1">
        <v>44897</v>
      </c>
      <c r="D1172" t="s">
        <v>3492</v>
      </c>
      <c r="E1172">
        <f>IF(ISNUMBER(MATCH(marketing_events_raw[[#This Row],[customer_id]], customers_clean!A:A, 0)), 1, 0)</f>
        <v>1</v>
      </c>
    </row>
    <row r="1173" spans="1:5" x14ac:dyDescent="0.3">
      <c r="A1173">
        <v>361837363</v>
      </c>
      <c r="B1173">
        <v>350280</v>
      </c>
      <c r="C1173" s="1">
        <v>45263</v>
      </c>
      <c r="D1173" t="s">
        <v>3491</v>
      </c>
      <c r="E1173">
        <f>IF(ISNUMBER(MATCH(marketing_events_raw[[#This Row],[customer_id]], customers_clean!A:A, 0)), 1, 0)</f>
        <v>1</v>
      </c>
    </row>
    <row r="1174" spans="1:5" x14ac:dyDescent="0.3">
      <c r="A1174">
        <v>841428202</v>
      </c>
      <c r="B1174">
        <v>720859</v>
      </c>
      <c r="C1174" s="1">
        <v>45072</v>
      </c>
      <c r="D1174" t="s">
        <v>3488</v>
      </c>
      <c r="E1174">
        <f>IF(ISNUMBER(MATCH(marketing_events_raw[[#This Row],[customer_id]], customers_clean!A:A, 0)), 1, 0)</f>
        <v>1</v>
      </c>
    </row>
    <row r="1175" spans="1:5" x14ac:dyDescent="0.3">
      <c r="A1175">
        <v>675066010</v>
      </c>
      <c r="B1175">
        <v>559469</v>
      </c>
      <c r="C1175" s="1">
        <v>44446</v>
      </c>
      <c r="D1175" t="s">
        <v>3492</v>
      </c>
      <c r="E1175">
        <f>IF(ISNUMBER(MATCH(marketing_events_raw[[#This Row],[customer_id]], customers_clean!A:A, 0)), 1, 0)</f>
        <v>1</v>
      </c>
    </row>
    <row r="1176" spans="1:5" x14ac:dyDescent="0.3">
      <c r="A1176">
        <v>125532712</v>
      </c>
      <c r="B1176">
        <v>283568</v>
      </c>
      <c r="C1176" s="1">
        <v>45007</v>
      </c>
      <c r="D1176" t="s">
        <v>3492</v>
      </c>
      <c r="E1176">
        <f>IF(ISNUMBER(MATCH(marketing_events_raw[[#This Row],[customer_id]], customers_clean!A:A, 0)), 1, 0)</f>
        <v>1</v>
      </c>
    </row>
    <row r="1177" spans="1:5" x14ac:dyDescent="0.3">
      <c r="A1177">
        <v>958681931</v>
      </c>
      <c r="B1177">
        <v>537110</v>
      </c>
      <c r="C1177" s="1">
        <v>44504</v>
      </c>
      <c r="D1177" t="s">
        <v>3492</v>
      </c>
      <c r="E1177">
        <f>IF(ISNUMBER(MATCH(marketing_events_raw[[#This Row],[customer_id]], customers_clean!A:A, 0)), 1, 0)</f>
        <v>1</v>
      </c>
    </row>
    <row r="1178" spans="1:5" x14ac:dyDescent="0.3">
      <c r="A1178">
        <v>873878984</v>
      </c>
      <c r="B1178">
        <v>364650</v>
      </c>
      <c r="C1178" s="1">
        <v>44447</v>
      </c>
      <c r="D1178" t="s">
        <v>3491</v>
      </c>
      <c r="E1178">
        <f>IF(ISNUMBER(MATCH(marketing_events_raw[[#This Row],[customer_id]], customers_clean!A:A, 0)), 1, 0)</f>
        <v>1</v>
      </c>
    </row>
    <row r="1179" spans="1:5" x14ac:dyDescent="0.3">
      <c r="A1179">
        <v>287763577</v>
      </c>
      <c r="B1179">
        <v>725726</v>
      </c>
      <c r="C1179" s="1">
        <v>45471</v>
      </c>
      <c r="D1179" t="s">
        <v>3492</v>
      </c>
      <c r="E1179">
        <f>IF(ISNUMBER(MATCH(marketing_events_raw[[#This Row],[customer_id]], customers_clean!A:A, 0)), 1, 0)</f>
        <v>1</v>
      </c>
    </row>
    <row r="1180" spans="1:5" x14ac:dyDescent="0.3">
      <c r="A1180">
        <v>530455617</v>
      </c>
      <c r="B1180">
        <v>641455</v>
      </c>
      <c r="C1180" s="1">
        <v>45331</v>
      </c>
      <c r="D1180" t="s">
        <v>3489</v>
      </c>
      <c r="E1180">
        <f>IF(ISNUMBER(MATCH(marketing_events_raw[[#This Row],[customer_id]], customers_clean!A:A, 0)), 1, 0)</f>
        <v>1</v>
      </c>
    </row>
    <row r="1181" spans="1:5" x14ac:dyDescent="0.3">
      <c r="A1181">
        <v>886855574</v>
      </c>
      <c r="B1181">
        <v>105447</v>
      </c>
      <c r="C1181" s="1">
        <v>44398</v>
      </c>
      <c r="D1181" t="s">
        <v>3490</v>
      </c>
      <c r="E1181">
        <f>IF(ISNUMBER(MATCH(marketing_events_raw[[#This Row],[customer_id]], customers_clean!A:A, 0)), 1, 0)</f>
        <v>1</v>
      </c>
    </row>
    <row r="1182" spans="1:5" x14ac:dyDescent="0.3">
      <c r="A1182">
        <v>591650963</v>
      </c>
      <c r="B1182">
        <v>642085</v>
      </c>
      <c r="C1182" s="1">
        <v>44785</v>
      </c>
      <c r="D1182" t="s">
        <v>3492</v>
      </c>
      <c r="E1182">
        <f>IF(ISNUMBER(MATCH(marketing_events_raw[[#This Row],[customer_id]], customers_clean!A:A, 0)), 1, 0)</f>
        <v>1</v>
      </c>
    </row>
    <row r="1183" spans="1:5" x14ac:dyDescent="0.3">
      <c r="A1183">
        <v>284914801</v>
      </c>
      <c r="B1183">
        <v>685066</v>
      </c>
      <c r="C1183" s="1">
        <v>45617</v>
      </c>
      <c r="D1183" t="s">
        <v>3488</v>
      </c>
      <c r="E1183">
        <f>IF(ISNUMBER(MATCH(marketing_events_raw[[#This Row],[customer_id]], customers_clean!A:A, 0)), 1, 0)</f>
        <v>1</v>
      </c>
    </row>
    <row r="1184" spans="1:5" x14ac:dyDescent="0.3">
      <c r="A1184">
        <v>310615559</v>
      </c>
      <c r="B1184">
        <v>714549</v>
      </c>
      <c r="C1184" s="1">
        <v>45543</v>
      </c>
      <c r="D1184" t="s">
        <v>3490</v>
      </c>
      <c r="E1184">
        <f>IF(ISNUMBER(MATCH(marketing_events_raw[[#This Row],[customer_id]], customers_clean!A:A, 0)), 1, 0)</f>
        <v>1</v>
      </c>
    </row>
    <row r="1185" spans="1:5" x14ac:dyDescent="0.3">
      <c r="A1185">
        <v>848336824</v>
      </c>
      <c r="B1185">
        <v>463251</v>
      </c>
      <c r="C1185" s="1">
        <v>45339</v>
      </c>
      <c r="D1185" t="s">
        <v>3487</v>
      </c>
      <c r="E1185">
        <f>IF(ISNUMBER(MATCH(marketing_events_raw[[#This Row],[customer_id]], customers_clean!A:A, 0)), 1, 0)</f>
        <v>1</v>
      </c>
    </row>
    <row r="1186" spans="1:5" x14ac:dyDescent="0.3">
      <c r="A1186">
        <v>344036309</v>
      </c>
      <c r="B1186">
        <v>395548</v>
      </c>
      <c r="C1186" s="1">
        <v>45385</v>
      </c>
      <c r="D1186" t="s">
        <v>3489</v>
      </c>
      <c r="E1186">
        <f>IF(ISNUMBER(MATCH(marketing_events_raw[[#This Row],[customer_id]], customers_clean!A:A, 0)), 1, 0)</f>
        <v>1</v>
      </c>
    </row>
    <row r="1187" spans="1:5" x14ac:dyDescent="0.3">
      <c r="A1187">
        <v>733819589</v>
      </c>
      <c r="B1187">
        <v>631297</v>
      </c>
      <c r="C1187" s="1">
        <v>45026</v>
      </c>
      <c r="D1187" t="s">
        <v>3492</v>
      </c>
      <c r="E1187">
        <f>IF(ISNUMBER(MATCH(marketing_events_raw[[#This Row],[customer_id]], customers_clean!A:A, 0)), 1, 0)</f>
        <v>1</v>
      </c>
    </row>
    <row r="1188" spans="1:5" x14ac:dyDescent="0.3">
      <c r="A1188">
        <v>781757573</v>
      </c>
      <c r="B1188">
        <v>373453</v>
      </c>
      <c r="C1188" s="1">
        <v>45089</v>
      </c>
      <c r="D1188" t="s">
        <v>3493</v>
      </c>
      <c r="E1188">
        <f>IF(ISNUMBER(MATCH(marketing_events_raw[[#This Row],[customer_id]], customers_clean!A:A, 0)), 1, 0)</f>
        <v>1</v>
      </c>
    </row>
    <row r="1189" spans="1:5" x14ac:dyDescent="0.3">
      <c r="A1189">
        <v>775261017</v>
      </c>
      <c r="B1189">
        <v>433396</v>
      </c>
      <c r="C1189" s="1">
        <v>44391</v>
      </c>
      <c r="D1189" t="s">
        <v>3489</v>
      </c>
      <c r="E1189">
        <f>IF(ISNUMBER(MATCH(marketing_events_raw[[#This Row],[customer_id]], customers_clean!A:A, 0)), 1, 0)</f>
        <v>1</v>
      </c>
    </row>
    <row r="1190" spans="1:5" x14ac:dyDescent="0.3">
      <c r="A1190">
        <v>703687862</v>
      </c>
      <c r="B1190">
        <v>580854</v>
      </c>
      <c r="C1190" s="1">
        <v>44440</v>
      </c>
      <c r="D1190" t="s">
        <v>3490</v>
      </c>
      <c r="E1190">
        <f>IF(ISNUMBER(MATCH(marketing_events_raw[[#This Row],[customer_id]], customers_clean!A:A, 0)), 1, 0)</f>
        <v>1</v>
      </c>
    </row>
    <row r="1191" spans="1:5" x14ac:dyDescent="0.3">
      <c r="A1191">
        <v>552807806</v>
      </c>
      <c r="B1191">
        <v>885342</v>
      </c>
      <c r="C1191" s="1">
        <v>44664</v>
      </c>
      <c r="D1191" t="s">
        <v>3492</v>
      </c>
      <c r="E1191">
        <f>IF(ISNUMBER(MATCH(marketing_events_raw[[#This Row],[customer_id]], customers_clean!A:A, 0)), 1, 0)</f>
        <v>1</v>
      </c>
    </row>
    <row r="1192" spans="1:5" x14ac:dyDescent="0.3">
      <c r="A1192">
        <v>700323252</v>
      </c>
      <c r="B1192">
        <v>270387</v>
      </c>
      <c r="C1192" s="1">
        <v>45101</v>
      </c>
      <c r="D1192" t="s">
        <v>3490</v>
      </c>
      <c r="E1192">
        <f>IF(ISNUMBER(MATCH(marketing_events_raw[[#This Row],[customer_id]], customers_clean!A:A, 0)), 1, 0)</f>
        <v>1</v>
      </c>
    </row>
    <row r="1193" spans="1:5" x14ac:dyDescent="0.3">
      <c r="A1193">
        <v>480477576</v>
      </c>
      <c r="B1193">
        <v>311469</v>
      </c>
      <c r="C1193" s="1">
        <v>44460</v>
      </c>
      <c r="D1193" t="s">
        <v>3493</v>
      </c>
      <c r="E1193">
        <f>IF(ISNUMBER(MATCH(marketing_events_raw[[#This Row],[customer_id]], customers_clean!A:A, 0)), 1, 0)</f>
        <v>1</v>
      </c>
    </row>
    <row r="1194" spans="1:5" x14ac:dyDescent="0.3">
      <c r="A1194">
        <v>242437498</v>
      </c>
      <c r="B1194">
        <v>227352</v>
      </c>
      <c r="C1194" s="1">
        <v>44391</v>
      </c>
      <c r="D1194" t="s">
        <v>3492</v>
      </c>
      <c r="E1194">
        <f>IF(ISNUMBER(MATCH(marketing_events_raw[[#This Row],[customer_id]], customers_clean!A:A, 0)), 1, 0)</f>
        <v>1</v>
      </c>
    </row>
    <row r="1195" spans="1:5" x14ac:dyDescent="0.3">
      <c r="A1195">
        <v>468826759</v>
      </c>
      <c r="B1195">
        <v>970300</v>
      </c>
      <c r="C1195" s="1">
        <v>44429</v>
      </c>
      <c r="D1195" t="s">
        <v>3493</v>
      </c>
      <c r="E1195">
        <f>IF(ISNUMBER(MATCH(marketing_events_raw[[#This Row],[customer_id]], customers_clean!A:A, 0)), 1, 0)</f>
        <v>1</v>
      </c>
    </row>
    <row r="1196" spans="1:5" x14ac:dyDescent="0.3">
      <c r="A1196">
        <v>298633018</v>
      </c>
      <c r="B1196">
        <v>113721</v>
      </c>
      <c r="C1196" s="1">
        <v>45533</v>
      </c>
      <c r="D1196" t="s">
        <v>3490</v>
      </c>
      <c r="E1196">
        <f>IF(ISNUMBER(MATCH(marketing_events_raw[[#This Row],[customer_id]], customers_clean!A:A, 0)), 1, 0)</f>
        <v>1</v>
      </c>
    </row>
    <row r="1197" spans="1:5" x14ac:dyDescent="0.3">
      <c r="A1197">
        <v>434633658</v>
      </c>
      <c r="B1197">
        <v>124559</v>
      </c>
      <c r="C1197" s="1">
        <v>44811</v>
      </c>
      <c r="D1197" t="s">
        <v>3492</v>
      </c>
      <c r="E1197">
        <f>IF(ISNUMBER(MATCH(marketing_events_raw[[#This Row],[customer_id]], customers_clean!A:A, 0)), 1, 0)</f>
        <v>1</v>
      </c>
    </row>
    <row r="1198" spans="1:5" x14ac:dyDescent="0.3">
      <c r="A1198">
        <v>343713454</v>
      </c>
      <c r="B1198">
        <v>721314</v>
      </c>
      <c r="C1198" s="1">
        <v>44514</v>
      </c>
      <c r="D1198" t="s">
        <v>3489</v>
      </c>
      <c r="E1198">
        <f>IF(ISNUMBER(MATCH(marketing_events_raw[[#This Row],[customer_id]], customers_clean!A:A, 0)), 1, 0)</f>
        <v>1</v>
      </c>
    </row>
    <row r="1199" spans="1:5" x14ac:dyDescent="0.3">
      <c r="A1199">
        <v>598211064</v>
      </c>
      <c r="B1199">
        <v>637145</v>
      </c>
      <c r="C1199" s="1">
        <v>45603</v>
      </c>
      <c r="D1199" t="s">
        <v>3492</v>
      </c>
      <c r="E1199">
        <f>IF(ISNUMBER(MATCH(marketing_events_raw[[#This Row],[customer_id]], customers_clean!A:A, 0)), 1, 0)</f>
        <v>1</v>
      </c>
    </row>
    <row r="1200" spans="1:5" x14ac:dyDescent="0.3">
      <c r="A1200">
        <v>928691060</v>
      </c>
      <c r="B1200">
        <v>434367</v>
      </c>
      <c r="C1200" s="1">
        <v>44858</v>
      </c>
      <c r="D1200" t="s">
        <v>3488</v>
      </c>
      <c r="E1200">
        <f>IF(ISNUMBER(MATCH(marketing_events_raw[[#This Row],[customer_id]], customers_clean!A:A, 0)), 1, 0)</f>
        <v>1</v>
      </c>
    </row>
    <row r="1201" spans="1:5" x14ac:dyDescent="0.3">
      <c r="A1201">
        <v>340300106</v>
      </c>
      <c r="B1201">
        <v>588533</v>
      </c>
      <c r="C1201" s="1">
        <v>45388</v>
      </c>
      <c r="D1201" t="s">
        <v>3491</v>
      </c>
      <c r="E1201">
        <f>IF(ISNUMBER(MATCH(marketing_events_raw[[#This Row],[customer_id]], customers_clean!A:A, 0)), 1, 0)</f>
        <v>1</v>
      </c>
    </row>
    <row r="1202" spans="1:5" x14ac:dyDescent="0.3">
      <c r="A1202">
        <v>993821073</v>
      </c>
      <c r="B1202">
        <v>468623</v>
      </c>
      <c r="C1202" s="1">
        <v>45059</v>
      </c>
      <c r="D1202" t="s">
        <v>3489</v>
      </c>
      <c r="E1202">
        <f>IF(ISNUMBER(MATCH(marketing_events_raw[[#This Row],[customer_id]], customers_clean!A:A, 0)), 1, 0)</f>
        <v>1</v>
      </c>
    </row>
    <row r="1203" spans="1:5" x14ac:dyDescent="0.3">
      <c r="A1203">
        <v>184470578</v>
      </c>
      <c r="B1203">
        <v>291755</v>
      </c>
      <c r="C1203" s="1">
        <v>44587</v>
      </c>
      <c r="D1203" t="s">
        <v>3490</v>
      </c>
      <c r="E1203">
        <f>IF(ISNUMBER(MATCH(marketing_events_raw[[#This Row],[customer_id]], customers_clean!A:A, 0)), 1, 0)</f>
        <v>1</v>
      </c>
    </row>
    <row r="1204" spans="1:5" x14ac:dyDescent="0.3">
      <c r="A1204">
        <v>252724994</v>
      </c>
      <c r="B1204">
        <v>679989</v>
      </c>
      <c r="C1204" s="1">
        <v>44871</v>
      </c>
      <c r="D1204" t="s">
        <v>3493</v>
      </c>
      <c r="E1204">
        <f>IF(ISNUMBER(MATCH(marketing_events_raw[[#This Row],[customer_id]], customers_clean!A:A, 0)), 1, 0)</f>
        <v>1</v>
      </c>
    </row>
    <row r="1205" spans="1:5" x14ac:dyDescent="0.3">
      <c r="A1205">
        <v>478593678</v>
      </c>
      <c r="B1205">
        <v>802695</v>
      </c>
      <c r="C1205" s="1">
        <v>45561</v>
      </c>
      <c r="D1205" t="s">
        <v>3490</v>
      </c>
      <c r="E1205">
        <f>IF(ISNUMBER(MATCH(marketing_events_raw[[#This Row],[customer_id]], customers_clean!A:A, 0)), 1, 0)</f>
        <v>1</v>
      </c>
    </row>
    <row r="1206" spans="1:5" x14ac:dyDescent="0.3">
      <c r="A1206">
        <v>395033357</v>
      </c>
      <c r="B1206">
        <v>143182</v>
      </c>
      <c r="C1206" s="1">
        <v>44723</v>
      </c>
      <c r="D1206" t="s">
        <v>3487</v>
      </c>
      <c r="E1206">
        <f>IF(ISNUMBER(MATCH(marketing_events_raw[[#This Row],[customer_id]], customers_clean!A:A, 0)), 1, 0)</f>
        <v>1</v>
      </c>
    </row>
    <row r="1207" spans="1:5" x14ac:dyDescent="0.3">
      <c r="A1207">
        <v>484367064</v>
      </c>
      <c r="B1207">
        <v>965401</v>
      </c>
      <c r="C1207" s="1">
        <v>44760</v>
      </c>
      <c r="D1207" t="s">
        <v>3487</v>
      </c>
      <c r="E1207">
        <f>IF(ISNUMBER(MATCH(marketing_events_raw[[#This Row],[customer_id]], customers_clean!A:A, 0)), 1, 0)</f>
        <v>1</v>
      </c>
    </row>
    <row r="1208" spans="1:5" x14ac:dyDescent="0.3">
      <c r="A1208">
        <v>977370600</v>
      </c>
      <c r="B1208">
        <v>936433</v>
      </c>
      <c r="C1208" s="1">
        <v>44923</v>
      </c>
      <c r="D1208" t="s">
        <v>3489</v>
      </c>
      <c r="E1208">
        <f>IF(ISNUMBER(MATCH(marketing_events_raw[[#This Row],[customer_id]], customers_clean!A:A, 0)), 1, 0)</f>
        <v>1</v>
      </c>
    </row>
    <row r="1209" spans="1:5" x14ac:dyDescent="0.3">
      <c r="A1209">
        <v>692019000</v>
      </c>
      <c r="B1209">
        <v>576935</v>
      </c>
      <c r="C1209" s="1">
        <v>45271</v>
      </c>
      <c r="D1209" t="s">
        <v>3488</v>
      </c>
      <c r="E1209">
        <f>IF(ISNUMBER(MATCH(marketing_events_raw[[#This Row],[customer_id]], customers_clean!A:A, 0)), 1, 0)</f>
        <v>1</v>
      </c>
    </row>
    <row r="1210" spans="1:5" x14ac:dyDescent="0.3">
      <c r="A1210">
        <v>825467229</v>
      </c>
      <c r="B1210">
        <v>439966</v>
      </c>
      <c r="C1210" s="1">
        <v>45160</v>
      </c>
      <c r="D1210" t="s">
        <v>3489</v>
      </c>
      <c r="E1210">
        <f>IF(ISNUMBER(MATCH(marketing_events_raw[[#This Row],[customer_id]], customers_clean!A:A, 0)), 1, 0)</f>
        <v>1</v>
      </c>
    </row>
    <row r="1211" spans="1:5" x14ac:dyDescent="0.3">
      <c r="A1211">
        <v>965569439</v>
      </c>
      <c r="B1211">
        <v>403257</v>
      </c>
      <c r="C1211" s="1">
        <v>45086</v>
      </c>
      <c r="D1211" t="s">
        <v>3490</v>
      </c>
      <c r="E1211">
        <f>IF(ISNUMBER(MATCH(marketing_events_raw[[#This Row],[customer_id]], customers_clean!A:A, 0)), 1, 0)</f>
        <v>1</v>
      </c>
    </row>
    <row r="1212" spans="1:5" x14ac:dyDescent="0.3">
      <c r="A1212">
        <v>842922742</v>
      </c>
      <c r="B1212">
        <v>524035</v>
      </c>
      <c r="C1212" s="1">
        <v>44486</v>
      </c>
      <c r="D1212" t="s">
        <v>3491</v>
      </c>
      <c r="E1212">
        <f>IF(ISNUMBER(MATCH(marketing_events_raw[[#This Row],[customer_id]], customers_clean!A:A, 0)), 1, 0)</f>
        <v>1</v>
      </c>
    </row>
    <row r="1213" spans="1:5" x14ac:dyDescent="0.3">
      <c r="A1213">
        <v>490280860</v>
      </c>
      <c r="B1213">
        <v>424314</v>
      </c>
      <c r="C1213" s="1">
        <v>45397</v>
      </c>
      <c r="D1213" t="s">
        <v>3489</v>
      </c>
      <c r="E1213">
        <f>IF(ISNUMBER(MATCH(marketing_events_raw[[#This Row],[customer_id]], customers_clean!A:A, 0)), 1, 0)</f>
        <v>1</v>
      </c>
    </row>
    <row r="1214" spans="1:5" x14ac:dyDescent="0.3">
      <c r="A1214">
        <v>667504460</v>
      </c>
      <c r="B1214">
        <v>576133</v>
      </c>
      <c r="C1214" s="1">
        <v>44776</v>
      </c>
      <c r="D1214" t="s">
        <v>3491</v>
      </c>
      <c r="E1214">
        <f>IF(ISNUMBER(MATCH(marketing_events_raw[[#This Row],[customer_id]], customers_clean!A:A, 0)), 1, 0)</f>
        <v>1</v>
      </c>
    </row>
    <row r="1215" spans="1:5" x14ac:dyDescent="0.3">
      <c r="A1215">
        <v>867631312</v>
      </c>
      <c r="B1215">
        <v>320073</v>
      </c>
      <c r="C1215" s="1">
        <v>45098</v>
      </c>
      <c r="D1215" t="s">
        <v>3492</v>
      </c>
      <c r="E1215">
        <f>IF(ISNUMBER(MATCH(marketing_events_raw[[#This Row],[customer_id]], customers_clean!A:A, 0)), 1, 0)</f>
        <v>1</v>
      </c>
    </row>
    <row r="1216" spans="1:5" x14ac:dyDescent="0.3">
      <c r="A1216">
        <v>414129192</v>
      </c>
      <c r="B1216">
        <v>182020</v>
      </c>
      <c r="C1216" s="1">
        <v>45082</v>
      </c>
      <c r="D1216" t="s">
        <v>3490</v>
      </c>
      <c r="E1216">
        <f>IF(ISNUMBER(MATCH(marketing_events_raw[[#This Row],[customer_id]], customers_clean!A:A, 0)), 1, 0)</f>
        <v>1</v>
      </c>
    </row>
    <row r="1217" spans="1:5" x14ac:dyDescent="0.3">
      <c r="A1217">
        <v>378683318</v>
      </c>
      <c r="B1217">
        <v>981913</v>
      </c>
      <c r="C1217" s="1">
        <v>45265</v>
      </c>
      <c r="D1217" t="s">
        <v>3490</v>
      </c>
      <c r="E1217">
        <f>IF(ISNUMBER(MATCH(marketing_events_raw[[#This Row],[customer_id]], customers_clean!A:A, 0)), 1, 0)</f>
        <v>1</v>
      </c>
    </row>
    <row r="1218" spans="1:5" x14ac:dyDescent="0.3">
      <c r="A1218">
        <v>957046045</v>
      </c>
      <c r="B1218">
        <v>403257</v>
      </c>
      <c r="C1218" s="1">
        <v>45618</v>
      </c>
      <c r="D1218" t="s">
        <v>3488</v>
      </c>
      <c r="E1218">
        <f>IF(ISNUMBER(MATCH(marketing_events_raw[[#This Row],[customer_id]], customers_clean!A:A, 0)), 1, 0)</f>
        <v>1</v>
      </c>
    </row>
    <row r="1219" spans="1:5" x14ac:dyDescent="0.3">
      <c r="A1219">
        <v>771957977</v>
      </c>
      <c r="B1219">
        <v>436208</v>
      </c>
      <c r="C1219" s="1">
        <v>44547</v>
      </c>
      <c r="D1219" t="s">
        <v>3491</v>
      </c>
      <c r="E1219">
        <f>IF(ISNUMBER(MATCH(marketing_events_raw[[#This Row],[customer_id]], customers_clean!A:A, 0)), 1, 0)</f>
        <v>1</v>
      </c>
    </row>
    <row r="1220" spans="1:5" x14ac:dyDescent="0.3">
      <c r="A1220">
        <v>349269501</v>
      </c>
      <c r="B1220">
        <v>663051</v>
      </c>
      <c r="C1220" s="1">
        <v>45045</v>
      </c>
      <c r="D1220" t="s">
        <v>3490</v>
      </c>
      <c r="E1220">
        <f>IF(ISNUMBER(MATCH(marketing_events_raw[[#This Row],[customer_id]], customers_clean!A:A, 0)), 1, 0)</f>
        <v>1</v>
      </c>
    </row>
    <row r="1221" spans="1:5" x14ac:dyDescent="0.3">
      <c r="A1221">
        <v>184173272</v>
      </c>
      <c r="B1221">
        <v>398301</v>
      </c>
      <c r="C1221" s="1">
        <v>45358</v>
      </c>
      <c r="D1221" t="s">
        <v>3493</v>
      </c>
      <c r="E1221">
        <f>IF(ISNUMBER(MATCH(marketing_events_raw[[#This Row],[customer_id]], customers_clean!A:A, 0)), 1, 0)</f>
        <v>1</v>
      </c>
    </row>
    <row r="1222" spans="1:5" x14ac:dyDescent="0.3">
      <c r="A1222">
        <v>426886112</v>
      </c>
      <c r="B1222">
        <v>921945</v>
      </c>
      <c r="C1222" s="1">
        <v>45086</v>
      </c>
      <c r="D1222" t="s">
        <v>3488</v>
      </c>
      <c r="E1222">
        <f>IF(ISNUMBER(MATCH(marketing_events_raw[[#This Row],[customer_id]], customers_clean!A:A, 0)), 1, 0)</f>
        <v>1</v>
      </c>
    </row>
    <row r="1223" spans="1:5" x14ac:dyDescent="0.3">
      <c r="A1223">
        <v>483840297</v>
      </c>
      <c r="B1223">
        <v>576935</v>
      </c>
      <c r="C1223" s="1">
        <v>45022</v>
      </c>
      <c r="D1223" t="s">
        <v>3488</v>
      </c>
      <c r="E1223">
        <f>IF(ISNUMBER(MATCH(marketing_events_raw[[#This Row],[customer_id]], customers_clean!A:A, 0)), 1, 0)</f>
        <v>1</v>
      </c>
    </row>
    <row r="1224" spans="1:5" x14ac:dyDescent="0.3">
      <c r="A1224">
        <v>834721943</v>
      </c>
      <c r="B1224">
        <v>537605</v>
      </c>
      <c r="C1224" s="1">
        <v>44832</v>
      </c>
      <c r="D1224" t="s">
        <v>3493</v>
      </c>
      <c r="E1224">
        <f>IF(ISNUMBER(MATCH(marketing_events_raw[[#This Row],[customer_id]], customers_clean!A:A, 0)), 1, 0)</f>
        <v>1</v>
      </c>
    </row>
    <row r="1225" spans="1:5" x14ac:dyDescent="0.3">
      <c r="A1225">
        <v>587216226</v>
      </c>
      <c r="B1225">
        <v>643623</v>
      </c>
      <c r="C1225" s="1">
        <v>44446</v>
      </c>
      <c r="D1225" t="s">
        <v>3488</v>
      </c>
      <c r="E1225">
        <f>IF(ISNUMBER(MATCH(marketing_events_raw[[#This Row],[customer_id]], customers_clean!A:A, 0)), 1, 0)</f>
        <v>1</v>
      </c>
    </row>
    <row r="1226" spans="1:5" x14ac:dyDescent="0.3">
      <c r="A1226">
        <v>548694184</v>
      </c>
      <c r="B1226">
        <v>546980</v>
      </c>
      <c r="C1226" s="1">
        <v>44659</v>
      </c>
      <c r="D1226" t="s">
        <v>3487</v>
      </c>
      <c r="E1226">
        <f>IF(ISNUMBER(MATCH(marketing_events_raw[[#This Row],[customer_id]], customers_clean!A:A, 0)), 1, 0)</f>
        <v>1</v>
      </c>
    </row>
    <row r="1227" spans="1:5" x14ac:dyDescent="0.3">
      <c r="A1227">
        <v>300228129</v>
      </c>
      <c r="B1227">
        <v>457264</v>
      </c>
      <c r="C1227" s="1">
        <v>45495</v>
      </c>
      <c r="D1227" t="s">
        <v>3488</v>
      </c>
      <c r="E1227">
        <f>IF(ISNUMBER(MATCH(marketing_events_raw[[#This Row],[customer_id]], customers_clean!A:A, 0)), 1, 0)</f>
        <v>1</v>
      </c>
    </row>
    <row r="1228" spans="1:5" x14ac:dyDescent="0.3">
      <c r="A1228">
        <v>215592123</v>
      </c>
      <c r="B1228">
        <v>846606</v>
      </c>
      <c r="C1228" s="1">
        <v>45233</v>
      </c>
      <c r="D1228" t="s">
        <v>3487</v>
      </c>
      <c r="E1228">
        <f>IF(ISNUMBER(MATCH(marketing_events_raw[[#This Row],[customer_id]], customers_clean!A:A, 0)), 1, 0)</f>
        <v>1</v>
      </c>
    </row>
    <row r="1229" spans="1:5" x14ac:dyDescent="0.3">
      <c r="A1229">
        <v>314529688</v>
      </c>
      <c r="B1229">
        <v>487585</v>
      </c>
      <c r="C1229" s="1">
        <v>44888</v>
      </c>
      <c r="D1229" t="s">
        <v>3487</v>
      </c>
      <c r="E1229">
        <f>IF(ISNUMBER(MATCH(marketing_events_raw[[#This Row],[customer_id]], customers_clean!A:A, 0)), 1, 0)</f>
        <v>1</v>
      </c>
    </row>
    <row r="1230" spans="1:5" x14ac:dyDescent="0.3">
      <c r="A1230">
        <v>368628504</v>
      </c>
      <c r="B1230">
        <v>325258</v>
      </c>
      <c r="C1230" s="1">
        <v>45171</v>
      </c>
      <c r="D1230" t="s">
        <v>3490</v>
      </c>
      <c r="E1230">
        <f>IF(ISNUMBER(MATCH(marketing_events_raw[[#This Row],[customer_id]], customers_clean!A:A, 0)), 1, 0)</f>
        <v>1</v>
      </c>
    </row>
    <row r="1231" spans="1:5" x14ac:dyDescent="0.3">
      <c r="A1231">
        <v>250750366</v>
      </c>
      <c r="B1231">
        <v>478411</v>
      </c>
      <c r="C1231" s="1">
        <v>44559</v>
      </c>
      <c r="D1231" t="s">
        <v>3493</v>
      </c>
      <c r="E1231">
        <f>IF(ISNUMBER(MATCH(marketing_events_raw[[#This Row],[customer_id]], customers_clean!A:A, 0)), 1, 0)</f>
        <v>1</v>
      </c>
    </row>
    <row r="1232" spans="1:5" x14ac:dyDescent="0.3">
      <c r="A1232">
        <v>440870625</v>
      </c>
      <c r="B1232">
        <v>270387</v>
      </c>
      <c r="C1232" s="1">
        <v>45356</v>
      </c>
      <c r="D1232" t="s">
        <v>3492</v>
      </c>
      <c r="E1232">
        <f>IF(ISNUMBER(MATCH(marketing_events_raw[[#This Row],[customer_id]], customers_clean!A:A, 0)), 1, 0)</f>
        <v>1</v>
      </c>
    </row>
    <row r="1233" spans="1:5" x14ac:dyDescent="0.3">
      <c r="A1233">
        <v>554384353</v>
      </c>
      <c r="B1233">
        <v>177449</v>
      </c>
      <c r="C1233" s="1">
        <v>44723</v>
      </c>
      <c r="D1233" t="s">
        <v>3488</v>
      </c>
      <c r="E1233">
        <f>IF(ISNUMBER(MATCH(marketing_events_raw[[#This Row],[customer_id]], customers_clean!A:A, 0)), 1, 0)</f>
        <v>1</v>
      </c>
    </row>
    <row r="1234" spans="1:5" x14ac:dyDescent="0.3">
      <c r="A1234">
        <v>556771901</v>
      </c>
      <c r="B1234">
        <v>167348</v>
      </c>
      <c r="C1234" s="1">
        <v>44909</v>
      </c>
      <c r="D1234" t="s">
        <v>3490</v>
      </c>
      <c r="E1234">
        <f>IF(ISNUMBER(MATCH(marketing_events_raw[[#This Row],[customer_id]], customers_clean!A:A, 0)), 1, 0)</f>
        <v>1</v>
      </c>
    </row>
    <row r="1235" spans="1:5" x14ac:dyDescent="0.3">
      <c r="A1235">
        <v>286616146</v>
      </c>
      <c r="B1235">
        <v>376021</v>
      </c>
      <c r="C1235" s="1">
        <v>45250</v>
      </c>
      <c r="D1235" t="s">
        <v>3490</v>
      </c>
      <c r="E1235">
        <f>IF(ISNUMBER(MATCH(marketing_events_raw[[#This Row],[customer_id]], customers_clean!A:A, 0)), 1, 0)</f>
        <v>1</v>
      </c>
    </row>
    <row r="1236" spans="1:5" x14ac:dyDescent="0.3">
      <c r="A1236">
        <v>651576310</v>
      </c>
      <c r="B1236">
        <v>962813</v>
      </c>
      <c r="C1236" s="1">
        <v>44909</v>
      </c>
      <c r="D1236" t="s">
        <v>3491</v>
      </c>
      <c r="E1236">
        <f>IF(ISNUMBER(MATCH(marketing_events_raw[[#This Row],[customer_id]], customers_clean!A:A, 0)), 1, 0)</f>
        <v>1</v>
      </c>
    </row>
    <row r="1237" spans="1:5" x14ac:dyDescent="0.3">
      <c r="A1237">
        <v>227268780</v>
      </c>
      <c r="B1237">
        <v>946826</v>
      </c>
      <c r="C1237" s="1">
        <v>45428</v>
      </c>
      <c r="D1237" t="s">
        <v>3488</v>
      </c>
      <c r="E1237">
        <f>IF(ISNUMBER(MATCH(marketing_events_raw[[#This Row],[customer_id]], customers_clean!A:A, 0)), 1, 0)</f>
        <v>1</v>
      </c>
    </row>
    <row r="1238" spans="1:5" x14ac:dyDescent="0.3">
      <c r="A1238">
        <v>803303816</v>
      </c>
      <c r="B1238">
        <v>195189</v>
      </c>
      <c r="C1238" s="1">
        <v>45287</v>
      </c>
      <c r="D1238" t="s">
        <v>3487</v>
      </c>
      <c r="E1238">
        <f>IF(ISNUMBER(MATCH(marketing_events_raw[[#This Row],[customer_id]], customers_clean!A:A, 0)), 1, 0)</f>
        <v>1</v>
      </c>
    </row>
    <row r="1239" spans="1:5" x14ac:dyDescent="0.3">
      <c r="A1239">
        <v>271566508</v>
      </c>
      <c r="B1239">
        <v>226550</v>
      </c>
      <c r="C1239" s="1">
        <v>44410</v>
      </c>
      <c r="D1239" t="s">
        <v>3491</v>
      </c>
      <c r="E1239">
        <f>IF(ISNUMBER(MATCH(marketing_events_raw[[#This Row],[customer_id]], customers_clean!A:A, 0)), 1, 0)</f>
        <v>1</v>
      </c>
    </row>
    <row r="1240" spans="1:5" x14ac:dyDescent="0.3">
      <c r="A1240">
        <v>767262095</v>
      </c>
      <c r="B1240">
        <v>198867</v>
      </c>
      <c r="C1240" s="1">
        <v>44503</v>
      </c>
      <c r="D1240" t="s">
        <v>3487</v>
      </c>
      <c r="E1240">
        <f>IF(ISNUMBER(MATCH(marketing_events_raw[[#This Row],[customer_id]], customers_clean!A:A, 0)), 1, 0)</f>
        <v>1</v>
      </c>
    </row>
    <row r="1241" spans="1:5" x14ac:dyDescent="0.3">
      <c r="A1241">
        <v>713127985</v>
      </c>
      <c r="B1241">
        <v>610135</v>
      </c>
      <c r="C1241" s="1">
        <v>44861</v>
      </c>
      <c r="D1241" t="s">
        <v>3490</v>
      </c>
      <c r="E1241">
        <f>IF(ISNUMBER(MATCH(marketing_events_raw[[#This Row],[customer_id]], customers_clean!A:A, 0)), 1, 0)</f>
        <v>1</v>
      </c>
    </row>
    <row r="1242" spans="1:5" x14ac:dyDescent="0.3">
      <c r="A1242">
        <v>748011072</v>
      </c>
      <c r="B1242">
        <v>862400</v>
      </c>
      <c r="C1242" s="1">
        <v>45265</v>
      </c>
      <c r="D1242" t="s">
        <v>3489</v>
      </c>
      <c r="E1242">
        <f>IF(ISNUMBER(MATCH(marketing_events_raw[[#This Row],[customer_id]], customers_clean!A:A, 0)), 1, 0)</f>
        <v>1</v>
      </c>
    </row>
    <row r="1243" spans="1:5" x14ac:dyDescent="0.3">
      <c r="A1243">
        <v>121665545</v>
      </c>
      <c r="B1243">
        <v>659835</v>
      </c>
      <c r="C1243" s="1">
        <v>44863</v>
      </c>
      <c r="D1243" t="s">
        <v>3491</v>
      </c>
      <c r="E1243">
        <f>IF(ISNUMBER(MATCH(marketing_events_raw[[#This Row],[customer_id]], customers_clean!A:A, 0)), 1, 0)</f>
        <v>1</v>
      </c>
    </row>
    <row r="1244" spans="1:5" x14ac:dyDescent="0.3">
      <c r="A1244">
        <v>741789327</v>
      </c>
      <c r="B1244">
        <v>883997</v>
      </c>
      <c r="C1244" s="1">
        <v>45070</v>
      </c>
      <c r="D1244" t="s">
        <v>3490</v>
      </c>
      <c r="E1244">
        <f>IF(ISNUMBER(MATCH(marketing_events_raw[[#This Row],[customer_id]], customers_clean!A:A, 0)), 1, 0)</f>
        <v>1</v>
      </c>
    </row>
    <row r="1245" spans="1:5" x14ac:dyDescent="0.3">
      <c r="A1245">
        <v>567965247</v>
      </c>
      <c r="B1245">
        <v>645209</v>
      </c>
      <c r="C1245" s="1">
        <v>45393</v>
      </c>
      <c r="D1245" t="s">
        <v>3490</v>
      </c>
      <c r="E1245">
        <f>IF(ISNUMBER(MATCH(marketing_events_raw[[#This Row],[customer_id]], customers_clean!A:A, 0)), 1, 0)</f>
        <v>1</v>
      </c>
    </row>
    <row r="1246" spans="1:5" x14ac:dyDescent="0.3">
      <c r="A1246">
        <v>433681017</v>
      </c>
      <c r="B1246">
        <v>101657</v>
      </c>
      <c r="C1246" s="1">
        <v>45069</v>
      </c>
      <c r="D1246" t="s">
        <v>3490</v>
      </c>
      <c r="E1246">
        <f>IF(ISNUMBER(MATCH(marketing_events_raw[[#This Row],[customer_id]], customers_clean!A:A, 0)), 1, 0)</f>
        <v>1</v>
      </c>
    </row>
    <row r="1247" spans="1:5" x14ac:dyDescent="0.3">
      <c r="A1247">
        <v>864801530</v>
      </c>
      <c r="B1247">
        <v>204180</v>
      </c>
      <c r="C1247" s="1">
        <v>45057</v>
      </c>
      <c r="D1247" t="s">
        <v>3493</v>
      </c>
      <c r="E1247">
        <f>IF(ISNUMBER(MATCH(marketing_events_raw[[#This Row],[customer_id]], customers_clean!A:A, 0)), 1, 0)</f>
        <v>1</v>
      </c>
    </row>
    <row r="1248" spans="1:5" x14ac:dyDescent="0.3">
      <c r="A1248">
        <v>760936710</v>
      </c>
      <c r="B1248">
        <v>858414</v>
      </c>
      <c r="C1248" s="1">
        <v>45590</v>
      </c>
      <c r="D1248" t="s">
        <v>3491</v>
      </c>
      <c r="E1248">
        <f>IF(ISNUMBER(MATCH(marketing_events_raw[[#This Row],[customer_id]], customers_clean!A:A, 0)), 1, 0)</f>
        <v>1</v>
      </c>
    </row>
    <row r="1249" spans="1:5" x14ac:dyDescent="0.3">
      <c r="A1249">
        <v>253371851</v>
      </c>
      <c r="B1249">
        <v>146037</v>
      </c>
      <c r="C1249" s="1">
        <v>44638</v>
      </c>
      <c r="D1249" t="s">
        <v>3493</v>
      </c>
      <c r="E1249">
        <f>IF(ISNUMBER(MATCH(marketing_events_raw[[#This Row],[customer_id]], customers_clean!A:A, 0)), 1, 0)</f>
        <v>1</v>
      </c>
    </row>
    <row r="1250" spans="1:5" x14ac:dyDescent="0.3">
      <c r="A1250">
        <v>855805594</v>
      </c>
      <c r="B1250">
        <v>159645</v>
      </c>
      <c r="C1250" s="1">
        <v>45239</v>
      </c>
      <c r="D1250" t="s">
        <v>3487</v>
      </c>
      <c r="E1250">
        <f>IF(ISNUMBER(MATCH(marketing_events_raw[[#This Row],[customer_id]], customers_clean!A:A, 0)), 1, 0)</f>
        <v>1</v>
      </c>
    </row>
    <row r="1251" spans="1:5" x14ac:dyDescent="0.3">
      <c r="A1251">
        <v>344345007</v>
      </c>
      <c r="B1251">
        <v>520884</v>
      </c>
      <c r="C1251" s="1">
        <v>44586</v>
      </c>
      <c r="D1251" t="s">
        <v>3489</v>
      </c>
      <c r="E1251">
        <f>IF(ISNUMBER(MATCH(marketing_events_raw[[#This Row],[customer_id]], customers_clean!A:A, 0)), 1, 0)</f>
        <v>1</v>
      </c>
    </row>
    <row r="1252" spans="1:5" x14ac:dyDescent="0.3">
      <c r="A1252">
        <v>916676253</v>
      </c>
      <c r="B1252">
        <v>901968</v>
      </c>
      <c r="C1252" s="1">
        <v>44822</v>
      </c>
      <c r="D1252" t="s">
        <v>3492</v>
      </c>
      <c r="E1252">
        <f>IF(ISNUMBER(MATCH(marketing_events_raw[[#This Row],[customer_id]], customers_clean!A:A, 0)), 1, 0)</f>
        <v>1</v>
      </c>
    </row>
    <row r="1253" spans="1:5" x14ac:dyDescent="0.3">
      <c r="A1253">
        <v>939284525</v>
      </c>
      <c r="B1253">
        <v>398301</v>
      </c>
      <c r="C1253" s="1">
        <v>44851</v>
      </c>
      <c r="D1253" t="s">
        <v>3488</v>
      </c>
      <c r="E1253">
        <f>IF(ISNUMBER(MATCH(marketing_events_raw[[#This Row],[customer_id]], customers_clean!A:A, 0)), 1, 0)</f>
        <v>1</v>
      </c>
    </row>
    <row r="1254" spans="1:5" x14ac:dyDescent="0.3">
      <c r="A1254">
        <v>932578498</v>
      </c>
      <c r="B1254">
        <v>343904</v>
      </c>
      <c r="C1254" s="1">
        <v>45469</v>
      </c>
      <c r="D1254" t="s">
        <v>3491</v>
      </c>
      <c r="E1254">
        <f>IF(ISNUMBER(MATCH(marketing_events_raw[[#This Row],[customer_id]], customers_clean!A:A, 0)), 1, 0)</f>
        <v>1</v>
      </c>
    </row>
    <row r="1255" spans="1:5" x14ac:dyDescent="0.3">
      <c r="A1255">
        <v>669719512</v>
      </c>
      <c r="B1255">
        <v>679989</v>
      </c>
      <c r="C1255" s="1">
        <v>44460</v>
      </c>
      <c r="D1255" t="s">
        <v>3492</v>
      </c>
      <c r="E1255">
        <f>IF(ISNUMBER(MATCH(marketing_events_raw[[#This Row],[customer_id]], customers_clean!A:A, 0)), 1, 0)</f>
        <v>1</v>
      </c>
    </row>
    <row r="1256" spans="1:5" x14ac:dyDescent="0.3">
      <c r="A1256">
        <v>639106246</v>
      </c>
      <c r="B1256">
        <v>214176</v>
      </c>
      <c r="C1256" s="1">
        <v>45086</v>
      </c>
      <c r="D1256" t="s">
        <v>3488</v>
      </c>
      <c r="E1256">
        <f>IF(ISNUMBER(MATCH(marketing_events_raw[[#This Row],[customer_id]], customers_clean!A:A, 0)), 1, 0)</f>
        <v>1</v>
      </c>
    </row>
    <row r="1257" spans="1:5" x14ac:dyDescent="0.3">
      <c r="A1257">
        <v>197121569</v>
      </c>
      <c r="B1257">
        <v>495400</v>
      </c>
      <c r="C1257" s="1">
        <v>44979</v>
      </c>
      <c r="D1257" t="s">
        <v>3493</v>
      </c>
      <c r="E1257">
        <f>IF(ISNUMBER(MATCH(marketing_events_raw[[#This Row],[customer_id]], customers_clean!A:A, 0)), 1, 0)</f>
        <v>1</v>
      </c>
    </row>
    <row r="1258" spans="1:5" x14ac:dyDescent="0.3">
      <c r="A1258">
        <v>263481097</v>
      </c>
      <c r="B1258">
        <v>299834</v>
      </c>
      <c r="C1258" s="1">
        <v>44499</v>
      </c>
      <c r="D1258" t="s">
        <v>3489</v>
      </c>
      <c r="E1258">
        <f>IF(ISNUMBER(MATCH(marketing_events_raw[[#This Row],[customer_id]], customers_clean!A:A, 0)), 1, 0)</f>
        <v>1</v>
      </c>
    </row>
    <row r="1259" spans="1:5" x14ac:dyDescent="0.3">
      <c r="A1259">
        <v>496529993</v>
      </c>
      <c r="B1259">
        <v>894586</v>
      </c>
      <c r="C1259" s="1">
        <v>45626</v>
      </c>
      <c r="D1259" t="s">
        <v>3488</v>
      </c>
      <c r="E1259">
        <f>IF(ISNUMBER(MATCH(marketing_events_raw[[#This Row],[customer_id]], customers_clean!A:A, 0)), 1, 0)</f>
        <v>1</v>
      </c>
    </row>
    <row r="1260" spans="1:5" x14ac:dyDescent="0.3">
      <c r="A1260">
        <v>360158611</v>
      </c>
      <c r="B1260">
        <v>537605</v>
      </c>
      <c r="C1260" s="1">
        <v>45202</v>
      </c>
      <c r="D1260" t="s">
        <v>3492</v>
      </c>
      <c r="E1260">
        <f>IF(ISNUMBER(MATCH(marketing_events_raw[[#This Row],[customer_id]], customers_clean!A:A, 0)), 1, 0)</f>
        <v>1</v>
      </c>
    </row>
    <row r="1261" spans="1:5" x14ac:dyDescent="0.3">
      <c r="A1261">
        <v>493277039</v>
      </c>
      <c r="B1261">
        <v>641593</v>
      </c>
      <c r="C1261" s="1">
        <v>44476</v>
      </c>
      <c r="D1261" t="s">
        <v>3488</v>
      </c>
      <c r="E1261">
        <f>IF(ISNUMBER(MATCH(marketing_events_raw[[#This Row],[customer_id]], customers_clean!A:A, 0)), 1, 0)</f>
        <v>1</v>
      </c>
    </row>
    <row r="1262" spans="1:5" x14ac:dyDescent="0.3">
      <c r="A1262">
        <v>829631072</v>
      </c>
      <c r="B1262">
        <v>586041</v>
      </c>
      <c r="C1262" s="1">
        <v>44678</v>
      </c>
      <c r="D1262" t="s">
        <v>3491</v>
      </c>
      <c r="E1262">
        <f>IF(ISNUMBER(MATCH(marketing_events_raw[[#This Row],[customer_id]], customers_clean!A:A, 0)), 1, 0)</f>
        <v>1</v>
      </c>
    </row>
    <row r="1263" spans="1:5" x14ac:dyDescent="0.3">
      <c r="A1263">
        <v>288660977</v>
      </c>
      <c r="B1263">
        <v>853489</v>
      </c>
      <c r="C1263" s="1">
        <v>44868</v>
      </c>
      <c r="D1263" t="s">
        <v>3490</v>
      </c>
      <c r="E1263">
        <f>IF(ISNUMBER(MATCH(marketing_events_raw[[#This Row],[customer_id]], customers_clean!A:A, 0)), 1, 0)</f>
        <v>1</v>
      </c>
    </row>
    <row r="1264" spans="1:5" x14ac:dyDescent="0.3">
      <c r="A1264">
        <v>364480329</v>
      </c>
      <c r="B1264">
        <v>695361</v>
      </c>
      <c r="C1264" s="1">
        <v>44904</v>
      </c>
      <c r="D1264" t="s">
        <v>3489</v>
      </c>
      <c r="E1264">
        <f>IF(ISNUMBER(MATCH(marketing_events_raw[[#This Row],[customer_id]], customers_clean!A:A, 0)), 1, 0)</f>
        <v>1</v>
      </c>
    </row>
    <row r="1265" spans="1:5" x14ac:dyDescent="0.3">
      <c r="A1265">
        <v>606141127</v>
      </c>
      <c r="B1265">
        <v>419739</v>
      </c>
      <c r="C1265" s="1">
        <v>45122</v>
      </c>
      <c r="D1265" t="s">
        <v>3488</v>
      </c>
      <c r="E1265">
        <f>IF(ISNUMBER(MATCH(marketing_events_raw[[#This Row],[customer_id]], customers_clean!A:A, 0)), 1, 0)</f>
        <v>1</v>
      </c>
    </row>
    <row r="1266" spans="1:5" x14ac:dyDescent="0.3">
      <c r="A1266">
        <v>498449953</v>
      </c>
      <c r="B1266">
        <v>952117</v>
      </c>
      <c r="C1266" s="1">
        <v>45286</v>
      </c>
      <c r="D1266" t="s">
        <v>3487</v>
      </c>
      <c r="E1266">
        <f>IF(ISNUMBER(MATCH(marketing_events_raw[[#This Row],[customer_id]], customers_clean!A:A, 0)), 1, 0)</f>
        <v>1</v>
      </c>
    </row>
    <row r="1267" spans="1:5" x14ac:dyDescent="0.3">
      <c r="A1267">
        <v>600963127</v>
      </c>
      <c r="B1267">
        <v>943584</v>
      </c>
      <c r="C1267" s="1">
        <v>44760</v>
      </c>
      <c r="D1267" t="s">
        <v>3491</v>
      </c>
      <c r="E1267">
        <f>IF(ISNUMBER(MATCH(marketing_events_raw[[#This Row],[customer_id]], customers_clean!A:A, 0)), 1, 0)</f>
        <v>1</v>
      </c>
    </row>
    <row r="1268" spans="1:5" x14ac:dyDescent="0.3">
      <c r="A1268">
        <v>754589395</v>
      </c>
      <c r="B1268">
        <v>624563</v>
      </c>
      <c r="C1268" s="1">
        <v>44512</v>
      </c>
      <c r="D1268" t="s">
        <v>3490</v>
      </c>
      <c r="E1268">
        <f>IF(ISNUMBER(MATCH(marketing_events_raw[[#This Row],[customer_id]], customers_clean!A:A, 0)), 1, 0)</f>
        <v>1</v>
      </c>
    </row>
    <row r="1269" spans="1:5" x14ac:dyDescent="0.3">
      <c r="A1269">
        <v>871306918</v>
      </c>
      <c r="B1269">
        <v>420214</v>
      </c>
      <c r="C1269" s="1">
        <v>45060</v>
      </c>
      <c r="D1269" t="s">
        <v>3492</v>
      </c>
      <c r="E1269">
        <f>IF(ISNUMBER(MATCH(marketing_events_raw[[#This Row],[customer_id]], customers_clean!A:A, 0)), 1, 0)</f>
        <v>1</v>
      </c>
    </row>
    <row r="1270" spans="1:5" x14ac:dyDescent="0.3">
      <c r="A1270">
        <v>734012416</v>
      </c>
      <c r="B1270">
        <v>321791</v>
      </c>
      <c r="C1270" s="1">
        <v>44431</v>
      </c>
      <c r="D1270" t="s">
        <v>3493</v>
      </c>
      <c r="E1270">
        <f>IF(ISNUMBER(MATCH(marketing_events_raw[[#This Row],[customer_id]], customers_clean!A:A, 0)), 1, 0)</f>
        <v>1</v>
      </c>
    </row>
    <row r="1271" spans="1:5" x14ac:dyDescent="0.3">
      <c r="A1271">
        <v>406271505</v>
      </c>
      <c r="B1271">
        <v>222621</v>
      </c>
      <c r="C1271" s="1">
        <v>44911</v>
      </c>
      <c r="D1271" t="s">
        <v>3489</v>
      </c>
      <c r="E1271">
        <f>IF(ISNUMBER(MATCH(marketing_events_raw[[#This Row],[customer_id]], customers_clean!A:A, 0)), 1, 0)</f>
        <v>1</v>
      </c>
    </row>
    <row r="1272" spans="1:5" x14ac:dyDescent="0.3">
      <c r="A1272">
        <v>191354907</v>
      </c>
      <c r="B1272">
        <v>386436</v>
      </c>
      <c r="C1272" s="1">
        <v>45449</v>
      </c>
      <c r="D1272" t="s">
        <v>3488</v>
      </c>
      <c r="E1272">
        <f>IF(ISNUMBER(MATCH(marketing_events_raw[[#This Row],[customer_id]], customers_clean!A:A, 0)), 1, 0)</f>
        <v>1</v>
      </c>
    </row>
    <row r="1273" spans="1:5" x14ac:dyDescent="0.3">
      <c r="A1273">
        <v>859401717</v>
      </c>
      <c r="B1273">
        <v>853240</v>
      </c>
      <c r="C1273" s="1">
        <v>44797</v>
      </c>
      <c r="D1273" t="s">
        <v>3493</v>
      </c>
      <c r="E1273">
        <f>IF(ISNUMBER(MATCH(marketing_events_raw[[#This Row],[customer_id]], customers_clean!A:A, 0)), 1, 0)</f>
        <v>1</v>
      </c>
    </row>
    <row r="1274" spans="1:5" x14ac:dyDescent="0.3">
      <c r="A1274">
        <v>421214817</v>
      </c>
      <c r="B1274">
        <v>423047</v>
      </c>
      <c r="C1274" s="1">
        <v>44891</v>
      </c>
      <c r="D1274" t="s">
        <v>3487</v>
      </c>
      <c r="E1274">
        <f>IF(ISNUMBER(MATCH(marketing_events_raw[[#This Row],[customer_id]], customers_clean!A:A, 0)), 1, 0)</f>
        <v>1</v>
      </c>
    </row>
    <row r="1275" spans="1:5" x14ac:dyDescent="0.3">
      <c r="A1275">
        <v>760391005</v>
      </c>
      <c r="B1275">
        <v>610135</v>
      </c>
      <c r="C1275" s="1">
        <v>45144</v>
      </c>
      <c r="D1275" t="s">
        <v>3489</v>
      </c>
      <c r="E1275">
        <f>IF(ISNUMBER(MATCH(marketing_events_raw[[#This Row],[customer_id]], customers_clean!A:A, 0)), 1, 0)</f>
        <v>1</v>
      </c>
    </row>
    <row r="1276" spans="1:5" x14ac:dyDescent="0.3">
      <c r="A1276">
        <v>954210395</v>
      </c>
      <c r="B1276">
        <v>134303</v>
      </c>
      <c r="C1276" s="1">
        <v>44555</v>
      </c>
      <c r="D1276" t="s">
        <v>3490</v>
      </c>
      <c r="E1276">
        <f>IF(ISNUMBER(MATCH(marketing_events_raw[[#This Row],[customer_id]], customers_clean!A:A, 0)), 1, 0)</f>
        <v>1</v>
      </c>
    </row>
    <row r="1277" spans="1:5" x14ac:dyDescent="0.3">
      <c r="A1277">
        <v>836238982</v>
      </c>
      <c r="B1277">
        <v>840719</v>
      </c>
      <c r="C1277" s="1">
        <v>44703</v>
      </c>
      <c r="D1277" t="s">
        <v>3493</v>
      </c>
      <c r="E1277">
        <f>IF(ISNUMBER(MATCH(marketing_events_raw[[#This Row],[customer_id]], customers_clean!A:A, 0)), 1, 0)</f>
        <v>1</v>
      </c>
    </row>
    <row r="1278" spans="1:5" x14ac:dyDescent="0.3">
      <c r="A1278">
        <v>728413590</v>
      </c>
      <c r="B1278">
        <v>943584</v>
      </c>
      <c r="C1278" s="1">
        <v>45372</v>
      </c>
      <c r="D1278" t="s">
        <v>3487</v>
      </c>
      <c r="E1278">
        <f>IF(ISNUMBER(MATCH(marketing_events_raw[[#This Row],[customer_id]], customers_clean!A:A, 0)), 1, 0)</f>
        <v>1</v>
      </c>
    </row>
    <row r="1279" spans="1:5" x14ac:dyDescent="0.3">
      <c r="A1279">
        <v>227455659</v>
      </c>
      <c r="B1279">
        <v>858414</v>
      </c>
      <c r="C1279" s="1">
        <v>44601</v>
      </c>
      <c r="D1279" t="s">
        <v>3492</v>
      </c>
      <c r="E1279">
        <f>IF(ISNUMBER(MATCH(marketing_events_raw[[#This Row],[customer_id]], customers_clean!A:A, 0)), 1, 0)</f>
        <v>1</v>
      </c>
    </row>
    <row r="1280" spans="1:5" x14ac:dyDescent="0.3">
      <c r="A1280">
        <v>116964748</v>
      </c>
      <c r="B1280">
        <v>361609</v>
      </c>
      <c r="C1280" s="1">
        <v>45217</v>
      </c>
      <c r="D1280" t="s">
        <v>3489</v>
      </c>
      <c r="E1280">
        <f>IF(ISNUMBER(MATCH(marketing_events_raw[[#This Row],[customer_id]], customers_clean!A:A, 0)), 1, 0)</f>
        <v>1</v>
      </c>
    </row>
    <row r="1281" spans="1:5" x14ac:dyDescent="0.3">
      <c r="A1281">
        <v>833709195</v>
      </c>
      <c r="B1281">
        <v>665579</v>
      </c>
      <c r="C1281" s="1">
        <v>45579</v>
      </c>
      <c r="D1281" t="s">
        <v>3490</v>
      </c>
      <c r="E1281">
        <f>IF(ISNUMBER(MATCH(marketing_events_raw[[#This Row],[customer_id]], customers_clean!A:A, 0)), 1, 0)</f>
        <v>1</v>
      </c>
    </row>
    <row r="1282" spans="1:5" x14ac:dyDescent="0.3">
      <c r="A1282">
        <v>822785656</v>
      </c>
      <c r="B1282">
        <v>602278</v>
      </c>
      <c r="C1282" s="1">
        <v>45339</v>
      </c>
      <c r="D1282" t="s">
        <v>3491</v>
      </c>
      <c r="E1282">
        <f>IF(ISNUMBER(MATCH(marketing_events_raw[[#This Row],[customer_id]], customers_clean!A:A, 0)), 1, 0)</f>
        <v>1</v>
      </c>
    </row>
    <row r="1283" spans="1:5" x14ac:dyDescent="0.3">
      <c r="A1283">
        <v>235835919</v>
      </c>
      <c r="B1283">
        <v>464354</v>
      </c>
      <c r="C1283" s="1">
        <v>45180</v>
      </c>
      <c r="D1283" t="s">
        <v>3488</v>
      </c>
      <c r="E1283">
        <f>IF(ISNUMBER(MATCH(marketing_events_raw[[#This Row],[customer_id]], customers_clean!A:A, 0)), 1, 0)</f>
        <v>1</v>
      </c>
    </row>
    <row r="1284" spans="1:5" x14ac:dyDescent="0.3">
      <c r="A1284">
        <v>464784483</v>
      </c>
      <c r="B1284">
        <v>270387</v>
      </c>
      <c r="C1284" s="1">
        <v>44513</v>
      </c>
      <c r="D1284" t="s">
        <v>3487</v>
      </c>
      <c r="E1284">
        <f>IF(ISNUMBER(MATCH(marketing_events_raw[[#This Row],[customer_id]], customers_clean!A:A, 0)), 1, 0)</f>
        <v>1</v>
      </c>
    </row>
    <row r="1285" spans="1:5" x14ac:dyDescent="0.3">
      <c r="A1285">
        <v>329382889</v>
      </c>
      <c r="B1285">
        <v>956727</v>
      </c>
      <c r="C1285" s="1">
        <v>44713</v>
      </c>
      <c r="D1285" t="s">
        <v>3491</v>
      </c>
      <c r="E1285">
        <f>IF(ISNUMBER(MATCH(marketing_events_raw[[#This Row],[customer_id]], customers_clean!A:A, 0)), 1, 0)</f>
        <v>1</v>
      </c>
    </row>
    <row r="1286" spans="1:5" x14ac:dyDescent="0.3">
      <c r="A1286">
        <v>219768074</v>
      </c>
      <c r="B1286">
        <v>900581</v>
      </c>
      <c r="C1286" s="1">
        <v>45257</v>
      </c>
      <c r="D1286" t="s">
        <v>3489</v>
      </c>
      <c r="E1286">
        <f>IF(ISNUMBER(MATCH(marketing_events_raw[[#This Row],[customer_id]], customers_clean!A:A, 0)), 1, 0)</f>
        <v>1</v>
      </c>
    </row>
    <row r="1287" spans="1:5" x14ac:dyDescent="0.3">
      <c r="A1287">
        <v>835844228</v>
      </c>
      <c r="B1287">
        <v>549622</v>
      </c>
      <c r="C1287" s="1">
        <v>45640</v>
      </c>
      <c r="D1287" t="s">
        <v>3490</v>
      </c>
      <c r="E1287">
        <f>IF(ISNUMBER(MATCH(marketing_events_raw[[#This Row],[customer_id]], customers_clean!A:A, 0)), 1, 0)</f>
        <v>1</v>
      </c>
    </row>
    <row r="1288" spans="1:5" x14ac:dyDescent="0.3">
      <c r="A1288">
        <v>898476584</v>
      </c>
      <c r="B1288">
        <v>272769</v>
      </c>
      <c r="C1288" s="1">
        <v>44491</v>
      </c>
      <c r="D1288" t="s">
        <v>3493</v>
      </c>
      <c r="E1288">
        <f>IF(ISNUMBER(MATCH(marketing_events_raw[[#This Row],[customer_id]], customers_clean!A:A, 0)), 1, 0)</f>
        <v>1</v>
      </c>
    </row>
    <row r="1289" spans="1:5" x14ac:dyDescent="0.3">
      <c r="A1289">
        <v>640542821</v>
      </c>
      <c r="B1289">
        <v>989587</v>
      </c>
      <c r="C1289" s="1">
        <v>45383</v>
      </c>
      <c r="D1289" t="s">
        <v>3489</v>
      </c>
      <c r="E1289">
        <f>IF(ISNUMBER(MATCH(marketing_events_raw[[#This Row],[customer_id]], customers_clean!A:A, 0)), 1, 0)</f>
        <v>1</v>
      </c>
    </row>
    <row r="1290" spans="1:5" x14ac:dyDescent="0.3">
      <c r="A1290">
        <v>980572380</v>
      </c>
      <c r="B1290">
        <v>852485</v>
      </c>
      <c r="C1290" s="1">
        <v>45648</v>
      </c>
      <c r="D1290" t="s">
        <v>3489</v>
      </c>
      <c r="E1290">
        <f>IF(ISNUMBER(MATCH(marketing_events_raw[[#This Row],[customer_id]], customers_clean!A:A, 0)), 1, 0)</f>
        <v>1</v>
      </c>
    </row>
    <row r="1291" spans="1:5" x14ac:dyDescent="0.3">
      <c r="A1291">
        <v>268288526</v>
      </c>
      <c r="B1291">
        <v>741209</v>
      </c>
      <c r="C1291" s="1">
        <v>44582</v>
      </c>
      <c r="D1291" t="s">
        <v>3491</v>
      </c>
      <c r="E1291">
        <f>IF(ISNUMBER(MATCH(marketing_events_raw[[#This Row],[customer_id]], customers_clean!A:A, 0)), 1, 0)</f>
        <v>1</v>
      </c>
    </row>
    <row r="1292" spans="1:5" x14ac:dyDescent="0.3">
      <c r="A1292">
        <v>690498849</v>
      </c>
      <c r="B1292">
        <v>167348</v>
      </c>
      <c r="C1292" s="1">
        <v>44886</v>
      </c>
      <c r="D1292" t="s">
        <v>3487</v>
      </c>
      <c r="E1292">
        <f>IF(ISNUMBER(MATCH(marketing_events_raw[[#This Row],[customer_id]], customers_clean!A:A, 0)), 1, 0)</f>
        <v>1</v>
      </c>
    </row>
    <row r="1293" spans="1:5" x14ac:dyDescent="0.3">
      <c r="A1293">
        <v>709026473</v>
      </c>
      <c r="B1293">
        <v>907369</v>
      </c>
      <c r="C1293" s="1">
        <v>44536</v>
      </c>
      <c r="D1293" t="s">
        <v>3488</v>
      </c>
      <c r="E1293">
        <f>IF(ISNUMBER(MATCH(marketing_events_raw[[#This Row],[customer_id]], customers_clean!A:A, 0)), 1, 0)</f>
        <v>1</v>
      </c>
    </row>
    <row r="1294" spans="1:5" x14ac:dyDescent="0.3">
      <c r="A1294">
        <v>446027266</v>
      </c>
      <c r="B1294">
        <v>571980</v>
      </c>
      <c r="C1294" s="1">
        <v>45288</v>
      </c>
      <c r="D1294" t="s">
        <v>3489</v>
      </c>
      <c r="E1294">
        <f>IF(ISNUMBER(MATCH(marketing_events_raw[[#This Row],[customer_id]], customers_clean!A:A, 0)), 1, 0)</f>
        <v>1</v>
      </c>
    </row>
    <row r="1295" spans="1:5" x14ac:dyDescent="0.3">
      <c r="A1295">
        <v>829497396</v>
      </c>
      <c r="B1295">
        <v>476105</v>
      </c>
      <c r="C1295" s="1">
        <v>45325</v>
      </c>
      <c r="D1295" t="s">
        <v>3487</v>
      </c>
      <c r="E1295">
        <f>IF(ISNUMBER(MATCH(marketing_events_raw[[#This Row],[customer_id]], customers_clean!A:A, 0)), 1, 0)</f>
        <v>1</v>
      </c>
    </row>
    <row r="1296" spans="1:5" x14ac:dyDescent="0.3">
      <c r="A1296">
        <v>935386216</v>
      </c>
      <c r="B1296">
        <v>400850</v>
      </c>
      <c r="C1296" s="1">
        <v>45373</v>
      </c>
      <c r="D1296" t="s">
        <v>3490</v>
      </c>
      <c r="E1296">
        <f>IF(ISNUMBER(MATCH(marketing_events_raw[[#This Row],[customer_id]], customers_clean!A:A, 0)), 1, 0)</f>
        <v>1</v>
      </c>
    </row>
    <row r="1297" spans="1:5" x14ac:dyDescent="0.3">
      <c r="A1297">
        <v>929869347</v>
      </c>
      <c r="B1297">
        <v>986925</v>
      </c>
      <c r="C1297" s="1">
        <v>44437</v>
      </c>
      <c r="D1297" t="s">
        <v>3492</v>
      </c>
      <c r="E1297">
        <f>IF(ISNUMBER(MATCH(marketing_events_raw[[#This Row],[customer_id]], customers_clean!A:A, 0)), 1, 0)</f>
        <v>1</v>
      </c>
    </row>
    <row r="1298" spans="1:5" x14ac:dyDescent="0.3">
      <c r="A1298">
        <v>247004924</v>
      </c>
      <c r="B1298">
        <v>106658</v>
      </c>
      <c r="C1298" s="1">
        <v>45538</v>
      </c>
      <c r="D1298" t="s">
        <v>3491</v>
      </c>
      <c r="E1298">
        <f>IF(ISNUMBER(MATCH(marketing_events_raw[[#This Row],[customer_id]], customers_clean!A:A, 0)), 1, 0)</f>
        <v>1</v>
      </c>
    </row>
    <row r="1299" spans="1:5" x14ac:dyDescent="0.3">
      <c r="A1299">
        <v>832769359</v>
      </c>
      <c r="B1299">
        <v>196781</v>
      </c>
      <c r="C1299" s="1">
        <v>45306</v>
      </c>
      <c r="D1299" t="s">
        <v>3487</v>
      </c>
      <c r="E1299">
        <f>IF(ISNUMBER(MATCH(marketing_events_raw[[#This Row],[customer_id]], customers_clean!A:A, 0)), 1, 0)</f>
        <v>1</v>
      </c>
    </row>
    <row r="1300" spans="1:5" x14ac:dyDescent="0.3">
      <c r="A1300">
        <v>101051000</v>
      </c>
      <c r="B1300">
        <v>468900</v>
      </c>
      <c r="C1300" s="1">
        <v>45287</v>
      </c>
      <c r="D1300" t="s">
        <v>3493</v>
      </c>
      <c r="E1300">
        <f>IF(ISNUMBER(MATCH(marketing_events_raw[[#This Row],[customer_id]], customers_clean!A:A, 0)), 1, 0)</f>
        <v>1</v>
      </c>
    </row>
    <row r="1301" spans="1:5" x14ac:dyDescent="0.3">
      <c r="A1301">
        <v>413551421</v>
      </c>
      <c r="B1301">
        <v>645209</v>
      </c>
      <c r="C1301" s="1">
        <v>45091</v>
      </c>
      <c r="D1301" t="s">
        <v>3488</v>
      </c>
      <c r="E1301">
        <f>IF(ISNUMBER(MATCH(marketing_events_raw[[#This Row],[customer_id]], customers_clean!A:A, 0)), 1, 0)</f>
        <v>1</v>
      </c>
    </row>
    <row r="1302" spans="1:5" x14ac:dyDescent="0.3">
      <c r="A1302">
        <v>738722684</v>
      </c>
      <c r="B1302">
        <v>954441</v>
      </c>
      <c r="C1302" s="1">
        <v>45649</v>
      </c>
      <c r="D1302" t="s">
        <v>3488</v>
      </c>
      <c r="E1302">
        <f>IF(ISNUMBER(MATCH(marketing_events_raw[[#This Row],[customer_id]], customers_clean!A:A, 0)), 1, 0)</f>
        <v>1</v>
      </c>
    </row>
    <row r="1303" spans="1:5" x14ac:dyDescent="0.3">
      <c r="A1303">
        <v>882753141</v>
      </c>
      <c r="B1303">
        <v>265759</v>
      </c>
      <c r="C1303" s="1">
        <v>44547</v>
      </c>
      <c r="D1303" t="s">
        <v>3492</v>
      </c>
      <c r="E1303">
        <f>IF(ISNUMBER(MATCH(marketing_events_raw[[#This Row],[customer_id]], customers_clean!A:A, 0)), 1, 0)</f>
        <v>1</v>
      </c>
    </row>
    <row r="1304" spans="1:5" x14ac:dyDescent="0.3">
      <c r="A1304">
        <v>310986781</v>
      </c>
      <c r="B1304">
        <v>248989</v>
      </c>
      <c r="C1304" s="1">
        <v>44497</v>
      </c>
      <c r="D1304" t="s">
        <v>3492</v>
      </c>
      <c r="E1304">
        <f>IF(ISNUMBER(MATCH(marketing_events_raw[[#This Row],[customer_id]], customers_clean!A:A, 0)), 1, 0)</f>
        <v>1</v>
      </c>
    </row>
    <row r="1305" spans="1:5" x14ac:dyDescent="0.3">
      <c r="A1305">
        <v>394381403</v>
      </c>
      <c r="B1305">
        <v>804314</v>
      </c>
      <c r="C1305" s="1">
        <v>45032</v>
      </c>
      <c r="D1305" t="s">
        <v>3490</v>
      </c>
      <c r="E1305">
        <f>IF(ISNUMBER(MATCH(marketing_events_raw[[#This Row],[customer_id]], customers_clean!A:A, 0)), 1, 0)</f>
        <v>1</v>
      </c>
    </row>
    <row r="1306" spans="1:5" x14ac:dyDescent="0.3">
      <c r="A1306">
        <v>111115679</v>
      </c>
      <c r="B1306">
        <v>429657</v>
      </c>
      <c r="C1306" s="1">
        <v>44745</v>
      </c>
      <c r="D1306" t="s">
        <v>3490</v>
      </c>
      <c r="E1306">
        <f>IF(ISNUMBER(MATCH(marketing_events_raw[[#This Row],[customer_id]], customers_clean!A:A, 0)), 1, 0)</f>
        <v>1</v>
      </c>
    </row>
    <row r="1307" spans="1:5" x14ac:dyDescent="0.3">
      <c r="A1307">
        <v>240587322</v>
      </c>
      <c r="B1307">
        <v>970300</v>
      </c>
      <c r="C1307" s="1">
        <v>45154</v>
      </c>
      <c r="D1307" t="s">
        <v>3493</v>
      </c>
      <c r="E1307">
        <f>IF(ISNUMBER(MATCH(marketing_events_raw[[#This Row],[customer_id]], customers_clean!A:A, 0)), 1, 0)</f>
        <v>1</v>
      </c>
    </row>
    <row r="1308" spans="1:5" x14ac:dyDescent="0.3">
      <c r="A1308">
        <v>966420115</v>
      </c>
      <c r="B1308">
        <v>113266</v>
      </c>
      <c r="C1308" s="1">
        <v>45448</v>
      </c>
      <c r="D1308" t="s">
        <v>3489</v>
      </c>
      <c r="E1308">
        <f>IF(ISNUMBER(MATCH(marketing_events_raw[[#This Row],[customer_id]], customers_clean!A:A, 0)), 1, 0)</f>
        <v>1</v>
      </c>
    </row>
    <row r="1309" spans="1:5" x14ac:dyDescent="0.3">
      <c r="A1309">
        <v>701790761</v>
      </c>
      <c r="B1309">
        <v>440881</v>
      </c>
      <c r="C1309" s="1">
        <v>45394</v>
      </c>
      <c r="D1309" t="s">
        <v>3491</v>
      </c>
      <c r="E1309">
        <f>IF(ISNUMBER(MATCH(marketing_events_raw[[#This Row],[customer_id]], customers_clean!A:A, 0)), 1, 0)</f>
        <v>1</v>
      </c>
    </row>
    <row r="1310" spans="1:5" x14ac:dyDescent="0.3">
      <c r="A1310">
        <v>758115488</v>
      </c>
      <c r="B1310">
        <v>715732</v>
      </c>
      <c r="C1310" s="1">
        <v>44452</v>
      </c>
      <c r="D1310" t="s">
        <v>3489</v>
      </c>
      <c r="E1310">
        <f>IF(ISNUMBER(MATCH(marketing_events_raw[[#This Row],[customer_id]], customers_clean!A:A, 0)), 1, 0)</f>
        <v>1</v>
      </c>
    </row>
    <row r="1311" spans="1:5" x14ac:dyDescent="0.3">
      <c r="A1311">
        <v>899697241</v>
      </c>
      <c r="B1311">
        <v>901834</v>
      </c>
      <c r="C1311" s="1">
        <v>45016</v>
      </c>
      <c r="D1311" t="s">
        <v>3493</v>
      </c>
      <c r="E1311">
        <f>IF(ISNUMBER(MATCH(marketing_events_raw[[#This Row],[customer_id]], customers_clean!A:A, 0)), 1, 0)</f>
        <v>1</v>
      </c>
    </row>
    <row r="1312" spans="1:5" x14ac:dyDescent="0.3">
      <c r="A1312">
        <v>471751010</v>
      </c>
      <c r="B1312">
        <v>574012</v>
      </c>
      <c r="C1312" s="1">
        <v>44495</v>
      </c>
      <c r="D1312" t="s">
        <v>3489</v>
      </c>
      <c r="E1312">
        <f>IF(ISNUMBER(MATCH(marketing_events_raw[[#This Row],[customer_id]], customers_clean!A:A, 0)), 1, 0)</f>
        <v>1</v>
      </c>
    </row>
    <row r="1313" spans="1:5" x14ac:dyDescent="0.3">
      <c r="A1313">
        <v>738280818</v>
      </c>
      <c r="B1313">
        <v>574001</v>
      </c>
      <c r="C1313" s="1">
        <v>45029</v>
      </c>
      <c r="D1313" t="s">
        <v>3491</v>
      </c>
      <c r="E1313">
        <f>IF(ISNUMBER(MATCH(marketing_events_raw[[#This Row],[customer_id]], customers_clean!A:A, 0)), 1, 0)</f>
        <v>1</v>
      </c>
    </row>
    <row r="1314" spans="1:5" x14ac:dyDescent="0.3">
      <c r="A1314">
        <v>529244463</v>
      </c>
      <c r="B1314">
        <v>349185</v>
      </c>
      <c r="C1314" s="1">
        <v>45308</v>
      </c>
      <c r="D1314" t="s">
        <v>3488</v>
      </c>
      <c r="E1314">
        <f>IF(ISNUMBER(MATCH(marketing_events_raw[[#This Row],[customer_id]], customers_clean!A:A, 0)), 1, 0)</f>
        <v>1</v>
      </c>
    </row>
    <row r="1315" spans="1:5" x14ac:dyDescent="0.3">
      <c r="A1315">
        <v>525846891</v>
      </c>
      <c r="B1315">
        <v>258975</v>
      </c>
      <c r="C1315" s="1">
        <v>44478</v>
      </c>
      <c r="D1315" t="s">
        <v>3489</v>
      </c>
      <c r="E1315">
        <f>IF(ISNUMBER(MATCH(marketing_events_raw[[#This Row],[customer_id]], customers_clean!A:A, 0)), 1, 0)</f>
        <v>1</v>
      </c>
    </row>
    <row r="1316" spans="1:5" x14ac:dyDescent="0.3">
      <c r="A1316">
        <v>796401042</v>
      </c>
      <c r="B1316">
        <v>550961</v>
      </c>
      <c r="C1316" s="1">
        <v>44479</v>
      </c>
      <c r="D1316" t="s">
        <v>3492</v>
      </c>
      <c r="E1316">
        <f>IF(ISNUMBER(MATCH(marketing_events_raw[[#This Row],[customer_id]], customers_clean!A:A, 0)), 1, 0)</f>
        <v>1</v>
      </c>
    </row>
    <row r="1317" spans="1:5" x14ac:dyDescent="0.3">
      <c r="A1317">
        <v>109136275</v>
      </c>
      <c r="B1317">
        <v>235193</v>
      </c>
      <c r="C1317" s="1">
        <v>45620</v>
      </c>
      <c r="D1317" t="s">
        <v>3488</v>
      </c>
      <c r="E1317">
        <f>IF(ISNUMBER(MATCH(marketing_events_raw[[#This Row],[customer_id]], customers_clean!A:A, 0)), 1, 0)</f>
        <v>1</v>
      </c>
    </row>
    <row r="1318" spans="1:5" x14ac:dyDescent="0.3">
      <c r="A1318">
        <v>871834175</v>
      </c>
      <c r="B1318">
        <v>181724</v>
      </c>
      <c r="C1318" s="1">
        <v>44803</v>
      </c>
      <c r="D1318" t="s">
        <v>3492</v>
      </c>
      <c r="E1318">
        <f>IF(ISNUMBER(MATCH(marketing_events_raw[[#This Row],[customer_id]], customers_clean!A:A, 0)), 1, 0)</f>
        <v>1</v>
      </c>
    </row>
    <row r="1319" spans="1:5" x14ac:dyDescent="0.3">
      <c r="A1319">
        <v>538180017</v>
      </c>
      <c r="B1319">
        <v>651033</v>
      </c>
      <c r="C1319" s="1">
        <v>45322</v>
      </c>
      <c r="D1319" t="s">
        <v>3493</v>
      </c>
      <c r="E1319">
        <f>IF(ISNUMBER(MATCH(marketing_events_raw[[#This Row],[customer_id]], customers_clean!A:A, 0)), 1, 0)</f>
        <v>1</v>
      </c>
    </row>
    <row r="1320" spans="1:5" x14ac:dyDescent="0.3">
      <c r="A1320">
        <v>473646776</v>
      </c>
      <c r="B1320">
        <v>321634</v>
      </c>
      <c r="C1320" s="1">
        <v>44991</v>
      </c>
      <c r="D1320" t="s">
        <v>3493</v>
      </c>
      <c r="E1320">
        <f>IF(ISNUMBER(MATCH(marketing_events_raw[[#This Row],[customer_id]], customers_clean!A:A, 0)), 1, 0)</f>
        <v>1</v>
      </c>
    </row>
    <row r="1321" spans="1:5" x14ac:dyDescent="0.3">
      <c r="A1321">
        <v>173881388</v>
      </c>
      <c r="B1321">
        <v>411870</v>
      </c>
      <c r="C1321" s="1">
        <v>45480</v>
      </c>
      <c r="D1321" t="s">
        <v>3493</v>
      </c>
      <c r="E1321">
        <f>IF(ISNUMBER(MATCH(marketing_events_raw[[#This Row],[customer_id]], customers_clean!A:A, 0)), 1, 0)</f>
        <v>1</v>
      </c>
    </row>
    <row r="1322" spans="1:5" x14ac:dyDescent="0.3">
      <c r="A1322">
        <v>876961069</v>
      </c>
      <c r="B1322">
        <v>620248</v>
      </c>
      <c r="C1322" s="1">
        <v>44681</v>
      </c>
      <c r="D1322" t="s">
        <v>3489</v>
      </c>
      <c r="E1322">
        <f>IF(ISNUMBER(MATCH(marketing_events_raw[[#This Row],[customer_id]], customers_clean!A:A, 0)), 1, 0)</f>
        <v>1</v>
      </c>
    </row>
    <row r="1323" spans="1:5" x14ac:dyDescent="0.3">
      <c r="A1323">
        <v>946975799</v>
      </c>
      <c r="B1323">
        <v>396439</v>
      </c>
      <c r="C1323" s="1">
        <v>45250</v>
      </c>
      <c r="D1323" t="s">
        <v>3491</v>
      </c>
      <c r="E1323">
        <f>IF(ISNUMBER(MATCH(marketing_events_raw[[#This Row],[customer_id]], customers_clean!A:A, 0)), 1, 0)</f>
        <v>1</v>
      </c>
    </row>
    <row r="1324" spans="1:5" x14ac:dyDescent="0.3">
      <c r="A1324">
        <v>642227400</v>
      </c>
      <c r="B1324">
        <v>386436</v>
      </c>
      <c r="C1324" s="1">
        <v>44579</v>
      </c>
      <c r="D1324" t="s">
        <v>3490</v>
      </c>
      <c r="E1324">
        <f>IF(ISNUMBER(MATCH(marketing_events_raw[[#This Row],[customer_id]], customers_clean!A:A, 0)), 1, 0)</f>
        <v>1</v>
      </c>
    </row>
    <row r="1325" spans="1:5" x14ac:dyDescent="0.3">
      <c r="A1325">
        <v>181085733</v>
      </c>
      <c r="B1325">
        <v>806848</v>
      </c>
      <c r="C1325" s="1">
        <v>44880</v>
      </c>
      <c r="D1325" t="s">
        <v>3488</v>
      </c>
      <c r="E1325">
        <f>IF(ISNUMBER(MATCH(marketing_events_raw[[#This Row],[customer_id]], customers_clean!A:A, 0)), 1, 0)</f>
        <v>1</v>
      </c>
    </row>
    <row r="1326" spans="1:5" x14ac:dyDescent="0.3">
      <c r="A1326">
        <v>689978770</v>
      </c>
      <c r="B1326">
        <v>367747</v>
      </c>
      <c r="C1326" s="1">
        <v>44652</v>
      </c>
      <c r="D1326" t="s">
        <v>3487</v>
      </c>
      <c r="E1326">
        <f>IF(ISNUMBER(MATCH(marketing_events_raw[[#This Row],[customer_id]], customers_clean!A:A, 0)), 1, 0)</f>
        <v>1</v>
      </c>
    </row>
    <row r="1327" spans="1:5" x14ac:dyDescent="0.3">
      <c r="A1327">
        <v>285245329</v>
      </c>
      <c r="B1327">
        <v>972089</v>
      </c>
      <c r="C1327" s="1">
        <v>44528</v>
      </c>
      <c r="D1327" t="s">
        <v>3490</v>
      </c>
      <c r="E1327">
        <f>IF(ISNUMBER(MATCH(marketing_events_raw[[#This Row],[customer_id]], customers_clean!A:A, 0)), 1, 0)</f>
        <v>1</v>
      </c>
    </row>
    <row r="1328" spans="1:5" x14ac:dyDescent="0.3">
      <c r="A1328">
        <v>905674189</v>
      </c>
      <c r="B1328">
        <v>224249</v>
      </c>
      <c r="C1328" s="1">
        <v>45024</v>
      </c>
      <c r="D1328" t="s">
        <v>3490</v>
      </c>
      <c r="E1328">
        <f>IF(ISNUMBER(MATCH(marketing_events_raw[[#This Row],[customer_id]], customers_clean!A:A, 0)), 1, 0)</f>
        <v>1</v>
      </c>
    </row>
    <row r="1329" spans="1:5" x14ac:dyDescent="0.3">
      <c r="A1329">
        <v>361654107</v>
      </c>
      <c r="B1329">
        <v>583214</v>
      </c>
      <c r="C1329" s="1">
        <v>44882</v>
      </c>
      <c r="D1329" t="s">
        <v>3492</v>
      </c>
      <c r="E1329">
        <f>IF(ISNUMBER(MATCH(marketing_events_raw[[#This Row],[customer_id]], customers_clean!A:A, 0)), 1, 0)</f>
        <v>1</v>
      </c>
    </row>
    <row r="1330" spans="1:5" x14ac:dyDescent="0.3">
      <c r="A1330">
        <v>502972038</v>
      </c>
      <c r="B1330">
        <v>593002</v>
      </c>
      <c r="C1330" s="1">
        <v>44505</v>
      </c>
      <c r="D1330" t="s">
        <v>3490</v>
      </c>
      <c r="E1330">
        <f>IF(ISNUMBER(MATCH(marketing_events_raw[[#This Row],[customer_id]], customers_clean!A:A, 0)), 1, 0)</f>
        <v>1</v>
      </c>
    </row>
    <row r="1331" spans="1:5" x14ac:dyDescent="0.3">
      <c r="A1331">
        <v>685717643</v>
      </c>
      <c r="B1331">
        <v>194834</v>
      </c>
      <c r="C1331" s="1">
        <v>45017</v>
      </c>
      <c r="D1331" t="s">
        <v>3489</v>
      </c>
      <c r="E1331">
        <f>IF(ISNUMBER(MATCH(marketing_events_raw[[#This Row],[customer_id]], customers_clean!A:A, 0)), 1, 0)</f>
        <v>1</v>
      </c>
    </row>
    <row r="1332" spans="1:5" x14ac:dyDescent="0.3">
      <c r="A1332">
        <v>259877215</v>
      </c>
      <c r="B1332">
        <v>856086</v>
      </c>
      <c r="C1332" s="1">
        <v>44387</v>
      </c>
      <c r="D1332" t="s">
        <v>3490</v>
      </c>
      <c r="E1332">
        <f>IF(ISNUMBER(MATCH(marketing_events_raw[[#This Row],[customer_id]], customers_clean!A:A, 0)), 1, 0)</f>
        <v>1</v>
      </c>
    </row>
    <row r="1333" spans="1:5" x14ac:dyDescent="0.3">
      <c r="A1333">
        <v>352352313</v>
      </c>
      <c r="B1333">
        <v>641737</v>
      </c>
      <c r="C1333" s="1">
        <v>45478</v>
      </c>
      <c r="D1333" t="s">
        <v>3493</v>
      </c>
      <c r="E1333">
        <f>IF(ISNUMBER(MATCH(marketing_events_raw[[#This Row],[customer_id]], customers_clean!A:A, 0)), 1, 0)</f>
        <v>1</v>
      </c>
    </row>
    <row r="1334" spans="1:5" x14ac:dyDescent="0.3">
      <c r="A1334">
        <v>687234675</v>
      </c>
      <c r="B1334">
        <v>241268</v>
      </c>
      <c r="C1334" s="1">
        <v>44728</v>
      </c>
      <c r="D1334" t="s">
        <v>3492</v>
      </c>
      <c r="E1334">
        <f>IF(ISNUMBER(MATCH(marketing_events_raw[[#This Row],[customer_id]], customers_clean!A:A, 0)), 1, 0)</f>
        <v>1</v>
      </c>
    </row>
    <row r="1335" spans="1:5" x14ac:dyDescent="0.3">
      <c r="A1335">
        <v>954799679</v>
      </c>
      <c r="B1335">
        <v>838094</v>
      </c>
      <c r="C1335" s="1">
        <v>44865</v>
      </c>
      <c r="D1335" t="s">
        <v>3489</v>
      </c>
      <c r="E1335">
        <f>IF(ISNUMBER(MATCH(marketing_events_raw[[#This Row],[customer_id]], customers_clean!A:A, 0)), 1, 0)</f>
        <v>1</v>
      </c>
    </row>
    <row r="1336" spans="1:5" x14ac:dyDescent="0.3">
      <c r="A1336">
        <v>133851085</v>
      </c>
      <c r="B1336">
        <v>748985</v>
      </c>
      <c r="C1336" s="1">
        <v>45508</v>
      </c>
      <c r="D1336" t="s">
        <v>3493</v>
      </c>
      <c r="E1336">
        <f>IF(ISNUMBER(MATCH(marketing_events_raw[[#This Row],[customer_id]], customers_clean!A:A, 0)), 1, 0)</f>
        <v>1</v>
      </c>
    </row>
    <row r="1337" spans="1:5" x14ac:dyDescent="0.3">
      <c r="A1337">
        <v>311513024</v>
      </c>
      <c r="B1337">
        <v>366105</v>
      </c>
      <c r="C1337" s="1">
        <v>44539</v>
      </c>
      <c r="D1337" t="s">
        <v>3488</v>
      </c>
      <c r="E1337">
        <f>IF(ISNUMBER(MATCH(marketing_events_raw[[#This Row],[customer_id]], customers_clean!A:A, 0)), 1, 0)</f>
        <v>1</v>
      </c>
    </row>
    <row r="1338" spans="1:5" x14ac:dyDescent="0.3">
      <c r="A1338">
        <v>821681612</v>
      </c>
      <c r="B1338">
        <v>691655</v>
      </c>
      <c r="C1338" s="1">
        <v>45174</v>
      </c>
      <c r="D1338" t="s">
        <v>3491</v>
      </c>
      <c r="E1338">
        <f>IF(ISNUMBER(MATCH(marketing_events_raw[[#This Row],[customer_id]], customers_clean!A:A, 0)), 1, 0)</f>
        <v>1</v>
      </c>
    </row>
    <row r="1339" spans="1:5" x14ac:dyDescent="0.3">
      <c r="A1339">
        <v>230522429</v>
      </c>
      <c r="B1339">
        <v>538065</v>
      </c>
      <c r="C1339" s="1">
        <v>45223</v>
      </c>
      <c r="D1339" t="s">
        <v>3489</v>
      </c>
      <c r="E1339">
        <f>IF(ISNUMBER(MATCH(marketing_events_raw[[#This Row],[customer_id]], customers_clean!A:A, 0)), 1, 0)</f>
        <v>1</v>
      </c>
    </row>
    <row r="1340" spans="1:5" x14ac:dyDescent="0.3">
      <c r="A1340">
        <v>545963550</v>
      </c>
      <c r="B1340">
        <v>339030</v>
      </c>
      <c r="C1340" s="1">
        <v>44400</v>
      </c>
      <c r="D1340" t="s">
        <v>3489</v>
      </c>
      <c r="E1340">
        <f>IF(ISNUMBER(MATCH(marketing_events_raw[[#This Row],[customer_id]], customers_clean!A:A, 0)), 1, 0)</f>
        <v>1</v>
      </c>
    </row>
    <row r="1341" spans="1:5" x14ac:dyDescent="0.3">
      <c r="A1341">
        <v>677105121</v>
      </c>
      <c r="B1341">
        <v>923648</v>
      </c>
      <c r="C1341" s="1">
        <v>45539</v>
      </c>
      <c r="D1341" t="s">
        <v>3493</v>
      </c>
      <c r="E1341">
        <f>IF(ISNUMBER(MATCH(marketing_events_raw[[#This Row],[customer_id]], customers_clean!A:A, 0)), 1, 0)</f>
        <v>1</v>
      </c>
    </row>
    <row r="1342" spans="1:5" x14ac:dyDescent="0.3">
      <c r="A1342">
        <v>816791829</v>
      </c>
      <c r="B1342">
        <v>202972</v>
      </c>
      <c r="C1342" s="1">
        <v>44558</v>
      </c>
      <c r="D1342" t="s">
        <v>3493</v>
      </c>
      <c r="E1342">
        <f>IF(ISNUMBER(MATCH(marketing_events_raw[[#This Row],[customer_id]], customers_clean!A:A, 0)), 1, 0)</f>
        <v>1</v>
      </c>
    </row>
    <row r="1343" spans="1:5" x14ac:dyDescent="0.3">
      <c r="A1343">
        <v>853137285</v>
      </c>
      <c r="B1343">
        <v>104502</v>
      </c>
      <c r="C1343" s="1">
        <v>45362</v>
      </c>
      <c r="D1343" t="s">
        <v>3489</v>
      </c>
      <c r="E1343">
        <f>IF(ISNUMBER(MATCH(marketing_events_raw[[#This Row],[customer_id]], customers_clean!A:A, 0)), 1, 0)</f>
        <v>1</v>
      </c>
    </row>
    <row r="1344" spans="1:5" x14ac:dyDescent="0.3">
      <c r="A1344">
        <v>892721423</v>
      </c>
      <c r="B1344">
        <v>642085</v>
      </c>
      <c r="C1344" s="1">
        <v>45161</v>
      </c>
      <c r="D1344" t="s">
        <v>3491</v>
      </c>
      <c r="E1344">
        <f>IF(ISNUMBER(MATCH(marketing_events_raw[[#This Row],[customer_id]], customers_clean!A:A, 0)), 1, 0)</f>
        <v>1</v>
      </c>
    </row>
    <row r="1345" spans="1:5" x14ac:dyDescent="0.3">
      <c r="A1345">
        <v>113561750</v>
      </c>
      <c r="B1345">
        <v>431863</v>
      </c>
      <c r="C1345" s="1">
        <v>45336</v>
      </c>
      <c r="D1345" t="s">
        <v>3493</v>
      </c>
      <c r="E1345">
        <f>IF(ISNUMBER(MATCH(marketing_events_raw[[#This Row],[customer_id]], customers_clean!A:A, 0)), 1, 0)</f>
        <v>1</v>
      </c>
    </row>
    <row r="1346" spans="1:5" x14ac:dyDescent="0.3">
      <c r="A1346">
        <v>647909744</v>
      </c>
      <c r="B1346">
        <v>953266</v>
      </c>
      <c r="C1346" s="1">
        <v>45595</v>
      </c>
      <c r="D1346" t="s">
        <v>3493</v>
      </c>
      <c r="E1346">
        <f>IF(ISNUMBER(MATCH(marketing_events_raw[[#This Row],[customer_id]], customers_clean!A:A, 0)), 1, 0)</f>
        <v>1</v>
      </c>
    </row>
    <row r="1347" spans="1:5" x14ac:dyDescent="0.3">
      <c r="A1347">
        <v>428840457</v>
      </c>
      <c r="B1347">
        <v>458224</v>
      </c>
      <c r="C1347" s="1">
        <v>45377</v>
      </c>
      <c r="D1347" t="s">
        <v>3487</v>
      </c>
      <c r="E1347">
        <f>IF(ISNUMBER(MATCH(marketing_events_raw[[#This Row],[customer_id]], customers_clean!A:A, 0)), 1, 0)</f>
        <v>1</v>
      </c>
    </row>
    <row r="1348" spans="1:5" x14ac:dyDescent="0.3">
      <c r="A1348">
        <v>617696817</v>
      </c>
      <c r="B1348">
        <v>938416</v>
      </c>
      <c r="C1348" s="1">
        <v>44759</v>
      </c>
      <c r="D1348" t="s">
        <v>3490</v>
      </c>
      <c r="E1348">
        <f>IF(ISNUMBER(MATCH(marketing_events_raw[[#This Row],[customer_id]], customers_clean!A:A, 0)), 1, 0)</f>
        <v>1</v>
      </c>
    </row>
    <row r="1349" spans="1:5" x14ac:dyDescent="0.3">
      <c r="A1349">
        <v>145893607</v>
      </c>
      <c r="B1349">
        <v>866437</v>
      </c>
      <c r="C1349" s="1">
        <v>44429</v>
      </c>
      <c r="D1349" t="s">
        <v>3492</v>
      </c>
      <c r="E1349">
        <f>IF(ISNUMBER(MATCH(marketing_events_raw[[#This Row],[customer_id]], customers_clean!A:A, 0)), 1, 0)</f>
        <v>1</v>
      </c>
    </row>
    <row r="1350" spans="1:5" x14ac:dyDescent="0.3">
      <c r="A1350">
        <v>238943860</v>
      </c>
      <c r="B1350">
        <v>685193</v>
      </c>
      <c r="C1350" s="1">
        <v>44547</v>
      </c>
      <c r="D1350" t="s">
        <v>3492</v>
      </c>
      <c r="E1350">
        <f>IF(ISNUMBER(MATCH(marketing_events_raw[[#This Row],[customer_id]], customers_clean!A:A, 0)), 1, 0)</f>
        <v>1</v>
      </c>
    </row>
    <row r="1351" spans="1:5" x14ac:dyDescent="0.3">
      <c r="A1351">
        <v>850276424</v>
      </c>
      <c r="B1351">
        <v>493417</v>
      </c>
      <c r="C1351" s="1">
        <v>44586</v>
      </c>
      <c r="D1351" t="s">
        <v>3488</v>
      </c>
      <c r="E1351">
        <f>IF(ISNUMBER(MATCH(marketing_events_raw[[#This Row],[customer_id]], customers_clean!A:A, 0)), 1, 0)</f>
        <v>1</v>
      </c>
    </row>
    <row r="1352" spans="1:5" x14ac:dyDescent="0.3">
      <c r="A1352">
        <v>154067306</v>
      </c>
      <c r="B1352">
        <v>119943</v>
      </c>
      <c r="C1352" s="1">
        <v>45352</v>
      </c>
      <c r="D1352" t="s">
        <v>3490</v>
      </c>
      <c r="E1352">
        <f>IF(ISNUMBER(MATCH(marketing_events_raw[[#This Row],[customer_id]], customers_clean!A:A, 0)), 1, 0)</f>
        <v>1</v>
      </c>
    </row>
    <row r="1353" spans="1:5" x14ac:dyDescent="0.3">
      <c r="A1353">
        <v>590433737</v>
      </c>
      <c r="B1353">
        <v>817611</v>
      </c>
      <c r="C1353" s="1">
        <v>44615</v>
      </c>
      <c r="D1353" t="s">
        <v>3487</v>
      </c>
      <c r="E1353">
        <f>IF(ISNUMBER(MATCH(marketing_events_raw[[#This Row],[customer_id]], customers_clean!A:A, 0)), 1, 0)</f>
        <v>1</v>
      </c>
    </row>
    <row r="1354" spans="1:5" x14ac:dyDescent="0.3">
      <c r="A1354">
        <v>359248723</v>
      </c>
      <c r="B1354">
        <v>400850</v>
      </c>
      <c r="C1354" s="1">
        <v>44932</v>
      </c>
      <c r="D1354" t="s">
        <v>3491</v>
      </c>
      <c r="E1354">
        <f>IF(ISNUMBER(MATCH(marketing_events_raw[[#This Row],[customer_id]], customers_clean!A:A, 0)), 1, 0)</f>
        <v>1</v>
      </c>
    </row>
    <row r="1355" spans="1:5" x14ac:dyDescent="0.3">
      <c r="A1355">
        <v>492113169</v>
      </c>
      <c r="B1355">
        <v>661023</v>
      </c>
      <c r="C1355" s="1">
        <v>44438</v>
      </c>
      <c r="D1355" t="s">
        <v>3488</v>
      </c>
      <c r="E1355">
        <f>IF(ISNUMBER(MATCH(marketing_events_raw[[#This Row],[customer_id]], customers_clean!A:A, 0)), 1, 0)</f>
        <v>1</v>
      </c>
    </row>
    <row r="1356" spans="1:5" x14ac:dyDescent="0.3">
      <c r="A1356">
        <v>802453439</v>
      </c>
      <c r="B1356">
        <v>894586</v>
      </c>
      <c r="C1356" s="1">
        <v>45473</v>
      </c>
      <c r="D1356" t="s">
        <v>3488</v>
      </c>
      <c r="E1356">
        <f>IF(ISNUMBER(MATCH(marketing_events_raw[[#This Row],[customer_id]], customers_clean!A:A, 0)), 1, 0)</f>
        <v>1</v>
      </c>
    </row>
    <row r="1357" spans="1:5" x14ac:dyDescent="0.3">
      <c r="A1357">
        <v>751392074</v>
      </c>
      <c r="B1357">
        <v>124559</v>
      </c>
      <c r="C1357" s="1">
        <v>45038</v>
      </c>
      <c r="D1357" t="s">
        <v>3490</v>
      </c>
      <c r="E1357">
        <f>IF(ISNUMBER(MATCH(marketing_events_raw[[#This Row],[customer_id]], customers_clean!A:A, 0)), 1, 0)</f>
        <v>1</v>
      </c>
    </row>
    <row r="1358" spans="1:5" x14ac:dyDescent="0.3">
      <c r="A1358">
        <v>293599260</v>
      </c>
      <c r="B1358">
        <v>758816</v>
      </c>
      <c r="C1358" s="1">
        <v>44825</v>
      </c>
      <c r="D1358" t="s">
        <v>3487</v>
      </c>
      <c r="E1358">
        <f>IF(ISNUMBER(MATCH(marketing_events_raw[[#This Row],[customer_id]], customers_clean!A:A, 0)), 1, 0)</f>
        <v>1</v>
      </c>
    </row>
    <row r="1359" spans="1:5" x14ac:dyDescent="0.3">
      <c r="A1359">
        <v>106893167</v>
      </c>
      <c r="B1359">
        <v>843167</v>
      </c>
      <c r="C1359" s="1">
        <v>45465</v>
      </c>
      <c r="D1359" t="s">
        <v>3492</v>
      </c>
      <c r="E1359">
        <f>IF(ISNUMBER(MATCH(marketing_events_raw[[#This Row],[customer_id]], customers_clean!A:A, 0)), 1, 0)</f>
        <v>1</v>
      </c>
    </row>
    <row r="1360" spans="1:5" x14ac:dyDescent="0.3">
      <c r="A1360">
        <v>186894675</v>
      </c>
      <c r="B1360">
        <v>868043</v>
      </c>
      <c r="C1360" s="1">
        <v>44607</v>
      </c>
      <c r="D1360" t="s">
        <v>3488</v>
      </c>
      <c r="E1360">
        <f>IF(ISNUMBER(MATCH(marketing_events_raw[[#This Row],[customer_id]], customers_clean!A:A, 0)), 1, 0)</f>
        <v>1</v>
      </c>
    </row>
    <row r="1361" spans="1:5" x14ac:dyDescent="0.3">
      <c r="A1361">
        <v>727216428</v>
      </c>
      <c r="B1361">
        <v>681141</v>
      </c>
      <c r="C1361" s="1">
        <v>44546</v>
      </c>
      <c r="D1361" t="s">
        <v>3491</v>
      </c>
      <c r="E1361">
        <f>IF(ISNUMBER(MATCH(marketing_events_raw[[#This Row],[customer_id]], customers_clean!A:A, 0)), 1, 0)</f>
        <v>1</v>
      </c>
    </row>
    <row r="1362" spans="1:5" x14ac:dyDescent="0.3">
      <c r="A1362">
        <v>384360544</v>
      </c>
      <c r="B1362">
        <v>920375</v>
      </c>
      <c r="C1362" s="1">
        <v>45004</v>
      </c>
      <c r="D1362" t="s">
        <v>3492</v>
      </c>
      <c r="E1362">
        <f>IF(ISNUMBER(MATCH(marketing_events_raw[[#This Row],[customer_id]], customers_clean!A:A, 0)), 1, 0)</f>
        <v>1</v>
      </c>
    </row>
    <row r="1363" spans="1:5" x14ac:dyDescent="0.3">
      <c r="A1363">
        <v>378680786</v>
      </c>
      <c r="B1363">
        <v>678469</v>
      </c>
      <c r="C1363" s="1">
        <v>45126</v>
      </c>
      <c r="D1363" t="s">
        <v>3487</v>
      </c>
      <c r="E1363">
        <f>IF(ISNUMBER(MATCH(marketing_events_raw[[#This Row],[customer_id]], customers_clean!A:A, 0)), 1, 0)</f>
        <v>1</v>
      </c>
    </row>
    <row r="1364" spans="1:5" x14ac:dyDescent="0.3">
      <c r="A1364">
        <v>750159178</v>
      </c>
      <c r="B1364">
        <v>758816</v>
      </c>
      <c r="C1364" s="1">
        <v>45349</v>
      </c>
      <c r="D1364" t="s">
        <v>3489</v>
      </c>
      <c r="E1364">
        <f>IF(ISNUMBER(MATCH(marketing_events_raw[[#This Row],[customer_id]], customers_clean!A:A, 0)), 1, 0)</f>
        <v>1</v>
      </c>
    </row>
    <row r="1365" spans="1:5" x14ac:dyDescent="0.3">
      <c r="A1365">
        <v>762321836</v>
      </c>
      <c r="B1365">
        <v>115799</v>
      </c>
      <c r="C1365" s="1">
        <v>45191</v>
      </c>
      <c r="D1365" t="s">
        <v>3492</v>
      </c>
      <c r="E1365">
        <f>IF(ISNUMBER(MATCH(marketing_events_raw[[#This Row],[customer_id]], customers_clean!A:A, 0)), 1, 0)</f>
        <v>1</v>
      </c>
    </row>
    <row r="1366" spans="1:5" x14ac:dyDescent="0.3">
      <c r="A1366">
        <v>463388095</v>
      </c>
      <c r="B1366">
        <v>825318</v>
      </c>
      <c r="C1366" s="1">
        <v>45179</v>
      </c>
      <c r="D1366" t="s">
        <v>3488</v>
      </c>
      <c r="E1366">
        <f>IF(ISNUMBER(MATCH(marketing_events_raw[[#This Row],[customer_id]], customers_clean!A:A, 0)), 1, 0)</f>
        <v>1</v>
      </c>
    </row>
    <row r="1367" spans="1:5" x14ac:dyDescent="0.3">
      <c r="A1367">
        <v>223355423</v>
      </c>
      <c r="B1367">
        <v>641455</v>
      </c>
      <c r="C1367" s="1">
        <v>45610</v>
      </c>
      <c r="D1367" t="s">
        <v>3489</v>
      </c>
      <c r="E1367">
        <f>IF(ISNUMBER(MATCH(marketing_events_raw[[#This Row],[customer_id]], customers_clean!A:A, 0)), 1, 0)</f>
        <v>1</v>
      </c>
    </row>
    <row r="1368" spans="1:5" x14ac:dyDescent="0.3">
      <c r="A1368">
        <v>586962881</v>
      </c>
      <c r="B1368">
        <v>182020</v>
      </c>
      <c r="C1368" s="1">
        <v>45258</v>
      </c>
      <c r="D1368" t="s">
        <v>3487</v>
      </c>
      <c r="E1368">
        <f>IF(ISNUMBER(MATCH(marketing_events_raw[[#This Row],[customer_id]], customers_clean!A:A, 0)), 1, 0)</f>
        <v>1</v>
      </c>
    </row>
    <row r="1369" spans="1:5" x14ac:dyDescent="0.3">
      <c r="A1369">
        <v>184017446</v>
      </c>
      <c r="B1369">
        <v>576133</v>
      </c>
      <c r="C1369" s="1">
        <v>44865</v>
      </c>
      <c r="D1369" t="s">
        <v>3487</v>
      </c>
      <c r="E1369">
        <f>IF(ISNUMBER(MATCH(marketing_events_raw[[#This Row],[customer_id]], customers_clean!A:A, 0)), 1, 0)</f>
        <v>1</v>
      </c>
    </row>
    <row r="1370" spans="1:5" x14ac:dyDescent="0.3">
      <c r="A1370">
        <v>579046938</v>
      </c>
      <c r="B1370">
        <v>512151</v>
      </c>
      <c r="C1370" s="1">
        <v>44620</v>
      </c>
      <c r="D1370" t="s">
        <v>3493</v>
      </c>
      <c r="E1370">
        <f>IF(ISNUMBER(MATCH(marketing_events_raw[[#This Row],[customer_id]], customers_clean!A:A, 0)), 1, 0)</f>
        <v>1</v>
      </c>
    </row>
    <row r="1371" spans="1:5" x14ac:dyDescent="0.3">
      <c r="A1371">
        <v>910942155</v>
      </c>
      <c r="B1371">
        <v>718849</v>
      </c>
      <c r="C1371" s="1">
        <v>45408</v>
      </c>
      <c r="D1371" t="s">
        <v>3491</v>
      </c>
      <c r="E1371">
        <f>IF(ISNUMBER(MATCH(marketing_events_raw[[#This Row],[customer_id]], customers_clean!A:A, 0)), 1, 0)</f>
        <v>1</v>
      </c>
    </row>
    <row r="1372" spans="1:5" x14ac:dyDescent="0.3">
      <c r="A1372">
        <v>545896724</v>
      </c>
      <c r="B1372">
        <v>350280</v>
      </c>
      <c r="C1372" s="1">
        <v>44671</v>
      </c>
      <c r="D1372" t="s">
        <v>3488</v>
      </c>
      <c r="E1372">
        <f>IF(ISNUMBER(MATCH(marketing_events_raw[[#This Row],[customer_id]], customers_clean!A:A, 0)), 1, 0)</f>
        <v>1</v>
      </c>
    </row>
    <row r="1373" spans="1:5" x14ac:dyDescent="0.3">
      <c r="A1373">
        <v>557045781</v>
      </c>
      <c r="B1373">
        <v>361250</v>
      </c>
      <c r="C1373" s="1">
        <v>44874</v>
      </c>
      <c r="D1373" t="s">
        <v>3491</v>
      </c>
      <c r="E1373">
        <f>IF(ISNUMBER(MATCH(marketing_events_raw[[#This Row],[customer_id]], customers_clean!A:A, 0)), 1, 0)</f>
        <v>1</v>
      </c>
    </row>
    <row r="1374" spans="1:5" x14ac:dyDescent="0.3">
      <c r="A1374">
        <v>480507688</v>
      </c>
      <c r="B1374">
        <v>221660</v>
      </c>
      <c r="C1374" s="1">
        <v>45202</v>
      </c>
      <c r="D1374" t="s">
        <v>3490</v>
      </c>
      <c r="E1374">
        <f>IF(ISNUMBER(MATCH(marketing_events_raw[[#This Row],[customer_id]], customers_clean!A:A, 0)), 1, 0)</f>
        <v>1</v>
      </c>
    </row>
    <row r="1375" spans="1:5" x14ac:dyDescent="0.3">
      <c r="A1375">
        <v>244388219</v>
      </c>
      <c r="B1375">
        <v>826894</v>
      </c>
      <c r="C1375" s="1">
        <v>45204</v>
      </c>
      <c r="D1375" t="s">
        <v>3488</v>
      </c>
      <c r="E1375">
        <f>IF(ISNUMBER(MATCH(marketing_events_raw[[#This Row],[customer_id]], customers_clean!A:A, 0)), 1, 0)</f>
        <v>1</v>
      </c>
    </row>
    <row r="1376" spans="1:5" x14ac:dyDescent="0.3">
      <c r="A1376">
        <v>990326473</v>
      </c>
      <c r="B1376">
        <v>193298</v>
      </c>
      <c r="C1376" s="1">
        <v>45163</v>
      </c>
      <c r="D1376" t="s">
        <v>3488</v>
      </c>
      <c r="E1376">
        <f>IF(ISNUMBER(MATCH(marketing_events_raw[[#This Row],[customer_id]], customers_clean!A:A, 0)), 1, 0)</f>
        <v>1</v>
      </c>
    </row>
    <row r="1377" spans="1:5" x14ac:dyDescent="0.3">
      <c r="A1377">
        <v>573111384</v>
      </c>
      <c r="B1377">
        <v>601903</v>
      </c>
      <c r="C1377" s="1">
        <v>45495</v>
      </c>
      <c r="D1377" t="s">
        <v>3489</v>
      </c>
      <c r="E1377">
        <f>IF(ISNUMBER(MATCH(marketing_events_raw[[#This Row],[customer_id]], customers_clean!A:A, 0)), 1, 0)</f>
        <v>1</v>
      </c>
    </row>
    <row r="1378" spans="1:5" x14ac:dyDescent="0.3">
      <c r="A1378">
        <v>127122080</v>
      </c>
      <c r="B1378">
        <v>227352</v>
      </c>
      <c r="C1378" s="1">
        <v>45144</v>
      </c>
      <c r="D1378" t="s">
        <v>3492</v>
      </c>
      <c r="E1378">
        <f>IF(ISNUMBER(MATCH(marketing_events_raw[[#This Row],[customer_id]], customers_clean!A:A, 0)), 1, 0)</f>
        <v>1</v>
      </c>
    </row>
    <row r="1379" spans="1:5" x14ac:dyDescent="0.3">
      <c r="A1379">
        <v>630878229</v>
      </c>
      <c r="B1379">
        <v>802695</v>
      </c>
      <c r="C1379" s="1">
        <v>44806</v>
      </c>
      <c r="D1379" t="s">
        <v>3487</v>
      </c>
      <c r="E1379">
        <f>IF(ISNUMBER(MATCH(marketing_events_raw[[#This Row],[customer_id]], customers_clean!A:A, 0)), 1, 0)</f>
        <v>1</v>
      </c>
    </row>
    <row r="1380" spans="1:5" x14ac:dyDescent="0.3">
      <c r="A1380">
        <v>205705141</v>
      </c>
      <c r="B1380">
        <v>401769</v>
      </c>
      <c r="C1380" s="1">
        <v>44782</v>
      </c>
      <c r="D1380" t="s">
        <v>3491</v>
      </c>
      <c r="E1380">
        <f>IF(ISNUMBER(MATCH(marketing_events_raw[[#This Row],[customer_id]], customers_clean!A:A, 0)), 1, 0)</f>
        <v>1</v>
      </c>
    </row>
    <row r="1381" spans="1:5" x14ac:dyDescent="0.3">
      <c r="A1381">
        <v>663449144</v>
      </c>
      <c r="B1381">
        <v>814407</v>
      </c>
      <c r="C1381" s="1">
        <v>45360</v>
      </c>
      <c r="D1381" t="s">
        <v>3493</v>
      </c>
      <c r="E1381">
        <f>IF(ISNUMBER(MATCH(marketing_events_raw[[#This Row],[customer_id]], customers_clean!A:A, 0)), 1, 0)</f>
        <v>1</v>
      </c>
    </row>
    <row r="1382" spans="1:5" x14ac:dyDescent="0.3">
      <c r="A1382">
        <v>407622220</v>
      </c>
      <c r="B1382">
        <v>476105</v>
      </c>
      <c r="C1382" s="1">
        <v>44477</v>
      </c>
      <c r="D1382" t="s">
        <v>3489</v>
      </c>
      <c r="E1382">
        <f>IF(ISNUMBER(MATCH(marketing_events_raw[[#This Row],[customer_id]], customers_clean!A:A, 0)), 1, 0)</f>
        <v>1</v>
      </c>
    </row>
    <row r="1383" spans="1:5" x14ac:dyDescent="0.3">
      <c r="A1383">
        <v>883228754</v>
      </c>
      <c r="B1383">
        <v>463251</v>
      </c>
      <c r="C1383" s="1">
        <v>44668</v>
      </c>
      <c r="D1383" t="s">
        <v>3489</v>
      </c>
      <c r="E1383">
        <f>IF(ISNUMBER(MATCH(marketing_events_raw[[#This Row],[customer_id]], customers_clean!A:A, 0)), 1, 0)</f>
        <v>1</v>
      </c>
    </row>
    <row r="1384" spans="1:5" x14ac:dyDescent="0.3">
      <c r="A1384">
        <v>838080015</v>
      </c>
      <c r="B1384">
        <v>221886</v>
      </c>
      <c r="C1384" s="1">
        <v>44973</v>
      </c>
      <c r="D1384" t="s">
        <v>3493</v>
      </c>
      <c r="E1384">
        <f>IF(ISNUMBER(MATCH(marketing_events_raw[[#This Row],[customer_id]], customers_clean!A:A, 0)), 1, 0)</f>
        <v>1</v>
      </c>
    </row>
    <row r="1385" spans="1:5" x14ac:dyDescent="0.3">
      <c r="A1385">
        <v>508860220</v>
      </c>
      <c r="B1385">
        <v>701581</v>
      </c>
      <c r="C1385" s="1">
        <v>44522</v>
      </c>
      <c r="D1385" t="s">
        <v>3492</v>
      </c>
      <c r="E1385">
        <f>IF(ISNUMBER(MATCH(marketing_events_raw[[#This Row],[customer_id]], customers_clean!A:A, 0)), 1, 0)</f>
        <v>1</v>
      </c>
    </row>
    <row r="1386" spans="1:5" x14ac:dyDescent="0.3">
      <c r="A1386">
        <v>419029495</v>
      </c>
      <c r="B1386">
        <v>200195</v>
      </c>
      <c r="C1386" s="1">
        <v>45182</v>
      </c>
      <c r="D1386" t="s">
        <v>3487</v>
      </c>
      <c r="E1386">
        <f>IF(ISNUMBER(MATCH(marketing_events_raw[[#This Row],[customer_id]], customers_clean!A:A, 0)), 1, 0)</f>
        <v>1</v>
      </c>
    </row>
    <row r="1387" spans="1:5" x14ac:dyDescent="0.3">
      <c r="A1387">
        <v>288880588</v>
      </c>
      <c r="B1387">
        <v>374258</v>
      </c>
      <c r="C1387" s="1">
        <v>45394</v>
      </c>
      <c r="D1387" t="s">
        <v>3487</v>
      </c>
      <c r="E1387">
        <f>IF(ISNUMBER(MATCH(marketing_events_raw[[#This Row],[customer_id]], customers_clean!A:A, 0)), 1, 0)</f>
        <v>1</v>
      </c>
    </row>
    <row r="1388" spans="1:5" x14ac:dyDescent="0.3">
      <c r="A1388">
        <v>319895371</v>
      </c>
      <c r="B1388">
        <v>272769</v>
      </c>
      <c r="C1388" s="1">
        <v>44829</v>
      </c>
      <c r="D1388" t="s">
        <v>3490</v>
      </c>
      <c r="E1388">
        <f>IF(ISNUMBER(MATCH(marketing_events_raw[[#This Row],[customer_id]], customers_clean!A:A, 0)), 1, 0)</f>
        <v>1</v>
      </c>
    </row>
    <row r="1389" spans="1:5" x14ac:dyDescent="0.3">
      <c r="A1389">
        <v>418747625</v>
      </c>
      <c r="B1389">
        <v>811451</v>
      </c>
      <c r="C1389" s="1">
        <v>44608</v>
      </c>
      <c r="D1389" t="s">
        <v>3490</v>
      </c>
      <c r="E1389">
        <f>IF(ISNUMBER(MATCH(marketing_events_raw[[#This Row],[customer_id]], customers_clean!A:A, 0)), 1, 0)</f>
        <v>1</v>
      </c>
    </row>
    <row r="1390" spans="1:5" x14ac:dyDescent="0.3">
      <c r="A1390">
        <v>964937710</v>
      </c>
      <c r="B1390">
        <v>741194</v>
      </c>
      <c r="C1390" s="1">
        <v>45318</v>
      </c>
      <c r="D1390" t="s">
        <v>3487</v>
      </c>
      <c r="E1390">
        <f>IF(ISNUMBER(MATCH(marketing_events_raw[[#This Row],[customer_id]], customers_clean!A:A, 0)), 1, 0)</f>
        <v>1</v>
      </c>
    </row>
    <row r="1391" spans="1:5" x14ac:dyDescent="0.3">
      <c r="A1391">
        <v>936590144</v>
      </c>
      <c r="B1391">
        <v>856086</v>
      </c>
      <c r="C1391" s="1">
        <v>44580</v>
      </c>
      <c r="D1391" t="s">
        <v>3493</v>
      </c>
      <c r="E1391">
        <f>IF(ISNUMBER(MATCH(marketing_events_raw[[#This Row],[customer_id]], customers_clean!A:A, 0)), 1, 0)</f>
        <v>1</v>
      </c>
    </row>
    <row r="1392" spans="1:5" x14ac:dyDescent="0.3">
      <c r="A1392">
        <v>420179381</v>
      </c>
      <c r="B1392">
        <v>423047</v>
      </c>
      <c r="C1392" s="1">
        <v>44738</v>
      </c>
      <c r="D1392" t="s">
        <v>3493</v>
      </c>
      <c r="E1392">
        <f>IF(ISNUMBER(MATCH(marketing_events_raw[[#This Row],[customer_id]], customers_clean!A:A, 0)), 1, 0)</f>
        <v>1</v>
      </c>
    </row>
    <row r="1393" spans="1:5" x14ac:dyDescent="0.3">
      <c r="A1393">
        <v>820418839</v>
      </c>
      <c r="B1393">
        <v>695148</v>
      </c>
      <c r="C1393" s="1">
        <v>44591</v>
      </c>
      <c r="D1393" t="s">
        <v>3492</v>
      </c>
      <c r="E1393">
        <f>IF(ISNUMBER(MATCH(marketing_events_raw[[#This Row],[customer_id]], customers_clean!A:A, 0)), 1, 0)</f>
        <v>1</v>
      </c>
    </row>
    <row r="1394" spans="1:5" x14ac:dyDescent="0.3">
      <c r="A1394">
        <v>299253012</v>
      </c>
      <c r="B1394">
        <v>478411</v>
      </c>
      <c r="C1394" s="1">
        <v>44987</v>
      </c>
      <c r="D1394" t="s">
        <v>3491</v>
      </c>
      <c r="E1394">
        <f>IF(ISNUMBER(MATCH(marketing_events_raw[[#This Row],[customer_id]], customers_clean!A:A, 0)), 1, 0)</f>
        <v>1</v>
      </c>
    </row>
    <row r="1395" spans="1:5" x14ac:dyDescent="0.3">
      <c r="A1395">
        <v>343486230</v>
      </c>
      <c r="B1395">
        <v>468292</v>
      </c>
      <c r="C1395" s="1">
        <v>44612</v>
      </c>
      <c r="D1395" t="s">
        <v>3491</v>
      </c>
      <c r="E1395">
        <f>IF(ISNUMBER(MATCH(marketing_events_raw[[#This Row],[customer_id]], customers_clean!A:A, 0)), 1, 0)</f>
        <v>1</v>
      </c>
    </row>
    <row r="1396" spans="1:5" x14ac:dyDescent="0.3">
      <c r="A1396">
        <v>526041566</v>
      </c>
      <c r="B1396">
        <v>299834</v>
      </c>
      <c r="C1396" s="1">
        <v>45471</v>
      </c>
      <c r="D1396" t="s">
        <v>3493</v>
      </c>
      <c r="E1396">
        <f>IF(ISNUMBER(MATCH(marketing_events_raw[[#This Row],[customer_id]], customers_clean!A:A, 0)), 1, 0)</f>
        <v>1</v>
      </c>
    </row>
    <row r="1397" spans="1:5" x14ac:dyDescent="0.3">
      <c r="A1397">
        <v>552580253</v>
      </c>
      <c r="B1397">
        <v>984274</v>
      </c>
      <c r="C1397" s="1">
        <v>44806</v>
      </c>
      <c r="D1397" t="s">
        <v>3487</v>
      </c>
      <c r="E1397">
        <f>IF(ISNUMBER(MATCH(marketing_events_raw[[#This Row],[customer_id]], customers_clean!A:A, 0)), 1, 0)</f>
        <v>1</v>
      </c>
    </row>
    <row r="1398" spans="1:5" x14ac:dyDescent="0.3">
      <c r="A1398">
        <v>381247214</v>
      </c>
      <c r="B1398">
        <v>721314</v>
      </c>
      <c r="C1398" s="1">
        <v>45363</v>
      </c>
      <c r="D1398" t="s">
        <v>3490</v>
      </c>
      <c r="E1398">
        <f>IF(ISNUMBER(MATCH(marketing_events_raw[[#This Row],[customer_id]], customers_clean!A:A, 0)), 1, 0)</f>
        <v>1</v>
      </c>
    </row>
    <row r="1399" spans="1:5" x14ac:dyDescent="0.3">
      <c r="A1399">
        <v>368705960</v>
      </c>
      <c r="B1399">
        <v>372935</v>
      </c>
      <c r="C1399" s="1">
        <v>45177</v>
      </c>
      <c r="D1399" t="s">
        <v>3492</v>
      </c>
      <c r="E1399">
        <f>IF(ISNUMBER(MATCH(marketing_events_raw[[#This Row],[customer_id]], customers_clean!A:A, 0)), 1, 0)</f>
        <v>1</v>
      </c>
    </row>
    <row r="1400" spans="1:5" x14ac:dyDescent="0.3">
      <c r="A1400">
        <v>504916285</v>
      </c>
      <c r="B1400">
        <v>121026</v>
      </c>
      <c r="C1400" s="1">
        <v>45485</v>
      </c>
      <c r="D1400" t="s">
        <v>3491</v>
      </c>
      <c r="E1400">
        <f>IF(ISNUMBER(MATCH(marketing_events_raw[[#This Row],[customer_id]], customers_clean!A:A, 0)), 1, 0)</f>
        <v>1</v>
      </c>
    </row>
    <row r="1401" spans="1:5" x14ac:dyDescent="0.3">
      <c r="A1401">
        <v>516074078</v>
      </c>
      <c r="B1401">
        <v>439966</v>
      </c>
      <c r="C1401" s="1">
        <v>45596</v>
      </c>
      <c r="D1401" t="s">
        <v>3491</v>
      </c>
      <c r="E1401">
        <f>IF(ISNUMBER(MATCH(marketing_events_raw[[#This Row],[customer_id]], customers_clean!A:A, 0)), 1, 0)</f>
        <v>1</v>
      </c>
    </row>
    <row r="1402" spans="1:5" x14ac:dyDescent="0.3">
      <c r="A1402">
        <v>618656232</v>
      </c>
      <c r="B1402">
        <v>970840</v>
      </c>
      <c r="C1402" s="1">
        <v>44426</v>
      </c>
      <c r="D1402" t="s">
        <v>3489</v>
      </c>
      <c r="E1402">
        <f>IF(ISNUMBER(MATCH(marketing_events_raw[[#This Row],[customer_id]], customers_clean!A:A, 0)), 1, 0)</f>
        <v>1</v>
      </c>
    </row>
    <row r="1403" spans="1:5" x14ac:dyDescent="0.3">
      <c r="A1403">
        <v>505234948</v>
      </c>
      <c r="B1403">
        <v>321791</v>
      </c>
      <c r="C1403" s="1">
        <v>45510</v>
      </c>
      <c r="D1403" t="s">
        <v>3491</v>
      </c>
      <c r="E1403">
        <f>IF(ISNUMBER(MATCH(marketing_events_raw[[#This Row],[customer_id]], customers_clean!A:A, 0)), 1, 0)</f>
        <v>1</v>
      </c>
    </row>
    <row r="1404" spans="1:5" x14ac:dyDescent="0.3">
      <c r="A1404">
        <v>936884791</v>
      </c>
      <c r="B1404">
        <v>472724</v>
      </c>
      <c r="C1404" s="1">
        <v>44855</v>
      </c>
      <c r="D1404" t="s">
        <v>3490</v>
      </c>
      <c r="E1404">
        <f>IF(ISNUMBER(MATCH(marketing_events_raw[[#This Row],[customer_id]], customers_clean!A:A, 0)), 1, 0)</f>
        <v>1</v>
      </c>
    </row>
    <row r="1405" spans="1:5" x14ac:dyDescent="0.3">
      <c r="A1405">
        <v>130394212</v>
      </c>
      <c r="B1405">
        <v>235193</v>
      </c>
      <c r="C1405" s="1">
        <v>44951</v>
      </c>
      <c r="D1405" t="s">
        <v>3491</v>
      </c>
      <c r="E1405">
        <f>IF(ISNUMBER(MATCH(marketing_events_raw[[#This Row],[customer_id]], customers_clean!A:A, 0)), 1, 0)</f>
        <v>1</v>
      </c>
    </row>
    <row r="1406" spans="1:5" x14ac:dyDescent="0.3">
      <c r="A1406">
        <v>336104362</v>
      </c>
      <c r="B1406">
        <v>525581</v>
      </c>
      <c r="C1406" s="1">
        <v>45378</v>
      </c>
      <c r="D1406" t="s">
        <v>3493</v>
      </c>
      <c r="E1406">
        <f>IF(ISNUMBER(MATCH(marketing_events_raw[[#This Row],[customer_id]], customers_clean!A:A, 0)), 1, 0)</f>
        <v>1</v>
      </c>
    </row>
    <row r="1407" spans="1:5" x14ac:dyDescent="0.3">
      <c r="A1407">
        <v>747843616</v>
      </c>
      <c r="B1407">
        <v>904092</v>
      </c>
      <c r="C1407" s="1">
        <v>44848</v>
      </c>
      <c r="D1407" t="s">
        <v>3487</v>
      </c>
      <c r="E1407">
        <f>IF(ISNUMBER(MATCH(marketing_events_raw[[#This Row],[customer_id]], customers_clean!A:A, 0)), 1, 0)</f>
        <v>1</v>
      </c>
    </row>
    <row r="1408" spans="1:5" x14ac:dyDescent="0.3">
      <c r="A1408">
        <v>882689612</v>
      </c>
      <c r="B1408">
        <v>365271</v>
      </c>
      <c r="C1408" s="1">
        <v>44846</v>
      </c>
      <c r="D1408" t="s">
        <v>3493</v>
      </c>
      <c r="E1408">
        <f>IF(ISNUMBER(MATCH(marketing_events_raw[[#This Row],[customer_id]], customers_clean!A:A, 0)), 1, 0)</f>
        <v>1</v>
      </c>
    </row>
    <row r="1409" spans="1:5" x14ac:dyDescent="0.3">
      <c r="A1409">
        <v>184565680</v>
      </c>
      <c r="B1409">
        <v>970840</v>
      </c>
      <c r="C1409" s="1">
        <v>45087</v>
      </c>
      <c r="D1409" t="s">
        <v>3491</v>
      </c>
      <c r="E1409">
        <f>IF(ISNUMBER(MATCH(marketing_events_raw[[#This Row],[customer_id]], customers_clean!A:A, 0)), 1, 0)</f>
        <v>1</v>
      </c>
    </row>
    <row r="1410" spans="1:5" x14ac:dyDescent="0.3">
      <c r="A1410">
        <v>294481468</v>
      </c>
      <c r="B1410">
        <v>275939</v>
      </c>
      <c r="C1410" s="1">
        <v>44678</v>
      </c>
      <c r="D1410" t="s">
        <v>3488</v>
      </c>
      <c r="E1410">
        <f>IF(ISNUMBER(MATCH(marketing_events_raw[[#This Row],[customer_id]], customers_clean!A:A, 0)), 1, 0)</f>
        <v>1</v>
      </c>
    </row>
    <row r="1411" spans="1:5" x14ac:dyDescent="0.3">
      <c r="A1411">
        <v>859078422</v>
      </c>
      <c r="B1411">
        <v>212157</v>
      </c>
      <c r="C1411" s="1">
        <v>45598</v>
      </c>
      <c r="D1411" t="s">
        <v>3490</v>
      </c>
      <c r="E1411">
        <f>IF(ISNUMBER(MATCH(marketing_events_raw[[#This Row],[customer_id]], customers_clean!A:A, 0)), 1, 0)</f>
        <v>1</v>
      </c>
    </row>
    <row r="1412" spans="1:5" x14ac:dyDescent="0.3">
      <c r="A1412">
        <v>810087627</v>
      </c>
      <c r="B1412">
        <v>339030</v>
      </c>
      <c r="C1412" s="1">
        <v>44725</v>
      </c>
      <c r="D1412" t="s">
        <v>3487</v>
      </c>
      <c r="E1412">
        <f>IF(ISNUMBER(MATCH(marketing_events_raw[[#This Row],[customer_id]], customers_clean!A:A, 0)), 1, 0)</f>
        <v>1</v>
      </c>
    </row>
    <row r="1413" spans="1:5" x14ac:dyDescent="0.3">
      <c r="A1413">
        <v>161902389</v>
      </c>
      <c r="B1413">
        <v>748985</v>
      </c>
      <c r="C1413" s="1">
        <v>45167</v>
      </c>
      <c r="D1413" t="s">
        <v>3492</v>
      </c>
      <c r="E1413">
        <f>IF(ISNUMBER(MATCH(marketing_events_raw[[#This Row],[customer_id]], customers_clean!A:A, 0)), 1, 0)</f>
        <v>1</v>
      </c>
    </row>
    <row r="1414" spans="1:5" x14ac:dyDescent="0.3">
      <c r="A1414">
        <v>742430594</v>
      </c>
      <c r="B1414">
        <v>119943</v>
      </c>
      <c r="C1414" s="1">
        <v>44838</v>
      </c>
      <c r="D1414" t="s">
        <v>3492</v>
      </c>
      <c r="E1414">
        <f>IF(ISNUMBER(MATCH(marketing_events_raw[[#This Row],[customer_id]], customers_clean!A:A, 0)), 1, 0)</f>
        <v>1</v>
      </c>
    </row>
    <row r="1415" spans="1:5" x14ac:dyDescent="0.3">
      <c r="A1415">
        <v>169163934</v>
      </c>
      <c r="B1415">
        <v>270387</v>
      </c>
      <c r="C1415" s="1">
        <v>44471</v>
      </c>
      <c r="D1415" t="s">
        <v>3492</v>
      </c>
      <c r="E1415">
        <f>IF(ISNUMBER(MATCH(marketing_events_raw[[#This Row],[customer_id]], customers_clean!A:A, 0)), 1, 0)</f>
        <v>1</v>
      </c>
    </row>
    <row r="1416" spans="1:5" x14ac:dyDescent="0.3">
      <c r="A1416">
        <v>153557785</v>
      </c>
      <c r="B1416">
        <v>772528</v>
      </c>
      <c r="C1416" s="1">
        <v>45154</v>
      </c>
      <c r="D1416" t="s">
        <v>3493</v>
      </c>
      <c r="E1416">
        <f>IF(ISNUMBER(MATCH(marketing_events_raw[[#This Row],[customer_id]], customers_clean!A:A, 0)), 1, 0)</f>
        <v>1</v>
      </c>
    </row>
    <row r="1417" spans="1:5" x14ac:dyDescent="0.3">
      <c r="A1417">
        <v>836147999</v>
      </c>
      <c r="B1417">
        <v>738359</v>
      </c>
      <c r="C1417" s="1">
        <v>44679</v>
      </c>
      <c r="D1417" t="s">
        <v>3491</v>
      </c>
      <c r="E1417">
        <f>IF(ISNUMBER(MATCH(marketing_events_raw[[#This Row],[customer_id]], customers_clean!A:A, 0)), 1, 0)</f>
        <v>1</v>
      </c>
    </row>
    <row r="1418" spans="1:5" x14ac:dyDescent="0.3">
      <c r="A1418">
        <v>201133403</v>
      </c>
      <c r="B1418">
        <v>659835</v>
      </c>
      <c r="C1418" s="1">
        <v>44549</v>
      </c>
      <c r="D1418" t="s">
        <v>3491</v>
      </c>
      <c r="E1418">
        <f>IF(ISNUMBER(MATCH(marketing_events_raw[[#This Row],[customer_id]], customers_clean!A:A, 0)), 1, 0)</f>
        <v>1</v>
      </c>
    </row>
    <row r="1419" spans="1:5" x14ac:dyDescent="0.3">
      <c r="A1419">
        <v>584969042</v>
      </c>
      <c r="B1419">
        <v>739244</v>
      </c>
      <c r="C1419" s="1">
        <v>44730</v>
      </c>
      <c r="D1419" t="s">
        <v>3489</v>
      </c>
      <c r="E1419">
        <f>IF(ISNUMBER(MATCH(marketing_events_raw[[#This Row],[customer_id]], customers_clean!A:A, 0)), 1, 0)</f>
        <v>1</v>
      </c>
    </row>
    <row r="1420" spans="1:5" x14ac:dyDescent="0.3">
      <c r="A1420">
        <v>651434054</v>
      </c>
      <c r="B1420">
        <v>258975</v>
      </c>
      <c r="C1420" s="1">
        <v>44703</v>
      </c>
      <c r="D1420" t="s">
        <v>3492</v>
      </c>
      <c r="E1420">
        <f>IF(ISNUMBER(MATCH(marketing_events_raw[[#This Row],[customer_id]], customers_clean!A:A, 0)), 1, 0)</f>
        <v>1</v>
      </c>
    </row>
    <row r="1421" spans="1:5" x14ac:dyDescent="0.3">
      <c r="A1421">
        <v>615196616</v>
      </c>
      <c r="B1421">
        <v>585494</v>
      </c>
      <c r="C1421" s="1">
        <v>44636</v>
      </c>
      <c r="D1421" t="s">
        <v>3491</v>
      </c>
      <c r="E1421">
        <f>IF(ISNUMBER(MATCH(marketing_events_raw[[#This Row],[customer_id]], customers_clean!A:A, 0)), 1, 0)</f>
        <v>1</v>
      </c>
    </row>
    <row r="1422" spans="1:5" x14ac:dyDescent="0.3">
      <c r="A1422">
        <v>306780716</v>
      </c>
      <c r="B1422">
        <v>849937</v>
      </c>
      <c r="C1422" s="1">
        <v>44423</v>
      </c>
      <c r="D1422" t="s">
        <v>3490</v>
      </c>
      <c r="E1422">
        <f>IF(ISNUMBER(MATCH(marketing_events_raw[[#This Row],[customer_id]], customers_clean!A:A, 0)), 1, 0)</f>
        <v>1</v>
      </c>
    </row>
    <row r="1423" spans="1:5" x14ac:dyDescent="0.3">
      <c r="A1423">
        <v>676034101</v>
      </c>
      <c r="B1423">
        <v>506224</v>
      </c>
      <c r="C1423" s="1">
        <v>44615</v>
      </c>
      <c r="D1423" t="s">
        <v>3487</v>
      </c>
      <c r="E1423">
        <f>IF(ISNUMBER(MATCH(marketing_events_raw[[#This Row],[customer_id]], customers_clean!A:A, 0)), 1, 0)</f>
        <v>1</v>
      </c>
    </row>
    <row r="1424" spans="1:5" x14ac:dyDescent="0.3">
      <c r="A1424">
        <v>847886206</v>
      </c>
      <c r="B1424">
        <v>882758</v>
      </c>
      <c r="C1424" s="1">
        <v>45576</v>
      </c>
      <c r="D1424" t="s">
        <v>3488</v>
      </c>
      <c r="E1424">
        <f>IF(ISNUMBER(MATCH(marketing_events_raw[[#This Row],[customer_id]], customers_clean!A:A, 0)), 1, 0)</f>
        <v>1</v>
      </c>
    </row>
    <row r="1425" spans="1:5" x14ac:dyDescent="0.3">
      <c r="A1425">
        <v>530010569</v>
      </c>
      <c r="B1425">
        <v>979414</v>
      </c>
      <c r="C1425" s="1">
        <v>44491</v>
      </c>
      <c r="D1425" t="s">
        <v>3488</v>
      </c>
      <c r="E1425">
        <f>IF(ISNUMBER(MATCH(marketing_events_raw[[#This Row],[customer_id]], customers_clean!A:A, 0)), 1, 0)</f>
        <v>1</v>
      </c>
    </row>
    <row r="1426" spans="1:5" x14ac:dyDescent="0.3">
      <c r="A1426">
        <v>988396112</v>
      </c>
      <c r="B1426">
        <v>353777</v>
      </c>
      <c r="C1426" s="1">
        <v>45365</v>
      </c>
      <c r="D1426" t="s">
        <v>3492</v>
      </c>
      <c r="E1426">
        <f>IF(ISNUMBER(MATCH(marketing_events_raw[[#This Row],[customer_id]], customers_clean!A:A, 0)), 1, 0)</f>
        <v>1</v>
      </c>
    </row>
    <row r="1427" spans="1:5" x14ac:dyDescent="0.3">
      <c r="A1427">
        <v>827079108</v>
      </c>
      <c r="B1427">
        <v>320073</v>
      </c>
      <c r="C1427" s="1">
        <v>45299</v>
      </c>
      <c r="D1427" t="s">
        <v>3491</v>
      </c>
      <c r="E1427">
        <f>IF(ISNUMBER(MATCH(marketing_events_raw[[#This Row],[customer_id]], customers_clean!A:A, 0)), 1, 0)</f>
        <v>1</v>
      </c>
    </row>
    <row r="1428" spans="1:5" x14ac:dyDescent="0.3">
      <c r="A1428">
        <v>758012585</v>
      </c>
      <c r="B1428">
        <v>753425</v>
      </c>
      <c r="C1428" s="1">
        <v>45448</v>
      </c>
      <c r="D1428" t="s">
        <v>3493</v>
      </c>
      <c r="E1428">
        <f>IF(ISNUMBER(MATCH(marketing_events_raw[[#This Row],[customer_id]], customers_clean!A:A, 0)), 1, 0)</f>
        <v>1</v>
      </c>
    </row>
    <row r="1429" spans="1:5" x14ac:dyDescent="0.3">
      <c r="A1429">
        <v>370630544</v>
      </c>
      <c r="B1429">
        <v>820420</v>
      </c>
      <c r="C1429" s="1">
        <v>45562</v>
      </c>
      <c r="D1429" t="s">
        <v>3487</v>
      </c>
      <c r="E1429">
        <f>IF(ISNUMBER(MATCH(marketing_events_raw[[#This Row],[customer_id]], customers_clean!A:A, 0)), 1, 0)</f>
        <v>1</v>
      </c>
    </row>
    <row r="1430" spans="1:5" x14ac:dyDescent="0.3">
      <c r="A1430">
        <v>405865521</v>
      </c>
      <c r="B1430">
        <v>726909</v>
      </c>
      <c r="C1430" s="1">
        <v>45573</v>
      </c>
      <c r="D1430" t="s">
        <v>3491</v>
      </c>
      <c r="E1430">
        <f>IF(ISNUMBER(MATCH(marketing_events_raw[[#This Row],[customer_id]], customers_clean!A:A, 0)), 1, 0)</f>
        <v>1</v>
      </c>
    </row>
    <row r="1431" spans="1:5" x14ac:dyDescent="0.3">
      <c r="A1431">
        <v>581890704</v>
      </c>
      <c r="B1431">
        <v>556839</v>
      </c>
      <c r="C1431" s="1">
        <v>45611</v>
      </c>
      <c r="D1431" t="s">
        <v>3490</v>
      </c>
      <c r="E1431">
        <f>IF(ISNUMBER(MATCH(marketing_events_raw[[#This Row],[customer_id]], customers_clean!A:A, 0)), 1, 0)</f>
        <v>1</v>
      </c>
    </row>
    <row r="1432" spans="1:5" x14ac:dyDescent="0.3">
      <c r="A1432">
        <v>439005882</v>
      </c>
      <c r="B1432">
        <v>450533</v>
      </c>
      <c r="C1432" s="1">
        <v>44712</v>
      </c>
      <c r="D1432" t="s">
        <v>3488</v>
      </c>
      <c r="E1432">
        <f>IF(ISNUMBER(MATCH(marketing_events_raw[[#This Row],[customer_id]], customers_clean!A:A, 0)), 1, 0)</f>
        <v>1</v>
      </c>
    </row>
    <row r="1433" spans="1:5" x14ac:dyDescent="0.3">
      <c r="A1433">
        <v>244763884</v>
      </c>
      <c r="B1433">
        <v>985447</v>
      </c>
      <c r="C1433" s="1">
        <v>44600</v>
      </c>
      <c r="D1433" t="s">
        <v>3487</v>
      </c>
      <c r="E1433">
        <f>IF(ISNUMBER(MATCH(marketing_events_raw[[#This Row],[customer_id]], customers_clean!A:A, 0)), 1, 0)</f>
        <v>1</v>
      </c>
    </row>
    <row r="1434" spans="1:5" x14ac:dyDescent="0.3">
      <c r="A1434">
        <v>233400417</v>
      </c>
      <c r="B1434">
        <v>944809</v>
      </c>
      <c r="C1434" s="1">
        <v>44608</v>
      </c>
      <c r="D1434" t="s">
        <v>3492</v>
      </c>
      <c r="E1434">
        <f>IF(ISNUMBER(MATCH(marketing_events_raw[[#This Row],[customer_id]], customers_clean!A:A, 0)), 1, 0)</f>
        <v>1</v>
      </c>
    </row>
    <row r="1435" spans="1:5" x14ac:dyDescent="0.3">
      <c r="A1435">
        <v>686569334</v>
      </c>
      <c r="B1435">
        <v>593002</v>
      </c>
      <c r="C1435" s="1">
        <v>45220</v>
      </c>
      <c r="D1435" t="s">
        <v>3488</v>
      </c>
      <c r="E1435">
        <f>IF(ISNUMBER(MATCH(marketing_events_raw[[#This Row],[customer_id]], customers_clean!A:A, 0)), 1, 0)</f>
        <v>1</v>
      </c>
    </row>
    <row r="1436" spans="1:5" x14ac:dyDescent="0.3">
      <c r="A1436">
        <v>460510585</v>
      </c>
      <c r="B1436">
        <v>608960</v>
      </c>
      <c r="C1436" s="1">
        <v>45237</v>
      </c>
      <c r="D1436" t="s">
        <v>3492</v>
      </c>
      <c r="E1436">
        <f>IF(ISNUMBER(MATCH(marketing_events_raw[[#This Row],[customer_id]], customers_clean!A:A, 0)), 1, 0)</f>
        <v>1</v>
      </c>
    </row>
    <row r="1437" spans="1:5" x14ac:dyDescent="0.3">
      <c r="A1437">
        <v>654892299</v>
      </c>
      <c r="B1437">
        <v>782759</v>
      </c>
      <c r="C1437" s="1">
        <v>44576</v>
      </c>
      <c r="D1437" t="s">
        <v>3491</v>
      </c>
      <c r="E1437">
        <f>IF(ISNUMBER(MATCH(marketing_events_raw[[#This Row],[customer_id]], customers_clean!A:A, 0)), 1, 0)</f>
        <v>1</v>
      </c>
    </row>
    <row r="1438" spans="1:5" x14ac:dyDescent="0.3">
      <c r="A1438">
        <v>765517055</v>
      </c>
      <c r="B1438">
        <v>702733</v>
      </c>
      <c r="C1438" s="1">
        <v>45476</v>
      </c>
      <c r="D1438" t="s">
        <v>3493</v>
      </c>
      <c r="E1438">
        <f>IF(ISNUMBER(MATCH(marketing_events_raw[[#This Row],[customer_id]], customers_clean!A:A, 0)), 1, 0)</f>
        <v>1</v>
      </c>
    </row>
    <row r="1439" spans="1:5" x14ac:dyDescent="0.3">
      <c r="A1439">
        <v>209527547</v>
      </c>
      <c r="B1439">
        <v>222621</v>
      </c>
      <c r="C1439" s="1">
        <v>44401</v>
      </c>
      <c r="D1439" t="s">
        <v>3487</v>
      </c>
      <c r="E1439">
        <f>IF(ISNUMBER(MATCH(marketing_events_raw[[#This Row],[customer_id]], customers_clean!A:A, 0)), 1, 0)</f>
        <v>1</v>
      </c>
    </row>
    <row r="1440" spans="1:5" x14ac:dyDescent="0.3">
      <c r="A1440">
        <v>182645358</v>
      </c>
      <c r="B1440">
        <v>468900</v>
      </c>
      <c r="C1440" s="1">
        <v>45390</v>
      </c>
      <c r="D1440" t="s">
        <v>3489</v>
      </c>
      <c r="E1440">
        <f>IF(ISNUMBER(MATCH(marketing_events_raw[[#This Row],[customer_id]], customers_clean!A:A, 0)), 1, 0)</f>
        <v>1</v>
      </c>
    </row>
    <row r="1441" spans="1:5" x14ac:dyDescent="0.3">
      <c r="A1441">
        <v>778435781</v>
      </c>
      <c r="B1441">
        <v>984274</v>
      </c>
      <c r="C1441" s="1">
        <v>45023</v>
      </c>
      <c r="D1441" t="s">
        <v>3487</v>
      </c>
      <c r="E1441">
        <f>IF(ISNUMBER(MATCH(marketing_events_raw[[#This Row],[customer_id]], customers_clean!A:A, 0)), 1, 0)</f>
        <v>1</v>
      </c>
    </row>
    <row r="1442" spans="1:5" x14ac:dyDescent="0.3">
      <c r="A1442">
        <v>361191977</v>
      </c>
      <c r="B1442">
        <v>160718</v>
      </c>
      <c r="C1442" s="1">
        <v>44575</v>
      </c>
      <c r="D1442" t="s">
        <v>3487</v>
      </c>
      <c r="E1442">
        <f>IF(ISNUMBER(MATCH(marketing_events_raw[[#This Row],[customer_id]], customers_clean!A:A, 0)), 1, 0)</f>
        <v>1</v>
      </c>
    </row>
    <row r="1443" spans="1:5" x14ac:dyDescent="0.3">
      <c r="A1443">
        <v>314873195</v>
      </c>
      <c r="B1443">
        <v>439966</v>
      </c>
      <c r="C1443" s="1">
        <v>44574</v>
      </c>
      <c r="D1443" t="s">
        <v>3489</v>
      </c>
      <c r="E1443">
        <f>IF(ISNUMBER(MATCH(marketing_events_raw[[#This Row],[customer_id]], customers_clean!A:A, 0)), 1, 0)</f>
        <v>1</v>
      </c>
    </row>
    <row r="1444" spans="1:5" x14ac:dyDescent="0.3">
      <c r="A1444">
        <v>740355658</v>
      </c>
      <c r="B1444">
        <v>314140</v>
      </c>
      <c r="C1444" s="1">
        <v>45326</v>
      </c>
      <c r="D1444" t="s">
        <v>3492</v>
      </c>
      <c r="E1444">
        <f>IF(ISNUMBER(MATCH(marketing_events_raw[[#This Row],[customer_id]], customers_clean!A:A, 0)), 1, 0)</f>
        <v>1</v>
      </c>
    </row>
    <row r="1445" spans="1:5" x14ac:dyDescent="0.3">
      <c r="A1445">
        <v>994215458</v>
      </c>
      <c r="B1445">
        <v>580067</v>
      </c>
      <c r="C1445" s="1">
        <v>45103</v>
      </c>
      <c r="D1445" t="s">
        <v>3487</v>
      </c>
      <c r="E1445">
        <f>IF(ISNUMBER(MATCH(marketing_events_raw[[#This Row],[customer_id]], customers_clean!A:A, 0)), 1, 0)</f>
        <v>1</v>
      </c>
    </row>
    <row r="1446" spans="1:5" x14ac:dyDescent="0.3">
      <c r="A1446">
        <v>978295149</v>
      </c>
      <c r="B1446">
        <v>299659</v>
      </c>
      <c r="C1446" s="1">
        <v>44746</v>
      </c>
      <c r="D1446" t="s">
        <v>3493</v>
      </c>
      <c r="E1446">
        <f>IF(ISNUMBER(MATCH(marketing_events_raw[[#This Row],[customer_id]], customers_clean!A:A, 0)), 1, 0)</f>
        <v>1</v>
      </c>
    </row>
    <row r="1447" spans="1:5" x14ac:dyDescent="0.3">
      <c r="A1447">
        <v>908843777</v>
      </c>
      <c r="B1447">
        <v>156964</v>
      </c>
      <c r="C1447" s="1">
        <v>45230</v>
      </c>
      <c r="D1447" t="s">
        <v>3490</v>
      </c>
      <c r="E1447">
        <f>IF(ISNUMBER(MATCH(marketing_events_raw[[#This Row],[customer_id]], customers_clean!A:A, 0)), 1, 0)</f>
        <v>1</v>
      </c>
    </row>
    <row r="1448" spans="1:5" x14ac:dyDescent="0.3">
      <c r="A1448">
        <v>549417224</v>
      </c>
      <c r="B1448">
        <v>907503</v>
      </c>
      <c r="C1448" s="1">
        <v>45604</v>
      </c>
      <c r="D1448" t="s">
        <v>3492</v>
      </c>
      <c r="E1448">
        <f>IF(ISNUMBER(MATCH(marketing_events_raw[[#This Row],[customer_id]], customers_clean!A:A, 0)), 1, 0)</f>
        <v>1</v>
      </c>
    </row>
    <row r="1449" spans="1:5" x14ac:dyDescent="0.3">
      <c r="A1449">
        <v>753696627</v>
      </c>
      <c r="B1449">
        <v>484264</v>
      </c>
      <c r="C1449" s="1">
        <v>45222</v>
      </c>
      <c r="D1449" t="s">
        <v>3489</v>
      </c>
      <c r="E1449">
        <f>IF(ISNUMBER(MATCH(marketing_events_raw[[#This Row],[customer_id]], customers_clean!A:A, 0)), 1, 0)</f>
        <v>1</v>
      </c>
    </row>
    <row r="1450" spans="1:5" x14ac:dyDescent="0.3">
      <c r="A1450">
        <v>623989827</v>
      </c>
      <c r="B1450">
        <v>358771</v>
      </c>
      <c r="C1450" s="1">
        <v>45530</v>
      </c>
      <c r="D1450" t="s">
        <v>3491</v>
      </c>
      <c r="E1450">
        <f>IF(ISNUMBER(MATCH(marketing_events_raw[[#This Row],[customer_id]], customers_clean!A:A, 0)), 1, 0)</f>
        <v>1</v>
      </c>
    </row>
    <row r="1451" spans="1:5" x14ac:dyDescent="0.3">
      <c r="A1451">
        <v>176268517</v>
      </c>
      <c r="B1451">
        <v>694116</v>
      </c>
      <c r="C1451" s="1">
        <v>44563</v>
      </c>
      <c r="D1451" t="s">
        <v>3491</v>
      </c>
      <c r="E1451">
        <f>IF(ISNUMBER(MATCH(marketing_events_raw[[#This Row],[customer_id]], customers_clean!A:A, 0)), 1, 0)</f>
        <v>1</v>
      </c>
    </row>
    <row r="1452" spans="1:5" x14ac:dyDescent="0.3">
      <c r="A1452">
        <v>326837785</v>
      </c>
      <c r="B1452">
        <v>200195</v>
      </c>
      <c r="C1452" s="1">
        <v>45458</v>
      </c>
      <c r="D1452" t="s">
        <v>3488</v>
      </c>
      <c r="E1452">
        <f>IF(ISNUMBER(MATCH(marketing_events_raw[[#This Row],[customer_id]], customers_clean!A:A, 0)), 1, 0)</f>
        <v>1</v>
      </c>
    </row>
    <row r="1453" spans="1:5" x14ac:dyDescent="0.3">
      <c r="A1453">
        <v>840604276</v>
      </c>
      <c r="B1453">
        <v>829765</v>
      </c>
      <c r="C1453" s="1">
        <v>45590</v>
      </c>
      <c r="D1453" t="s">
        <v>3493</v>
      </c>
      <c r="E1453">
        <f>IF(ISNUMBER(MATCH(marketing_events_raw[[#This Row],[customer_id]], customers_clean!A:A, 0)), 1, 0)</f>
        <v>1</v>
      </c>
    </row>
    <row r="1454" spans="1:5" x14ac:dyDescent="0.3">
      <c r="A1454">
        <v>723588438</v>
      </c>
      <c r="B1454">
        <v>623460</v>
      </c>
      <c r="C1454" s="1">
        <v>45580</v>
      </c>
      <c r="D1454" t="s">
        <v>3490</v>
      </c>
      <c r="E1454">
        <f>IF(ISNUMBER(MATCH(marketing_events_raw[[#This Row],[customer_id]], customers_clean!A:A, 0)), 1, 0)</f>
        <v>1</v>
      </c>
    </row>
    <row r="1455" spans="1:5" x14ac:dyDescent="0.3">
      <c r="A1455">
        <v>520867993</v>
      </c>
      <c r="B1455">
        <v>476485</v>
      </c>
      <c r="C1455" s="1">
        <v>45468</v>
      </c>
      <c r="D1455" t="s">
        <v>3489</v>
      </c>
      <c r="E1455">
        <f>IF(ISNUMBER(MATCH(marketing_events_raw[[#This Row],[customer_id]], customers_clean!A:A, 0)), 1, 0)</f>
        <v>1</v>
      </c>
    </row>
    <row r="1456" spans="1:5" x14ac:dyDescent="0.3">
      <c r="A1456">
        <v>849149017</v>
      </c>
      <c r="B1456">
        <v>252640</v>
      </c>
      <c r="C1456" s="1">
        <v>44478</v>
      </c>
      <c r="D1456" t="s">
        <v>3490</v>
      </c>
      <c r="E1456">
        <f>IF(ISNUMBER(MATCH(marketing_events_raw[[#This Row],[customer_id]], customers_clean!A:A, 0)), 1, 0)</f>
        <v>1</v>
      </c>
    </row>
    <row r="1457" spans="1:5" x14ac:dyDescent="0.3">
      <c r="A1457">
        <v>919919786</v>
      </c>
      <c r="B1457">
        <v>296243</v>
      </c>
      <c r="C1457" s="1">
        <v>44806</v>
      </c>
      <c r="D1457" t="s">
        <v>3493</v>
      </c>
      <c r="E1457">
        <f>IF(ISNUMBER(MATCH(marketing_events_raw[[#This Row],[customer_id]], customers_clean!A:A, 0)), 1, 0)</f>
        <v>1</v>
      </c>
    </row>
    <row r="1458" spans="1:5" x14ac:dyDescent="0.3">
      <c r="A1458">
        <v>984009702</v>
      </c>
      <c r="B1458">
        <v>136332</v>
      </c>
      <c r="C1458" s="1">
        <v>44408</v>
      </c>
      <c r="D1458" t="s">
        <v>3487</v>
      </c>
      <c r="E1458">
        <f>IF(ISNUMBER(MATCH(marketing_events_raw[[#This Row],[customer_id]], customers_clean!A:A, 0)), 1, 0)</f>
        <v>1</v>
      </c>
    </row>
    <row r="1459" spans="1:5" x14ac:dyDescent="0.3">
      <c r="A1459">
        <v>182527518</v>
      </c>
      <c r="B1459">
        <v>124906</v>
      </c>
      <c r="C1459" s="1">
        <v>45254</v>
      </c>
      <c r="D1459" t="s">
        <v>3487</v>
      </c>
      <c r="E1459">
        <f>IF(ISNUMBER(MATCH(marketing_events_raw[[#This Row],[customer_id]], customers_clean!A:A, 0)), 1, 0)</f>
        <v>1</v>
      </c>
    </row>
    <row r="1460" spans="1:5" x14ac:dyDescent="0.3">
      <c r="A1460">
        <v>473725524</v>
      </c>
      <c r="B1460">
        <v>204904</v>
      </c>
      <c r="C1460" s="1">
        <v>44768</v>
      </c>
      <c r="D1460" t="s">
        <v>3488</v>
      </c>
      <c r="E1460">
        <f>IF(ISNUMBER(MATCH(marketing_events_raw[[#This Row],[customer_id]], customers_clean!A:A, 0)), 1, 0)</f>
        <v>1</v>
      </c>
    </row>
    <row r="1461" spans="1:5" x14ac:dyDescent="0.3">
      <c r="A1461">
        <v>833653201</v>
      </c>
      <c r="B1461">
        <v>221660</v>
      </c>
      <c r="C1461" s="1">
        <v>44733</v>
      </c>
      <c r="D1461" t="s">
        <v>3490</v>
      </c>
      <c r="E1461">
        <f>IF(ISNUMBER(MATCH(marketing_events_raw[[#This Row],[customer_id]], customers_clean!A:A, 0)), 1, 0)</f>
        <v>1</v>
      </c>
    </row>
    <row r="1462" spans="1:5" x14ac:dyDescent="0.3">
      <c r="A1462">
        <v>517704332</v>
      </c>
      <c r="B1462">
        <v>905625</v>
      </c>
      <c r="C1462" s="1">
        <v>44836</v>
      </c>
      <c r="D1462" t="s">
        <v>3488</v>
      </c>
      <c r="E1462">
        <f>IF(ISNUMBER(MATCH(marketing_events_raw[[#This Row],[customer_id]], customers_clean!A:A, 0)), 1, 0)</f>
        <v>1</v>
      </c>
    </row>
    <row r="1463" spans="1:5" x14ac:dyDescent="0.3">
      <c r="A1463">
        <v>842012632</v>
      </c>
      <c r="B1463">
        <v>544278</v>
      </c>
      <c r="C1463" s="1">
        <v>44780</v>
      </c>
      <c r="D1463" t="s">
        <v>3487</v>
      </c>
      <c r="E1463">
        <f>IF(ISNUMBER(MATCH(marketing_events_raw[[#This Row],[customer_id]], customers_clean!A:A, 0)), 1, 0)</f>
        <v>1</v>
      </c>
    </row>
    <row r="1464" spans="1:5" x14ac:dyDescent="0.3">
      <c r="A1464">
        <v>229422754</v>
      </c>
      <c r="B1464">
        <v>563849</v>
      </c>
      <c r="C1464" s="1">
        <v>44877</v>
      </c>
      <c r="D1464" t="s">
        <v>3490</v>
      </c>
      <c r="E1464">
        <f>IF(ISNUMBER(MATCH(marketing_events_raw[[#This Row],[customer_id]], customers_clean!A:A, 0)), 1, 0)</f>
        <v>1</v>
      </c>
    </row>
    <row r="1465" spans="1:5" x14ac:dyDescent="0.3">
      <c r="A1465">
        <v>604880324</v>
      </c>
      <c r="B1465">
        <v>155708</v>
      </c>
      <c r="C1465" s="1">
        <v>45639</v>
      </c>
      <c r="D1465" t="s">
        <v>3488</v>
      </c>
      <c r="E1465">
        <f>IF(ISNUMBER(MATCH(marketing_events_raw[[#This Row],[customer_id]], customers_clean!A:A, 0)), 1, 0)</f>
        <v>1</v>
      </c>
    </row>
    <row r="1466" spans="1:5" x14ac:dyDescent="0.3">
      <c r="A1466">
        <v>665736748</v>
      </c>
      <c r="B1466">
        <v>421709</v>
      </c>
      <c r="C1466" s="1">
        <v>45056</v>
      </c>
      <c r="D1466" t="s">
        <v>3492</v>
      </c>
      <c r="E1466">
        <f>IF(ISNUMBER(MATCH(marketing_events_raw[[#This Row],[customer_id]], customers_clean!A:A, 0)), 1, 0)</f>
        <v>1</v>
      </c>
    </row>
    <row r="1467" spans="1:5" x14ac:dyDescent="0.3">
      <c r="A1467">
        <v>721047654</v>
      </c>
      <c r="B1467">
        <v>981913</v>
      </c>
      <c r="C1467" s="1">
        <v>44457</v>
      </c>
      <c r="D1467" t="s">
        <v>3488</v>
      </c>
      <c r="E1467">
        <f>IF(ISNUMBER(MATCH(marketing_events_raw[[#This Row],[customer_id]], customers_clean!A:A, 0)), 1, 0)</f>
        <v>1</v>
      </c>
    </row>
    <row r="1468" spans="1:5" x14ac:dyDescent="0.3">
      <c r="A1468">
        <v>148757534</v>
      </c>
      <c r="B1468">
        <v>721497</v>
      </c>
      <c r="C1468" s="1">
        <v>45017</v>
      </c>
      <c r="D1468" t="s">
        <v>3493</v>
      </c>
      <c r="E1468">
        <f>IF(ISNUMBER(MATCH(marketing_events_raw[[#This Row],[customer_id]], customers_clean!A:A, 0)), 1, 0)</f>
        <v>1</v>
      </c>
    </row>
    <row r="1469" spans="1:5" x14ac:dyDescent="0.3">
      <c r="A1469">
        <v>746447648</v>
      </c>
      <c r="B1469">
        <v>544692</v>
      </c>
      <c r="C1469" s="1">
        <v>44497</v>
      </c>
      <c r="D1469" t="s">
        <v>3489</v>
      </c>
      <c r="E1469">
        <f>IF(ISNUMBER(MATCH(marketing_events_raw[[#This Row],[customer_id]], customers_clean!A:A, 0)), 1, 0)</f>
        <v>1</v>
      </c>
    </row>
    <row r="1470" spans="1:5" x14ac:dyDescent="0.3">
      <c r="A1470">
        <v>611339074</v>
      </c>
      <c r="B1470">
        <v>427730</v>
      </c>
      <c r="C1470" s="1">
        <v>44716</v>
      </c>
      <c r="D1470" t="s">
        <v>3491</v>
      </c>
      <c r="E1470">
        <f>IF(ISNUMBER(MATCH(marketing_events_raw[[#This Row],[customer_id]], customers_clean!A:A, 0)), 1, 0)</f>
        <v>1</v>
      </c>
    </row>
    <row r="1471" spans="1:5" x14ac:dyDescent="0.3">
      <c r="A1471">
        <v>483601936</v>
      </c>
      <c r="B1471">
        <v>137581</v>
      </c>
      <c r="C1471" s="1">
        <v>44987</v>
      </c>
      <c r="D1471" t="s">
        <v>3492</v>
      </c>
      <c r="E1471">
        <f>IF(ISNUMBER(MATCH(marketing_events_raw[[#This Row],[customer_id]], customers_clean!A:A, 0)), 1, 0)</f>
        <v>1</v>
      </c>
    </row>
    <row r="1472" spans="1:5" x14ac:dyDescent="0.3">
      <c r="A1472">
        <v>653931084</v>
      </c>
      <c r="B1472">
        <v>850435</v>
      </c>
      <c r="C1472" s="1">
        <v>45063</v>
      </c>
      <c r="D1472" t="s">
        <v>3491</v>
      </c>
      <c r="E1472">
        <f>IF(ISNUMBER(MATCH(marketing_events_raw[[#This Row],[customer_id]], customers_clean!A:A, 0)), 1, 0)</f>
        <v>1</v>
      </c>
    </row>
    <row r="1473" spans="1:5" x14ac:dyDescent="0.3">
      <c r="A1473">
        <v>341492542</v>
      </c>
      <c r="B1473">
        <v>571706</v>
      </c>
      <c r="C1473" s="1">
        <v>45081</v>
      </c>
      <c r="D1473" t="s">
        <v>3493</v>
      </c>
      <c r="E1473">
        <f>IF(ISNUMBER(MATCH(marketing_events_raw[[#This Row],[customer_id]], customers_clean!A:A, 0)), 1, 0)</f>
        <v>1</v>
      </c>
    </row>
    <row r="1474" spans="1:5" x14ac:dyDescent="0.3">
      <c r="A1474">
        <v>552150502</v>
      </c>
      <c r="B1474">
        <v>758309</v>
      </c>
      <c r="C1474" s="1">
        <v>44862</v>
      </c>
      <c r="D1474" t="s">
        <v>3493</v>
      </c>
      <c r="E1474">
        <f>IF(ISNUMBER(MATCH(marketing_events_raw[[#This Row],[customer_id]], customers_clean!A:A, 0)), 1, 0)</f>
        <v>1</v>
      </c>
    </row>
    <row r="1475" spans="1:5" x14ac:dyDescent="0.3">
      <c r="A1475">
        <v>741777576</v>
      </c>
      <c r="B1475">
        <v>989545</v>
      </c>
      <c r="C1475" s="1">
        <v>45582</v>
      </c>
      <c r="D1475" t="s">
        <v>3491</v>
      </c>
      <c r="E1475">
        <f>IF(ISNUMBER(MATCH(marketing_events_raw[[#This Row],[customer_id]], customers_clean!A:A, 0)), 1, 0)</f>
        <v>1</v>
      </c>
    </row>
    <row r="1476" spans="1:5" x14ac:dyDescent="0.3">
      <c r="A1476">
        <v>914437908</v>
      </c>
      <c r="B1476">
        <v>898461</v>
      </c>
      <c r="C1476" s="1">
        <v>44635</v>
      </c>
      <c r="D1476" t="s">
        <v>3489</v>
      </c>
      <c r="E1476">
        <f>IF(ISNUMBER(MATCH(marketing_events_raw[[#This Row],[customer_id]], customers_clean!A:A, 0)), 1, 0)</f>
        <v>1</v>
      </c>
    </row>
    <row r="1477" spans="1:5" x14ac:dyDescent="0.3">
      <c r="A1477">
        <v>617360044</v>
      </c>
      <c r="B1477">
        <v>113266</v>
      </c>
      <c r="C1477" s="1">
        <v>44952</v>
      </c>
      <c r="D1477" t="s">
        <v>3493</v>
      </c>
      <c r="E1477">
        <f>IF(ISNUMBER(MATCH(marketing_events_raw[[#This Row],[customer_id]], customers_clean!A:A, 0)), 1, 0)</f>
        <v>1</v>
      </c>
    </row>
    <row r="1478" spans="1:5" x14ac:dyDescent="0.3">
      <c r="A1478">
        <v>333890233</v>
      </c>
      <c r="B1478">
        <v>791174</v>
      </c>
      <c r="C1478" s="1">
        <v>45618</v>
      </c>
      <c r="D1478" t="s">
        <v>3493</v>
      </c>
      <c r="E1478">
        <f>IF(ISNUMBER(MATCH(marketing_events_raw[[#This Row],[customer_id]], customers_clean!A:A, 0)), 1, 0)</f>
        <v>1</v>
      </c>
    </row>
    <row r="1479" spans="1:5" x14ac:dyDescent="0.3">
      <c r="A1479">
        <v>265492770</v>
      </c>
      <c r="B1479">
        <v>989587</v>
      </c>
      <c r="C1479" s="1">
        <v>44679</v>
      </c>
      <c r="D1479" t="s">
        <v>3492</v>
      </c>
      <c r="E1479">
        <f>IF(ISNUMBER(MATCH(marketing_events_raw[[#This Row],[customer_id]], customers_clean!A:A, 0)), 1, 0)</f>
        <v>1</v>
      </c>
    </row>
    <row r="1480" spans="1:5" x14ac:dyDescent="0.3">
      <c r="A1480">
        <v>934507540</v>
      </c>
      <c r="B1480">
        <v>749758</v>
      </c>
      <c r="C1480" s="1">
        <v>45082</v>
      </c>
      <c r="D1480" t="s">
        <v>3490</v>
      </c>
      <c r="E1480">
        <f>IF(ISNUMBER(MATCH(marketing_events_raw[[#This Row],[customer_id]], customers_clean!A:A, 0)), 1, 0)</f>
        <v>1</v>
      </c>
    </row>
    <row r="1481" spans="1:5" x14ac:dyDescent="0.3">
      <c r="A1481">
        <v>570240249</v>
      </c>
      <c r="B1481">
        <v>156700</v>
      </c>
      <c r="C1481" s="1">
        <v>44939</v>
      </c>
      <c r="D1481" t="s">
        <v>3490</v>
      </c>
      <c r="E1481">
        <f>IF(ISNUMBER(MATCH(marketing_events_raw[[#This Row],[customer_id]], customers_clean!A:A, 0)), 1, 0)</f>
        <v>1</v>
      </c>
    </row>
    <row r="1482" spans="1:5" x14ac:dyDescent="0.3">
      <c r="A1482">
        <v>995100018</v>
      </c>
      <c r="B1482">
        <v>880623</v>
      </c>
      <c r="C1482" s="1">
        <v>45611</v>
      </c>
      <c r="D1482" t="s">
        <v>3493</v>
      </c>
      <c r="E1482">
        <f>IF(ISNUMBER(MATCH(marketing_events_raw[[#This Row],[customer_id]], customers_clean!A:A, 0)), 1, 0)</f>
        <v>1</v>
      </c>
    </row>
    <row r="1483" spans="1:5" x14ac:dyDescent="0.3">
      <c r="A1483">
        <v>894318411</v>
      </c>
      <c r="B1483">
        <v>929090</v>
      </c>
      <c r="C1483" s="1">
        <v>44759</v>
      </c>
      <c r="D1483" t="s">
        <v>3492</v>
      </c>
      <c r="E1483">
        <f>IF(ISNUMBER(MATCH(marketing_events_raw[[#This Row],[customer_id]], customers_clean!A:A, 0)), 1, 0)</f>
        <v>1</v>
      </c>
    </row>
    <row r="1484" spans="1:5" x14ac:dyDescent="0.3">
      <c r="A1484">
        <v>698773697</v>
      </c>
      <c r="B1484">
        <v>699573</v>
      </c>
      <c r="C1484" s="1">
        <v>44518</v>
      </c>
      <c r="D1484" t="s">
        <v>3493</v>
      </c>
      <c r="E1484">
        <f>IF(ISNUMBER(MATCH(marketing_events_raw[[#This Row],[customer_id]], customers_clean!A:A, 0)), 1, 0)</f>
        <v>1</v>
      </c>
    </row>
    <row r="1485" spans="1:5" x14ac:dyDescent="0.3">
      <c r="A1485">
        <v>893553154</v>
      </c>
      <c r="B1485">
        <v>314353</v>
      </c>
      <c r="C1485" s="1">
        <v>44902</v>
      </c>
      <c r="D1485" t="s">
        <v>3488</v>
      </c>
      <c r="E1485">
        <f>IF(ISNUMBER(MATCH(marketing_events_raw[[#This Row],[customer_id]], customers_clean!A:A, 0)), 1, 0)</f>
        <v>1</v>
      </c>
    </row>
    <row r="1486" spans="1:5" x14ac:dyDescent="0.3">
      <c r="A1486">
        <v>629924898</v>
      </c>
      <c r="B1486">
        <v>106658</v>
      </c>
      <c r="C1486" s="1">
        <v>45244</v>
      </c>
      <c r="D1486" t="s">
        <v>3489</v>
      </c>
      <c r="E1486">
        <f>IF(ISNUMBER(MATCH(marketing_events_raw[[#This Row],[customer_id]], customers_clean!A:A, 0)), 1, 0)</f>
        <v>1</v>
      </c>
    </row>
    <row r="1487" spans="1:5" x14ac:dyDescent="0.3">
      <c r="A1487">
        <v>214131975</v>
      </c>
      <c r="B1487">
        <v>934904</v>
      </c>
      <c r="C1487" s="1">
        <v>44755</v>
      </c>
      <c r="D1487" t="s">
        <v>3493</v>
      </c>
      <c r="E1487">
        <f>IF(ISNUMBER(MATCH(marketing_events_raw[[#This Row],[customer_id]], customers_clean!A:A, 0)), 1, 0)</f>
        <v>1</v>
      </c>
    </row>
    <row r="1488" spans="1:5" x14ac:dyDescent="0.3">
      <c r="A1488">
        <v>301723464</v>
      </c>
      <c r="B1488">
        <v>680099</v>
      </c>
      <c r="C1488" s="1">
        <v>45213</v>
      </c>
      <c r="D1488" t="s">
        <v>3488</v>
      </c>
      <c r="E1488">
        <f>IF(ISNUMBER(MATCH(marketing_events_raw[[#This Row],[customer_id]], customers_clean!A:A, 0)), 1, 0)</f>
        <v>1</v>
      </c>
    </row>
    <row r="1489" spans="1:5" x14ac:dyDescent="0.3">
      <c r="A1489">
        <v>140074897</v>
      </c>
      <c r="B1489">
        <v>299742</v>
      </c>
      <c r="C1489" s="1">
        <v>44630</v>
      </c>
      <c r="D1489" t="s">
        <v>3493</v>
      </c>
      <c r="E1489">
        <f>IF(ISNUMBER(MATCH(marketing_events_raw[[#This Row],[customer_id]], customers_clean!A:A, 0)), 1, 0)</f>
        <v>1</v>
      </c>
    </row>
    <row r="1490" spans="1:5" x14ac:dyDescent="0.3">
      <c r="A1490">
        <v>681968070</v>
      </c>
      <c r="B1490">
        <v>758816</v>
      </c>
      <c r="C1490" s="1">
        <v>45191</v>
      </c>
      <c r="D1490" t="s">
        <v>3489</v>
      </c>
      <c r="E1490">
        <f>IF(ISNUMBER(MATCH(marketing_events_raw[[#This Row],[customer_id]], customers_clean!A:A, 0)), 1, 0)</f>
        <v>1</v>
      </c>
    </row>
    <row r="1491" spans="1:5" x14ac:dyDescent="0.3">
      <c r="A1491">
        <v>713587962</v>
      </c>
      <c r="B1491">
        <v>819964</v>
      </c>
      <c r="C1491" s="1">
        <v>45607</v>
      </c>
      <c r="D1491" t="s">
        <v>3492</v>
      </c>
      <c r="E1491">
        <f>IF(ISNUMBER(MATCH(marketing_events_raw[[#This Row],[customer_id]], customers_clean!A:A, 0)), 1, 0)</f>
        <v>1</v>
      </c>
    </row>
    <row r="1492" spans="1:5" x14ac:dyDescent="0.3">
      <c r="A1492">
        <v>484407626</v>
      </c>
      <c r="B1492">
        <v>720995</v>
      </c>
      <c r="C1492" s="1">
        <v>44910</v>
      </c>
      <c r="D1492" t="s">
        <v>3490</v>
      </c>
      <c r="E1492">
        <f>IF(ISNUMBER(MATCH(marketing_events_raw[[#This Row],[customer_id]], customers_clean!A:A, 0)), 1, 0)</f>
        <v>1</v>
      </c>
    </row>
    <row r="1493" spans="1:5" x14ac:dyDescent="0.3">
      <c r="A1493">
        <v>985637936</v>
      </c>
      <c r="B1493">
        <v>269999</v>
      </c>
      <c r="C1493" s="1">
        <v>44807</v>
      </c>
      <c r="D1493" t="s">
        <v>3493</v>
      </c>
      <c r="E1493">
        <f>IF(ISNUMBER(MATCH(marketing_events_raw[[#This Row],[customer_id]], customers_clean!A:A, 0)), 1, 0)</f>
        <v>1</v>
      </c>
    </row>
    <row r="1494" spans="1:5" x14ac:dyDescent="0.3">
      <c r="A1494">
        <v>929530382</v>
      </c>
      <c r="B1494">
        <v>599380</v>
      </c>
      <c r="C1494" s="1">
        <v>45518</v>
      </c>
      <c r="D1494" t="s">
        <v>3492</v>
      </c>
      <c r="E1494">
        <f>IF(ISNUMBER(MATCH(marketing_events_raw[[#This Row],[customer_id]], customers_clean!A:A, 0)), 1, 0)</f>
        <v>1</v>
      </c>
    </row>
    <row r="1495" spans="1:5" x14ac:dyDescent="0.3">
      <c r="A1495">
        <v>441813929</v>
      </c>
      <c r="B1495">
        <v>344312</v>
      </c>
      <c r="C1495" s="1">
        <v>44860</v>
      </c>
      <c r="D1495" t="s">
        <v>3490</v>
      </c>
      <c r="E1495">
        <f>IF(ISNUMBER(MATCH(marketing_events_raw[[#This Row],[customer_id]], customers_clean!A:A, 0)), 1, 0)</f>
        <v>1</v>
      </c>
    </row>
    <row r="1496" spans="1:5" x14ac:dyDescent="0.3">
      <c r="A1496">
        <v>437102611</v>
      </c>
      <c r="B1496">
        <v>699121</v>
      </c>
      <c r="C1496" s="1">
        <v>45179</v>
      </c>
      <c r="D1496" t="s">
        <v>3489</v>
      </c>
      <c r="E1496">
        <f>IF(ISNUMBER(MATCH(marketing_events_raw[[#This Row],[customer_id]], customers_clean!A:A, 0)), 1, 0)</f>
        <v>1</v>
      </c>
    </row>
    <row r="1497" spans="1:5" x14ac:dyDescent="0.3">
      <c r="A1497">
        <v>933203117</v>
      </c>
      <c r="B1497">
        <v>516174</v>
      </c>
      <c r="C1497" s="1">
        <v>44489</v>
      </c>
      <c r="D1497" t="s">
        <v>3491</v>
      </c>
      <c r="E1497">
        <f>IF(ISNUMBER(MATCH(marketing_events_raw[[#This Row],[customer_id]], customers_clean!A:A, 0)), 1, 0)</f>
        <v>1</v>
      </c>
    </row>
    <row r="1498" spans="1:5" x14ac:dyDescent="0.3">
      <c r="A1498">
        <v>360233608</v>
      </c>
      <c r="B1498">
        <v>105066</v>
      </c>
      <c r="C1498" s="1">
        <v>44399</v>
      </c>
      <c r="D1498" t="s">
        <v>3488</v>
      </c>
      <c r="E1498">
        <f>IF(ISNUMBER(MATCH(marketing_events_raw[[#This Row],[customer_id]], customers_clean!A:A, 0)), 1, 0)</f>
        <v>1</v>
      </c>
    </row>
    <row r="1499" spans="1:5" x14ac:dyDescent="0.3">
      <c r="A1499">
        <v>960045435</v>
      </c>
      <c r="B1499">
        <v>146177</v>
      </c>
      <c r="C1499" s="1">
        <v>45345</v>
      </c>
      <c r="D1499" t="s">
        <v>3491</v>
      </c>
      <c r="E1499">
        <f>IF(ISNUMBER(MATCH(marketing_events_raw[[#This Row],[customer_id]], customers_clean!A:A, 0)), 1, 0)</f>
        <v>1</v>
      </c>
    </row>
    <row r="1500" spans="1:5" x14ac:dyDescent="0.3">
      <c r="A1500">
        <v>529435333</v>
      </c>
      <c r="B1500">
        <v>111691</v>
      </c>
      <c r="C1500" s="1">
        <v>45449</v>
      </c>
      <c r="D1500" t="s">
        <v>3493</v>
      </c>
      <c r="E1500">
        <f>IF(ISNUMBER(MATCH(marketing_events_raw[[#This Row],[customer_id]], customers_clean!A:A, 0)), 1, 0)</f>
        <v>1</v>
      </c>
    </row>
    <row r="1501" spans="1:5" x14ac:dyDescent="0.3">
      <c r="A1501">
        <v>891217136</v>
      </c>
      <c r="B1501">
        <v>427730</v>
      </c>
      <c r="C1501" s="1">
        <v>45073</v>
      </c>
      <c r="D1501" t="s">
        <v>3488</v>
      </c>
      <c r="E1501">
        <f>IF(ISNUMBER(MATCH(marketing_events_raw[[#This Row],[customer_id]], customers_clean!A:A, 0)), 1, 0)</f>
        <v>1</v>
      </c>
    </row>
    <row r="1502" spans="1:5" x14ac:dyDescent="0.3">
      <c r="A1502">
        <v>767612279</v>
      </c>
      <c r="B1502">
        <v>663051</v>
      </c>
      <c r="C1502" s="1">
        <v>44476</v>
      </c>
      <c r="D1502" t="s">
        <v>3493</v>
      </c>
      <c r="E1502">
        <f>IF(ISNUMBER(MATCH(marketing_events_raw[[#This Row],[customer_id]], customers_clean!A:A, 0)), 1, 0)</f>
        <v>1</v>
      </c>
    </row>
    <row r="1503" spans="1:5" x14ac:dyDescent="0.3">
      <c r="A1503">
        <v>730440296</v>
      </c>
      <c r="B1503">
        <v>682667</v>
      </c>
      <c r="C1503" s="1">
        <v>45259</v>
      </c>
      <c r="D1503" t="s">
        <v>3493</v>
      </c>
      <c r="E1503">
        <f>IF(ISNUMBER(MATCH(marketing_events_raw[[#This Row],[customer_id]], customers_clean!A:A, 0)), 1, 0)</f>
        <v>1</v>
      </c>
    </row>
    <row r="1504" spans="1:5" x14ac:dyDescent="0.3">
      <c r="A1504">
        <v>810389562</v>
      </c>
      <c r="B1504">
        <v>729557</v>
      </c>
      <c r="C1504" s="1">
        <v>45008</v>
      </c>
      <c r="D1504" t="s">
        <v>3492</v>
      </c>
      <c r="E1504">
        <f>IF(ISNUMBER(MATCH(marketing_events_raw[[#This Row],[customer_id]], customers_clean!A:A, 0)), 1, 0)</f>
        <v>1</v>
      </c>
    </row>
    <row r="1505" spans="1:5" x14ac:dyDescent="0.3">
      <c r="A1505">
        <v>946387649</v>
      </c>
      <c r="B1505">
        <v>166175</v>
      </c>
      <c r="C1505" s="1">
        <v>45568</v>
      </c>
      <c r="D1505" t="s">
        <v>3491</v>
      </c>
      <c r="E1505">
        <f>IF(ISNUMBER(MATCH(marketing_events_raw[[#This Row],[customer_id]], customers_clean!A:A, 0)), 1, 0)</f>
        <v>1</v>
      </c>
    </row>
    <row r="1506" spans="1:5" x14ac:dyDescent="0.3">
      <c r="A1506">
        <v>599090130</v>
      </c>
      <c r="B1506">
        <v>629663</v>
      </c>
      <c r="C1506" s="1">
        <v>44659</v>
      </c>
      <c r="D1506" t="s">
        <v>3493</v>
      </c>
      <c r="E1506">
        <f>IF(ISNUMBER(MATCH(marketing_events_raw[[#This Row],[customer_id]], customers_clean!A:A, 0)), 1, 0)</f>
        <v>1</v>
      </c>
    </row>
    <row r="1507" spans="1:5" x14ac:dyDescent="0.3">
      <c r="A1507">
        <v>398033261</v>
      </c>
      <c r="B1507">
        <v>937838</v>
      </c>
      <c r="C1507" s="1">
        <v>44447</v>
      </c>
      <c r="D1507" t="s">
        <v>3491</v>
      </c>
      <c r="E1507">
        <f>IF(ISNUMBER(MATCH(marketing_events_raw[[#This Row],[customer_id]], customers_clean!A:A, 0)), 1, 0)</f>
        <v>1</v>
      </c>
    </row>
    <row r="1508" spans="1:5" x14ac:dyDescent="0.3">
      <c r="A1508">
        <v>904509987</v>
      </c>
      <c r="B1508">
        <v>695370</v>
      </c>
      <c r="C1508" s="1">
        <v>45633</v>
      </c>
      <c r="D1508" t="s">
        <v>3491</v>
      </c>
      <c r="E1508">
        <f>IF(ISNUMBER(MATCH(marketing_events_raw[[#This Row],[customer_id]], customers_clean!A:A, 0)), 1, 0)</f>
        <v>1</v>
      </c>
    </row>
    <row r="1509" spans="1:5" x14ac:dyDescent="0.3">
      <c r="A1509">
        <v>288808900</v>
      </c>
      <c r="B1509">
        <v>911242</v>
      </c>
      <c r="C1509" s="1">
        <v>44602</v>
      </c>
      <c r="D1509" t="s">
        <v>3487</v>
      </c>
      <c r="E1509">
        <f>IF(ISNUMBER(MATCH(marketing_events_raw[[#This Row],[customer_id]], customers_clean!A:A, 0)), 1, 0)</f>
        <v>1</v>
      </c>
    </row>
    <row r="1510" spans="1:5" x14ac:dyDescent="0.3">
      <c r="A1510">
        <v>619106028</v>
      </c>
      <c r="B1510">
        <v>227352</v>
      </c>
      <c r="C1510" s="1">
        <v>44767</v>
      </c>
      <c r="D1510" t="s">
        <v>3492</v>
      </c>
      <c r="E1510">
        <f>IF(ISNUMBER(MATCH(marketing_events_raw[[#This Row],[customer_id]], customers_clean!A:A, 0)), 1, 0)</f>
        <v>1</v>
      </c>
    </row>
    <row r="1511" spans="1:5" x14ac:dyDescent="0.3">
      <c r="A1511">
        <v>798845375</v>
      </c>
      <c r="B1511">
        <v>884225</v>
      </c>
      <c r="C1511" s="1">
        <v>44572</v>
      </c>
      <c r="D1511" t="s">
        <v>3487</v>
      </c>
      <c r="E1511">
        <f>IF(ISNUMBER(MATCH(marketing_events_raw[[#This Row],[customer_id]], customers_clean!A:A, 0)), 1, 0)</f>
        <v>1</v>
      </c>
    </row>
    <row r="1512" spans="1:5" x14ac:dyDescent="0.3">
      <c r="A1512">
        <v>529990738</v>
      </c>
      <c r="B1512">
        <v>272769</v>
      </c>
      <c r="C1512" s="1">
        <v>45422</v>
      </c>
      <c r="D1512" t="s">
        <v>3490</v>
      </c>
      <c r="E1512">
        <f>IF(ISNUMBER(MATCH(marketing_events_raw[[#This Row],[customer_id]], customers_clean!A:A, 0)), 1, 0)</f>
        <v>1</v>
      </c>
    </row>
    <row r="1513" spans="1:5" x14ac:dyDescent="0.3">
      <c r="A1513">
        <v>171449522</v>
      </c>
      <c r="B1513">
        <v>255362</v>
      </c>
      <c r="C1513" s="1">
        <v>44804</v>
      </c>
      <c r="D1513" t="s">
        <v>3489</v>
      </c>
      <c r="E1513">
        <f>IF(ISNUMBER(MATCH(marketing_events_raw[[#This Row],[customer_id]], customers_clean!A:A, 0)), 1, 0)</f>
        <v>1</v>
      </c>
    </row>
    <row r="1514" spans="1:5" x14ac:dyDescent="0.3">
      <c r="A1514">
        <v>767545345</v>
      </c>
      <c r="B1514">
        <v>450533</v>
      </c>
      <c r="C1514" s="1">
        <v>45345</v>
      </c>
      <c r="D1514" t="s">
        <v>3489</v>
      </c>
      <c r="E1514">
        <f>IF(ISNUMBER(MATCH(marketing_events_raw[[#This Row],[customer_id]], customers_clean!A:A, 0)), 1, 0)</f>
        <v>1</v>
      </c>
    </row>
    <row r="1515" spans="1:5" x14ac:dyDescent="0.3">
      <c r="A1515">
        <v>560412262</v>
      </c>
      <c r="B1515">
        <v>325258</v>
      </c>
      <c r="C1515" s="1">
        <v>45309</v>
      </c>
      <c r="D1515" t="s">
        <v>3490</v>
      </c>
      <c r="E1515">
        <f>IF(ISNUMBER(MATCH(marketing_events_raw[[#This Row],[customer_id]], customers_clean!A:A, 0)), 1, 0)</f>
        <v>1</v>
      </c>
    </row>
    <row r="1516" spans="1:5" x14ac:dyDescent="0.3">
      <c r="A1516">
        <v>613483794</v>
      </c>
      <c r="B1516">
        <v>815234</v>
      </c>
      <c r="C1516" s="1">
        <v>44660</v>
      </c>
      <c r="D1516" t="s">
        <v>3490</v>
      </c>
      <c r="E1516">
        <f>IF(ISNUMBER(MATCH(marketing_events_raw[[#This Row],[customer_id]], customers_clean!A:A, 0)), 1, 0)</f>
        <v>1</v>
      </c>
    </row>
    <row r="1517" spans="1:5" x14ac:dyDescent="0.3">
      <c r="A1517">
        <v>614130989</v>
      </c>
      <c r="B1517">
        <v>231113</v>
      </c>
      <c r="C1517" s="1">
        <v>44845</v>
      </c>
      <c r="D1517" t="s">
        <v>3493</v>
      </c>
      <c r="E1517">
        <f>IF(ISNUMBER(MATCH(marketing_events_raw[[#This Row],[customer_id]], customers_clean!A:A, 0)), 1, 0)</f>
        <v>1</v>
      </c>
    </row>
    <row r="1518" spans="1:5" x14ac:dyDescent="0.3">
      <c r="A1518">
        <v>415394753</v>
      </c>
      <c r="B1518">
        <v>257782</v>
      </c>
      <c r="C1518" s="1">
        <v>44404</v>
      </c>
      <c r="D1518" t="s">
        <v>3493</v>
      </c>
      <c r="E1518">
        <f>IF(ISNUMBER(MATCH(marketing_events_raw[[#This Row],[customer_id]], customers_clean!A:A, 0)), 1, 0)</f>
        <v>1</v>
      </c>
    </row>
    <row r="1519" spans="1:5" x14ac:dyDescent="0.3">
      <c r="A1519">
        <v>293552379</v>
      </c>
      <c r="B1519">
        <v>734366</v>
      </c>
      <c r="C1519" s="1">
        <v>45007</v>
      </c>
      <c r="D1519" t="s">
        <v>3489</v>
      </c>
      <c r="E1519">
        <f>IF(ISNUMBER(MATCH(marketing_events_raw[[#This Row],[customer_id]], customers_clean!A:A, 0)), 1, 0)</f>
        <v>1</v>
      </c>
    </row>
    <row r="1520" spans="1:5" x14ac:dyDescent="0.3">
      <c r="A1520">
        <v>798422076</v>
      </c>
      <c r="B1520">
        <v>430876</v>
      </c>
      <c r="C1520" s="1">
        <v>44733</v>
      </c>
      <c r="D1520" t="s">
        <v>3493</v>
      </c>
      <c r="E1520">
        <f>IF(ISNUMBER(MATCH(marketing_events_raw[[#This Row],[customer_id]], customers_clean!A:A, 0)), 1, 0)</f>
        <v>1</v>
      </c>
    </row>
    <row r="1521" spans="1:5" x14ac:dyDescent="0.3">
      <c r="A1521">
        <v>283326386</v>
      </c>
      <c r="B1521">
        <v>829884</v>
      </c>
      <c r="C1521" s="1">
        <v>44935</v>
      </c>
      <c r="D1521" t="s">
        <v>3490</v>
      </c>
      <c r="E1521">
        <f>IF(ISNUMBER(MATCH(marketing_events_raw[[#This Row],[customer_id]], customers_clean!A:A, 0)), 1, 0)</f>
        <v>1</v>
      </c>
    </row>
    <row r="1522" spans="1:5" x14ac:dyDescent="0.3">
      <c r="A1522">
        <v>839105285</v>
      </c>
      <c r="B1522">
        <v>956800</v>
      </c>
      <c r="C1522" s="1">
        <v>45645</v>
      </c>
      <c r="D1522" t="s">
        <v>3491</v>
      </c>
      <c r="E1522">
        <f>IF(ISNUMBER(MATCH(marketing_events_raw[[#This Row],[customer_id]], customers_clean!A:A, 0)), 1, 0)</f>
        <v>1</v>
      </c>
    </row>
    <row r="1523" spans="1:5" x14ac:dyDescent="0.3">
      <c r="A1523">
        <v>950309725</v>
      </c>
      <c r="B1523">
        <v>189318</v>
      </c>
      <c r="C1523" s="1">
        <v>44852</v>
      </c>
      <c r="D1523" t="s">
        <v>3488</v>
      </c>
      <c r="E1523">
        <f>IF(ISNUMBER(MATCH(marketing_events_raw[[#This Row],[customer_id]], customers_clean!A:A, 0)), 1, 0)</f>
        <v>1</v>
      </c>
    </row>
    <row r="1524" spans="1:5" x14ac:dyDescent="0.3">
      <c r="A1524">
        <v>969063111</v>
      </c>
      <c r="B1524">
        <v>627054</v>
      </c>
      <c r="C1524" s="1">
        <v>44507</v>
      </c>
      <c r="D1524" t="s">
        <v>3487</v>
      </c>
      <c r="E1524">
        <f>IF(ISNUMBER(MATCH(marketing_events_raw[[#This Row],[customer_id]], customers_clean!A:A, 0)), 1, 0)</f>
        <v>1</v>
      </c>
    </row>
    <row r="1525" spans="1:5" x14ac:dyDescent="0.3">
      <c r="A1525">
        <v>823389904</v>
      </c>
      <c r="B1525">
        <v>297509</v>
      </c>
      <c r="C1525" s="1">
        <v>44885</v>
      </c>
      <c r="D1525" t="s">
        <v>3489</v>
      </c>
      <c r="E1525">
        <f>IF(ISNUMBER(MATCH(marketing_events_raw[[#This Row],[customer_id]], customers_clean!A:A, 0)), 1, 0)</f>
        <v>1</v>
      </c>
    </row>
    <row r="1526" spans="1:5" x14ac:dyDescent="0.3">
      <c r="A1526">
        <v>887610727</v>
      </c>
      <c r="B1526">
        <v>389666</v>
      </c>
      <c r="C1526" s="1">
        <v>44862</v>
      </c>
      <c r="D1526" t="s">
        <v>3487</v>
      </c>
      <c r="E1526">
        <f>IF(ISNUMBER(MATCH(marketing_events_raw[[#This Row],[customer_id]], customers_clean!A:A, 0)), 1, 0)</f>
        <v>1</v>
      </c>
    </row>
    <row r="1527" spans="1:5" x14ac:dyDescent="0.3">
      <c r="A1527">
        <v>435728204</v>
      </c>
      <c r="B1527">
        <v>990136</v>
      </c>
      <c r="C1527" s="1">
        <v>45013</v>
      </c>
      <c r="D1527" t="s">
        <v>3490</v>
      </c>
      <c r="E1527">
        <f>IF(ISNUMBER(MATCH(marketing_events_raw[[#This Row],[customer_id]], customers_clean!A:A, 0)), 1, 0)</f>
        <v>1</v>
      </c>
    </row>
    <row r="1528" spans="1:5" x14ac:dyDescent="0.3">
      <c r="A1528">
        <v>201086941</v>
      </c>
      <c r="B1528">
        <v>414295</v>
      </c>
      <c r="C1528" s="1">
        <v>45496</v>
      </c>
      <c r="D1528" t="s">
        <v>3490</v>
      </c>
      <c r="E1528">
        <f>IF(ISNUMBER(MATCH(marketing_events_raw[[#This Row],[customer_id]], customers_clean!A:A, 0)), 1, 0)</f>
        <v>1</v>
      </c>
    </row>
    <row r="1529" spans="1:5" x14ac:dyDescent="0.3">
      <c r="A1529">
        <v>796658202</v>
      </c>
      <c r="B1529">
        <v>989545</v>
      </c>
      <c r="C1529" s="1">
        <v>45016</v>
      </c>
      <c r="D1529" t="s">
        <v>3492</v>
      </c>
      <c r="E1529">
        <f>IF(ISNUMBER(MATCH(marketing_events_raw[[#This Row],[customer_id]], customers_clean!A:A, 0)), 1, 0)</f>
        <v>1</v>
      </c>
    </row>
    <row r="1530" spans="1:5" x14ac:dyDescent="0.3">
      <c r="A1530">
        <v>388251879</v>
      </c>
      <c r="B1530">
        <v>575458</v>
      </c>
      <c r="C1530" s="1">
        <v>44726</v>
      </c>
      <c r="D1530" t="s">
        <v>3492</v>
      </c>
      <c r="E1530">
        <f>IF(ISNUMBER(MATCH(marketing_events_raw[[#This Row],[customer_id]], customers_clean!A:A, 0)), 1, 0)</f>
        <v>1</v>
      </c>
    </row>
    <row r="1531" spans="1:5" x14ac:dyDescent="0.3">
      <c r="A1531">
        <v>916880487</v>
      </c>
      <c r="B1531">
        <v>666366</v>
      </c>
      <c r="C1531" s="1">
        <v>45514</v>
      </c>
      <c r="D1531" t="s">
        <v>3488</v>
      </c>
      <c r="E1531">
        <f>IF(ISNUMBER(MATCH(marketing_events_raw[[#This Row],[customer_id]], customers_clean!A:A, 0)), 1, 0)</f>
        <v>1</v>
      </c>
    </row>
    <row r="1532" spans="1:5" x14ac:dyDescent="0.3">
      <c r="A1532">
        <v>390716842</v>
      </c>
      <c r="B1532">
        <v>139286</v>
      </c>
      <c r="C1532" s="1">
        <v>44700</v>
      </c>
      <c r="D1532" t="s">
        <v>3493</v>
      </c>
      <c r="E1532">
        <f>IF(ISNUMBER(MATCH(marketing_events_raw[[#This Row],[customer_id]], customers_clean!A:A, 0)), 1, 0)</f>
        <v>1</v>
      </c>
    </row>
    <row r="1533" spans="1:5" x14ac:dyDescent="0.3">
      <c r="A1533">
        <v>817424055</v>
      </c>
      <c r="B1533">
        <v>542750</v>
      </c>
      <c r="C1533" s="1">
        <v>44445</v>
      </c>
      <c r="D1533" t="s">
        <v>3489</v>
      </c>
      <c r="E1533">
        <f>IF(ISNUMBER(MATCH(marketing_events_raw[[#This Row],[customer_id]], customers_clean!A:A, 0)), 1, 0)</f>
        <v>1</v>
      </c>
    </row>
    <row r="1534" spans="1:5" x14ac:dyDescent="0.3">
      <c r="A1534">
        <v>844239726</v>
      </c>
      <c r="B1534">
        <v>185000</v>
      </c>
      <c r="C1534" s="1">
        <v>44954</v>
      </c>
      <c r="D1534" t="s">
        <v>3489</v>
      </c>
      <c r="E1534">
        <f>IF(ISNUMBER(MATCH(marketing_events_raw[[#This Row],[customer_id]], customers_clean!A:A, 0)), 1, 0)</f>
        <v>1</v>
      </c>
    </row>
    <row r="1535" spans="1:5" x14ac:dyDescent="0.3">
      <c r="A1535">
        <v>968130829</v>
      </c>
      <c r="B1535">
        <v>675191</v>
      </c>
      <c r="C1535" s="1">
        <v>45135</v>
      </c>
      <c r="D1535" t="s">
        <v>3490</v>
      </c>
      <c r="E1535">
        <f>IF(ISNUMBER(MATCH(marketing_events_raw[[#This Row],[customer_id]], customers_clean!A:A, 0)), 1, 0)</f>
        <v>1</v>
      </c>
    </row>
    <row r="1536" spans="1:5" x14ac:dyDescent="0.3">
      <c r="A1536">
        <v>849156816</v>
      </c>
      <c r="B1536">
        <v>320073</v>
      </c>
      <c r="C1536" s="1">
        <v>45612</v>
      </c>
      <c r="D1536" t="s">
        <v>3492</v>
      </c>
      <c r="E1536">
        <f>IF(ISNUMBER(MATCH(marketing_events_raw[[#This Row],[customer_id]], customers_clean!A:A, 0)), 1, 0)</f>
        <v>1</v>
      </c>
    </row>
    <row r="1537" spans="1:5" x14ac:dyDescent="0.3">
      <c r="A1537">
        <v>571607001</v>
      </c>
      <c r="B1537">
        <v>589251</v>
      </c>
      <c r="C1537" s="1">
        <v>45224</v>
      </c>
      <c r="D1537" t="s">
        <v>3492</v>
      </c>
      <c r="E1537">
        <f>IF(ISNUMBER(MATCH(marketing_events_raw[[#This Row],[customer_id]], customers_clean!A:A, 0)), 1, 0)</f>
        <v>1</v>
      </c>
    </row>
    <row r="1538" spans="1:5" x14ac:dyDescent="0.3">
      <c r="A1538">
        <v>853285439</v>
      </c>
      <c r="B1538">
        <v>621429</v>
      </c>
      <c r="C1538" s="1">
        <v>44568</v>
      </c>
      <c r="D1538" t="s">
        <v>3490</v>
      </c>
      <c r="E1538">
        <f>IF(ISNUMBER(MATCH(marketing_events_raw[[#This Row],[customer_id]], customers_clean!A:A, 0)), 1, 0)</f>
        <v>1</v>
      </c>
    </row>
    <row r="1539" spans="1:5" x14ac:dyDescent="0.3">
      <c r="A1539">
        <v>817589884</v>
      </c>
      <c r="B1539">
        <v>321449</v>
      </c>
      <c r="C1539" s="1">
        <v>45436</v>
      </c>
      <c r="D1539" t="s">
        <v>3487</v>
      </c>
      <c r="E1539">
        <f>IF(ISNUMBER(MATCH(marketing_events_raw[[#This Row],[customer_id]], customers_clean!A:A, 0)), 1, 0)</f>
        <v>1</v>
      </c>
    </row>
    <row r="1540" spans="1:5" x14ac:dyDescent="0.3">
      <c r="A1540">
        <v>805845675</v>
      </c>
      <c r="B1540">
        <v>681141</v>
      </c>
      <c r="C1540" s="1">
        <v>44515</v>
      </c>
      <c r="D1540" t="s">
        <v>3492</v>
      </c>
      <c r="E1540">
        <f>IF(ISNUMBER(MATCH(marketing_events_raw[[#This Row],[customer_id]], customers_clean!A:A, 0)), 1, 0)</f>
        <v>1</v>
      </c>
    </row>
    <row r="1541" spans="1:5" x14ac:dyDescent="0.3">
      <c r="A1541">
        <v>547243997</v>
      </c>
      <c r="B1541">
        <v>926045</v>
      </c>
      <c r="C1541" s="1">
        <v>44943</v>
      </c>
      <c r="D1541" t="s">
        <v>3490</v>
      </c>
      <c r="E1541">
        <f>IF(ISNUMBER(MATCH(marketing_events_raw[[#This Row],[customer_id]], customers_clean!A:A, 0)), 1, 0)</f>
        <v>1</v>
      </c>
    </row>
    <row r="1542" spans="1:5" x14ac:dyDescent="0.3">
      <c r="A1542">
        <v>757869371</v>
      </c>
      <c r="B1542">
        <v>129301</v>
      </c>
      <c r="C1542" s="1">
        <v>45561</v>
      </c>
      <c r="D1542" t="s">
        <v>3492</v>
      </c>
      <c r="E1542">
        <f>IF(ISNUMBER(MATCH(marketing_events_raw[[#This Row],[customer_id]], customers_clean!A:A, 0)), 1, 0)</f>
        <v>1</v>
      </c>
    </row>
    <row r="1543" spans="1:5" x14ac:dyDescent="0.3">
      <c r="A1543">
        <v>210649261</v>
      </c>
      <c r="B1543">
        <v>579404</v>
      </c>
      <c r="C1543" s="1">
        <v>45014</v>
      </c>
      <c r="D1543" t="s">
        <v>3487</v>
      </c>
      <c r="E1543">
        <f>IF(ISNUMBER(MATCH(marketing_events_raw[[#This Row],[customer_id]], customers_clean!A:A, 0)), 1, 0)</f>
        <v>1</v>
      </c>
    </row>
    <row r="1544" spans="1:5" x14ac:dyDescent="0.3">
      <c r="A1544">
        <v>477477173</v>
      </c>
      <c r="B1544">
        <v>252640</v>
      </c>
      <c r="C1544" s="1">
        <v>44776</v>
      </c>
      <c r="D1544" t="s">
        <v>3491</v>
      </c>
      <c r="E1544">
        <f>IF(ISNUMBER(MATCH(marketing_events_raw[[#This Row],[customer_id]], customers_clean!A:A, 0)), 1, 0)</f>
        <v>1</v>
      </c>
    </row>
    <row r="1545" spans="1:5" x14ac:dyDescent="0.3">
      <c r="A1545">
        <v>678909734</v>
      </c>
      <c r="B1545">
        <v>171269</v>
      </c>
      <c r="C1545" s="1">
        <v>45651</v>
      </c>
      <c r="D1545" t="s">
        <v>3493</v>
      </c>
      <c r="E1545">
        <f>IF(ISNUMBER(MATCH(marketing_events_raw[[#This Row],[customer_id]], customers_clean!A:A, 0)), 1, 0)</f>
        <v>1</v>
      </c>
    </row>
    <row r="1546" spans="1:5" x14ac:dyDescent="0.3">
      <c r="A1546">
        <v>169743427</v>
      </c>
      <c r="B1546">
        <v>962253</v>
      </c>
      <c r="C1546" s="1">
        <v>44776</v>
      </c>
      <c r="D1546" t="s">
        <v>3487</v>
      </c>
      <c r="E1546">
        <f>IF(ISNUMBER(MATCH(marketing_events_raw[[#This Row],[customer_id]], customers_clean!A:A, 0)), 1, 0)</f>
        <v>1</v>
      </c>
    </row>
    <row r="1547" spans="1:5" x14ac:dyDescent="0.3">
      <c r="A1547">
        <v>141802278</v>
      </c>
      <c r="B1547">
        <v>209159</v>
      </c>
      <c r="C1547" s="1">
        <v>45037</v>
      </c>
      <c r="D1547" t="s">
        <v>3492</v>
      </c>
      <c r="E1547">
        <f>IF(ISNUMBER(MATCH(marketing_events_raw[[#This Row],[customer_id]], customers_clean!A:A, 0)), 1, 0)</f>
        <v>1</v>
      </c>
    </row>
    <row r="1548" spans="1:5" x14ac:dyDescent="0.3">
      <c r="A1548">
        <v>992084063</v>
      </c>
      <c r="B1548">
        <v>629152</v>
      </c>
      <c r="C1548" s="1">
        <v>44656</v>
      </c>
      <c r="D1548" t="s">
        <v>3492</v>
      </c>
      <c r="E1548">
        <f>IF(ISNUMBER(MATCH(marketing_events_raw[[#This Row],[customer_id]], customers_clean!A:A, 0)), 1, 0)</f>
        <v>1</v>
      </c>
    </row>
    <row r="1549" spans="1:5" x14ac:dyDescent="0.3">
      <c r="A1549">
        <v>448738390</v>
      </c>
      <c r="B1549">
        <v>241268</v>
      </c>
      <c r="C1549" s="1">
        <v>44573</v>
      </c>
      <c r="D1549" t="s">
        <v>3493</v>
      </c>
      <c r="E1549">
        <f>IF(ISNUMBER(MATCH(marketing_events_raw[[#This Row],[customer_id]], customers_clean!A:A, 0)), 1, 0)</f>
        <v>1</v>
      </c>
    </row>
    <row r="1550" spans="1:5" x14ac:dyDescent="0.3">
      <c r="A1550">
        <v>780148557</v>
      </c>
      <c r="B1550">
        <v>665579</v>
      </c>
      <c r="C1550" s="1">
        <v>44496</v>
      </c>
      <c r="D1550" t="s">
        <v>3491</v>
      </c>
      <c r="E1550">
        <f>IF(ISNUMBER(MATCH(marketing_events_raw[[#This Row],[customer_id]], customers_clean!A:A, 0)), 1, 0)</f>
        <v>1</v>
      </c>
    </row>
    <row r="1551" spans="1:5" x14ac:dyDescent="0.3">
      <c r="A1551">
        <v>985463197</v>
      </c>
      <c r="B1551">
        <v>492127</v>
      </c>
      <c r="C1551" s="1">
        <v>44748</v>
      </c>
      <c r="D1551" t="s">
        <v>3487</v>
      </c>
      <c r="E1551">
        <f>IF(ISNUMBER(MATCH(marketing_events_raw[[#This Row],[customer_id]], customers_clean!A:A, 0)), 1, 0)</f>
        <v>1</v>
      </c>
    </row>
    <row r="1552" spans="1:5" x14ac:dyDescent="0.3">
      <c r="A1552">
        <v>181704545</v>
      </c>
      <c r="B1552">
        <v>948095</v>
      </c>
      <c r="C1552" s="1">
        <v>44526</v>
      </c>
      <c r="D1552" t="s">
        <v>3490</v>
      </c>
      <c r="E1552">
        <f>IF(ISNUMBER(MATCH(marketing_events_raw[[#This Row],[customer_id]], customers_clean!A:A, 0)), 1, 0)</f>
        <v>1</v>
      </c>
    </row>
    <row r="1553" spans="1:5" x14ac:dyDescent="0.3">
      <c r="A1553">
        <v>790420574</v>
      </c>
      <c r="B1553">
        <v>492446</v>
      </c>
      <c r="C1553" s="1">
        <v>44790</v>
      </c>
      <c r="D1553" t="s">
        <v>3492</v>
      </c>
      <c r="E1553">
        <f>IF(ISNUMBER(MATCH(marketing_events_raw[[#This Row],[customer_id]], customers_clean!A:A, 0)), 1, 0)</f>
        <v>1</v>
      </c>
    </row>
    <row r="1554" spans="1:5" x14ac:dyDescent="0.3">
      <c r="A1554">
        <v>511598375</v>
      </c>
      <c r="B1554">
        <v>584125</v>
      </c>
      <c r="C1554" s="1">
        <v>45036</v>
      </c>
      <c r="D1554" t="s">
        <v>3491</v>
      </c>
      <c r="E1554">
        <f>IF(ISNUMBER(MATCH(marketing_events_raw[[#This Row],[customer_id]], customers_clean!A:A, 0)), 1, 0)</f>
        <v>1</v>
      </c>
    </row>
    <row r="1555" spans="1:5" x14ac:dyDescent="0.3">
      <c r="A1555">
        <v>386869241</v>
      </c>
      <c r="B1555">
        <v>232040</v>
      </c>
      <c r="C1555" s="1">
        <v>44753</v>
      </c>
      <c r="D1555" t="s">
        <v>3493</v>
      </c>
      <c r="E1555">
        <f>IF(ISNUMBER(MATCH(marketing_events_raw[[#This Row],[customer_id]], customers_clean!A:A, 0)), 1, 0)</f>
        <v>1</v>
      </c>
    </row>
    <row r="1556" spans="1:5" x14ac:dyDescent="0.3">
      <c r="A1556">
        <v>720523128</v>
      </c>
      <c r="B1556">
        <v>156700</v>
      </c>
      <c r="C1556" s="1">
        <v>45597</v>
      </c>
      <c r="D1556" t="s">
        <v>3489</v>
      </c>
      <c r="E1556">
        <f>IF(ISNUMBER(MATCH(marketing_events_raw[[#This Row],[customer_id]], customers_clean!A:A, 0)), 1, 0)</f>
        <v>1</v>
      </c>
    </row>
    <row r="1557" spans="1:5" x14ac:dyDescent="0.3">
      <c r="A1557">
        <v>137830760</v>
      </c>
      <c r="B1557">
        <v>739711</v>
      </c>
      <c r="C1557" s="1">
        <v>44739</v>
      </c>
      <c r="D1557" t="s">
        <v>3489</v>
      </c>
      <c r="E1557">
        <f>IF(ISNUMBER(MATCH(marketing_events_raw[[#This Row],[customer_id]], customers_clean!A:A, 0)), 1, 0)</f>
        <v>1</v>
      </c>
    </row>
    <row r="1558" spans="1:5" x14ac:dyDescent="0.3">
      <c r="A1558">
        <v>615701990</v>
      </c>
      <c r="B1558">
        <v>480133</v>
      </c>
      <c r="C1558" s="1">
        <v>45164</v>
      </c>
      <c r="D1558" t="s">
        <v>3493</v>
      </c>
      <c r="E1558">
        <f>IF(ISNUMBER(MATCH(marketing_events_raw[[#This Row],[customer_id]], customers_clean!A:A, 0)), 1, 0)</f>
        <v>1</v>
      </c>
    </row>
    <row r="1559" spans="1:5" x14ac:dyDescent="0.3">
      <c r="A1559">
        <v>509744903</v>
      </c>
      <c r="B1559">
        <v>303663</v>
      </c>
      <c r="C1559" s="1">
        <v>45268</v>
      </c>
      <c r="D1559" t="s">
        <v>3491</v>
      </c>
      <c r="E1559">
        <f>IF(ISNUMBER(MATCH(marketing_events_raw[[#This Row],[customer_id]], customers_clean!A:A, 0)), 1, 0)</f>
        <v>1</v>
      </c>
    </row>
    <row r="1560" spans="1:5" x14ac:dyDescent="0.3">
      <c r="A1560">
        <v>812927059</v>
      </c>
      <c r="B1560">
        <v>321449</v>
      </c>
      <c r="C1560" s="1">
        <v>45249</v>
      </c>
      <c r="D1560" t="s">
        <v>3491</v>
      </c>
      <c r="E1560">
        <f>IF(ISNUMBER(MATCH(marketing_events_raw[[#This Row],[customer_id]], customers_clean!A:A, 0)), 1, 0)</f>
        <v>1</v>
      </c>
    </row>
    <row r="1561" spans="1:5" x14ac:dyDescent="0.3">
      <c r="A1561">
        <v>286046233</v>
      </c>
      <c r="B1561">
        <v>771088</v>
      </c>
      <c r="C1561" s="1">
        <v>44725</v>
      </c>
      <c r="D1561" t="s">
        <v>3491</v>
      </c>
      <c r="E1561">
        <f>IF(ISNUMBER(MATCH(marketing_events_raw[[#This Row],[customer_id]], customers_clean!A:A, 0)), 1, 0)</f>
        <v>1</v>
      </c>
    </row>
    <row r="1562" spans="1:5" x14ac:dyDescent="0.3">
      <c r="A1562">
        <v>472560611</v>
      </c>
      <c r="B1562">
        <v>819622</v>
      </c>
      <c r="C1562" s="1">
        <v>44860</v>
      </c>
      <c r="D1562" t="s">
        <v>3489</v>
      </c>
      <c r="E1562">
        <f>IF(ISNUMBER(MATCH(marketing_events_raw[[#This Row],[customer_id]], customers_clean!A:A, 0)), 1, 0)</f>
        <v>1</v>
      </c>
    </row>
    <row r="1563" spans="1:5" x14ac:dyDescent="0.3">
      <c r="A1563">
        <v>676877953</v>
      </c>
      <c r="B1563">
        <v>476105</v>
      </c>
      <c r="C1563" s="1">
        <v>45167</v>
      </c>
      <c r="D1563" t="s">
        <v>3490</v>
      </c>
      <c r="E1563">
        <f>IF(ISNUMBER(MATCH(marketing_events_raw[[#This Row],[customer_id]], customers_clean!A:A, 0)), 1, 0)</f>
        <v>1</v>
      </c>
    </row>
    <row r="1564" spans="1:5" x14ac:dyDescent="0.3">
      <c r="A1564">
        <v>710616723</v>
      </c>
      <c r="B1564">
        <v>567315</v>
      </c>
      <c r="C1564" s="1">
        <v>44894</v>
      </c>
      <c r="D1564" t="s">
        <v>3490</v>
      </c>
      <c r="E1564">
        <f>IF(ISNUMBER(MATCH(marketing_events_raw[[#This Row],[customer_id]], customers_clean!A:A, 0)), 1, 0)</f>
        <v>1</v>
      </c>
    </row>
    <row r="1565" spans="1:5" x14ac:dyDescent="0.3">
      <c r="A1565">
        <v>996321382</v>
      </c>
      <c r="B1565">
        <v>317264</v>
      </c>
      <c r="C1565" s="1">
        <v>44515</v>
      </c>
      <c r="D1565" t="s">
        <v>3493</v>
      </c>
      <c r="E1565">
        <f>IF(ISNUMBER(MATCH(marketing_events_raw[[#This Row],[customer_id]], customers_clean!A:A, 0)), 1, 0)</f>
        <v>1</v>
      </c>
    </row>
    <row r="1566" spans="1:5" x14ac:dyDescent="0.3">
      <c r="A1566">
        <v>983389020</v>
      </c>
      <c r="B1566">
        <v>766563</v>
      </c>
      <c r="C1566" s="1">
        <v>45491</v>
      </c>
      <c r="D1566" t="s">
        <v>3488</v>
      </c>
      <c r="E1566">
        <f>IF(ISNUMBER(MATCH(marketing_events_raw[[#This Row],[customer_id]], customers_clean!A:A, 0)), 1, 0)</f>
        <v>1</v>
      </c>
    </row>
    <row r="1567" spans="1:5" x14ac:dyDescent="0.3">
      <c r="A1567">
        <v>910132520</v>
      </c>
      <c r="B1567">
        <v>500945</v>
      </c>
      <c r="C1567" s="1">
        <v>44774</v>
      </c>
      <c r="D1567" t="s">
        <v>3491</v>
      </c>
      <c r="E1567">
        <f>IF(ISNUMBER(MATCH(marketing_events_raw[[#This Row],[customer_id]], customers_clean!A:A, 0)), 1, 0)</f>
        <v>1</v>
      </c>
    </row>
    <row r="1568" spans="1:5" x14ac:dyDescent="0.3">
      <c r="A1568">
        <v>826716299</v>
      </c>
      <c r="B1568">
        <v>952117</v>
      </c>
      <c r="C1568" s="1">
        <v>44415</v>
      </c>
      <c r="D1568" t="s">
        <v>3488</v>
      </c>
      <c r="E1568">
        <f>IF(ISNUMBER(MATCH(marketing_events_raw[[#This Row],[customer_id]], customers_clean!A:A, 0)), 1, 0)</f>
        <v>1</v>
      </c>
    </row>
    <row r="1569" spans="1:5" x14ac:dyDescent="0.3">
      <c r="A1569">
        <v>766913312</v>
      </c>
      <c r="B1569">
        <v>848244</v>
      </c>
      <c r="C1569" s="1">
        <v>44854</v>
      </c>
      <c r="D1569" t="s">
        <v>3488</v>
      </c>
      <c r="E1569">
        <f>IF(ISNUMBER(MATCH(marketing_events_raw[[#This Row],[customer_id]], customers_clean!A:A, 0)), 1, 0)</f>
        <v>1</v>
      </c>
    </row>
    <row r="1570" spans="1:5" x14ac:dyDescent="0.3">
      <c r="A1570">
        <v>952541824</v>
      </c>
      <c r="B1570">
        <v>969659</v>
      </c>
      <c r="C1570" s="1">
        <v>45007</v>
      </c>
      <c r="D1570" t="s">
        <v>3489</v>
      </c>
      <c r="E1570">
        <f>IF(ISNUMBER(MATCH(marketing_events_raw[[#This Row],[customer_id]], customers_clean!A:A, 0)), 1, 0)</f>
        <v>1</v>
      </c>
    </row>
    <row r="1571" spans="1:5" x14ac:dyDescent="0.3">
      <c r="A1571">
        <v>401123040</v>
      </c>
      <c r="B1571">
        <v>678944</v>
      </c>
      <c r="C1571" s="1">
        <v>44686</v>
      </c>
      <c r="D1571" t="s">
        <v>3492</v>
      </c>
      <c r="E1571">
        <f>IF(ISNUMBER(MATCH(marketing_events_raw[[#This Row],[customer_id]], customers_clean!A:A, 0)), 1, 0)</f>
        <v>1</v>
      </c>
    </row>
    <row r="1572" spans="1:5" x14ac:dyDescent="0.3">
      <c r="A1572">
        <v>102362885</v>
      </c>
      <c r="B1572">
        <v>593403</v>
      </c>
      <c r="C1572" s="1">
        <v>45157</v>
      </c>
      <c r="D1572" t="s">
        <v>3487</v>
      </c>
      <c r="E1572">
        <f>IF(ISNUMBER(MATCH(marketing_events_raw[[#This Row],[customer_id]], customers_clean!A:A, 0)), 1, 0)</f>
        <v>1</v>
      </c>
    </row>
    <row r="1573" spans="1:5" x14ac:dyDescent="0.3">
      <c r="A1573">
        <v>823001425</v>
      </c>
      <c r="B1573">
        <v>794663</v>
      </c>
      <c r="C1573" s="1">
        <v>44745</v>
      </c>
      <c r="D1573" t="s">
        <v>3491</v>
      </c>
      <c r="E1573">
        <f>IF(ISNUMBER(MATCH(marketing_events_raw[[#This Row],[customer_id]], customers_clean!A:A, 0)), 1, 0)</f>
        <v>1</v>
      </c>
    </row>
    <row r="1574" spans="1:5" x14ac:dyDescent="0.3">
      <c r="A1574">
        <v>899593892</v>
      </c>
      <c r="B1574">
        <v>620248</v>
      </c>
      <c r="C1574" s="1">
        <v>44766</v>
      </c>
      <c r="D1574" t="s">
        <v>3492</v>
      </c>
      <c r="E1574">
        <f>IF(ISNUMBER(MATCH(marketing_events_raw[[#This Row],[customer_id]], customers_clean!A:A, 0)), 1, 0)</f>
        <v>1</v>
      </c>
    </row>
    <row r="1575" spans="1:5" x14ac:dyDescent="0.3">
      <c r="A1575">
        <v>540353882</v>
      </c>
      <c r="B1575">
        <v>711680</v>
      </c>
      <c r="C1575" s="1">
        <v>44773</v>
      </c>
      <c r="D1575" t="s">
        <v>3489</v>
      </c>
      <c r="E1575">
        <f>IF(ISNUMBER(MATCH(marketing_events_raw[[#This Row],[customer_id]], customers_clean!A:A, 0)), 1, 0)</f>
        <v>1</v>
      </c>
    </row>
    <row r="1576" spans="1:5" x14ac:dyDescent="0.3">
      <c r="A1576">
        <v>965385900</v>
      </c>
      <c r="B1576">
        <v>478411</v>
      </c>
      <c r="C1576" s="1">
        <v>44996</v>
      </c>
      <c r="D1576" t="s">
        <v>3493</v>
      </c>
      <c r="E1576">
        <f>IF(ISNUMBER(MATCH(marketing_events_raw[[#This Row],[customer_id]], customers_clean!A:A, 0)), 1, 0)</f>
        <v>1</v>
      </c>
    </row>
    <row r="1577" spans="1:5" x14ac:dyDescent="0.3">
      <c r="A1577">
        <v>655545781</v>
      </c>
      <c r="B1577">
        <v>141406</v>
      </c>
      <c r="C1577" s="1">
        <v>45485</v>
      </c>
      <c r="D1577" t="s">
        <v>3491</v>
      </c>
      <c r="E1577">
        <f>IF(ISNUMBER(MATCH(marketing_events_raw[[#This Row],[customer_id]], customers_clean!A:A, 0)), 1, 0)</f>
        <v>1</v>
      </c>
    </row>
    <row r="1578" spans="1:5" x14ac:dyDescent="0.3">
      <c r="A1578">
        <v>347038098</v>
      </c>
      <c r="B1578">
        <v>106658</v>
      </c>
      <c r="C1578" s="1">
        <v>44869</v>
      </c>
      <c r="D1578" t="s">
        <v>3492</v>
      </c>
      <c r="E1578">
        <f>IF(ISNUMBER(MATCH(marketing_events_raw[[#This Row],[customer_id]], customers_clean!A:A, 0)), 1, 0)</f>
        <v>1</v>
      </c>
    </row>
    <row r="1579" spans="1:5" x14ac:dyDescent="0.3">
      <c r="A1579">
        <v>324075905</v>
      </c>
      <c r="B1579">
        <v>979414</v>
      </c>
      <c r="C1579" s="1">
        <v>45349</v>
      </c>
      <c r="D1579" t="s">
        <v>3492</v>
      </c>
      <c r="E1579">
        <f>IF(ISNUMBER(MATCH(marketing_events_raw[[#This Row],[customer_id]], customers_clean!A:A, 0)), 1, 0)</f>
        <v>1</v>
      </c>
    </row>
    <row r="1580" spans="1:5" x14ac:dyDescent="0.3">
      <c r="A1580">
        <v>210088188</v>
      </c>
      <c r="B1580">
        <v>408467</v>
      </c>
      <c r="C1580" s="1">
        <v>45460</v>
      </c>
      <c r="D1580" t="s">
        <v>3487</v>
      </c>
      <c r="E1580">
        <f>IF(ISNUMBER(MATCH(marketing_events_raw[[#This Row],[customer_id]], customers_clean!A:A, 0)), 1, 0)</f>
        <v>1</v>
      </c>
    </row>
    <row r="1581" spans="1:5" x14ac:dyDescent="0.3">
      <c r="A1581">
        <v>568344697</v>
      </c>
      <c r="B1581">
        <v>475691</v>
      </c>
      <c r="C1581" s="1">
        <v>45635</v>
      </c>
      <c r="D1581" t="s">
        <v>3492</v>
      </c>
      <c r="E1581">
        <f>IF(ISNUMBER(MATCH(marketing_events_raw[[#This Row],[customer_id]], customers_clean!A:A, 0)), 1, 0)</f>
        <v>1</v>
      </c>
    </row>
    <row r="1582" spans="1:5" x14ac:dyDescent="0.3">
      <c r="A1582">
        <v>885608295</v>
      </c>
      <c r="B1582">
        <v>361250</v>
      </c>
      <c r="C1582" s="1">
        <v>44458</v>
      </c>
      <c r="D1582" t="s">
        <v>3491</v>
      </c>
      <c r="E1582">
        <f>IF(ISNUMBER(MATCH(marketing_events_raw[[#This Row],[customer_id]], customers_clean!A:A, 0)), 1, 0)</f>
        <v>1</v>
      </c>
    </row>
    <row r="1583" spans="1:5" x14ac:dyDescent="0.3">
      <c r="A1583">
        <v>566710198</v>
      </c>
      <c r="B1583">
        <v>749758</v>
      </c>
      <c r="C1583" s="1">
        <v>45123</v>
      </c>
      <c r="D1583" t="s">
        <v>3488</v>
      </c>
      <c r="E1583">
        <f>IF(ISNUMBER(MATCH(marketing_events_raw[[#This Row],[customer_id]], customers_clean!A:A, 0)), 1, 0)</f>
        <v>1</v>
      </c>
    </row>
    <row r="1584" spans="1:5" x14ac:dyDescent="0.3">
      <c r="A1584">
        <v>409205552</v>
      </c>
      <c r="B1584">
        <v>829765</v>
      </c>
      <c r="C1584" s="1">
        <v>44741</v>
      </c>
      <c r="D1584" t="s">
        <v>3492</v>
      </c>
      <c r="E1584">
        <f>IF(ISNUMBER(MATCH(marketing_events_raw[[#This Row],[customer_id]], customers_clean!A:A, 0)), 1, 0)</f>
        <v>1</v>
      </c>
    </row>
    <row r="1585" spans="1:5" x14ac:dyDescent="0.3">
      <c r="A1585">
        <v>367457666</v>
      </c>
      <c r="B1585">
        <v>965401</v>
      </c>
      <c r="C1585" s="1">
        <v>45533</v>
      </c>
      <c r="D1585" t="s">
        <v>3489</v>
      </c>
      <c r="E1585">
        <f>IF(ISNUMBER(MATCH(marketing_events_raw[[#This Row],[customer_id]], customers_clean!A:A, 0)), 1, 0)</f>
        <v>1</v>
      </c>
    </row>
    <row r="1586" spans="1:5" x14ac:dyDescent="0.3">
      <c r="A1586">
        <v>512015168</v>
      </c>
      <c r="B1586">
        <v>222692</v>
      </c>
      <c r="C1586" s="1">
        <v>45652</v>
      </c>
      <c r="D1586" t="s">
        <v>3489</v>
      </c>
      <c r="E1586">
        <f>IF(ISNUMBER(MATCH(marketing_events_raw[[#This Row],[customer_id]], customers_clean!A:A, 0)), 1, 0)</f>
        <v>1</v>
      </c>
    </row>
    <row r="1587" spans="1:5" x14ac:dyDescent="0.3">
      <c r="A1587">
        <v>695373815</v>
      </c>
      <c r="B1587">
        <v>503489</v>
      </c>
      <c r="C1587" s="1">
        <v>45057</v>
      </c>
      <c r="D1587" t="s">
        <v>3492</v>
      </c>
      <c r="E1587">
        <f>IF(ISNUMBER(MATCH(marketing_events_raw[[#This Row],[customer_id]], customers_clean!A:A, 0)), 1, 0)</f>
        <v>1</v>
      </c>
    </row>
    <row r="1588" spans="1:5" x14ac:dyDescent="0.3">
      <c r="A1588">
        <v>122359121</v>
      </c>
      <c r="B1588">
        <v>753534</v>
      </c>
      <c r="C1588" s="1">
        <v>45303</v>
      </c>
      <c r="D1588" t="s">
        <v>3492</v>
      </c>
      <c r="E1588">
        <f>IF(ISNUMBER(MATCH(marketing_events_raw[[#This Row],[customer_id]], customers_clean!A:A, 0)), 1, 0)</f>
        <v>1</v>
      </c>
    </row>
    <row r="1589" spans="1:5" x14ac:dyDescent="0.3">
      <c r="A1589">
        <v>319260684</v>
      </c>
      <c r="B1589">
        <v>137581</v>
      </c>
      <c r="C1589" s="1">
        <v>45078</v>
      </c>
      <c r="D1589" t="s">
        <v>3488</v>
      </c>
      <c r="E1589">
        <f>IF(ISNUMBER(MATCH(marketing_events_raw[[#This Row],[customer_id]], customers_clean!A:A, 0)), 1, 0)</f>
        <v>1</v>
      </c>
    </row>
    <row r="1590" spans="1:5" x14ac:dyDescent="0.3">
      <c r="A1590">
        <v>994280748</v>
      </c>
      <c r="B1590">
        <v>320073</v>
      </c>
      <c r="C1590" s="1">
        <v>44426</v>
      </c>
      <c r="D1590" t="s">
        <v>3491</v>
      </c>
      <c r="E1590">
        <f>IF(ISNUMBER(MATCH(marketing_events_raw[[#This Row],[customer_id]], customers_clean!A:A, 0)), 1, 0)</f>
        <v>1</v>
      </c>
    </row>
    <row r="1591" spans="1:5" x14ac:dyDescent="0.3">
      <c r="A1591">
        <v>473013747</v>
      </c>
      <c r="B1591">
        <v>904377</v>
      </c>
      <c r="C1591" s="1">
        <v>44716</v>
      </c>
      <c r="D1591" t="s">
        <v>3488</v>
      </c>
      <c r="E1591">
        <f>IF(ISNUMBER(MATCH(marketing_events_raw[[#This Row],[customer_id]], customers_clean!A:A, 0)), 1, 0)</f>
        <v>1</v>
      </c>
    </row>
    <row r="1592" spans="1:5" x14ac:dyDescent="0.3">
      <c r="A1592">
        <v>700696681</v>
      </c>
      <c r="B1592">
        <v>791174</v>
      </c>
      <c r="C1592" s="1">
        <v>45453</v>
      </c>
      <c r="D1592" t="s">
        <v>3488</v>
      </c>
      <c r="E1592">
        <f>IF(ISNUMBER(MATCH(marketing_events_raw[[#This Row],[customer_id]], customers_clean!A:A, 0)), 1, 0)</f>
        <v>1</v>
      </c>
    </row>
    <row r="1593" spans="1:5" x14ac:dyDescent="0.3">
      <c r="A1593">
        <v>767290843</v>
      </c>
      <c r="B1593">
        <v>115799</v>
      </c>
      <c r="C1593" s="1">
        <v>45146</v>
      </c>
      <c r="D1593" t="s">
        <v>3491</v>
      </c>
      <c r="E1593">
        <f>IF(ISNUMBER(MATCH(marketing_events_raw[[#This Row],[customer_id]], customers_clean!A:A, 0)), 1, 0)</f>
        <v>1</v>
      </c>
    </row>
    <row r="1594" spans="1:5" x14ac:dyDescent="0.3">
      <c r="A1594">
        <v>392035653</v>
      </c>
      <c r="B1594">
        <v>436208</v>
      </c>
      <c r="C1594" s="1">
        <v>45364</v>
      </c>
      <c r="D1594" t="s">
        <v>3488</v>
      </c>
      <c r="E1594">
        <f>IF(ISNUMBER(MATCH(marketing_events_raw[[#This Row],[customer_id]], customers_clean!A:A, 0)), 1, 0)</f>
        <v>1</v>
      </c>
    </row>
    <row r="1595" spans="1:5" x14ac:dyDescent="0.3">
      <c r="A1595">
        <v>778127307</v>
      </c>
      <c r="B1595">
        <v>423047</v>
      </c>
      <c r="C1595" s="1">
        <v>44398</v>
      </c>
      <c r="D1595" t="s">
        <v>3489</v>
      </c>
      <c r="E1595">
        <f>IF(ISNUMBER(MATCH(marketing_events_raw[[#This Row],[customer_id]], customers_clean!A:A, 0)), 1, 0)</f>
        <v>1</v>
      </c>
    </row>
    <row r="1596" spans="1:5" x14ac:dyDescent="0.3">
      <c r="A1596">
        <v>711300786</v>
      </c>
      <c r="B1596">
        <v>398910</v>
      </c>
      <c r="C1596" s="1">
        <v>45256</v>
      </c>
      <c r="D1596" t="s">
        <v>3488</v>
      </c>
      <c r="E1596">
        <f>IF(ISNUMBER(MATCH(marketing_events_raw[[#This Row],[customer_id]], customers_clean!A:A, 0)), 1, 0)</f>
        <v>1</v>
      </c>
    </row>
    <row r="1597" spans="1:5" x14ac:dyDescent="0.3">
      <c r="A1597">
        <v>749666568</v>
      </c>
      <c r="B1597">
        <v>571832</v>
      </c>
      <c r="C1597" s="1">
        <v>45246</v>
      </c>
      <c r="D1597" t="s">
        <v>3492</v>
      </c>
      <c r="E1597">
        <f>IF(ISNUMBER(MATCH(marketing_events_raw[[#This Row],[customer_id]], customers_clean!A:A, 0)), 1, 0)</f>
        <v>1</v>
      </c>
    </row>
    <row r="1598" spans="1:5" x14ac:dyDescent="0.3">
      <c r="A1598">
        <v>450854976</v>
      </c>
      <c r="B1598">
        <v>100754</v>
      </c>
      <c r="C1598" s="1">
        <v>44811</v>
      </c>
      <c r="D1598" t="s">
        <v>3492</v>
      </c>
      <c r="E1598">
        <f>IF(ISNUMBER(MATCH(marketing_events_raw[[#This Row],[customer_id]], customers_clean!A:A, 0)), 1, 0)</f>
        <v>1</v>
      </c>
    </row>
    <row r="1599" spans="1:5" x14ac:dyDescent="0.3">
      <c r="A1599">
        <v>745254104</v>
      </c>
      <c r="B1599">
        <v>269170</v>
      </c>
      <c r="C1599" s="1">
        <v>44578</v>
      </c>
      <c r="D1599" t="s">
        <v>3488</v>
      </c>
      <c r="E1599">
        <f>IF(ISNUMBER(MATCH(marketing_events_raw[[#This Row],[customer_id]], customers_clean!A:A, 0)), 1, 0)</f>
        <v>1</v>
      </c>
    </row>
    <row r="1600" spans="1:5" x14ac:dyDescent="0.3">
      <c r="A1600">
        <v>605006657</v>
      </c>
      <c r="B1600">
        <v>354235</v>
      </c>
      <c r="C1600" s="1">
        <v>45211</v>
      </c>
      <c r="D1600" t="s">
        <v>3492</v>
      </c>
      <c r="E1600">
        <f>IF(ISNUMBER(MATCH(marketing_events_raw[[#This Row],[customer_id]], customers_clean!A:A, 0)), 1, 0)</f>
        <v>1</v>
      </c>
    </row>
    <row r="1601" spans="1:5" x14ac:dyDescent="0.3">
      <c r="A1601">
        <v>148105326</v>
      </c>
      <c r="B1601">
        <v>265603</v>
      </c>
      <c r="C1601" s="1">
        <v>44911</v>
      </c>
      <c r="D1601" t="s">
        <v>3487</v>
      </c>
      <c r="E1601">
        <f>IF(ISNUMBER(MATCH(marketing_events_raw[[#This Row],[customer_id]], customers_clean!A:A, 0)), 1, 0)</f>
        <v>1</v>
      </c>
    </row>
    <row r="1602" spans="1:5" x14ac:dyDescent="0.3">
      <c r="A1602">
        <v>233789095</v>
      </c>
      <c r="B1602">
        <v>324116</v>
      </c>
      <c r="C1602" s="1">
        <v>45507</v>
      </c>
      <c r="D1602" t="s">
        <v>3491</v>
      </c>
      <c r="E1602">
        <f>IF(ISNUMBER(MATCH(marketing_events_raw[[#This Row],[customer_id]], customers_clean!A:A, 0)), 1, 0)</f>
        <v>1</v>
      </c>
    </row>
    <row r="1603" spans="1:5" x14ac:dyDescent="0.3">
      <c r="A1603">
        <v>316261434</v>
      </c>
      <c r="B1603">
        <v>794663</v>
      </c>
      <c r="C1603" s="1">
        <v>44391</v>
      </c>
      <c r="D1603" t="s">
        <v>3490</v>
      </c>
      <c r="E1603">
        <f>IF(ISNUMBER(MATCH(marketing_events_raw[[#This Row],[customer_id]], customers_clean!A:A, 0)), 1, 0)</f>
        <v>1</v>
      </c>
    </row>
    <row r="1604" spans="1:5" x14ac:dyDescent="0.3">
      <c r="A1604">
        <v>918215023</v>
      </c>
      <c r="B1604">
        <v>802812</v>
      </c>
      <c r="C1604" s="1">
        <v>45594</v>
      </c>
      <c r="D1604" t="s">
        <v>3488</v>
      </c>
      <c r="E1604">
        <f>IF(ISNUMBER(MATCH(marketing_events_raw[[#This Row],[customer_id]], customers_clean!A:A, 0)), 1, 0)</f>
        <v>1</v>
      </c>
    </row>
    <row r="1605" spans="1:5" x14ac:dyDescent="0.3">
      <c r="A1605">
        <v>732114963</v>
      </c>
      <c r="B1605">
        <v>979414</v>
      </c>
      <c r="C1605" s="1">
        <v>45078</v>
      </c>
      <c r="D1605" t="s">
        <v>3492</v>
      </c>
      <c r="E1605">
        <f>IF(ISNUMBER(MATCH(marketing_events_raw[[#This Row],[customer_id]], customers_clean!A:A, 0)), 1, 0)</f>
        <v>1</v>
      </c>
    </row>
    <row r="1606" spans="1:5" x14ac:dyDescent="0.3">
      <c r="A1606">
        <v>246430725</v>
      </c>
      <c r="B1606">
        <v>395548</v>
      </c>
      <c r="C1606" s="1">
        <v>45509</v>
      </c>
      <c r="D1606" t="s">
        <v>3491</v>
      </c>
      <c r="E1606">
        <f>IF(ISNUMBER(MATCH(marketing_events_raw[[#This Row],[customer_id]], customers_clean!A:A, 0)), 1, 0)</f>
        <v>1</v>
      </c>
    </row>
    <row r="1607" spans="1:5" x14ac:dyDescent="0.3">
      <c r="A1607">
        <v>588906086</v>
      </c>
      <c r="B1607">
        <v>974994</v>
      </c>
      <c r="C1607" s="1">
        <v>44816</v>
      </c>
      <c r="D1607" t="s">
        <v>3492</v>
      </c>
      <c r="E1607">
        <f>IF(ISNUMBER(MATCH(marketing_events_raw[[#This Row],[customer_id]], customers_clean!A:A, 0)), 1, 0)</f>
        <v>1</v>
      </c>
    </row>
    <row r="1608" spans="1:5" x14ac:dyDescent="0.3">
      <c r="A1608">
        <v>405803750</v>
      </c>
      <c r="B1608">
        <v>396439</v>
      </c>
      <c r="C1608" s="1">
        <v>45632</v>
      </c>
      <c r="D1608" t="s">
        <v>3493</v>
      </c>
      <c r="E1608">
        <f>IF(ISNUMBER(MATCH(marketing_events_raw[[#This Row],[customer_id]], customers_clean!A:A, 0)), 1, 0)</f>
        <v>1</v>
      </c>
    </row>
    <row r="1609" spans="1:5" x14ac:dyDescent="0.3">
      <c r="A1609">
        <v>531606799</v>
      </c>
      <c r="B1609">
        <v>165214</v>
      </c>
      <c r="C1609" s="1">
        <v>45154</v>
      </c>
      <c r="D1609" t="s">
        <v>3491</v>
      </c>
      <c r="E1609">
        <f>IF(ISNUMBER(MATCH(marketing_events_raw[[#This Row],[customer_id]], customers_clean!A:A, 0)), 1, 0)</f>
        <v>1</v>
      </c>
    </row>
    <row r="1610" spans="1:5" x14ac:dyDescent="0.3">
      <c r="A1610">
        <v>565615555</v>
      </c>
      <c r="B1610">
        <v>166803</v>
      </c>
      <c r="C1610" s="1">
        <v>45262</v>
      </c>
      <c r="D1610" t="s">
        <v>3487</v>
      </c>
      <c r="E1610">
        <f>IF(ISNUMBER(MATCH(marketing_events_raw[[#This Row],[customer_id]], customers_clean!A:A, 0)), 1, 0)</f>
        <v>1</v>
      </c>
    </row>
    <row r="1611" spans="1:5" x14ac:dyDescent="0.3">
      <c r="A1611">
        <v>732479947</v>
      </c>
      <c r="B1611">
        <v>711680</v>
      </c>
      <c r="C1611" s="1">
        <v>45485</v>
      </c>
      <c r="D1611" t="s">
        <v>3491</v>
      </c>
      <c r="E1611">
        <f>IF(ISNUMBER(MATCH(marketing_events_raw[[#This Row],[customer_id]], customers_clean!A:A, 0)), 1, 0)</f>
        <v>1</v>
      </c>
    </row>
    <row r="1612" spans="1:5" x14ac:dyDescent="0.3">
      <c r="A1612">
        <v>722116070</v>
      </c>
      <c r="B1612">
        <v>894541</v>
      </c>
      <c r="C1612" s="1">
        <v>44910</v>
      </c>
      <c r="D1612" t="s">
        <v>3487</v>
      </c>
      <c r="E1612">
        <f>IF(ISNUMBER(MATCH(marketing_events_raw[[#This Row],[customer_id]], customers_clean!A:A, 0)), 1, 0)</f>
        <v>1</v>
      </c>
    </row>
    <row r="1613" spans="1:5" x14ac:dyDescent="0.3">
      <c r="A1613">
        <v>117610561</v>
      </c>
      <c r="B1613">
        <v>951201</v>
      </c>
      <c r="C1613" s="1">
        <v>45218</v>
      </c>
      <c r="D1613" t="s">
        <v>3493</v>
      </c>
      <c r="E1613">
        <f>IF(ISNUMBER(MATCH(marketing_events_raw[[#This Row],[customer_id]], customers_clean!A:A, 0)), 1, 0)</f>
        <v>1</v>
      </c>
    </row>
    <row r="1614" spans="1:5" x14ac:dyDescent="0.3">
      <c r="A1614">
        <v>214344610</v>
      </c>
      <c r="B1614">
        <v>948095</v>
      </c>
      <c r="C1614" s="1">
        <v>45319</v>
      </c>
      <c r="D1614" t="s">
        <v>3493</v>
      </c>
      <c r="E1614">
        <f>IF(ISNUMBER(MATCH(marketing_events_raw[[#This Row],[customer_id]], customers_clean!A:A, 0)), 1, 0)</f>
        <v>1</v>
      </c>
    </row>
    <row r="1615" spans="1:5" x14ac:dyDescent="0.3">
      <c r="A1615">
        <v>789855263</v>
      </c>
      <c r="B1615">
        <v>586279</v>
      </c>
      <c r="C1615" s="1">
        <v>44427</v>
      </c>
      <c r="D1615" t="s">
        <v>3488</v>
      </c>
      <c r="E1615">
        <f>IF(ISNUMBER(MATCH(marketing_events_raw[[#This Row],[customer_id]], customers_clean!A:A, 0)), 1, 0)</f>
        <v>1</v>
      </c>
    </row>
    <row r="1616" spans="1:5" x14ac:dyDescent="0.3">
      <c r="A1616">
        <v>565177461</v>
      </c>
      <c r="B1616">
        <v>116703</v>
      </c>
      <c r="C1616" s="1">
        <v>45578</v>
      </c>
      <c r="D1616" t="s">
        <v>3490</v>
      </c>
      <c r="E1616">
        <f>IF(ISNUMBER(MATCH(marketing_events_raw[[#This Row],[customer_id]], customers_clean!A:A, 0)), 1, 0)</f>
        <v>1</v>
      </c>
    </row>
    <row r="1617" spans="1:5" x14ac:dyDescent="0.3">
      <c r="A1617">
        <v>191271843</v>
      </c>
      <c r="B1617">
        <v>701581</v>
      </c>
      <c r="C1617" s="1">
        <v>44916</v>
      </c>
      <c r="D1617" t="s">
        <v>3491</v>
      </c>
      <c r="E1617">
        <f>IF(ISNUMBER(MATCH(marketing_events_raw[[#This Row],[customer_id]], customers_clean!A:A, 0)), 1, 0)</f>
        <v>1</v>
      </c>
    </row>
    <row r="1618" spans="1:5" x14ac:dyDescent="0.3">
      <c r="A1618">
        <v>572784340</v>
      </c>
      <c r="B1618">
        <v>312033</v>
      </c>
      <c r="C1618" s="1">
        <v>44550</v>
      </c>
      <c r="D1618" t="s">
        <v>3490</v>
      </c>
      <c r="E1618">
        <f>IF(ISNUMBER(MATCH(marketing_events_raw[[#This Row],[customer_id]], customers_clean!A:A, 0)), 1, 0)</f>
        <v>1</v>
      </c>
    </row>
    <row r="1619" spans="1:5" x14ac:dyDescent="0.3">
      <c r="A1619">
        <v>128257520</v>
      </c>
      <c r="B1619">
        <v>437960</v>
      </c>
      <c r="C1619" s="1">
        <v>44822</v>
      </c>
      <c r="D1619" t="s">
        <v>3488</v>
      </c>
      <c r="E1619">
        <f>IF(ISNUMBER(MATCH(marketing_events_raw[[#This Row],[customer_id]], customers_clean!A:A, 0)), 1, 0)</f>
        <v>1</v>
      </c>
    </row>
    <row r="1620" spans="1:5" x14ac:dyDescent="0.3">
      <c r="A1620">
        <v>662210648</v>
      </c>
      <c r="B1620">
        <v>506637</v>
      </c>
      <c r="C1620" s="1">
        <v>44915</v>
      </c>
      <c r="D1620" t="s">
        <v>3488</v>
      </c>
      <c r="E1620">
        <f>IF(ISNUMBER(MATCH(marketing_events_raw[[#This Row],[customer_id]], customers_clean!A:A, 0)), 1, 0)</f>
        <v>1</v>
      </c>
    </row>
    <row r="1621" spans="1:5" x14ac:dyDescent="0.3">
      <c r="A1621">
        <v>868610421</v>
      </c>
      <c r="B1621">
        <v>294954</v>
      </c>
      <c r="C1621" s="1">
        <v>45299</v>
      </c>
      <c r="D1621" t="s">
        <v>3490</v>
      </c>
      <c r="E1621">
        <f>IF(ISNUMBER(MATCH(marketing_events_raw[[#This Row],[customer_id]], customers_clean!A:A, 0)), 1, 0)</f>
        <v>1</v>
      </c>
    </row>
    <row r="1622" spans="1:5" x14ac:dyDescent="0.3">
      <c r="A1622">
        <v>461552865</v>
      </c>
      <c r="B1622">
        <v>853489</v>
      </c>
      <c r="C1622" s="1">
        <v>45185</v>
      </c>
      <c r="D1622" t="s">
        <v>3487</v>
      </c>
      <c r="E1622">
        <f>IF(ISNUMBER(MATCH(marketing_events_raw[[#This Row],[customer_id]], customers_clean!A:A, 0)), 1, 0)</f>
        <v>1</v>
      </c>
    </row>
    <row r="1623" spans="1:5" x14ac:dyDescent="0.3">
      <c r="A1623">
        <v>990421111</v>
      </c>
      <c r="B1623">
        <v>731661</v>
      </c>
      <c r="C1623" s="1">
        <v>45116</v>
      </c>
      <c r="D1623" t="s">
        <v>3487</v>
      </c>
      <c r="E1623">
        <f>IF(ISNUMBER(MATCH(marketing_events_raw[[#This Row],[customer_id]], customers_clean!A:A, 0)), 1, 0)</f>
        <v>1</v>
      </c>
    </row>
    <row r="1624" spans="1:5" x14ac:dyDescent="0.3">
      <c r="A1624">
        <v>564001547</v>
      </c>
      <c r="B1624">
        <v>904812</v>
      </c>
      <c r="C1624" s="1">
        <v>45049</v>
      </c>
      <c r="D1624" t="s">
        <v>3490</v>
      </c>
      <c r="E1624">
        <f>IF(ISNUMBER(MATCH(marketing_events_raw[[#This Row],[customer_id]], customers_clean!A:A, 0)), 1, 0)</f>
        <v>1</v>
      </c>
    </row>
    <row r="1625" spans="1:5" x14ac:dyDescent="0.3">
      <c r="A1625">
        <v>800744575</v>
      </c>
      <c r="B1625">
        <v>560295</v>
      </c>
      <c r="C1625" s="1">
        <v>45075</v>
      </c>
      <c r="D1625" t="s">
        <v>3490</v>
      </c>
      <c r="E1625">
        <f>IF(ISNUMBER(MATCH(marketing_events_raw[[#This Row],[customer_id]], customers_clean!A:A, 0)), 1, 0)</f>
        <v>1</v>
      </c>
    </row>
    <row r="1626" spans="1:5" x14ac:dyDescent="0.3">
      <c r="A1626">
        <v>682848040</v>
      </c>
      <c r="B1626">
        <v>440881</v>
      </c>
      <c r="C1626" s="1">
        <v>45416</v>
      </c>
      <c r="D1626" t="s">
        <v>3487</v>
      </c>
      <c r="E1626">
        <f>IF(ISNUMBER(MATCH(marketing_events_raw[[#This Row],[customer_id]], customers_clean!A:A, 0)), 1, 0)</f>
        <v>1</v>
      </c>
    </row>
    <row r="1627" spans="1:5" x14ac:dyDescent="0.3">
      <c r="A1627">
        <v>121477842</v>
      </c>
      <c r="B1627">
        <v>263573</v>
      </c>
      <c r="C1627" s="1">
        <v>44578</v>
      </c>
      <c r="D1627" t="s">
        <v>3487</v>
      </c>
      <c r="E1627">
        <f>IF(ISNUMBER(MATCH(marketing_events_raw[[#This Row],[customer_id]], customers_clean!A:A, 0)), 1, 0)</f>
        <v>1</v>
      </c>
    </row>
    <row r="1628" spans="1:5" x14ac:dyDescent="0.3">
      <c r="A1628">
        <v>627631129</v>
      </c>
      <c r="B1628">
        <v>612977</v>
      </c>
      <c r="C1628" s="1">
        <v>44981</v>
      </c>
      <c r="D1628" t="s">
        <v>3492</v>
      </c>
      <c r="E1628">
        <f>IF(ISNUMBER(MATCH(marketing_events_raw[[#This Row],[customer_id]], customers_clean!A:A, 0)), 1, 0)</f>
        <v>1</v>
      </c>
    </row>
    <row r="1629" spans="1:5" x14ac:dyDescent="0.3">
      <c r="A1629">
        <v>704489928</v>
      </c>
      <c r="B1629">
        <v>612855</v>
      </c>
      <c r="C1629" s="1">
        <v>44752</v>
      </c>
      <c r="D1629" t="s">
        <v>3489</v>
      </c>
      <c r="E1629">
        <f>IF(ISNUMBER(MATCH(marketing_events_raw[[#This Row],[customer_id]], customers_clean!A:A, 0)), 1, 0)</f>
        <v>1</v>
      </c>
    </row>
    <row r="1630" spans="1:5" x14ac:dyDescent="0.3">
      <c r="A1630">
        <v>405035660</v>
      </c>
      <c r="B1630">
        <v>735863</v>
      </c>
      <c r="C1630" s="1">
        <v>44806</v>
      </c>
      <c r="D1630" t="s">
        <v>3492</v>
      </c>
      <c r="E1630">
        <f>IF(ISNUMBER(MATCH(marketing_events_raw[[#This Row],[customer_id]], customers_clean!A:A, 0)), 1, 0)</f>
        <v>1</v>
      </c>
    </row>
    <row r="1631" spans="1:5" x14ac:dyDescent="0.3">
      <c r="A1631">
        <v>755730112</v>
      </c>
      <c r="B1631">
        <v>130271</v>
      </c>
      <c r="C1631" s="1">
        <v>45272</v>
      </c>
      <c r="D1631" t="s">
        <v>3491</v>
      </c>
      <c r="E1631">
        <f>IF(ISNUMBER(MATCH(marketing_events_raw[[#This Row],[customer_id]], customers_clean!A:A, 0)), 1, 0)</f>
        <v>1</v>
      </c>
    </row>
    <row r="1632" spans="1:5" x14ac:dyDescent="0.3">
      <c r="A1632">
        <v>655256497</v>
      </c>
      <c r="B1632">
        <v>214176</v>
      </c>
      <c r="C1632" s="1">
        <v>45053</v>
      </c>
      <c r="D1632" t="s">
        <v>3490</v>
      </c>
      <c r="E1632">
        <f>IF(ISNUMBER(MATCH(marketing_events_raw[[#This Row],[customer_id]], customers_clean!A:A, 0)), 1, 0)</f>
        <v>1</v>
      </c>
    </row>
    <row r="1633" spans="1:5" x14ac:dyDescent="0.3">
      <c r="A1633">
        <v>398756682</v>
      </c>
      <c r="B1633">
        <v>532322</v>
      </c>
      <c r="C1633" s="1">
        <v>45045</v>
      </c>
      <c r="D1633" t="s">
        <v>3488</v>
      </c>
      <c r="E1633">
        <f>IF(ISNUMBER(MATCH(marketing_events_raw[[#This Row],[customer_id]], customers_clean!A:A, 0)), 1, 0)</f>
        <v>1</v>
      </c>
    </row>
    <row r="1634" spans="1:5" x14ac:dyDescent="0.3">
      <c r="A1634">
        <v>117865820</v>
      </c>
      <c r="B1634">
        <v>940247</v>
      </c>
      <c r="C1634" s="1">
        <v>45068</v>
      </c>
      <c r="D1634" t="s">
        <v>3488</v>
      </c>
      <c r="E1634">
        <f>IF(ISNUMBER(MATCH(marketing_events_raw[[#This Row],[customer_id]], customers_clean!A:A, 0)), 1, 0)</f>
        <v>1</v>
      </c>
    </row>
    <row r="1635" spans="1:5" x14ac:dyDescent="0.3">
      <c r="A1635">
        <v>539118265</v>
      </c>
      <c r="B1635">
        <v>425434</v>
      </c>
      <c r="C1635" s="1">
        <v>45218</v>
      </c>
      <c r="D1635" t="s">
        <v>3488</v>
      </c>
      <c r="E1635">
        <f>IF(ISNUMBER(MATCH(marketing_events_raw[[#This Row],[customer_id]], customers_clean!A:A, 0)), 1, 0)</f>
        <v>1</v>
      </c>
    </row>
    <row r="1636" spans="1:5" x14ac:dyDescent="0.3">
      <c r="A1636">
        <v>859575160</v>
      </c>
      <c r="B1636">
        <v>725969</v>
      </c>
      <c r="C1636" s="1">
        <v>45562</v>
      </c>
      <c r="D1636" t="s">
        <v>3488</v>
      </c>
      <c r="E1636">
        <f>IF(ISNUMBER(MATCH(marketing_events_raw[[#This Row],[customer_id]], customers_clean!A:A, 0)), 1, 0)</f>
        <v>1</v>
      </c>
    </row>
    <row r="1637" spans="1:5" x14ac:dyDescent="0.3">
      <c r="A1637">
        <v>346237076</v>
      </c>
      <c r="B1637">
        <v>419739</v>
      </c>
      <c r="C1637" s="1">
        <v>45374</v>
      </c>
      <c r="D1637" t="s">
        <v>3492</v>
      </c>
      <c r="E1637">
        <f>IF(ISNUMBER(MATCH(marketing_events_raw[[#This Row],[customer_id]], customers_clean!A:A, 0)), 1, 0)</f>
        <v>1</v>
      </c>
    </row>
    <row r="1638" spans="1:5" x14ac:dyDescent="0.3">
      <c r="A1638">
        <v>433790545</v>
      </c>
      <c r="B1638">
        <v>552686</v>
      </c>
      <c r="C1638" s="1">
        <v>44475</v>
      </c>
      <c r="D1638" t="s">
        <v>3489</v>
      </c>
      <c r="E1638">
        <f>IF(ISNUMBER(MATCH(marketing_events_raw[[#This Row],[customer_id]], customers_clean!A:A, 0)), 1, 0)</f>
        <v>1</v>
      </c>
    </row>
    <row r="1639" spans="1:5" x14ac:dyDescent="0.3">
      <c r="A1639">
        <v>985648037</v>
      </c>
      <c r="B1639">
        <v>404561</v>
      </c>
      <c r="C1639" s="1">
        <v>44923</v>
      </c>
      <c r="D1639" t="s">
        <v>3489</v>
      </c>
      <c r="E1639">
        <f>IF(ISNUMBER(MATCH(marketing_events_raw[[#This Row],[customer_id]], customers_clean!A:A, 0)), 1, 0)</f>
        <v>1</v>
      </c>
    </row>
    <row r="1640" spans="1:5" x14ac:dyDescent="0.3">
      <c r="A1640">
        <v>954059387</v>
      </c>
      <c r="B1640">
        <v>411870</v>
      </c>
      <c r="C1640" s="1">
        <v>45530</v>
      </c>
      <c r="D1640" t="s">
        <v>3487</v>
      </c>
      <c r="E1640">
        <f>IF(ISNUMBER(MATCH(marketing_events_raw[[#This Row],[customer_id]], customers_clean!A:A, 0)), 1, 0)</f>
        <v>1</v>
      </c>
    </row>
    <row r="1641" spans="1:5" x14ac:dyDescent="0.3">
      <c r="A1641">
        <v>177417848</v>
      </c>
      <c r="B1641">
        <v>575637</v>
      </c>
      <c r="C1641" s="1">
        <v>45347</v>
      </c>
      <c r="D1641" t="s">
        <v>3488</v>
      </c>
      <c r="E1641">
        <f>IF(ISNUMBER(MATCH(marketing_events_raw[[#This Row],[customer_id]], customers_clean!A:A, 0)), 1, 0)</f>
        <v>1</v>
      </c>
    </row>
    <row r="1642" spans="1:5" x14ac:dyDescent="0.3">
      <c r="A1642">
        <v>854848998</v>
      </c>
      <c r="B1642">
        <v>559469</v>
      </c>
      <c r="C1642" s="1">
        <v>45481</v>
      </c>
      <c r="D1642" t="s">
        <v>3491</v>
      </c>
      <c r="E1642">
        <f>IF(ISNUMBER(MATCH(marketing_events_raw[[#This Row],[customer_id]], customers_clean!A:A, 0)), 1, 0)</f>
        <v>1</v>
      </c>
    </row>
    <row r="1643" spans="1:5" x14ac:dyDescent="0.3">
      <c r="A1643">
        <v>280193887</v>
      </c>
      <c r="B1643">
        <v>928897</v>
      </c>
      <c r="C1643" s="1">
        <v>45060</v>
      </c>
      <c r="D1643" t="s">
        <v>3488</v>
      </c>
      <c r="E1643">
        <f>IF(ISNUMBER(MATCH(marketing_events_raw[[#This Row],[customer_id]], customers_clean!A:A, 0)), 1, 0)</f>
        <v>1</v>
      </c>
    </row>
    <row r="1644" spans="1:5" x14ac:dyDescent="0.3">
      <c r="A1644">
        <v>578569530</v>
      </c>
      <c r="B1644">
        <v>789880</v>
      </c>
      <c r="C1644" s="1">
        <v>44636</v>
      </c>
      <c r="D1644" t="s">
        <v>3492</v>
      </c>
      <c r="E1644">
        <f>IF(ISNUMBER(MATCH(marketing_events_raw[[#This Row],[customer_id]], customers_clean!A:A, 0)), 1, 0)</f>
        <v>1</v>
      </c>
    </row>
    <row r="1645" spans="1:5" x14ac:dyDescent="0.3">
      <c r="A1645">
        <v>135747571</v>
      </c>
      <c r="B1645">
        <v>459315</v>
      </c>
      <c r="C1645" s="1">
        <v>44648</v>
      </c>
      <c r="D1645" t="s">
        <v>3492</v>
      </c>
      <c r="E1645">
        <f>IF(ISNUMBER(MATCH(marketing_events_raw[[#This Row],[customer_id]], customers_clean!A:A, 0)), 1, 0)</f>
        <v>1</v>
      </c>
    </row>
    <row r="1646" spans="1:5" x14ac:dyDescent="0.3">
      <c r="A1646">
        <v>159804228</v>
      </c>
      <c r="B1646">
        <v>153395</v>
      </c>
      <c r="C1646" s="1">
        <v>44874</v>
      </c>
      <c r="D1646" t="s">
        <v>3491</v>
      </c>
      <c r="E1646">
        <f>IF(ISNUMBER(MATCH(marketing_events_raw[[#This Row],[customer_id]], customers_clean!A:A, 0)), 1, 0)</f>
        <v>1</v>
      </c>
    </row>
    <row r="1647" spans="1:5" x14ac:dyDescent="0.3">
      <c r="A1647">
        <v>447598273</v>
      </c>
      <c r="B1647">
        <v>568288</v>
      </c>
      <c r="C1647" s="1">
        <v>45386</v>
      </c>
      <c r="D1647" t="s">
        <v>3487</v>
      </c>
      <c r="E1647">
        <f>IF(ISNUMBER(MATCH(marketing_events_raw[[#This Row],[customer_id]], customers_clean!A:A, 0)), 1, 0)</f>
        <v>1</v>
      </c>
    </row>
    <row r="1648" spans="1:5" x14ac:dyDescent="0.3">
      <c r="A1648">
        <v>899473996</v>
      </c>
      <c r="B1648">
        <v>163941</v>
      </c>
      <c r="C1648" s="1">
        <v>44735</v>
      </c>
      <c r="D1648" t="s">
        <v>3488</v>
      </c>
      <c r="E1648">
        <f>IF(ISNUMBER(MATCH(marketing_events_raw[[#This Row],[customer_id]], customers_clean!A:A, 0)), 1, 0)</f>
        <v>1</v>
      </c>
    </row>
    <row r="1649" spans="1:5" x14ac:dyDescent="0.3">
      <c r="A1649">
        <v>504147910</v>
      </c>
      <c r="B1649">
        <v>917012</v>
      </c>
      <c r="C1649" s="1">
        <v>44998</v>
      </c>
      <c r="D1649" t="s">
        <v>3491</v>
      </c>
      <c r="E1649">
        <f>IF(ISNUMBER(MATCH(marketing_events_raw[[#This Row],[customer_id]], customers_clean!A:A, 0)), 1, 0)</f>
        <v>1</v>
      </c>
    </row>
    <row r="1650" spans="1:5" x14ac:dyDescent="0.3">
      <c r="A1650">
        <v>947810997</v>
      </c>
      <c r="B1650">
        <v>639292</v>
      </c>
      <c r="C1650" s="1">
        <v>44528</v>
      </c>
      <c r="D1650" t="s">
        <v>3493</v>
      </c>
      <c r="E1650">
        <f>IF(ISNUMBER(MATCH(marketing_events_raw[[#This Row],[customer_id]], customers_clean!A:A, 0)), 1, 0)</f>
        <v>1</v>
      </c>
    </row>
    <row r="1651" spans="1:5" x14ac:dyDescent="0.3">
      <c r="A1651">
        <v>541600059</v>
      </c>
      <c r="B1651">
        <v>982804</v>
      </c>
      <c r="C1651" s="1">
        <v>44892</v>
      </c>
      <c r="D1651" t="s">
        <v>3491</v>
      </c>
      <c r="E1651">
        <f>IF(ISNUMBER(MATCH(marketing_events_raw[[#This Row],[customer_id]], customers_clean!A:A, 0)), 1, 0)</f>
        <v>1</v>
      </c>
    </row>
    <row r="1652" spans="1:5" x14ac:dyDescent="0.3">
      <c r="A1652">
        <v>794523088</v>
      </c>
      <c r="B1652">
        <v>121026</v>
      </c>
      <c r="C1652" s="1">
        <v>44970</v>
      </c>
      <c r="D1652" t="s">
        <v>3491</v>
      </c>
      <c r="E1652">
        <f>IF(ISNUMBER(MATCH(marketing_events_raw[[#This Row],[customer_id]], customers_clean!A:A, 0)), 1, 0)</f>
        <v>1</v>
      </c>
    </row>
    <row r="1653" spans="1:5" x14ac:dyDescent="0.3">
      <c r="A1653">
        <v>362523228</v>
      </c>
      <c r="B1653">
        <v>354235</v>
      </c>
      <c r="C1653" s="1">
        <v>45215</v>
      </c>
      <c r="D1653" t="s">
        <v>3488</v>
      </c>
      <c r="E1653">
        <f>IF(ISNUMBER(MATCH(marketing_events_raw[[#This Row],[customer_id]], customers_clean!A:A, 0)), 1, 0)</f>
        <v>1</v>
      </c>
    </row>
    <row r="1654" spans="1:5" x14ac:dyDescent="0.3">
      <c r="A1654">
        <v>700530563</v>
      </c>
      <c r="B1654">
        <v>438977</v>
      </c>
      <c r="C1654" s="1">
        <v>44488</v>
      </c>
      <c r="D1654" t="s">
        <v>3493</v>
      </c>
      <c r="E1654">
        <f>IF(ISNUMBER(MATCH(marketing_events_raw[[#This Row],[customer_id]], customers_clean!A:A, 0)), 1, 0)</f>
        <v>1</v>
      </c>
    </row>
    <row r="1655" spans="1:5" x14ac:dyDescent="0.3">
      <c r="A1655">
        <v>513779957</v>
      </c>
      <c r="B1655">
        <v>873105</v>
      </c>
      <c r="C1655" s="1">
        <v>44783</v>
      </c>
      <c r="D1655" t="s">
        <v>3492</v>
      </c>
      <c r="E1655">
        <f>IF(ISNUMBER(MATCH(marketing_events_raw[[#This Row],[customer_id]], customers_clean!A:A, 0)), 1, 0)</f>
        <v>1</v>
      </c>
    </row>
    <row r="1656" spans="1:5" x14ac:dyDescent="0.3">
      <c r="A1656">
        <v>649915726</v>
      </c>
      <c r="B1656">
        <v>780130</v>
      </c>
      <c r="C1656" s="1">
        <v>45100</v>
      </c>
      <c r="D1656" t="s">
        <v>3489</v>
      </c>
      <c r="E1656">
        <f>IF(ISNUMBER(MATCH(marketing_events_raw[[#This Row],[customer_id]], customers_clean!A:A, 0)), 1, 0)</f>
        <v>1</v>
      </c>
    </row>
    <row r="1657" spans="1:5" x14ac:dyDescent="0.3">
      <c r="A1657">
        <v>120342393</v>
      </c>
      <c r="B1657">
        <v>424314</v>
      </c>
      <c r="C1657" s="1">
        <v>44555</v>
      </c>
      <c r="D1657" t="s">
        <v>3490</v>
      </c>
      <c r="E1657">
        <f>IF(ISNUMBER(MATCH(marketing_events_raw[[#This Row],[customer_id]], customers_clean!A:A, 0)), 1, 0)</f>
        <v>1</v>
      </c>
    </row>
    <row r="1658" spans="1:5" x14ac:dyDescent="0.3">
      <c r="A1658">
        <v>926545511</v>
      </c>
      <c r="B1658">
        <v>546157</v>
      </c>
      <c r="C1658" s="1">
        <v>44544</v>
      </c>
      <c r="D1658" t="s">
        <v>3488</v>
      </c>
      <c r="E1658">
        <f>IF(ISNUMBER(MATCH(marketing_events_raw[[#This Row],[customer_id]], customers_clean!A:A, 0)), 1, 0)</f>
        <v>1</v>
      </c>
    </row>
    <row r="1659" spans="1:5" x14ac:dyDescent="0.3">
      <c r="A1659">
        <v>920475331</v>
      </c>
      <c r="B1659">
        <v>627276</v>
      </c>
      <c r="C1659" s="1">
        <v>44671</v>
      </c>
      <c r="D1659" t="s">
        <v>3487</v>
      </c>
      <c r="E1659">
        <f>IF(ISNUMBER(MATCH(marketing_events_raw[[#This Row],[customer_id]], customers_clean!A:A, 0)), 1, 0)</f>
        <v>1</v>
      </c>
    </row>
    <row r="1660" spans="1:5" x14ac:dyDescent="0.3">
      <c r="A1660">
        <v>689775766</v>
      </c>
      <c r="B1660">
        <v>901909</v>
      </c>
      <c r="C1660" s="1">
        <v>45565</v>
      </c>
      <c r="D1660" t="s">
        <v>3487</v>
      </c>
      <c r="E1660">
        <f>IF(ISNUMBER(MATCH(marketing_events_raw[[#This Row],[customer_id]], customers_clean!A:A, 0)), 1, 0)</f>
        <v>1</v>
      </c>
    </row>
    <row r="1661" spans="1:5" x14ac:dyDescent="0.3">
      <c r="A1661">
        <v>745407079</v>
      </c>
      <c r="B1661">
        <v>147285</v>
      </c>
      <c r="C1661" s="1">
        <v>45064</v>
      </c>
      <c r="D1661" t="s">
        <v>3490</v>
      </c>
      <c r="E1661">
        <f>IF(ISNUMBER(MATCH(marketing_events_raw[[#This Row],[customer_id]], customers_clean!A:A, 0)), 1, 0)</f>
        <v>1</v>
      </c>
    </row>
    <row r="1662" spans="1:5" x14ac:dyDescent="0.3">
      <c r="A1662">
        <v>965986215</v>
      </c>
      <c r="B1662">
        <v>780776</v>
      </c>
      <c r="C1662" s="1">
        <v>45632</v>
      </c>
      <c r="D1662" t="s">
        <v>3493</v>
      </c>
      <c r="E1662">
        <f>IF(ISNUMBER(MATCH(marketing_events_raw[[#This Row],[customer_id]], customers_clean!A:A, 0)), 1, 0)</f>
        <v>1</v>
      </c>
    </row>
    <row r="1663" spans="1:5" x14ac:dyDescent="0.3">
      <c r="A1663">
        <v>323763757</v>
      </c>
      <c r="B1663">
        <v>224249</v>
      </c>
      <c r="C1663" s="1">
        <v>44385</v>
      </c>
      <c r="D1663" t="s">
        <v>3488</v>
      </c>
      <c r="E1663">
        <f>IF(ISNUMBER(MATCH(marketing_events_raw[[#This Row],[customer_id]], customers_clean!A:A, 0)), 1, 0)</f>
        <v>1</v>
      </c>
    </row>
    <row r="1664" spans="1:5" x14ac:dyDescent="0.3">
      <c r="A1664">
        <v>415621981</v>
      </c>
      <c r="B1664">
        <v>506637</v>
      </c>
      <c r="C1664" s="1">
        <v>45413</v>
      </c>
      <c r="D1664" t="s">
        <v>3488</v>
      </c>
      <c r="E1664">
        <f>IF(ISNUMBER(MATCH(marketing_events_raw[[#This Row],[customer_id]], customers_clean!A:A, 0)), 1, 0)</f>
        <v>1</v>
      </c>
    </row>
    <row r="1665" spans="1:5" x14ac:dyDescent="0.3">
      <c r="A1665">
        <v>496074880</v>
      </c>
      <c r="B1665">
        <v>916779</v>
      </c>
      <c r="C1665" s="1">
        <v>44683</v>
      </c>
      <c r="D1665" t="s">
        <v>3488</v>
      </c>
      <c r="E1665">
        <f>IF(ISNUMBER(MATCH(marketing_events_raw[[#This Row],[customer_id]], customers_clean!A:A, 0)), 1, 0)</f>
        <v>1</v>
      </c>
    </row>
    <row r="1666" spans="1:5" x14ac:dyDescent="0.3">
      <c r="A1666">
        <v>860330588</v>
      </c>
      <c r="B1666">
        <v>571706</v>
      </c>
      <c r="C1666" s="1">
        <v>45384</v>
      </c>
      <c r="D1666" t="s">
        <v>3487</v>
      </c>
      <c r="E1666">
        <f>IF(ISNUMBER(MATCH(marketing_events_raw[[#This Row],[customer_id]], customers_clean!A:A, 0)), 1, 0)</f>
        <v>1</v>
      </c>
    </row>
    <row r="1667" spans="1:5" x14ac:dyDescent="0.3">
      <c r="A1667">
        <v>476108295</v>
      </c>
      <c r="B1667">
        <v>787584</v>
      </c>
      <c r="C1667" s="1">
        <v>45455</v>
      </c>
      <c r="D1667" t="s">
        <v>3487</v>
      </c>
      <c r="E1667">
        <f>IF(ISNUMBER(MATCH(marketing_events_raw[[#This Row],[customer_id]], customers_clean!A:A, 0)), 1, 0)</f>
        <v>1</v>
      </c>
    </row>
    <row r="1668" spans="1:5" x14ac:dyDescent="0.3">
      <c r="A1668">
        <v>914955746</v>
      </c>
      <c r="B1668">
        <v>423047</v>
      </c>
      <c r="C1668" s="1">
        <v>45354</v>
      </c>
      <c r="D1668" t="s">
        <v>3490</v>
      </c>
      <c r="E1668">
        <f>IF(ISNUMBER(MATCH(marketing_events_raw[[#This Row],[customer_id]], customers_clean!A:A, 0)), 1, 0)</f>
        <v>1</v>
      </c>
    </row>
    <row r="1669" spans="1:5" x14ac:dyDescent="0.3">
      <c r="A1669">
        <v>332180445</v>
      </c>
      <c r="B1669">
        <v>680771</v>
      </c>
      <c r="C1669" s="1">
        <v>45175</v>
      </c>
      <c r="D1669" t="s">
        <v>3492</v>
      </c>
      <c r="E1669">
        <f>IF(ISNUMBER(MATCH(marketing_events_raw[[#This Row],[customer_id]], customers_clean!A:A, 0)), 1, 0)</f>
        <v>1</v>
      </c>
    </row>
    <row r="1670" spans="1:5" x14ac:dyDescent="0.3">
      <c r="A1670">
        <v>545553352</v>
      </c>
      <c r="B1670">
        <v>685066</v>
      </c>
      <c r="C1670" s="1">
        <v>44682</v>
      </c>
      <c r="D1670" t="s">
        <v>3490</v>
      </c>
      <c r="E1670">
        <f>IF(ISNUMBER(MATCH(marketing_events_raw[[#This Row],[customer_id]], customers_clean!A:A, 0)), 1, 0)</f>
        <v>1</v>
      </c>
    </row>
    <row r="1671" spans="1:5" x14ac:dyDescent="0.3">
      <c r="A1671">
        <v>308631287</v>
      </c>
      <c r="B1671">
        <v>643623</v>
      </c>
      <c r="C1671" s="1">
        <v>45247</v>
      </c>
      <c r="D1671" t="s">
        <v>3489</v>
      </c>
      <c r="E1671">
        <f>IF(ISNUMBER(MATCH(marketing_events_raw[[#This Row],[customer_id]], customers_clean!A:A, 0)), 1, 0)</f>
        <v>1</v>
      </c>
    </row>
    <row r="1672" spans="1:5" x14ac:dyDescent="0.3">
      <c r="A1672">
        <v>372439905</v>
      </c>
      <c r="B1672">
        <v>774079</v>
      </c>
      <c r="C1672" s="1">
        <v>45004</v>
      </c>
      <c r="D1672" t="s">
        <v>3493</v>
      </c>
      <c r="E1672">
        <f>IF(ISNUMBER(MATCH(marketing_events_raw[[#This Row],[customer_id]], customers_clean!A:A, 0)), 1, 0)</f>
        <v>1</v>
      </c>
    </row>
    <row r="1673" spans="1:5" x14ac:dyDescent="0.3">
      <c r="A1673">
        <v>401999461</v>
      </c>
      <c r="B1673">
        <v>844638</v>
      </c>
      <c r="C1673" s="1">
        <v>44814</v>
      </c>
      <c r="D1673" t="s">
        <v>3493</v>
      </c>
      <c r="E1673">
        <f>IF(ISNUMBER(MATCH(marketing_events_raw[[#This Row],[customer_id]], customers_clean!A:A, 0)), 1, 0)</f>
        <v>1</v>
      </c>
    </row>
    <row r="1674" spans="1:5" x14ac:dyDescent="0.3">
      <c r="A1674">
        <v>739019669</v>
      </c>
      <c r="B1674">
        <v>340497</v>
      </c>
      <c r="C1674" s="1">
        <v>44910</v>
      </c>
      <c r="D1674" t="s">
        <v>3487</v>
      </c>
      <c r="E1674">
        <f>IF(ISNUMBER(MATCH(marketing_events_raw[[#This Row],[customer_id]], customers_clean!A:A, 0)), 1, 0)</f>
        <v>1</v>
      </c>
    </row>
    <row r="1675" spans="1:5" x14ac:dyDescent="0.3">
      <c r="A1675">
        <v>646180292</v>
      </c>
      <c r="B1675">
        <v>909859</v>
      </c>
      <c r="C1675" s="1">
        <v>45606</v>
      </c>
      <c r="D1675" t="s">
        <v>3487</v>
      </c>
      <c r="E1675">
        <f>IF(ISNUMBER(MATCH(marketing_events_raw[[#This Row],[customer_id]], customers_clean!A:A, 0)), 1, 0)</f>
        <v>1</v>
      </c>
    </row>
    <row r="1676" spans="1:5" x14ac:dyDescent="0.3">
      <c r="A1676">
        <v>902308936</v>
      </c>
      <c r="B1676">
        <v>862400</v>
      </c>
      <c r="C1676" s="1">
        <v>44882</v>
      </c>
      <c r="D1676" t="s">
        <v>3489</v>
      </c>
      <c r="E1676">
        <f>IF(ISNUMBER(MATCH(marketing_events_raw[[#This Row],[customer_id]], customers_clean!A:A, 0)), 1, 0)</f>
        <v>1</v>
      </c>
    </row>
    <row r="1677" spans="1:5" x14ac:dyDescent="0.3">
      <c r="A1677">
        <v>212690923</v>
      </c>
      <c r="B1677">
        <v>584498</v>
      </c>
      <c r="C1677" s="1">
        <v>45482</v>
      </c>
      <c r="D1677" t="s">
        <v>3490</v>
      </c>
      <c r="E1677">
        <f>IF(ISNUMBER(MATCH(marketing_events_raw[[#This Row],[customer_id]], customers_clean!A:A, 0)), 1, 0)</f>
        <v>1</v>
      </c>
    </row>
    <row r="1678" spans="1:5" x14ac:dyDescent="0.3">
      <c r="A1678">
        <v>823986776</v>
      </c>
      <c r="B1678">
        <v>744674</v>
      </c>
      <c r="C1678" s="1">
        <v>44690</v>
      </c>
      <c r="D1678" t="s">
        <v>3489</v>
      </c>
      <c r="E1678">
        <f>IF(ISNUMBER(MATCH(marketing_events_raw[[#This Row],[customer_id]], customers_clean!A:A, 0)), 1, 0)</f>
        <v>1</v>
      </c>
    </row>
    <row r="1679" spans="1:5" x14ac:dyDescent="0.3">
      <c r="A1679">
        <v>338746839</v>
      </c>
      <c r="B1679">
        <v>226550</v>
      </c>
      <c r="C1679" s="1">
        <v>45141</v>
      </c>
      <c r="D1679" t="s">
        <v>3487</v>
      </c>
      <c r="E1679">
        <f>IF(ISNUMBER(MATCH(marketing_events_raw[[#This Row],[customer_id]], customers_clean!A:A, 0)), 1, 0)</f>
        <v>1</v>
      </c>
    </row>
    <row r="1680" spans="1:5" x14ac:dyDescent="0.3">
      <c r="A1680">
        <v>829744511</v>
      </c>
      <c r="B1680">
        <v>894122</v>
      </c>
      <c r="C1680" s="1">
        <v>45245</v>
      </c>
      <c r="D1680" t="s">
        <v>3490</v>
      </c>
      <c r="E1680">
        <f>IF(ISNUMBER(MATCH(marketing_events_raw[[#This Row],[customer_id]], customers_clean!A:A, 0)), 1, 0)</f>
        <v>1</v>
      </c>
    </row>
    <row r="1681" spans="1:5" x14ac:dyDescent="0.3">
      <c r="A1681">
        <v>611936255</v>
      </c>
      <c r="B1681">
        <v>366776</v>
      </c>
      <c r="C1681" s="1">
        <v>44479</v>
      </c>
      <c r="D1681" t="s">
        <v>3487</v>
      </c>
      <c r="E1681">
        <f>IF(ISNUMBER(MATCH(marketing_events_raw[[#This Row],[customer_id]], customers_clean!A:A, 0)), 1, 0)</f>
        <v>1</v>
      </c>
    </row>
    <row r="1682" spans="1:5" x14ac:dyDescent="0.3">
      <c r="A1682">
        <v>336052307</v>
      </c>
      <c r="B1682">
        <v>620248</v>
      </c>
      <c r="C1682" s="1">
        <v>44636</v>
      </c>
      <c r="D1682" t="s">
        <v>3487</v>
      </c>
      <c r="E1682">
        <f>IF(ISNUMBER(MATCH(marketing_events_raw[[#This Row],[customer_id]], customers_clean!A:A, 0)), 1, 0)</f>
        <v>1</v>
      </c>
    </row>
    <row r="1683" spans="1:5" x14ac:dyDescent="0.3">
      <c r="A1683">
        <v>423682852</v>
      </c>
      <c r="B1683">
        <v>643623</v>
      </c>
      <c r="C1683" s="1">
        <v>44955</v>
      </c>
      <c r="D1683" t="s">
        <v>3488</v>
      </c>
      <c r="E1683">
        <f>IF(ISNUMBER(MATCH(marketing_events_raw[[#This Row],[customer_id]], customers_clean!A:A, 0)), 1, 0)</f>
        <v>1</v>
      </c>
    </row>
    <row r="1684" spans="1:5" x14ac:dyDescent="0.3">
      <c r="A1684">
        <v>483678064</v>
      </c>
      <c r="B1684">
        <v>653429</v>
      </c>
      <c r="C1684" s="1">
        <v>45326</v>
      </c>
      <c r="D1684" t="s">
        <v>3487</v>
      </c>
      <c r="E1684">
        <f>IF(ISNUMBER(MATCH(marketing_events_raw[[#This Row],[customer_id]], customers_clean!A:A, 0)), 1, 0)</f>
        <v>1</v>
      </c>
    </row>
    <row r="1685" spans="1:5" x14ac:dyDescent="0.3">
      <c r="A1685">
        <v>559569710</v>
      </c>
      <c r="B1685">
        <v>979940</v>
      </c>
      <c r="C1685" s="1">
        <v>44736</v>
      </c>
      <c r="D1685" t="s">
        <v>3493</v>
      </c>
      <c r="E1685">
        <f>IF(ISNUMBER(MATCH(marketing_events_raw[[#This Row],[customer_id]], customers_clean!A:A, 0)), 1, 0)</f>
        <v>1</v>
      </c>
    </row>
    <row r="1686" spans="1:5" x14ac:dyDescent="0.3">
      <c r="A1686">
        <v>543966941</v>
      </c>
      <c r="B1686">
        <v>695225</v>
      </c>
      <c r="C1686" s="1">
        <v>44660</v>
      </c>
      <c r="D1686" t="s">
        <v>3487</v>
      </c>
      <c r="E1686">
        <f>IF(ISNUMBER(MATCH(marketing_events_raw[[#This Row],[customer_id]], customers_clean!A:A, 0)), 1, 0)</f>
        <v>1</v>
      </c>
    </row>
    <row r="1687" spans="1:5" x14ac:dyDescent="0.3">
      <c r="A1687">
        <v>363069952</v>
      </c>
      <c r="B1687">
        <v>232040</v>
      </c>
      <c r="C1687" s="1">
        <v>45185</v>
      </c>
      <c r="D1687" t="s">
        <v>3487</v>
      </c>
      <c r="E1687">
        <f>IF(ISNUMBER(MATCH(marketing_events_raw[[#This Row],[customer_id]], customers_clean!A:A, 0)), 1, 0)</f>
        <v>1</v>
      </c>
    </row>
    <row r="1688" spans="1:5" x14ac:dyDescent="0.3">
      <c r="A1688">
        <v>677869350</v>
      </c>
      <c r="B1688">
        <v>773088</v>
      </c>
      <c r="C1688" s="1">
        <v>45023</v>
      </c>
      <c r="D1688" t="s">
        <v>3493</v>
      </c>
      <c r="E1688">
        <f>IF(ISNUMBER(MATCH(marketing_events_raw[[#This Row],[customer_id]], customers_clean!A:A, 0)), 1, 0)</f>
        <v>1</v>
      </c>
    </row>
    <row r="1689" spans="1:5" x14ac:dyDescent="0.3">
      <c r="A1689">
        <v>144173900</v>
      </c>
      <c r="B1689">
        <v>743687</v>
      </c>
      <c r="C1689" s="1">
        <v>45425</v>
      </c>
      <c r="D1689" t="s">
        <v>3491</v>
      </c>
      <c r="E1689">
        <f>IF(ISNUMBER(MATCH(marketing_events_raw[[#This Row],[customer_id]], customers_clean!A:A, 0)), 1, 0)</f>
        <v>1</v>
      </c>
    </row>
    <row r="1690" spans="1:5" x14ac:dyDescent="0.3">
      <c r="A1690">
        <v>695140721</v>
      </c>
      <c r="B1690">
        <v>889327</v>
      </c>
      <c r="C1690" s="1">
        <v>45621</v>
      </c>
      <c r="D1690" t="s">
        <v>3487</v>
      </c>
      <c r="E1690">
        <f>IF(ISNUMBER(MATCH(marketing_events_raw[[#This Row],[customer_id]], customers_clean!A:A, 0)), 1, 0)</f>
        <v>1</v>
      </c>
    </row>
    <row r="1691" spans="1:5" x14ac:dyDescent="0.3">
      <c r="A1691">
        <v>973722326</v>
      </c>
      <c r="B1691">
        <v>899502</v>
      </c>
      <c r="C1691" s="1">
        <v>45397</v>
      </c>
      <c r="D1691" t="s">
        <v>3492</v>
      </c>
      <c r="E1691">
        <f>IF(ISNUMBER(MATCH(marketing_events_raw[[#This Row],[customer_id]], customers_clean!A:A, 0)), 1, 0)</f>
        <v>1</v>
      </c>
    </row>
    <row r="1692" spans="1:5" x14ac:dyDescent="0.3">
      <c r="A1692">
        <v>941337533</v>
      </c>
      <c r="B1692">
        <v>454508</v>
      </c>
      <c r="C1692" s="1">
        <v>45397</v>
      </c>
      <c r="D1692" t="s">
        <v>3488</v>
      </c>
      <c r="E1692">
        <f>IF(ISNUMBER(MATCH(marketing_events_raw[[#This Row],[customer_id]], customers_clean!A:A, 0)), 1, 0)</f>
        <v>1</v>
      </c>
    </row>
    <row r="1693" spans="1:5" x14ac:dyDescent="0.3">
      <c r="A1693">
        <v>501937833</v>
      </c>
      <c r="B1693">
        <v>715732</v>
      </c>
      <c r="C1693" s="1">
        <v>45637</v>
      </c>
      <c r="D1693" t="s">
        <v>3492</v>
      </c>
      <c r="E1693">
        <f>IF(ISNUMBER(MATCH(marketing_events_raw[[#This Row],[customer_id]], customers_clean!A:A, 0)), 1, 0)</f>
        <v>1</v>
      </c>
    </row>
    <row r="1694" spans="1:5" x14ac:dyDescent="0.3">
      <c r="A1694">
        <v>834587946</v>
      </c>
      <c r="B1694">
        <v>769883</v>
      </c>
      <c r="C1694" s="1">
        <v>44969</v>
      </c>
      <c r="D1694" t="s">
        <v>3493</v>
      </c>
      <c r="E1694">
        <f>IF(ISNUMBER(MATCH(marketing_events_raw[[#This Row],[customer_id]], customers_clean!A:A, 0)), 1, 0)</f>
        <v>1</v>
      </c>
    </row>
    <row r="1695" spans="1:5" x14ac:dyDescent="0.3">
      <c r="A1695">
        <v>357082789</v>
      </c>
      <c r="B1695">
        <v>695370</v>
      </c>
      <c r="C1695" s="1">
        <v>44966</v>
      </c>
      <c r="D1695" t="s">
        <v>3488</v>
      </c>
      <c r="E1695">
        <f>IF(ISNUMBER(MATCH(marketing_events_raw[[#This Row],[customer_id]], customers_clean!A:A, 0)), 1, 0)</f>
        <v>1</v>
      </c>
    </row>
    <row r="1696" spans="1:5" x14ac:dyDescent="0.3">
      <c r="A1696">
        <v>639485907</v>
      </c>
      <c r="B1696">
        <v>894122</v>
      </c>
      <c r="C1696" s="1">
        <v>45066</v>
      </c>
      <c r="D1696" t="s">
        <v>3489</v>
      </c>
      <c r="E1696">
        <f>IF(ISNUMBER(MATCH(marketing_events_raw[[#This Row],[customer_id]], customers_clean!A:A, 0)), 1, 0)</f>
        <v>1</v>
      </c>
    </row>
    <row r="1697" spans="1:5" x14ac:dyDescent="0.3">
      <c r="A1697">
        <v>730751558</v>
      </c>
      <c r="B1697">
        <v>999138</v>
      </c>
      <c r="C1697" s="1">
        <v>45107</v>
      </c>
      <c r="D1697" t="s">
        <v>3488</v>
      </c>
      <c r="E1697">
        <f>IF(ISNUMBER(MATCH(marketing_events_raw[[#This Row],[customer_id]], customers_clean!A:A, 0)), 1, 0)</f>
        <v>1</v>
      </c>
    </row>
    <row r="1698" spans="1:5" x14ac:dyDescent="0.3">
      <c r="A1698">
        <v>304288205</v>
      </c>
      <c r="B1698">
        <v>838094</v>
      </c>
      <c r="C1698" s="1">
        <v>45295</v>
      </c>
      <c r="D1698" t="s">
        <v>3493</v>
      </c>
      <c r="E1698">
        <f>IF(ISNUMBER(MATCH(marketing_events_raw[[#This Row],[customer_id]], customers_clean!A:A, 0)), 1, 0)</f>
        <v>1</v>
      </c>
    </row>
    <row r="1699" spans="1:5" x14ac:dyDescent="0.3">
      <c r="A1699">
        <v>593594605</v>
      </c>
      <c r="B1699">
        <v>908977</v>
      </c>
      <c r="C1699" s="1">
        <v>44901</v>
      </c>
      <c r="D1699" t="s">
        <v>3488</v>
      </c>
      <c r="E1699">
        <f>IF(ISNUMBER(MATCH(marketing_events_raw[[#This Row],[customer_id]], customers_clean!A:A, 0)), 1, 0)</f>
        <v>1</v>
      </c>
    </row>
    <row r="1700" spans="1:5" x14ac:dyDescent="0.3">
      <c r="A1700">
        <v>129523994</v>
      </c>
      <c r="B1700">
        <v>699538</v>
      </c>
      <c r="C1700" s="1">
        <v>44873</v>
      </c>
      <c r="D1700" t="s">
        <v>3487</v>
      </c>
      <c r="E1700">
        <f>IF(ISNUMBER(MATCH(marketing_events_raw[[#This Row],[customer_id]], customers_clean!A:A, 0)), 1, 0)</f>
        <v>1</v>
      </c>
    </row>
    <row r="1701" spans="1:5" x14ac:dyDescent="0.3">
      <c r="A1701">
        <v>518000601</v>
      </c>
      <c r="B1701">
        <v>396177</v>
      </c>
      <c r="C1701" s="1">
        <v>45335</v>
      </c>
      <c r="D1701" t="s">
        <v>3487</v>
      </c>
      <c r="E1701">
        <f>IF(ISNUMBER(MATCH(marketing_events_raw[[#This Row],[customer_id]], customers_clean!A:A, 0)), 1, 0)</f>
        <v>1</v>
      </c>
    </row>
    <row r="1702" spans="1:5" x14ac:dyDescent="0.3">
      <c r="A1702">
        <v>698689074</v>
      </c>
      <c r="B1702">
        <v>468900</v>
      </c>
      <c r="C1702" s="1">
        <v>45355</v>
      </c>
      <c r="D1702" t="s">
        <v>3492</v>
      </c>
      <c r="E1702">
        <f>IF(ISNUMBER(MATCH(marketing_events_raw[[#This Row],[customer_id]], customers_clean!A:A, 0)), 1, 0)</f>
        <v>1</v>
      </c>
    </row>
    <row r="1703" spans="1:5" x14ac:dyDescent="0.3">
      <c r="A1703">
        <v>126867368</v>
      </c>
      <c r="B1703">
        <v>166803</v>
      </c>
      <c r="C1703" s="1">
        <v>44925</v>
      </c>
      <c r="D1703" t="s">
        <v>3488</v>
      </c>
      <c r="E1703">
        <f>IF(ISNUMBER(MATCH(marketing_events_raw[[#This Row],[customer_id]], customers_clean!A:A, 0)), 1, 0)</f>
        <v>1</v>
      </c>
    </row>
    <row r="1704" spans="1:5" x14ac:dyDescent="0.3">
      <c r="A1704">
        <v>261380876</v>
      </c>
      <c r="B1704">
        <v>924758</v>
      </c>
      <c r="C1704" s="1">
        <v>44428</v>
      </c>
      <c r="D1704" t="s">
        <v>3488</v>
      </c>
      <c r="E1704">
        <f>IF(ISNUMBER(MATCH(marketing_events_raw[[#This Row],[customer_id]], customers_clean!A:A, 0)), 1, 0)</f>
        <v>1</v>
      </c>
    </row>
    <row r="1705" spans="1:5" x14ac:dyDescent="0.3">
      <c r="A1705">
        <v>615415905</v>
      </c>
      <c r="B1705">
        <v>567315</v>
      </c>
      <c r="C1705" s="1">
        <v>45244</v>
      </c>
      <c r="D1705" t="s">
        <v>3487</v>
      </c>
      <c r="E1705">
        <f>IF(ISNUMBER(MATCH(marketing_events_raw[[#This Row],[customer_id]], customers_clean!A:A, 0)), 1, 0)</f>
        <v>1</v>
      </c>
    </row>
    <row r="1706" spans="1:5" x14ac:dyDescent="0.3">
      <c r="A1706">
        <v>480847085</v>
      </c>
      <c r="B1706">
        <v>446337</v>
      </c>
      <c r="C1706" s="1">
        <v>44546</v>
      </c>
      <c r="D1706" t="s">
        <v>3492</v>
      </c>
      <c r="E1706">
        <f>IF(ISNUMBER(MATCH(marketing_events_raw[[#This Row],[customer_id]], customers_clean!A:A, 0)), 1, 0)</f>
        <v>1</v>
      </c>
    </row>
    <row r="1707" spans="1:5" x14ac:dyDescent="0.3">
      <c r="A1707">
        <v>740779931</v>
      </c>
      <c r="B1707">
        <v>642085</v>
      </c>
      <c r="C1707" s="1">
        <v>45293</v>
      </c>
      <c r="D1707" t="s">
        <v>3492</v>
      </c>
      <c r="E1707">
        <f>IF(ISNUMBER(MATCH(marketing_events_raw[[#This Row],[customer_id]], customers_clean!A:A, 0)), 1, 0)</f>
        <v>1</v>
      </c>
    </row>
    <row r="1708" spans="1:5" x14ac:dyDescent="0.3">
      <c r="A1708">
        <v>314449061</v>
      </c>
      <c r="B1708">
        <v>375504</v>
      </c>
      <c r="C1708" s="1">
        <v>44992</v>
      </c>
      <c r="D1708" t="s">
        <v>3490</v>
      </c>
      <c r="E1708">
        <f>IF(ISNUMBER(MATCH(marketing_events_raw[[#This Row],[customer_id]], customers_clean!A:A, 0)), 1, 0)</f>
        <v>1</v>
      </c>
    </row>
    <row r="1709" spans="1:5" x14ac:dyDescent="0.3">
      <c r="A1709">
        <v>181638046</v>
      </c>
      <c r="B1709">
        <v>905625</v>
      </c>
      <c r="C1709" s="1">
        <v>45031</v>
      </c>
      <c r="D1709" t="s">
        <v>3488</v>
      </c>
      <c r="E1709">
        <f>IF(ISNUMBER(MATCH(marketing_events_raw[[#This Row],[customer_id]], customers_clean!A:A, 0)), 1, 0)</f>
        <v>1</v>
      </c>
    </row>
    <row r="1710" spans="1:5" x14ac:dyDescent="0.3">
      <c r="A1710">
        <v>605930559</v>
      </c>
      <c r="B1710">
        <v>232601</v>
      </c>
      <c r="C1710" s="1">
        <v>44807</v>
      </c>
      <c r="D1710" t="s">
        <v>3493</v>
      </c>
      <c r="E1710">
        <f>IF(ISNUMBER(MATCH(marketing_events_raw[[#This Row],[customer_id]], customers_clean!A:A, 0)), 1, 0)</f>
        <v>1</v>
      </c>
    </row>
    <row r="1711" spans="1:5" x14ac:dyDescent="0.3">
      <c r="A1711">
        <v>934249863</v>
      </c>
      <c r="B1711">
        <v>720859</v>
      </c>
      <c r="C1711" s="1">
        <v>44807</v>
      </c>
      <c r="D1711" t="s">
        <v>3490</v>
      </c>
      <c r="E1711">
        <f>IF(ISNUMBER(MATCH(marketing_events_raw[[#This Row],[customer_id]], customers_clean!A:A, 0)), 1, 0)</f>
        <v>1</v>
      </c>
    </row>
    <row r="1712" spans="1:5" x14ac:dyDescent="0.3">
      <c r="A1712">
        <v>767856972</v>
      </c>
      <c r="B1712">
        <v>661023</v>
      </c>
      <c r="C1712" s="1">
        <v>45586</v>
      </c>
      <c r="D1712" t="s">
        <v>3490</v>
      </c>
      <c r="E1712">
        <f>IF(ISNUMBER(MATCH(marketing_events_raw[[#This Row],[customer_id]], customers_clean!A:A, 0)), 1, 0)</f>
        <v>1</v>
      </c>
    </row>
    <row r="1713" spans="1:5" x14ac:dyDescent="0.3">
      <c r="A1713">
        <v>946931431</v>
      </c>
      <c r="B1713">
        <v>609232</v>
      </c>
      <c r="C1713" s="1">
        <v>44448</v>
      </c>
      <c r="D1713" t="s">
        <v>3493</v>
      </c>
      <c r="E1713">
        <f>IF(ISNUMBER(MATCH(marketing_events_raw[[#This Row],[customer_id]], customers_clean!A:A, 0)), 1, 0)</f>
        <v>1</v>
      </c>
    </row>
    <row r="1714" spans="1:5" x14ac:dyDescent="0.3">
      <c r="A1714">
        <v>870546313</v>
      </c>
      <c r="B1714">
        <v>786393</v>
      </c>
      <c r="C1714" s="1">
        <v>44477</v>
      </c>
      <c r="D1714" t="s">
        <v>3491</v>
      </c>
      <c r="E1714">
        <f>IF(ISNUMBER(MATCH(marketing_events_raw[[#This Row],[customer_id]], customers_clean!A:A, 0)), 1, 0)</f>
        <v>1</v>
      </c>
    </row>
    <row r="1715" spans="1:5" x14ac:dyDescent="0.3">
      <c r="A1715">
        <v>398245981</v>
      </c>
      <c r="B1715">
        <v>369670</v>
      </c>
      <c r="C1715" s="1">
        <v>44450</v>
      </c>
      <c r="D1715" t="s">
        <v>3488</v>
      </c>
      <c r="E1715">
        <f>IF(ISNUMBER(MATCH(marketing_events_raw[[#This Row],[customer_id]], customers_clean!A:A, 0)), 1, 0)</f>
        <v>1</v>
      </c>
    </row>
    <row r="1716" spans="1:5" x14ac:dyDescent="0.3">
      <c r="A1716">
        <v>539204630</v>
      </c>
      <c r="B1716">
        <v>259540</v>
      </c>
      <c r="C1716" s="1">
        <v>45145</v>
      </c>
      <c r="D1716" t="s">
        <v>3487</v>
      </c>
      <c r="E1716">
        <f>IF(ISNUMBER(MATCH(marketing_events_raw[[#This Row],[customer_id]], customers_clean!A:A, 0)), 1, 0)</f>
        <v>1</v>
      </c>
    </row>
    <row r="1717" spans="1:5" x14ac:dyDescent="0.3">
      <c r="A1717">
        <v>483399210</v>
      </c>
      <c r="B1717">
        <v>773088</v>
      </c>
      <c r="C1717" s="1">
        <v>45418</v>
      </c>
      <c r="D1717" t="s">
        <v>3489</v>
      </c>
      <c r="E1717">
        <f>IF(ISNUMBER(MATCH(marketing_events_raw[[#This Row],[customer_id]], customers_clean!A:A, 0)), 1, 0)</f>
        <v>1</v>
      </c>
    </row>
    <row r="1718" spans="1:5" x14ac:dyDescent="0.3">
      <c r="A1718">
        <v>360026075</v>
      </c>
      <c r="B1718">
        <v>295646</v>
      </c>
      <c r="C1718" s="1">
        <v>44976</v>
      </c>
      <c r="D1718" t="s">
        <v>3493</v>
      </c>
      <c r="E1718">
        <f>IF(ISNUMBER(MATCH(marketing_events_raw[[#This Row],[customer_id]], customers_clean!A:A, 0)), 1, 0)</f>
        <v>1</v>
      </c>
    </row>
    <row r="1719" spans="1:5" x14ac:dyDescent="0.3">
      <c r="A1719">
        <v>382814531</v>
      </c>
      <c r="B1719">
        <v>825846</v>
      </c>
      <c r="C1719" s="1">
        <v>45085</v>
      </c>
      <c r="D1719" t="s">
        <v>3489</v>
      </c>
      <c r="E1719">
        <f>IF(ISNUMBER(MATCH(marketing_events_raw[[#This Row],[customer_id]], customers_clean!A:A, 0)), 1, 0)</f>
        <v>1</v>
      </c>
    </row>
    <row r="1720" spans="1:5" x14ac:dyDescent="0.3">
      <c r="A1720">
        <v>664072810</v>
      </c>
      <c r="B1720">
        <v>143182</v>
      </c>
      <c r="C1720" s="1">
        <v>45065</v>
      </c>
      <c r="D1720" t="s">
        <v>3493</v>
      </c>
      <c r="E1720">
        <f>IF(ISNUMBER(MATCH(marketing_events_raw[[#This Row],[customer_id]], customers_clean!A:A, 0)), 1, 0)</f>
        <v>1</v>
      </c>
    </row>
    <row r="1721" spans="1:5" x14ac:dyDescent="0.3">
      <c r="A1721">
        <v>805690050</v>
      </c>
      <c r="B1721">
        <v>228093</v>
      </c>
      <c r="C1721" s="1">
        <v>45247</v>
      </c>
      <c r="D1721" t="s">
        <v>3492</v>
      </c>
      <c r="E1721">
        <f>IF(ISNUMBER(MATCH(marketing_events_raw[[#This Row],[customer_id]], customers_clean!A:A, 0)), 1, 0)</f>
        <v>1</v>
      </c>
    </row>
    <row r="1722" spans="1:5" x14ac:dyDescent="0.3">
      <c r="A1722">
        <v>364142429</v>
      </c>
      <c r="B1722">
        <v>170846</v>
      </c>
      <c r="C1722" s="1">
        <v>45082</v>
      </c>
      <c r="D1722" t="s">
        <v>3489</v>
      </c>
      <c r="E1722">
        <f>IF(ISNUMBER(MATCH(marketing_events_raw[[#This Row],[customer_id]], customers_clean!A:A, 0)), 1, 0)</f>
        <v>1</v>
      </c>
    </row>
    <row r="1723" spans="1:5" x14ac:dyDescent="0.3">
      <c r="A1723">
        <v>315054170</v>
      </c>
      <c r="B1723">
        <v>233534</v>
      </c>
      <c r="C1723" s="1">
        <v>44648</v>
      </c>
      <c r="D1723" t="s">
        <v>3487</v>
      </c>
      <c r="E1723">
        <f>IF(ISNUMBER(MATCH(marketing_events_raw[[#This Row],[customer_id]], customers_clean!A:A, 0)), 1, 0)</f>
        <v>1</v>
      </c>
    </row>
    <row r="1724" spans="1:5" x14ac:dyDescent="0.3">
      <c r="A1724">
        <v>561534283</v>
      </c>
      <c r="B1724">
        <v>591699</v>
      </c>
      <c r="C1724" s="1">
        <v>44447</v>
      </c>
      <c r="D1724" t="s">
        <v>3493</v>
      </c>
      <c r="E1724">
        <f>IF(ISNUMBER(MATCH(marketing_events_raw[[#This Row],[customer_id]], customers_clean!A:A, 0)), 1, 0)</f>
        <v>1</v>
      </c>
    </row>
    <row r="1725" spans="1:5" x14ac:dyDescent="0.3">
      <c r="A1725">
        <v>833943659</v>
      </c>
      <c r="B1725">
        <v>916332</v>
      </c>
      <c r="C1725" s="1">
        <v>44409</v>
      </c>
      <c r="D1725" t="s">
        <v>3488</v>
      </c>
      <c r="E1725">
        <f>IF(ISNUMBER(MATCH(marketing_events_raw[[#This Row],[customer_id]], customers_clean!A:A, 0)), 1, 0)</f>
        <v>1</v>
      </c>
    </row>
    <row r="1726" spans="1:5" x14ac:dyDescent="0.3">
      <c r="A1726">
        <v>139534273</v>
      </c>
      <c r="B1726">
        <v>591081</v>
      </c>
      <c r="C1726" s="1">
        <v>44914</v>
      </c>
      <c r="D1726" t="s">
        <v>3487</v>
      </c>
      <c r="E1726">
        <f>IF(ISNUMBER(MATCH(marketing_events_raw[[#This Row],[customer_id]], customers_clean!A:A, 0)), 1, 0)</f>
        <v>1</v>
      </c>
    </row>
    <row r="1727" spans="1:5" x14ac:dyDescent="0.3">
      <c r="A1727">
        <v>131034525</v>
      </c>
      <c r="B1727">
        <v>586288</v>
      </c>
      <c r="C1727" s="1">
        <v>45550</v>
      </c>
      <c r="D1727" t="s">
        <v>3493</v>
      </c>
      <c r="E1727">
        <f>IF(ISNUMBER(MATCH(marketing_events_raw[[#This Row],[customer_id]], customers_clean!A:A, 0)), 1, 0)</f>
        <v>1</v>
      </c>
    </row>
    <row r="1728" spans="1:5" x14ac:dyDescent="0.3">
      <c r="A1728">
        <v>184483481</v>
      </c>
      <c r="B1728">
        <v>520304</v>
      </c>
      <c r="C1728" s="1">
        <v>44525</v>
      </c>
      <c r="D1728" t="s">
        <v>3490</v>
      </c>
      <c r="E1728">
        <f>IF(ISNUMBER(MATCH(marketing_events_raw[[#This Row],[customer_id]], customers_clean!A:A, 0)), 1, 0)</f>
        <v>1</v>
      </c>
    </row>
    <row r="1729" spans="1:5" x14ac:dyDescent="0.3">
      <c r="A1729">
        <v>889857674</v>
      </c>
      <c r="B1729">
        <v>393328</v>
      </c>
      <c r="C1729" s="1">
        <v>44884</v>
      </c>
      <c r="D1729" t="s">
        <v>3488</v>
      </c>
      <c r="E1729">
        <f>IF(ISNUMBER(MATCH(marketing_events_raw[[#This Row],[customer_id]], customers_clean!A:A, 0)), 1, 0)</f>
        <v>1</v>
      </c>
    </row>
    <row r="1730" spans="1:5" x14ac:dyDescent="0.3">
      <c r="A1730">
        <v>430352701</v>
      </c>
      <c r="B1730">
        <v>819964</v>
      </c>
      <c r="C1730" s="1">
        <v>45579</v>
      </c>
      <c r="D1730" t="s">
        <v>3488</v>
      </c>
      <c r="E1730">
        <f>IF(ISNUMBER(MATCH(marketing_events_raw[[#This Row],[customer_id]], customers_clean!A:A, 0)), 1, 0)</f>
        <v>1</v>
      </c>
    </row>
    <row r="1731" spans="1:5" x14ac:dyDescent="0.3">
      <c r="A1731">
        <v>814762928</v>
      </c>
      <c r="B1731">
        <v>177449</v>
      </c>
      <c r="C1731" s="1">
        <v>45122</v>
      </c>
      <c r="D1731" t="s">
        <v>3488</v>
      </c>
      <c r="E1731">
        <f>IF(ISNUMBER(MATCH(marketing_events_raw[[#This Row],[customer_id]], customers_clean!A:A, 0)), 1, 0)</f>
        <v>1</v>
      </c>
    </row>
    <row r="1732" spans="1:5" x14ac:dyDescent="0.3">
      <c r="A1732">
        <v>552491167</v>
      </c>
      <c r="B1732">
        <v>621429</v>
      </c>
      <c r="C1732" s="1">
        <v>44541</v>
      </c>
      <c r="D1732" t="s">
        <v>3490</v>
      </c>
      <c r="E1732">
        <f>IF(ISNUMBER(MATCH(marketing_events_raw[[#This Row],[customer_id]], customers_clean!A:A, 0)), 1, 0)</f>
        <v>1</v>
      </c>
    </row>
    <row r="1733" spans="1:5" x14ac:dyDescent="0.3">
      <c r="A1733">
        <v>744252655</v>
      </c>
      <c r="B1733">
        <v>981913</v>
      </c>
      <c r="C1733" s="1">
        <v>45606</v>
      </c>
      <c r="D1733" t="s">
        <v>3491</v>
      </c>
      <c r="E1733">
        <f>IF(ISNUMBER(MATCH(marketing_events_raw[[#This Row],[customer_id]], customers_clean!A:A, 0)), 1, 0)</f>
        <v>1</v>
      </c>
    </row>
    <row r="1734" spans="1:5" x14ac:dyDescent="0.3">
      <c r="A1734">
        <v>709559613</v>
      </c>
      <c r="B1734">
        <v>969659</v>
      </c>
      <c r="C1734" s="1">
        <v>45593</v>
      </c>
      <c r="D1734" t="s">
        <v>3493</v>
      </c>
      <c r="E1734">
        <f>IF(ISNUMBER(MATCH(marketing_events_raw[[#This Row],[customer_id]], customers_clean!A:A, 0)), 1, 0)</f>
        <v>1</v>
      </c>
    </row>
    <row r="1735" spans="1:5" x14ac:dyDescent="0.3">
      <c r="A1735">
        <v>528532743</v>
      </c>
      <c r="B1735">
        <v>138815</v>
      </c>
      <c r="C1735" s="1">
        <v>45025</v>
      </c>
      <c r="D1735" t="s">
        <v>3490</v>
      </c>
      <c r="E1735">
        <f>IF(ISNUMBER(MATCH(marketing_events_raw[[#This Row],[customer_id]], customers_clean!A:A, 0)), 1, 0)</f>
        <v>1</v>
      </c>
    </row>
    <row r="1736" spans="1:5" x14ac:dyDescent="0.3">
      <c r="A1736">
        <v>193161747</v>
      </c>
      <c r="B1736">
        <v>221263</v>
      </c>
      <c r="C1736" s="1">
        <v>45503</v>
      </c>
      <c r="D1736" t="s">
        <v>3490</v>
      </c>
      <c r="E1736">
        <f>IF(ISNUMBER(MATCH(marketing_events_raw[[#This Row],[customer_id]], customers_clean!A:A, 0)), 1, 0)</f>
        <v>1</v>
      </c>
    </row>
    <row r="1737" spans="1:5" x14ac:dyDescent="0.3">
      <c r="A1737">
        <v>833201681</v>
      </c>
      <c r="B1737">
        <v>221916</v>
      </c>
      <c r="C1737" s="1">
        <v>45033</v>
      </c>
      <c r="D1737" t="s">
        <v>3491</v>
      </c>
      <c r="E1737">
        <f>IF(ISNUMBER(MATCH(marketing_events_raw[[#This Row],[customer_id]], customers_clean!A:A, 0)), 1, 0)</f>
        <v>1</v>
      </c>
    </row>
    <row r="1738" spans="1:5" x14ac:dyDescent="0.3">
      <c r="A1738">
        <v>330893606</v>
      </c>
      <c r="B1738">
        <v>225151</v>
      </c>
      <c r="C1738" s="1">
        <v>45299</v>
      </c>
      <c r="D1738" t="s">
        <v>3488</v>
      </c>
      <c r="E1738">
        <f>IF(ISNUMBER(MATCH(marketing_events_raw[[#This Row],[customer_id]], customers_clean!A:A, 0)), 1, 0)</f>
        <v>1</v>
      </c>
    </row>
    <row r="1739" spans="1:5" x14ac:dyDescent="0.3">
      <c r="A1739">
        <v>397084844</v>
      </c>
      <c r="B1739">
        <v>424620</v>
      </c>
      <c r="C1739" s="1">
        <v>45204</v>
      </c>
      <c r="D1739" t="s">
        <v>3487</v>
      </c>
      <c r="E1739">
        <f>IF(ISNUMBER(MATCH(marketing_events_raw[[#This Row],[customer_id]], customers_clean!A:A, 0)), 1, 0)</f>
        <v>1</v>
      </c>
    </row>
    <row r="1740" spans="1:5" x14ac:dyDescent="0.3">
      <c r="A1740">
        <v>182142091</v>
      </c>
      <c r="B1740">
        <v>661762</v>
      </c>
      <c r="C1740" s="1">
        <v>45020</v>
      </c>
      <c r="D1740" t="s">
        <v>3493</v>
      </c>
      <c r="E1740">
        <f>IF(ISNUMBER(MATCH(marketing_events_raw[[#This Row],[customer_id]], customers_clean!A:A, 0)), 1, 0)</f>
        <v>1</v>
      </c>
    </row>
    <row r="1741" spans="1:5" x14ac:dyDescent="0.3">
      <c r="A1741">
        <v>429008084</v>
      </c>
      <c r="B1741">
        <v>159645</v>
      </c>
      <c r="C1741" s="1">
        <v>45345</v>
      </c>
      <c r="D1741" t="s">
        <v>3487</v>
      </c>
      <c r="E1741">
        <f>IF(ISNUMBER(MATCH(marketing_events_raw[[#This Row],[customer_id]], customers_clean!A:A, 0)), 1, 0)</f>
        <v>1</v>
      </c>
    </row>
    <row r="1742" spans="1:5" x14ac:dyDescent="0.3">
      <c r="A1742">
        <v>556394196</v>
      </c>
      <c r="B1742">
        <v>753425</v>
      </c>
      <c r="C1742" s="1">
        <v>44572</v>
      </c>
      <c r="D1742" t="s">
        <v>3491</v>
      </c>
      <c r="E1742">
        <f>IF(ISNUMBER(MATCH(marketing_events_raw[[#This Row],[customer_id]], customers_clean!A:A, 0)), 1, 0)</f>
        <v>1</v>
      </c>
    </row>
    <row r="1743" spans="1:5" x14ac:dyDescent="0.3">
      <c r="A1743">
        <v>790240116</v>
      </c>
      <c r="B1743">
        <v>537605</v>
      </c>
      <c r="C1743" s="1">
        <v>45218</v>
      </c>
      <c r="D1743" t="s">
        <v>3491</v>
      </c>
      <c r="E1743">
        <f>IF(ISNUMBER(MATCH(marketing_events_raw[[#This Row],[customer_id]], customers_clean!A:A, 0)), 1, 0)</f>
        <v>1</v>
      </c>
    </row>
    <row r="1744" spans="1:5" x14ac:dyDescent="0.3">
      <c r="A1744">
        <v>622762788</v>
      </c>
      <c r="B1744">
        <v>112210</v>
      </c>
      <c r="C1744" s="1">
        <v>44382</v>
      </c>
      <c r="D1744" t="s">
        <v>3492</v>
      </c>
      <c r="E1744">
        <f>IF(ISNUMBER(MATCH(marketing_events_raw[[#This Row],[customer_id]], customers_clean!A:A, 0)), 1, 0)</f>
        <v>1</v>
      </c>
    </row>
    <row r="1745" spans="1:5" x14ac:dyDescent="0.3">
      <c r="A1745">
        <v>873681671</v>
      </c>
      <c r="B1745">
        <v>664566</v>
      </c>
      <c r="C1745" s="1">
        <v>45327</v>
      </c>
      <c r="D1745" t="s">
        <v>3493</v>
      </c>
      <c r="E1745">
        <f>IF(ISNUMBER(MATCH(marketing_events_raw[[#This Row],[customer_id]], customers_clean!A:A, 0)), 1, 0)</f>
        <v>1</v>
      </c>
    </row>
    <row r="1746" spans="1:5" x14ac:dyDescent="0.3">
      <c r="A1746">
        <v>726582441</v>
      </c>
      <c r="B1746">
        <v>873266</v>
      </c>
      <c r="C1746" s="1">
        <v>45224</v>
      </c>
      <c r="D1746" t="s">
        <v>3487</v>
      </c>
      <c r="E1746">
        <f>IF(ISNUMBER(MATCH(marketing_events_raw[[#This Row],[customer_id]], customers_clean!A:A, 0)), 1, 0)</f>
        <v>1</v>
      </c>
    </row>
    <row r="1747" spans="1:5" x14ac:dyDescent="0.3">
      <c r="A1747">
        <v>820711272</v>
      </c>
      <c r="B1747">
        <v>840356</v>
      </c>
      <c r="C1747" s="1">
        <v>45167</v>
      </c>
      <c r="D1747" t="s">
        <v>3491</v>
      </c>
      <c r="E1747">
        <f>IF(ISNUMBER(MATCH(marketing_events_raw[[#This Row],[customer_id]], customers_clean!A:A, 0)), 1, 0)</f>
        <v>1</v>
      </c>
    </row>
    <row r="1748" spans="1:5" x14ac:dyDescent="0.3">
      <c r="A1748">
        <v>258120538</v>
      </c>
      <c r="B1748">
        <v>290272</v>
      </c>
      <c r="C1748" s="1">
        <v>45639</v>
      </c>
      <c r="D1748" t="s">
        <v>3490</v>
      </c>
      <c r="E1748">
        <f>IF(ISNUMBER(MATCH(marketing_events_raw[[#This Row],[customer_id]], customers_clean!A:A, 0)), 1, 0)</f>
        <v>1</v>
      </c>
    </row>
    <row r="1749" spans="1:5" x14ac:dyDescent="0.3">
      <c r="A1749">
        <v>894970622</v>
      </c>
      <c r="B1749">
        <v>844943</v>
      </c>
      <c r="C1749" s="1">
        <v>45145</v>
      </c>
      <c r="D1749" t="s">
        <v>3493</v>
      </c>
      <c r="E1749">
        <f>IF(ISNUMBER(MATCH(marketing_events_raw[[#This Row],[customer_id]], customers_clean!A:A, 0)), 1, 0)</f>
        <v>1</v>
      </c>
    </row>
    <row r="1750" spans="1:5" x14ac:dyDescent="0.3">
      <c r="A1750">
        <v>242987228</v>
      </c>
      <c r="B1750">
        <v>927094</v>
      </c>
      <c r="C1750" s="1">
        <v>45137</v>
      </c>
      <c r="D1750" t="s">
        <v>3487</v>
      </c>
      <c r="E1750">
        <f>IF(ISNUMBER(MATCH(marketing_events_raw[[#This Row],[customer_id]], customers_clean!A:A, 0)), 1, 0)</f>
        <v>1</v>
      </c>
    </row>
    <row r="1751" spans="1:5" x14ac:dyDescent="0.3">
      <c r="A1751">
        <v>468393777</v>
      </c>
      <c r="B1751">
        <v>124906</v>
      </c>
      <c r="C1751" s="1">
        <v>45611</v>
      </c>
      <c r="D1751" t="s">
        <v>3491</v>
      </c>
      <c r="E1751">
        <f>IF(ISNUMBER(MATCH(marketing_events_raw[[#This Row],[customer_id]], customers_clean!A:A, 0)), 1, 0)</f>
        <v>1</v>
      </c>
    </row>
    <row r="1752" spans="1:5" x14ac:dyDescent="0.3">
      <c r="A1752">
        <v>502575068</v>
      </c>
      <c r="B1752">
        <v>425434</v>
      </c>
      <c r="C1752" s="1">
        <v>44416</v>
      </c>
      <c r="D1752" t="s">
        <v>3491</v>
      </c>
      <c r="E1752">
        <f>IF(ISNUMBER(MATCH(marketing_events_raw[[#This Row],[customer_id]], customers_clean!A:A, 0)), 1, 0)</f>
        <v>1</v>
      </c>
    </row>
    <row r="1753" spans="1:5" x14ac:dyDescent="0.3">
      <c r="A1753">
        <v>789239031</v>
      </c>
      <c r="B1753">
        <v>387936</v>
      </c>
      <c r="C1753" s="1">
        <v>45649</v>
      </c>
      <c r="D1753" t="s">
        <v>3490</v>
      </c>
      <c r="E1753">
        <f>IF(ISNUMBER(MATCH(marketing_events_raw[[#This Row],[customer_id]], customers_clean!A:A, 0)), 1, 0)</f>
        <v>1</v>
      </c>
    </row>
    <row r="1754" spans="1:5" x14ac:dyDescent="0.3">
      <c r="A1754">
        <v>396595818</v>
      </c>
      <c r="B1754">
        <v>150486</v>
      </c>
      <c r="C1754" s="1">
        <v>44718</v>
      </c>
      <c r="D1754" t="s">
        <v>3493</v>
      </c>
      <c r="E1754">
        <f>IF(ISNUMBER(MATCH(marketing_events_raw[[#This Row],[customer_id]], customers_clean!A:A, 0)), 1, 0)</f>
        <v>1</v>
      </c>
    </row>
    <row r="1755" spans="1:5" x14ac:dyDescent="0.3">
      <c r="A1755">
        <v>349828001</v>
      </c>
      <c r="B1755">
        <v>943797</v>
      </c>
      <c r="C1755" s="1">
        <v>44856</v>
      </c>
      <c r="D1755" t="s">
        <v>3490</v>
      </c>
      <c r="E1755">
        <f>IF(ISNUMBER(MATCH(marketing_events_raw[[#This Row],[customer_id]], customers_clean!A:A, 0)), 1, 0)</f>
        <v>1</v>
      </c>
    </row>
    <row r="1756" spans="1:5" x14ac:dyDescent="0.3">
      <c r="A1756">
        <v>883826166</v>
      </c>
      <c r="B1756">
        <v>953047</v>
      </c>
      <c r="C1756" s="1">
        <v>44751</v>
      </c>
      <c r="D1756" t="s">
        <v>3491</v>
      </c>
      <c r="E1756">
        <f>IF(ISNUMBER(MATCH(marketing_events_raw[[#This Row],[customer_id]], customers_clean!A:A, 0)), 1, 0)</f>
        <v>1</v>
      </c>
    </row>
    <row r="1757" spans="1:5" x14ac:dyDescent="0.3">
      <c r="A1757">
        <v>856313340</v>
      </c>
      <c r="B1757">
        <v>715517</v>
      </c>
      <c r="C1757" s="1">
        <v>44762</v>
      </c>
      <c r="D1757" t="s">
        <v>3487</v>
      </c>
      <c r="E1757">
        <f>IF(ISNUMBER(MATCH(marketing_events_raw[[#This Row],[customer_id]], customers_clean!A:A, 0)), 1, 0)</f>
        <v>1</v>
      </c>
    </row>
    <row r="1758" spans="1:5" x14ac:dyDescent="0.3">
      <c r="A1758">
        <v>553992074</v>
      </c>
      <c r="B1758">
        <v>517568</v>
      </c>
      <c r="C1758" s="1">
        <v>44967</v>
      </c>
      <c r="D1758" t="s">
        <v>3488</v>
      </c>
      <c r="E1758">
        <f>IF(ISNUMBER(MATCH(marketing_events_raw[[#This Row],[customer_id]], customers_clean!A:A, 0)), 1, 0)</f>
        <v>1</v>
      </c>
    </row>
    <row r="1759" spans="1:5" x14ac:dyDescent="0.3">
      <c r="A1759">
        <v>118628435</v>
      </c>
      <c r="B1759">
        <v>668787</v>
      </c>
      <c r="C1759" s="1">
        <v>45028</v>
      </c>
      <c r="D1759" t="s">
        <v>3492</v>
      </c>
      <c r="E1759">
        <f>IF(ISNUMBER(MATCH(marketing_events_raw[[#This Row],[customer_id]], customers_clean!A:A, 0)), 1, 0)</f>
        <v>1</v>
      </c>
    </row>
    <row r="1760" spans="1:5" x14ac:dyDescent="0.3">
      <c r="A1760">
        <v>999984521</v>
      </c>
      <c r="B1760">
        <v>528625</v>
      </c>
      <c r="C1760" s="1">
        <v>45367</v>
      </c>
      <c r="D1760" t="s">
        <v>3493</v>
      </c>
      <c r="E1760">
        <f>IF(ISNUMBER(MATCH(marketing_events_raw[[#This Row],[customer_id]], customers_clean!A:A, 0)), 1, 0)</f>
        <v>1</v>
      </c>
    </row>
    <row r="1761" spans="1:5" x14ac:dyDescent="0.3">
      <c r="A1761">
        <v>359812387</v>
      </c>
      <c r="B1761">
        <v>233534</v>
      </c>
      <c r="C1761" s="1">
        <v>45658</v>
      </c>
      <c r="D1761" t="s">
        <v>3491</v>
      </c>
      <c r="E1761">
        <f>IF(ISNUMBER(MATCH(marketing_events_raw[[#This Row],[customer_id]], customers_clean!A:A, 0)), 1, 0)</f>
        <v>1</v>
      </c>
    </row>
    <row r="1762" spans="1:5" x14ac:dyDescent="0.3">
      <c r="A1762">
        <v>553474494</v>
      </c>
      <c r="B1762">
        <v>938416</v>
      </c>
      <c r="C1762" s="1">
        <v>44739</v>
      </c>
      <c r="D1762" t="s">
        <v>3489</v>
      </c>
      <c r="E1762">
        <f>IF(ISNUMBER(MATCH(marketing_events_raw[[#This Row],[customer_id]], customers_clean!A:A, 0)), 1, 0)</f>
        <v>1</v>
      </c>
    </row>
    <row r="1763" spans="1:5" x14ac:dyDescent="0.3">
      <c r="A1763">
        <v>172032329</v>
      </c>
      <c r="B1763">
        <v>396177</v>
      </c>
      <c r="C1763" s="1">
        <v>44900</v>
      </c>
      <c r="D1763" t="s">
        <v>3490</v>
      </c>
      <c r="E1763">
        <f>IF(ISNUMBER(MATCH(marketing_events_raw[[#This Row],[customer_id]], customers_clean!A:A, 0)), 1, 0)</f>
        <v>1</v>
      </c>
    </row>
    <row r="1764" spans="1:5" x14ac:dyDescent="0.3">
      <c r="A1764">
        <v>480698743</v>
      </c>
      <c r="B1764">
        <v>799330</v>
      </c>
      <c r="C1764" s="1">
        <v>44519</v>
      </c>
      <c r="D1764" t="s">
        <v>3489</v>
      </c>
      <c r="E1764">
        <f>IF(ISNUMBER(MATCH(marketing_events_raw[[#This Row],[customer_id]], customers_clean!A:A, 0)), 1, 0)</f>
        <v>1</v>
      </c>
    </row>
    <row r="1765" spans="1:5" x14ac:dyDescent="0.3">
      <c r="A1765">
        <v>194746366</v>
      </c>
      <c r="B1765">
        <v>679989</v>
      </c>
      <c r="C1765" s="1">
        <v>45471</v>
      </c>
      <c r="D1765" t="s">
        <v>3487</v>
      </c>
      <c r="E1765">
        <f>IF(ISNUMBER(MATCH(marketing_events_raw[[#This Row],[customer_id]], customers_clean!A:A, 0)), 1, 0)</f>
        <v>1</v>
      </c>
    </row>
    <row r="1766" spans="1:5" x14ac:dyDescent="0.3">
      <c r="A1766">
        <v>503830476</v>
      </c>
      <c r="B1766">
        <v>610135</v>
      </c>
      <c r="C1766" s="1">
        <v>44448</v>
      </c>
      <c r="D1766" t="s">
        <v>3492</v>
      </c>
      <c r="E1766">
        <f>IF(ISNUMBER(MATCH(marketing_events_raw[[#This Row],[customer_id]], customers_clean!A:A, 0)), 1, 0)</f>
        <v>1</v>
      </c>
    </row>
    <row r="1767" spans="1:5" x14ac:dyDescent="0.3">
      <c r="A1767">
        <v>620285341</v>
      </c>
      <c r="B1767">
        <v>849051</v>
      </c>
      <c r="C1767" s="1">
        <v>45011</v>
      </c>
      <c r="D1767" t="s">
        <v>3487</v>
      </c>
      <c r="E1767">
        <f>IF(ISNUMBER(MATCH(marketing_events_raw[[#This Row],[customer_id]], customers_clean!A:A, 0)), 1, 0)</f>
        <v>1</v>
      </c>
    </row>
    <row r="1768" spans="1:5" x14ac:dyDescent="0.3">
      <c r="A1768">
        <v>361602151</v>
      </c>
      <c r="B1768">
        <v>962813</v>
      </c>
      <c r="C1768" s="1">
        <v>44818</v>
      </c>
      <c r="D1768" t="s">
        <v>3491</v>
      </c>
      <c r="E1768">
        <f>IF(ISNUMBER(MATCH(marketing_events_raw[[#This Row],[customer_id]], customers_clean!A:A, 0)), 1, 0)</f>
        <v>1</v>
      </c>
    </row>
    <row r="1769" spans="1:5" x14ac:dyDescent="0.3">
      <c r="A1769">
        <v>734346025</v>
      </c>
      <c r="B1769">
        <v>725726</v>
      </c>
      <c r="C1769" s="1">
        <v>44566</v>
      </c>
      <c r="D1769" t="s">
        <v>3492</v>
      </c>
      <c r="E1769">
        <f>IF(ISNUMBER(MATCH(marketing_events_raw[[#This Row],[customer_id]], customers_clean!A:A, 0)), 1, 0)</f>
        <v>1</v>
      </c>
    </row>
    <row r="1770" spans="1:5" x14ac:dyDescent="0.3">
      <c r="A1770">
        <v>587245729</v>
      </c>
      <c r="B1770">
        <v>948095</v>
      </c>
      <c r="C1770" s="1">
        <v>45406</v>
      </c>
      <c r="D1770" t="s">
        <v>3492</v>
      </c>
      <c r="E1770">
        <f>IF(ISNUMBER(MATCH(marketing_events_raw[[#This Row],[customer_id]], customers_clean!A:A, 0)), 1, 0)</f>
        <v>1</v>
      </c>
    </row>
    <row r="1771" spans="1:5" x14ac:dyDescent="0.3">
      <c r="A1771">
        <v>280023141</v>
      </c>
      <c r="B1771">
        <v>826894</v>
      </c>
      <c r="C1771" s="1">
        <v>44916</v>
      </c>
      <c r="D1771" t="s">
        <v>3487</v>
      </c>
      <c r="E1771">
        <f>IF(ISNUMBER(MATCH(marketing_events_raw[[#This Row],[customer_id]], customers_clean!A:A, 0)), 1, 0)</f>
        <v>1</v>
      </c>
    </row>
    <row r="1772" spans="1:5" x14ac:dyDescent="0.3">
      <c r="A1772">
        <v>421298214</v>
      </c>
      <c r="B1772">
        <v>931420</v>
      </c>
      <c r="C1772" s="1">
        <v>45001</v>
      </c>
      <c r="D1772" t="s">
        <v>3488</v>
      </c>
      <c r="E1772">
        <f>IF(ISNUMBER(MATCH(marketing_events_raw[[#This Row],[customer_id]], customers_clean!A:A, 0)), 1, 0)</f>
        <v>1</v>
      </c>
    </row>
    <row r="1773" spans="1:5" x14ac:dyDescent="0.3">
      <c r="A1773">
        <v>237656148</v>
      </c>
      <c r="B1773">
        <v>140140</v>
      </c>
      <c r="C1773" s="1">
        <v>44387</v>
      </c>
      <c r="D1773" t="s">
        <v>3489</v>
      </c>
      <c r="E1773">
        <f>IF(ISNUMBER(MATCH(marketing_events_raw[[#This Row],[customer_id]], customers_clean!A:A, 0)), 1, 0)</f>
        <v>1</v>
      </c>
    </row>
    <row r="1774" spans="1:5" x14ac:dyDescent="0.3">
      <c r="A1774">
        <v>451451123</v>
      </c>
      <c r="B1774">
        <v>447997</v>
      </c>
      <c r="C1774" s="1">
        <v>45622</v>
      </c>
      <c r="D1774" t="s">
        <v>3492</v>
      </c>
      <c r="E1774">
        <f>IF(ISNUMBER(MATCH(marketing_events_raw[[#This Row],[customer_id]], customers_clean!A:A, 0)), 1, 0)</f>
        <v>1</v>
      </c>
    </row>
    <row r="1775" spans="1:5" x14ac:dyDescent="0.3">
      <c r="A1775">
        <v>402823100</v>
      </c>
      <c r="B1775">
        <v>507135</v>
      </c>
      <c r="C1775" s="1">
        <v>44593</v>
      </c>
      <c r="D1775" t="s">
        <v>3490</v>
      </c>
      <c r="E1775">
        <f>IF(ISNUMBER(MATCH(marketing_events_raw[[#This Row],[customer_id]], customers_clean!A:A, 0)), 1, 0)</f>
        <v>1</v>
      </c>
    </row>
    <row r="1776" spans="1:5" x14ac:dyDescent="0.3">
      <c r="A1776">
        <v>901338353</v>
      </c>
      <c r="B1776">
        <v>372273</v>
      </c>
      <c r="C1776" s="1">
        <v>44722</v>
      </c>
      <c r="D1776" t="s">
        <v>3493</v>
      </c>
      <c r="E1776">
        <f>IF(ISNUMBER(MATCH(marketing_events_raw[[#This Row],[customer_id]], customers_clean!A:A, 0)), 1, 0)</f>
        <v>1</v>
      </c>
    </row>
    <row r="1777" spans="1:5" x14ac:dyDescent="0.3">
      <c r="A1777">
        <v>342590654</v>
      </c>
      <c r="B1777">
        <v>434367</v>
      </c>
      <c r="C1777" s="1">
        <v>45415</v>
      </c>
      <c r="D1777" t="s">
        <v>3487</v>
      </c>
      <c r="E1777">
        <f>IF(ISNUMBER(MATCH(marketing_events_raw[[#This Row],[customer_id]], customers_clean!A:A, 0)), 1, 0)</f>
        <v>1</v>
      </c>
    </row>
    <row r="1778" spans="1:5" x14ac:dyDescent="0.3">
      <c r="A1778">
        <v>792713483</v>
      </c>
      <c r="B1778">
        <v>353777</v>
      </c>
      <c r="C1778" s="1">
        <v>44844</v>
      </c>
      <c r="D1778" t="s">
        <v>3488</v>
      </c>
      <c r="E1778">
        <f>IF(ISNUMBER(MATCH(marketing_events_raw[[#This Row],[customer_id]], customers_clean!A:A, 0)), 1, 0)</f>
        <v>1</v>
      </c>
    </row>
    <row r="1779" spans="1:5" x14ac:dyDescent="0.3">
      <c r="A1779">
        <v>483700328</v>
      </c>
      <c r="B1779">
        <v>859767</v>
      </c>
      <c r="C1779" s="1">
        <v>44550</v>
      </c>
      <c r="D1779" t="s">
        <v>3491</v>
      </c>
      <c r="E1779">
        <f>IF(ISNUMBER(MATCH(marketing_events_raw[[#This Row],[customer_id]], customers_clean!A:A, 0)), 1, 0)</f>
        <v>1</v>
      </c>
    </row>
    <row r="1780" spans="1:5" x14ac:dyDescent="0.3">
      <c r="A1780">
        <v>902856986</v>
      </c>
      <c r="B1780">
        <v>760830</v>
      </c>
      <c r="C1780" s="1">
        <v>45214</v>
      </c>
      <c r="D1780" t="s">
        <v>3487</v>
      </c>
      <c r="E1780">
        <f>IF(ISNUMBER(MATCH(marketing_events_raw[[#This Row],[customer_id]], customers_clean!A:A, 0)), 1, 0)</f>
        <v>1</v>
      </c>
    </row>
    <row r="1781" spans="1:5" x14ac:dyDescent="0.3">
      <c r="A1781">
        <v>432960678</v>
      </c>
      <c r="B1781">
        <v>659835</v>
      </c>
      <c r="C1781" s="1">
        <v>45399</v>
      </c>
      <c r="D1781" t="s">
        <v>3487</v>
      </c>
      <c r="E1781">
        <f>IF(ISNUMBER(MATCH(marketing_events_raw[[#This Row],[customer_id]], customers_clean!A:A, 0)), 1, 0)</f>
        <v>1</v>
      </c>
    </row>
    <row r="1782" spans="1:5" x14ac:dyDescent="0.3">
      <c r="A1782">
        <v>424749280</v>
      </c>
      <c r="B1782">
        <v>974991</v>
      </c>
      <c r="C1782" s="1">
        <v>44577</v>
      </c>
      <c r="D1782" t="s">
        <v>3489</v>
      </c>
      <c r="E1782">
        <f>IF(ISNUMBER(MATCH(marketing_events_raw[[#This Row],[customer_id]], customers_clean!A:A, 0)), 1, 0)</f>
        <v>1</v>
      </c>
    </row>
    <row r="1783" spans="1:5" x14ac:dyDescent="0.3">
      <c r="A1783">
        <v>196822063</v>
      </c>
      <c r="B1783">
        <v>184365</v>
      </c>
      <c r="C1783" s="1">
        <v>44798</v>
      </c>
      <c r="D1783" t="s">
        <v>3492</v>
      </c>
      <c r="E1783">
        <f>IF(ISNUMBER(MATCH(marketing_events_raw[[#This Row],[customer_id]], customers_clean!A:A, 0)), 1, 0)</f>
        <v>1</v>
      </c>
    </row>
    <row r="1784" spans="1:5" x14ac:dyDescent="0.3">
      <c r="A1784">
        <v>181985409</v>
      </c>
      <c r="B1784">
        <v>264951</v>
      </c>
      <c r="C1784" s="1">
        <v>45417</v>
      </c>
      <c r="D1784" t="s">
        <v>3493</v>
      </c>
      <c r="E1784">
        <f>IF(ISNUMBER(MATCH(marketing_events_raw[[#This Row],[customer_id]], customers_clean!A:A, 0)), 1, 0)</f>
        <v>1</v>
      </c>
    </row>
    <row r="1785" spans="1:5" x14ac:dyDescent="0.3">
      <c r="A1785">
        <v>301754478</v>
      </c>
      <c r="B1785">
        <v>819622</v>
      </c>
      <c r="C1785" s="1">
        <v>44399</v>
      </c>
      <c r="D1785" t="s">
        <v>3489</v>
      </c>
      <c r="E1785">
        <f>IF(ISNUMBER(MATCH(marketing_events_raw[[#This Row],[customer_id]], customers_clean!A:A, 0)), 1, 0)</f>
        <v>1</v>
      </c>
    </row>
    <row r="1786" spans="1:5" x14ac:dyDescent="0.3">
      <c r="A1786">
        <v>481545031</v>
      </c>
      <c r="B1786">
        <v>351516</v>
      </c>
      <c r="C1786" s="1">
        <v>45434</v>
      </c>
      <c r="D1786" t="s">
        <v>3492</v>
      </c>
      <c r="E1786">
        <f>IF(ISNUMBER(MATCH(marketing_events_raw[[#This Row],[customer_id]], customers_clean!A:A, 0)), 1, 0)</f>
        <v>1</v>
      </c>
    </row>
    <row r="1787" spans="1:5" x14ac:dyDescent="0.3">
      <c r="A1787">
        <v>310018939</v>
      </c>
      <c r="B1787">
        <v>425486</v>
      </c>
      <c r="C1787" s="1">
        <v>44929</v>
      </c>
      <c r="D1787" t="s">
        <v>3487</v>
      </c>
      <c r="E1787">
        <f>IF(ISNUMBER(MATCH(marketing_events_raw[[#This Row],[customer_id]], customers_clean!A:A, 0)), 1, 0)</f>
        <v>1</v>
      </c>
    </row>
    <row r="1788" spans="1:5" x14ac:dyDescent="0.3">
      <c r="A1788">
        <v>929407611</v>
      </c>
      <c r="B1788">
        <v>610135</v>
      </c>
      <c r="C1788" s="1">
        <v>45033</v>
      </c>
      <c r="D1788" t="s">
        <v>3491</v>
      </c>
      <c r="E1788">
        <f>IF(ISNUMBER(MATCH(marketing_events_raw[[#This Row],[customer_id]], customers_clean!A:A, 0)), 1, 0)</f>
        <v>1</v>
      </c>
    </row>
    <row r="1789" spans="1:5" x14ac:dyDescent="0.3">
      <c r="A1789">
        <v>974793317</v>
      </c>
      <c r="B1789">
        <v>126240</v>
      </c>
      <c r="C1789" s="1">
        <v>44542</v>
      </c>
      <c r="D1789" t="s">
        <v>3492</v>
      </c>
      <c r="E1789">
        <f>IF(ISNUMBER(MATCH(marketing_events_raw[[#This Row],[customer_id]], customers_clean!A:A, 0)), 1, 0)</f>
        <v>1</v>
      </c>
    </row>
    <row r="1790" spans="1:5" x14ac:dyDescent="0.3">
      <c r="A1790">
        <v>325525920</v>
      </c>
      <c r="B1790">
        <v>423047</v>
      </c>
      <c r="C1790" s="1">
        <v>45655</v>
      </c>
      <c r="D1790" t="s">
        <v>3491</v>
      </c>
      <c r="E1790">
        <f>IF(ISNUMBER(MATCH(marketing_events_raw[[#This Row],[customer_id]], customers_clean!A:A, 0)), 1, 0)</f>
        <v>1</v>
      </c>
    </row>
    <row r="1791" spans="1:5" x14ac:dyDescent="0.3">
      <c r="A1791">
        <v>933030595</v>
      </c>
      <c r="B1791">
        <v>859767</v>
      </c>
      <c r="C1791" s="1">
        <v>45483</v>
      </c>
      <c r="D1791" t="s">
        <v>3492</v>
      </c>
      <c r="E1791">
        <f>IF(ISNUMBER(MATCH(marketing_events_raw[[#This Row],[customer_id]], customers_clean!A:A, 0)), 1, 0)</f>
        <v>1</v>
      </c>
    </row>
    <row r="1792" spans="1:5" x14ac:dyDescent="0.3">
      <c r="A1792">
        <v>784720281</v>
      </c>
      <c r="B1792">
        <v>985364</v>
      </c>
      <c r="C1792" s="1">
        <v>44725</v>
      </c>
      <c r="D1792" t="s">
        <v>3493</v>
      </c>
      <c r="E1792">
        <f>IF(ISNUMBER(MATCH(marketing_events_raw[[#This Row],[customer_id]], customers_clean!A:A, 0)), 1, 0)</f>
        <v>1</v>
      </c>
    </row>
    <row r="1793" spans="1:5" x14ac:dyDescent="0.3">
      <c r="A1793">
        <v>227697300</v>
      </c>
      <c r="B1793">
        <v>531228</v>
      </c>
      <c r="C1793" s="1">
        <v>45383</v>
      </c>
      <c r="D1793" t="s">
        <v>3491</v>
      </c>
      <c r="E1793">
        <f>IF(ISNUMBER(MATCH(marketing_events_raw[[#This Row],[customer_id]], customers_clean!A:A, 0)), 1, 0)</f>
        <v>1</v>
      </c>
    </row>
    <row r="1794" spans="1:5" x14ac:dyDescent="0.3">
      <c r="A1794">
        <v>746733407</v>
      </c>
      <c r="B1794">
        <v>923648</v>
      </c>
      <c r="C1794" s="1">
        <v>45053</v>
      </c>
      <c r="D1794" t="s">
        <v>3492</v>
      </c>
      <c r="E1794">
        <f>IF(ISNUMBER(MATCH(marketing_events_raw[[#This Row],[customer_id]], customers_clean!A:A, 0)), 1, 0)</f>
        <v>1</v>
      </c>
    </row>
    <row r="1795" spans="1:5" x14ac:dyDescent="0.3">
      <c r="A1795">
        <v>768530781</v>
      </c>
      <c r="B1795">
        <v>944654</v>
      </c>
      <c r="C1795" s="1">
        <v>45651</v>
      </c>
      <c r="D1795" t="s">
        <v>3490</v>
      </c>
      <c r="E1795">
        <f>IF(ISNUMBER(MATCH(marketing_events_raw[[#This Row],[customer_id]], customers_clean!A:A, 0)), 1, 0)</f>
        <v>1</v>
      </c>
    </row>
    <row r="1796" spans="1:5" x14ac:dyDescent="0.3">
      <c r="A1796">
        <v>968491687</v>
      </c>
      <c r="B1796">
        <v>585494</v>
      </c>
      <c r="C1796" s="1">
        <v>45564</v>
      </c>
      <c r="D1796" t="s">
        <v>3491</v>
      </c>
      <c r="E1796">
        <f>IF(ISNUMBER(MATCH(marketing_events_raw[[#This Row],[customer_id]], customers_clean!A:A, 0)), 1, 0)</f>
        <v>1</v>
      </c>
    </row>
    <row r="1797" spans="1:5" x14ac:dyDescent="0.3">
      <c r="A1797">
        <v>425975733</v>
      </c>
      <c r="B1797">
        <v>856442</v>
      </c>
      <c r="C1797" s="1">
        <v>44537</v>
      </c>
      <c r="D1797" t="s">
        <v>3489</v>
      </c>
      <c r="E1797">
        <f>IF(ISNUMBER(MATCH(marketing_events_raw[[#This Row],[customer_id]], customers_clean!A:A, 0)), 1, 0)</f>
        <v>1</v>
      </c>
    </row>
    <row r="1798" spans="1:5" x14ac:dyDescent="0.3">
      <c r="A1798">
        <v>694853574</v>
      </c>
      <c r="B1798">
        <v>666390</v>
      </c>
      <c r="C1798" s="1">
        <v>45150</v>
      </c>
      <c r="D1798" t="s">
        <v>3492</v>
      </c>
      <c r="E1798">
        <f>IF(ISNUMBER(MATCH(marketing_events_raw[[#This Row],[customer_id]], customers_clean!A:A, 0)), 1, 0)</f>
        <v>1</v>
      </c>
    </row>
    <row r="1799" spans="1:5" x14ac:dyDescent="0.3">
      <c r="A1799">
        <v>487627171</v>
      </c>
      <c r="B1799">
        <v>602681</v>
      </c>
      <c r="C1799" s="1">
        <v>45444</v>
      </c>
      <c r="D1799" t="s">
        <v>3488</v>
      </c>
      <c r="E1799">
        <f>IF(ISNUMBER(MATCH(marketing_events_raw[[#This Row],[customer_id]], customers_clean!A:A, 0)), 1, 0)</f>
        <v>1</v>
      </c>
    </row>
    <row r="1800" spans="1:5" x14ac:dyDescent="0.3">
      <c r="A1800">
        <v>218758081</v>
      </c>
      <c r="B1800">
        <v>575637</v>
      </c>
      <c r="C1800" s="1">
        <v>45153</v>
      </c>
      <c r="D1800" t="s">
        <v>3487</v>
      </c>
      <c r="E1800">
        <f>IF(ISNUMBER(MATCH(marketing_events_raw[[#This Row],[customer_id]], customers_clean!A:A, 0)), 1, 0)</f>
        <v>1</v>
      </c>
    </row>
    <row r="1801" spans="1:5" x14ac:dyDescent="0.3">
      <c r="A1801">
        <v>470614696</v>
      </c>
      <c r="B1801">
        <v>957266</v>
      </c>
      <c r="C1801" s="1">
        <v>45653</v>
      </c>
      <c r="D1801" t="s">
        <v>3489</v>
      </c>
      <c r="E1801">
        <f>IF(ISNUMBER(MATCH(marketing_events_raw[[#This Row],[customer_id]], customers_clean!A:A, 0)), 1, 0)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5D088-2862-4974-8A6C-A6A92C9DB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customers_clean</vt:lpstr>
      <vt:lpstr>product_plans</vt:lpstr>
      <vt:lpstr>subscriptions_clean</vt:lpstr>
      <vt:lpstr>payments_clean</vt:lpstr>
      <vt:lpstr>marketing_events_clean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Munson</dc:creator>
  <cp:lastModifiedBy>Benjamin Munson</cp:lastModifiedBy>
  <dcterms:created xsi:type="dcterms:W3CDTF">2026-01-22T21:59:04Z</dcterms:created>
  <dcterms:modified xsi:type="dcterms:W3CDTF">2026-01-26T21:22:04Z</dcterms:modified>
</cp:coreProperties>
</file>